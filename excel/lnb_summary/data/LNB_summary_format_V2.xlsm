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1" codeName="{A63ED3A1-9429-3D75-F2AA-CA7E51A8F3A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joyce/kingfish-python/kingfish-python/excel/lnb_summary/data/"/>
    </mc:Choice>
  </mc:AlternateContent>
  <xr:revisionPtr revIDLastSave="0" documentId="13_ncr:1_{608972EC-56FB-D346-9829-4C27FFA7A212}" xr6:coauthVersionLast="47" xr6:coauthVersionMax="47" xr10:uidLastSave="{00000000-0000-0000-0000-000000000000}"/>
  <bookViews>
    <workbookView xWindow="0" yWindow="500" windowWidth="28800" windowHeight="16140" tabRatio="595" activeTab="2" xr2:uid="{00000000-000D-0000-FFFF-FFFF00000000}"/>
  </bookViews>
  <sheets>
    <sheet name="LNB summary" sheetId="2" r:id="rId1"/>
    <sheet name="SD" sheetId="3" r:id="rId2"/>
    <sheet name="OB" sheetId="1" r:id="rId3"/>
  </sheets>
  <definedNames>
    <definedName name="_xlnm._FilterDatabase" localSheetId="0" hidden="1">'LNB summary'!$A$2:$AO$264</definedName>
    <definedName name="_xlnm._FilterDatabase" localSheetId="2" hidden="1">OB!$A$8:$AO$162</definedName>
    <definedName name="_xlnm._FilterDatabase" localSheetId="1" hidden="1">SD!$A$3:$AO$114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6" i="3" l="1"/>
  <c r="E108" i="3" s="1"/>
  <c r="E109" i="3" s="1"/>
  <c r="E105" i="3"/>
  <c r="E111" i="3"/>
  <c r="E110" i="3"/>
  <c r="E107" i="3"/>
  <c r="AJ155" i="1"/>
  <c r="AI155" i="1"/>
  <c r="AH155" i="1"/>
  <c r="AG155" i="1"/>
  <c r="AF155" i="1"/>
  <c r="AJ154" i="1"/>
  <c r="AI154" i="1"/>
  <c r="AH154" i="1"/>
  <c r="AG154" i="1"/>
  <c r="AF154" i="1"/>
  <c r="AJ153" i="1"/>
  <c r="AI153" i="1"/>
  <c r="AH153" i="1"/>
  <c r="AG153" i="1"/>
  <c r="AF153" i="1"/>
  <c r="AD155" i="1"/>
  <c r="AC155" i="1"/>
  <c r="AB155" i="1"/>
  <c r="AA155" i="1"/>
  <c r="AD154" i="1"/>
  <c r="AC154" i="1"/>
  <c r="AB154" i="1"/>
  <c r="AA154" i="1"/>
  <c r="AD153" i="1"/>
  <c r="AC153" i="1"/>
  <c r="AB153" i="1"/>
  <c r="AA153" i="1"/>
  <c r="AE153" i="1" s="1"/>
  <c r="Y155" i="1"/>
  <c r="X155" i="1"/>
  <c r="W155" i="1"/>
  <c r="V155" i="1"/>
  <c r="Y154" i="1"/>
  <c r="X154" i="1"/>
  <c r="W154" i="1"/>
  <c r="V154" i="1"/>
  <c r="Y153" i="1"/>
  <c r="X153" i="1"/>
  <c r="W153" i="1"/>
  <c r="V153" i="1"/>
  <c r="S155" i="1"/>
  <c r="R155" i="1"/>
  <c r="Q155" i="1"/>
  <c r="P155" i="1"/>
  <c r="O155" i="1"/>
  <c r="S154" i="1"/>
  <c r="R154" i="1"/>
  <c r="Q154" i="1"/>
  <c r="P154" i="1"/>
  <c r="O154" i="1"/>
  <c r="S153" i="1"/>
  <c r="R153" i="1"/>
  <c r="Q153" i="1"/>
  <c r="P153" i="1"/>
  <c r="O153" i="1"/>
  <c r="T153" i="1" s="1"/>
  <c r="M153" i="1"/>
  <c r="AJ158" i="1"/>
  <c r="AJ160" i="1"/>
  <c r="AI160" i="1"/>
  <c r="AH160" i="1"/>
  <c r="AG160" i="1"/>
  <c r="AF160" i="1"/>
  <c r="AJ159" i="1"/>
  <c r="AI159" i="1"/>
  <c r="AH159" i="1"/>
  <c r="AG159" i="1"/>
  <c r="AF159" i="1"/>
  <c r="AI158" i="1"/>
  <c r="AH158" i="1"/>
  <c r="AG158" i="1"/>
  <c r="AF158" i="1"/>
  <c r="AK158" i="1" s="1"/>
  <c r="AD160" i="1"/>
  <c r="AC160" i="1"/>
  <c r="AB160" i="1"/>
  <c r="AD159" i="1"/>
  <c r="AC159" i="1"/>
  <c r="AB159" i="1"/>
  <c r="AD158" i="1"/>
  <c r="AC158" i="1"/>
  <c r="AB158" i="1"/>
  <c r="AA160" i="1"/>
  <c r="AA159" i="1"/>
  <c r="AA158" i="1"/>
  <c r="Y160" i="1"/>
  <c r="X160" i="1"/>
  <c r="W160" i="1"/>
  <c r="V160" i="1"/>
  <c r="Y159" i="1"/>
  <c r="X159" i="1"/>
  <c r="W159" i="1"/>
  <c r="V159" i="1"/>
  <c r="Y158" i="1"/>
  <c r="X158" i="1"/>
  <c r="W158" i="1"/>
  <c r="V158" i="1"/>
  <c r="S160" i="1"/>
  <c r="S161" i="1" s="1"/>
  <c r="R160" i="1"/>
  <c r="Q160" i="1"/>
  <c r="P160" i="1"/>
  <c r="O160" i="1"/>
  <c r="S159" i="1"/>
  <c r="R159" i="1"/>
  <c r="Q159" i="1"/>
  <c r="P159" i="1"/>
  <c r="O159" i="1"/>
  <c r="S158" i="1"/>
  <c r="R158" i="1"/>
  <c r="Q158" i="1"/>
  <c r="P158" i="1"/>
  <c r="O158" i="1"/>
  <c r="M160" i="1"/>
  <c r="L160" i="1"/>
  <c r="K160" i="1"/>
  <c r="J160" i="1"/>
  <c r="M159" i="1"/>
  <c r="L159" i="1"/>
  <c r="K159" i="1"/>
  <c r="J159" i="1"/>
  <c r="M158" i="1"/>
  <c r="L158" i="1"/>
  <c r="K158" i="1"/>
  <c r="J158" i="1"/>
  <c r="H160" i="1"/>
  <c r="G160" i="1"/>
  <c r="F160" i="1"/>
  <c r="H159" i="1"/>
  <c r="G159" i="1"/>
  <c r="F159" i="1"/>
  <c r="H158" i="1"/>
  <c r="G158" i="1"/>
  <c r="F158" i="1"/>
  <c r="E160" i="1"/>
  <c r="E159" i="1"/>
  <c r="E158" i="1"/>
  <c r="K153" i="1"/>
  <c r="L153" i="1"/>
  <c r="K154" i="1"/>
  <c r="L154" i="1"/>
  <c r="M154" i="1"/>
  <c r="K155" i="1"/>
  <c r="L155" i="1"/>
  <c r="M155" i="1"/>
  <c r="J155" i="1"/>
  <c r="J154" i="1"/>
  <c r="J153" i="1"/>
  <c r="F153" i="1"/>
  <c r="G153" i="1"/>
  <c r="H153" i="1"/>
  <c r="F154" i="1"/>
  <c r="G154" i="1"/>
  <c r="H154" i="1"/>
  <c r="F155" i="1"/>
  <c r="G155" i="1"/>
  <c r="H155" i="1"/>
  <c r="E155" i="1"/>
  <c r="E156" i="1" s="1"/>
  <c r="E157" i="1" s="1"/>
  <c r="E154" i="1"/>
  <c r="E153" i="1"/>
  <c r="AN3" i="1"/>
  <c r="D162" i="1"/>
  <c r="C162" i="1"/>
  <c r="C160" i="1"/>
  <c r="D157" i="1"/>
  <c r="C157" i="1"/>
  <c r="C155" i="1"/>
  <c r="AJ112" i="3"/>
  <c r="AI112" i="3"/>
  <c r="AH112" i="3"/>
  <c r="AG112" i="3"/>
  <c r="AF112" i="3"/>
  <c r="AJ111" i="3"/>
  <c r="AI111" i="3"/>
  <c r="AH111" i="3"/>
  <c r="AG111" i="3"/>
  <c r="AF111" i="3"/>
  <c r="AJ110" i="3"/>
  <c r="AI110" i="3"/>
  <c r="AH110" i="3"/>
  <c r="AG110" i="3"/>
  <c r="AF110" i="3"/>
  <c r="AD112" i="3"/>
  <c r="AC112" i="3"/>
  <c r="AB112" i="3"/>
  <c r="AA112" i="3"/>
  <c r="AD111" i="3"/>
  <c r="AC111" i="3"/>
  <c r="AB111" i="3"/>
  <c r="AA111" i="3"/>
  <c r="AD110" i="3"/>
  <c r="AC110" i="3"/>
  <c r="AB110" i="3"/>
  <c r="AA110" i="3"/>
  <c r="Y112" i="3"/>
  <c r="X112" i="3"/>
  <c r="W112" i="3"/>
  <c r="V112" i="3"/>
  <c r="Y111" i="3"/>
  <c r="X111" i="3"/>
  <c r="W111" i="3"/>
  <c r="V111" i="3"/>
  <c r="Y110" i="3"/>
  <c r="X110" i="3"/>
  <c r="W110" i="3"/>
  <c r="V110" i="3"/>
  <c r="S112" i="3"/>
  <c r="R112" i="3"/>
  <c r="Q112" i="3"/>
  <c r="P112" i="3"/>
  <c r="O112" i="3"/>
  <c r="S111" i="3"/>
  <c r="S113" i="3" s="1"/>
  <c r="R111" i="3"/>
  <c r="Q111" i="3"/>
  <c r="P111" i="3"/>
  <c r="O111" i="3"/>
  <c r="S110" i="3"/>
  <c r="R110" i="3"/>
  <c r="Q110" i="3"/>
  <c r="P110" i="3"/>
  <c r="O110" i="3"/>
  <c r="M112" i="3"/>
  <c r="L112" i="3"/>
  <c r="K112" i="3"/>
  <c r="J112" i="3"/>
  <c r="M111" i="3"/>
  <c r="L111" i="3"/>
  <c r="K111" i="3"/>
  <c r="J111" i="3"/>
  <c r="J113" i="3" s="1"/>
  <c r="M110" i="3"/>
  <c r="L110" i="3"/>
  <c r="K110" i="3"/>
  <c r="J110" i="3"/>
  <c r="AJ107" i="3"/>
  <c r="AI107" i="3"/>
  <c r="AH107" i="3"/>
  <c r="AG107" i="3"/>
  <c r="AF107" i="3"/>
  <c r="AJ106" i="3"/>
  <c r="AI106" i="3"/>
  <c r="AH106" i="3"/>
  <c r="AG106" i="3"/>
  <c r="AF106" i="3"/>
  <c r="AJ105" i="3"/>
  <c r="AI105" i="3"/>
  <c r="AH105" i="3"/>
  <c r="AG105" i="3"/>
  <c r="AF105" i="3"/>
  <c r="AD107" i="3"/>
  <c r="AC107" i="3"/>
  <c r="AB107" i="3"/>
  <c r="AA107" i="3"/>
  <c r="AD106" i="3"/>
  <c r="AC106" i="3"/>
  <c r="AB106" i="3"/>
  <c r="AA106" i="3"/>
  <c r="AD105" i="3"/>
  <c r="AC105" i="3"/>
  <c r="AB105" i="3"/>
  <c r="AA105" i="3"/>
  <c r="Y107" i="3"/>
  <c r="X107" i="3"/>
  <c r="W107" i="3"/>
  <c r="V107" i="3"/>
  <c r="Y106" i="3"/>
  <c r="X106" i="3"/>
  <c r="W106" i="3"/>
  <c r="V106" i="3"/>
  <c r="Y105" i="3"/>
  <c r="X105" i="3"/>
  <c r="W105" i="3"/>
  <c r="V105" i="3"/>
  <c r="P105" i="3"/>
  <c r="Q105" i="3"/>
  <c r="R105" i="3"/>
  <c r="S105" i="3"/>
  <c r="P106" i="3"/>
  <c r="Q106" i="3"/>
  <c r="R106" i="3"/>
  <c r="S106" i="3"/>
  <c r="P107" i="3"/>
  <c r="Q107" i="3"/>
  <c r="R107" i="3"/>
  <c r="S107" i="3"/>
  <c r="O107" i="3"/>
  <c r="O106" i="3"/>
  <c r="O105" i="3"/>
  <c r="K105" i="3"/>
  <c r="L105" i="3"/>
  <c r="M105" i="3"/>
  <c r="K106" i="3"/>
  <c r="L106" i="3"/>
  <c r="M106" i="3"/>
  <c r="K107" i="3"/>
  <c r="L107" i="3"/>
  <c r="M107" i="3"/>
  <c r="M108" i="3" s="1"/>
  <c r="J107" i="3"/>
  <c r="J106" i="3"/>
  <c r="J105" i="3"/>
  <c r="F110" i="3"/>
  <c r="G110" i="3"/>
  <c r="H110" i="3"/>
  <c r="F111" i="3"/>
  <c r="G111" i="3"/>
  <c r="H111" i="3"/>
  <c r="F112" i="3"/>
  <c r="G112" i="3"/>
  <c r="H112" i="3"/>
  <c r="E112" i="3"/>
  <c r="F107" i="3"/>
  <c r="G107" i="3"/>
  <c r="H107" i="3"/>
  <c r="F105" i="3"/>
  <c r="G105" i="3"/>
  <c r="H105" i="3"/>
  <c r="F106" i="3"/>
  <c r="G106" i="3"/>
  <c r="H106" i="3"/>
  <c r="D114" i="3"/>
  <c r="C114" i="3"/>
  <c r="C112" i="3"/>
  <c r="D109" i="3"/>
  <c r="C109" i="3"/>
  <c r="C107" i="3"/>
  <c r="AO159" i="1"/>
  <c r="AN159" i="1"/>
  <c r="AO154" i="1"/>
  <c r="AN154" i="1"/>
  <c r="AC156" i="1"/>
  <c r="AO152" i="1"/>
  <c r="AN152" i="1"/>
  <c r="AK150" i="1"/>
  <c r="T150" i="1"/>
  <c r="U150" i="1" s="1"/>
  <c r="AK149" i="1"/>
  <c r="AL149" i="1" s="1"/>
  <c r="AO149" i="1" s="1"/>
  <c r="T149" i="1"/>
  <c r="U149" i="1" s="1"/>
  <c r="AN149" i="1" s="1"/>
  <c r="AO148" i="1"/>
  <c r="AN148" i="1"/>
  <c r="AK148" i="1"/>
  <c r="T148" i="1"/>
  <c r="AK147" i="1"/>
  <c r="AL147" i="1" s="1"/>
  <c r="AO147" i="1" s="1"/>
  <c r="T147" i="1"/>
  <c r="T151" i="1" s="1"/>
  <c r="AO146" i="1"/>
  <c r="AN146" i="1"/>
  <c r="AK144" i="1"/>
  <c r="AL144" i="1" s="1"/>
  <c r="AO144" i="1" s="1"/>
  <c r="T144" i="1"/>
  <c r="U144" i="1" s="1"/>
  <c r="AN144" i="1" s="1"/>
  <c r="AK143" i="1"/>
  <c r="AL143" i="1" s="1"/>
  <c r="AO143" i="1" s="1"/>
  <c r="T143" i="1"/>
  <c r="U143" i="1" s="1"/>
  <c r="AN143" i="1" s="1"/>
  <c r="AO142" i="1"/>
  <c r="AN142" i="1"/>
  <c r="AK142" i="1"/>
  <c r="T142" i="1"/>
  <c r="AK141" i="1"/>
  <c r="AL141" i="1" s="1"/>
  <c r="AO141" i="1" s="1"/>
  <c r="T141" i="1"/>
  <c r="U141" i="1" s="1"/>
  <c r="AN141" i="1" s="1"/>
  <c r="AO140" i="1"/>
  <c r="AN140" i="1"/>
  <c r="AK138" i="1"/>
  <c r="AL138" i="1" s="1"/>
  <c r="AO138" i="1" s="1"/>
  <c r="T138" i="1"/>
  <c r="U138" i="1" s="1"/>
  <c r="AN138" i="1" s="1"/>
  <c r="AK137" i="1"/>
  <c r="AL137" i="1" s="1"/>
  <c r="AO137" i="1" s="1"/>
  <c r="T137" i="1"/>
  <c r="U137" i="1" s="1"/>
  <c r="AN137" i="1" s="1"/>
  <c r="AO136" i="1"/>
  <c r="AN136" i="1"/>
  <c r="AK136" i="1"/>
  <c r="T136" i="1"/>
  <c r="AK135" i="1"/>
  <c r="AL135" i="1" s="1"/>
  <c r="AO135" i="1" s="1"/>
  <c r="T135" i="1"/>
  <c r="U135" i="1" s="1"/>
  <c r="AO134" i="1"/>
  <c r="AN134" i="1"/>
  <c r="AK132" i="1"/>
  <c r="AL132" i="1" s="1"/>
  <c r="AO132" i="1" s="1"/>
  <c r="T132" i="1"/>
  <c r="AK131" i="1"/>
  <c r="AL131" i="1" s="1"/>
  <c r="AO131" i="1" s="1"/>
  <c r="T131" i="1"/>
  <c r="U131" i="1" s="1"/>
  <c r="AN131" i="1" s="1"/>
  <c r="AO130" i="1"/>
  <c r="AN130" i="1"/>
  <c r="AK130" i="1"/>
  <c r="T130" i="1"/>
  <c r="AK129" i="1"/>
  <c r="AL129" i="1" s="1"/>
  <c r="AO129" i="1" s="1"/>
  <c r="T129" i="1"/>
  <c r="U129" i="1" s="1"/>
  <c r="AN129" i="1" s="1"/>
  <c r="AO128" i="1"/>
  <c r="AN128" i="1"/>
  <c r="AK126" i="1"/>
  <c r="T126" i="1"/>
  <c r="U126" i="1" s="1"/>
  <c r="AK125" i="1"/>
  <c r="AL125" i="1" s="1"/>
  <c r="AO125" i="1" s="1"/>
  <c r="T125" i="1"/>
  <c r="U125" i="1" s="1"/>
  <c r="AN125" i="1" s="1"/>
  <c r="AO124" i="1"/>
  <c r="AN124" i="1"/>
  <c r="AK124" i="1"/>
  <c r="T124" i="1"/>
  <c r="AK123" i="1"/>
  <c r="AL123" i="1" s="1"/>
  <c r="AO123" i="1" s="1"/>
  <c r="T123" i="1"/>
  <c r="U123" i="1" s="1"/>
  <c r="AN123" i="1" s="1"/>
  <c r="AO122" i="1"/>
  <c r="AN122" i="1"/>
  <c r="AK120" i="1"/>
  <c r="AL120" i="1" s="1"/>
  <c r="T120" i="1"/>
  <c r="AK119" i="1"/>
  <c r="AL119" i="1" s="1"/>
  <c r="AO119" i="1" s="1"/>
  <c r="T119" i="1"/>
  <c r="U119" i="1" s="1"/>
  <c r="AN119" i="1" s="1"/>
  <c r="AO118" i="1"/>
  <c r="AN118" i="1"/>
  <c r="AK118" i="1"/>
  <c r="T118" i="1"/>
  <c r="AK117" i="1"/>
  <c r="AL117" i="1" s="1"/>
  <c r="AO117" i="1" s="1"/>
  <c r="T117" i="1"/>
  <c r="U117" i="1" s="1"/>
  <c r="AO116" i="1"/>
  <c r="AN116" i="1"/>
  <c r="AK114" i="1"/>
  <c r="T114" i="1"/>
  <c r="AK113" i="1"/>
  <c r="AL113" i="1" s="1"/>
  <c r="AO113" i="1" s="1"/>
  <c r="T113" i="1"/>
  <c r="U113" i="1" s="1"/>
  <c r="AN113" i="1" s="1"/>
  <c r="AO112" i="1"/>
  <c r="AN112" i="1"/>
  <c r="AK112" i="1"/>
  <c r="T112" i="1"/>
  <c r="AK111" i="1"/>
  <c r="AL111" i="1" s="1"/>
  <c r="AO111" i="1" s="1"/>
  <c r="T111" i="1"/>
  <c r="U111" i="1" s="1"/>
  <c r="AN111" i="1" s="1"/>
  <c r="AO110" i="1"/>
  <c r="AN110" i="1"/>
  <c r="AK108" i="1"/>
  <c r="AL108" i="1" s="1"/>
  <c r="AO108" i="1" s="1"/>
  <c r="T108" i="1"/>
  <c r="U108" i="1" s="1"/>
  <c r="AN108" i="1" s="1"/>
  <c r="AK107" i="1"/>
  <c r="AL107" i="1" s="1"/>
  <c r="AO107" i="1" s="1"/>
  <c r="T107" i="1"/>
  <c r="U107" i="1" s="1"/>
  <c r="AN107" i="1" s="1"/>
  <c r="AO106" i="1"/>
  <c r="AN106" i="1"/>
  <c r="AK106" i="1"/>
  <c r="T106" i="1"/>
  <c r="AK105" i="1"/>
  <c r="AK109" i="1" s="1"/>
  <c r="T105" i="1"/>
  <c r="U105" i="1" s="1"/>
  <c r="AN105" i="1" s="1"/>
  <c r="AO104" i="1"/>
  <c r="AN104" i="1"/>
  <c r="AK102" i="1"/>
  <c r="T102" i="1"/>
  <c r="AK101" i="1"/>
  <c r="AL101" i="1" s="1"/>
  <c r="AO101" i="1" s="1"/>
  <c r="T101" i="1"/>
  <c r="U101" i="1" s="1"/>
  <c r="AN101" i="1" s="1"/>
  <c r="AO100" i="1"/>
  <c r="AN100" i="1"/>
  <c r="AK100" i="1"/>
  <c r="T100" i="1"/>
  <c r="AK99" i="1"/>
  <c r="AL99" i="1" s="1"/>
  <c r="AO99" i="1" s="1"/>
  <c r="T99" i="1"/>
  <c r="U99" i="1" s="1"/>
  <c r="AN99" i="1" s="1"/>
  <c r="AO98" i="1"/>
  <c r="AN98" i="1"/>
  <c r="AK96" i="1"/>
  <c r="T96" i="1"/>
  <c r="AK95" i="1"/>
  <c r="AL95" i="1" s="1"/>
  <c r="AO95" i="1" s="1"/>
  <c r="T95" i="1"/>
  <c r="U95" i="1" s="1"/>
  <c r="AN95" i="1" s="1"/>
  <c r="AO94" i="1"/>
  <c r="AN94" i="1"/>
  <c r="AK94" i="1"/>
  <c r="T94" i="1"/>
  <c r="AK93" i="1"/>
  <c r="AL93" i="1" s="1"/>
  <c r="AO93" i="1" s="1"/>
  <c r="T93" i="1"/>
  <c r="U93" i="1" s="1"/>
  <c r="AN93" i="1" s="1"/>
  <c r="AO92" i="1"/>
  <c r="AN92" i="1"/>
  <c r="AK90" i="1"/>
  <c r="AL90" i="1" s="1"/>
  <c r="AO90" i="1" s="1"/>
  <c r="T90" i="1"/>
  <c r="AK89" i="1"/>
  <c r="AL89" i="1" s="1"/>
  <c r="AO89" i="1" s="1"/>
  <c r="T89" i="1"/>
  <c r="U89" i="1" s="1"/>
  <c r="AN89" i="1" s="1"/>
  <c r="AO88" i="1"/>
  <c r="AN88" i="1"/>
  <c r="AK88" i="1"/>
  <c r="T88" i="1"/>
  <c r="AK87" i="1"/>
  <c r="AL87" i="1" s="1"/>
  <c r="AO87" i="1" s="1"/>
  <c r="T87" i="1"/>
  <c r="U87" i="1" s="1"/>
  <c r="AN87" i="1" s="1"/>
  <c r="AO86" i="1"/>
  <c r="AN86" i="1"/>
  <c r="AK84" i="1"/>
  <c r="T84" i="1"/>
  <c r="U84" i="1" s="1"/>
  <c r="AN84" i="1" s="1"/>
  <c r="AK83" i="1"/>
  <c r="AL83" i="1" s="1"/>
  <c r="AO83" i="1" s="1"/>
  <c r="T83" i="1"/>
  <c r="U83" i="1" s="1"/>
  <c r="AN83" i="1" s="1"/>
  <c r="AO82" i="1"/>
  <c r="AN82" i="1"/>
  <c r="AK82" i="1"/>
  <c r="T82" i="1"/>
  <c r="AK81" i="1"/>
  <c r="AL81" i="1" s="1"/>
  <c r="AO81" i="1" s="1"/>
  <c r="T81" i="1"/>
  <c r="U81" i="1" s="1"/>
  <c r="AN81" i="1" s="1"/>
  <c r="AO80" i="1"/>
  <c r="AN80" i="1"/>
  <c r="AK78" i="1"/>
  <c r="AL78" i="1" s="1"/>
  <c r="AO78" i="1" s="1"/>
  <c r="T78" i="1"/>
  <c r="AK77" i="1"/>
  <c r="AL77" i="1" s="1"/>
  <c r="AO77" i="1" s="1"/>
  <c r="T77" i="1"/>
  <c r="U77" i="1" s="1"/>
  <c r="AN77" i="1" s="1"/>
  <c r="AO76" i="1"/>
  <c r="AN76" i="1"/>
  <c r="AK76" i="1"/>
  <c r="T76" i="1"/>
  <c r="AK75" i="1"/>
  <c r="AL75" i="1" s="1"/>
  <c r="AO75" i="1" s="1"/>
  <c r="T75" i="1"/>
  <c r="U75" i="1" s="1"/>
  <c r="AN75" i="1" s="1"/>
  <c r="AO74" i="1"/>
  <c r="AN74" i="1"/>
  <c r="AK72" i="1"/>
  <c r="AL72" i="1" s="1"/>
  <c r="AO72" i="1" s="1"/>
  <c r="T72" i="1"/>
  <c r="AK71" i="1"/>
  <c r="AL71" i="1" s="1"/>
  <c r="AO71" i="1" s="1"/>
  <c r="T71" i="1"/>
  <c r="U71" i="1" s="1"/>
  <c r="AN71" i="1" s="1"/>
  <c r="AO70" i="1"/>
  <c r="AN70" i="1"/>
  <c r="AK70" i="1"/>
  <c r="T70" i="1"/>
  <c r="AK69" i="1"/>
  <c r="AL69" i="1" s="1"/>
  <c r="AO69" i="1" s="1"/>
  <c r="T69" i="1"/>
  <c r="U69" i="1" s="1"/>
  <c r="AN69" i="1" s="1"/>
  <c r="AO68" i="1"/>
  <c r="AN68" i="1"/>
  <c r="AK66" i="1"/>
  <c r="T66" i="1"/>
  <c r="U66" i="1" s="1"/>
  <c r="AK65" i="1"/>
  <c r="AL65" i="1" s="1"/>
  <c r="AO65" i="1" s="1"/>
  <c r="T65" i="1"/>
  <c r="U65" i="1" s="1"/>
  <c r="AN65" i="1" s="1"/>
  <c r="AO64" i="1"/>
  <c r="AN64" i="1"/>
  <c r="AK64" i="1"/>
  <c r="T64" i="1"/>
  <c r="AK63" i="1"/>
  <c r="AL63" i="1" s="1"/>
  <c r="AO63" i="1" s="1"/>
  <c r="T63" i="1"/>
  <c r="U63" i="1" s="1"/>
  <c r="AN63" i="1" s="1"/>
  <c r="AO62" i="1"/>
  <c r="AN62" i="1"/>
  <c r="AK60" i="1"/>
  <c r="AL60" i="1" s="1"/>
  <c r="AO60" i="1" s="1"/>
  <c r="T60" i="1"/>
  <c r="U60" i="1" s="1"/>
  <c r="AN60" i="1" s="1"/>
  <c r="AK59" i="1"/>
  <c r="AL59" i="1" s="1"/>
  <c r="AO59" i="1" s="1"/>
  <c r="T59" i="1"/>
  <c r="U59" i="1" s="1"/>
  <c r="AN59" i="1" s="1"/>
  <c r="AO58" i="1"/>
  <c r="AN58" i="1"/>
  <c r="AK58" i="1"/>
  <c r="T58" i="1"/>
  <c r="AK57" i="1"/>
  <c r="AL57" i="1" s="1"/>
  <c r="AO57" i="1" s="1"/>
  <c r="T57" i="1"/>
  <c r="U57" i="1" s="1"/>
  <c r="AN57" i="1" s="1"/>
  <c r="AO56" i="1"/>
  <c r="AN56" i="1"/>
  <c r="AK54" i="1"/>
  <c r="T54" i="1"/>
  <c r="AK53" i="1"/>
  <c r="AL53" i="1" s="1"/>
  <c r="AO53" i="1" s="1"/>
  <c r="T53" i="1"/>
  <c r="U53" i="1" s="1"/>
  <c r="AN53" i="1" s="1"/>
  <c r="AO52" i="1"/>
  <c r="AN52" i="1"/>
  <c r="AK52" i="1"/>
  <c r="T52" i="1"/>
  <c r="AK51" i="1"/>
  <c r="AL51" i="1" s="1"/>
  <c r="AO51" i="1" s="1"/>
  <c r="T51" i="1"/>
  <c r="U51" i="1" s="1"/>
  <c r="AN51" i="1" s="1"/>
  <c r="AO50" i="1"/>
  <c r="AN50" i="1"/>
  <c r="AK48" i="1"/>
  <c r="AL48" i="1" s="1"/>
  <c r="AO48" i="1" s="1"/>
  <c r="T48" i="1"/>
  <c r="AK47" i="1"/>
  <c r="AL47" i="1" s="1"/>
  <c r="AO47" i="1" s="1"/>
  <c r="T47" i="1"/>
  <c r="U47" i="1" s="1"/>
  <c r="AN47" i="1" s="1"/>
  <c r="AO46" i="1"/>
  <c r="AN46" i="1"/>
  <c r="AK46" i="1"/>
  <c r="T46" i="1"/>
  <c r="AK45" i="1"/>
  <c r="AL45" i="1" s="1"/>
  <c r="AO45" i="1" s="1"/>
  <c r="T45" i="1"/>
  <c r="U45" i="1" s="1"/>
  <c r="AN45" i="1" s="1"/>
  <c r="AO44" i="1"/>
  <c r="AN44" i="1"/>
  <c r="AK42" i="1"/>
  <c r="AL42" i="1" s="1"/>
  <c r="AO42" i="1" s="1"/>
  <c r="T42" i="1"/>
  <c r="U42" i="1" s="1"/>
  <c r="AN42" i="1" s="1"/>
  <c r="AK41" i="1"/>
  <c r="AL41" i="1" s="1"/>
  <c r="AO41" i="1" s="1"/>
  <c r="T41" i="1"/>
  <c r="U41" i="1" s="1"/>
  <c r="AN41" i="1" s="1"/>
  <c r="AO40" i="1"/>
  <c r="AN40" i="1"/>
  <c r="AK40" i="1"/>
  <c r="T40" i="1"/>
  <c r="AK39" i="1"/>
  <c r="AL39" i="1" s="1"/>
  <c r="AO39" i="1" s="1"/>
  <c r="T39" i="1"/>
  <c r="U39" i="1" s="1"/>
  <c r="AN39" i="1" s="1"/>
  <c r="AO38" i="1"/>
  <c r="AN38" i="1"/>
  <c r="AK36" i="1"/>
  <c r="T36" i="1"/>
  <c r="U36" i="1" s="1"/>
  <c r="AK35" i="1"/>
  <c r="AL35" i="1" s="1"/>
  <c r="AO35" i="1" s="1"/>
  <c r="T35" i="1"/>
  <c r="U35" i="1" s="1"/>
  <c r="AN35" i="1" s="1"/>
  <c r="AO34" i="1"/>
  <c r="AN34" i="1"/>
  <c r="AK34" i="1"/>
  <c r="T34" i="1"/>
  <c r="AK33" i="1"/>
  <c r="AL33" i="1" s="1"/>
  <c r="AO33" i="1" s="1"/>
  <c r="T33" i="1"/>
  <c r="U33" i="1" s="1"/>
  <c r="AN33" i="1" s="1"/>
  <c r="AO32" i="1"/>
  <c r="AN32" i="1"/>
  <c r="AK30" i="1"/>
  <c r="AL30" i="1" s="1"/>
  <c r="AO30" i="1" s="1"/>
  <c r="T30" i="1"/>
  <c r="U30" i="1" s="1"/>
  <c r="AN30" i="1" s="1"/>
  <c r="AK29" i="1"/>
  <c r="AL29" i="1" s="1"/>
  <c r="AO29" i="1" s="1"/>
  <c r="T29" i="1"/>
  <c r="U29" i="1" s="1"/>
  <c r="AN29" i="1" s="1"/>
  <c r="AO28" i="1"/>
  <c r="AN28" i="1"/>
  <c r="AK28" i="1"/>
  <c r="T28" i="1"/>
  <c r="AK27" i="1"/>
  <c r="AL27" i="1" s="1"/>
  <c r="AO27" i="1" s="1"/>
  <c r="T27" i="1"/>
  <c r="U27" i="1" s="1"/>
  <c r="AO26" i="1"/>
  <c r="AN26" i="1"/>
  <c r="AK24" i="1"/>
  <c r="AL24" i="1" s="1"/>
  <c r="AO24" i="1" s="1"/>
  <c r="T24" i="1"/>
  <c r="U24" i="1" s="1"/>
  <c r="AN24" i="1" s="1"/>
  <c r="AK23" i="1"/>
  <c r="AL23" i="1" s="1"/>
  <c r="AO23" i="1" s="1"/>
  <c r="T23" i="1"/>
  <c r="U23" i="1" s="1"/>
  <c r="AN23" i="1" s="1"/>
  <c r="AO22" i="1"/>
  <c r="AN22" i="1"/>
  <c r="AK22" i="1"/>
  <c r="T22" i="1"/>
  <c r="AK21" i="1"/>
  <c r="AL21" i="1" s="1"/>
  <c r="AO21" i="1" s="1"/>
  <c r="T21" i="1"/>
  <c r="U21" i="1" s="1"/>
  <c r="AN21" i="1" s="1"/>
  <c r="AO20" i="1"/>
  <c r="AN20" i="1"/>
  <c r="AK18" i="1"/>
  <c r="T18" i="1"/>
  <c r="U18" i="1" s="1"/>
  <c r="AK17" i="1"/>
  <c r="AL17" i="1" s="1"/>
  <c r="AO17" i="1" s="1"/>
  <c r="T17" i="1"/>
  <c r="U17" i="1" s="1"/>
  <c r="AN17" i="1" s="1"/>
  <c r="AO16" i="1"/>
  <c r="AN16" i="1"/>
  <c r="AK16" i="1"/>
  <c r="T16" i="1"/>
  <c r="AK15" i="1"/>
  <c r="AL15" i="1" s="1"/>
  <c r="AO15" i="1" s="1"/>
  <c r="T15" i="1"/>
  <c r="U15" i="1" s="1"/>
  <c r="AN15" i="1" s="1"/>
  <c r="AO14" i="1"/>
  <c r="AN14" i="1"/>
  <c r="AK12" i="1"/>
  <c r="T12" i="1"/>
  <c r="AK11" i="1"/>
  <c r="AL11" i="1" s="1"/>
  <c r="AO11" i="1" s="1"/>
  <c r="T11" i="1"/>
  <c r="U11" i="1" s="1"/>
  <c r="AN11" i="1" s="1"/>
  <c r="AO10" i="1"/>
  <c r="AN10" i="1"/>
  <c r="AK10" i="1"/>
  <c r="T10" i="1"/>
  <c r="AK9" i="1"/>
  <c r="AL9" i="1" s="1"/>
  <c r="AO9" i="1" s="1"/>
  <c r="T9" i="1"/>
  <c r="U9" i="1" s="1"/>
  <c r="AN9" i="1" s="1"/>
  <c r="AO8" i="1"/>
  <c r="AN8" i="1"/>
  <c r="AK6" i="1"/>
  <c r="T6" i="1"/>
  <c r="AK5" i="1"/>
  <c r="AL5" i="1" s="1"/>
  <c r="AO5" i="1" s="1"/>
  <c r="T5" i="1"/>
  <c r="U5" i="1" s="1"/>
  <c r="AN5" i="1" s="1"/>
  <c r="AO4" i="1"/>
  <c r="AN4" i="1"/>
  <c r="AK4" i="1"/>
  <c r="T4" i="1"/>
  <c r="AK3" i="1"/>
  <c r="AL3" i="1" s="1"/>
  <c r="AO3" i="1" s="1"/>
  <c r="T3" i="1"/>
  <c r="U3" i="1" s="1"/>
  <c r="AO111" i="3"/>
  <c r="AN111" i="3"/>
  <c r="N110" i="3"/>
  <c r="AO106" i="3"/>
  <c r="AN106" i="3"/>
  <c r="AO104" i="3"/>
  <c r="AN104" i="3"/>
  <c r="AK102" i="3"/>
  <c r="T102" i="3"/>
  <c r="U102" i="3" s="1"/>
  <c r="AN102" i="3" s="1"/>
  <c r="AK101" i="3"/>
  <c r="AL101" i="3" s="1"/>
  <c r="AO101" i="3" s="1"/>
  <c r="T101" i="3"/>
  <c r="U101" i="3" s="1"/>
  <c r="AN101" i="3" s="1"/>
  <c r="AO100" i="3"/>
  <c r="AN100" i="3"/>
  <c r="AK100" i="3"/>
  <c r="T100" i="3"/>
  <c r="AK99" i="3"/>
  <c r="AL99" i="3" s="1"/>
  <c r="AO99" i="3" s="1"/>
  <c r="T99" i="3"/>
  <c r="U99" i="3" s="1"/>
  <c r="AN99" i="3" s="1"/>
  <c r="AO98" i="3"/>
  <c r="AN98" i="3"/>
  <c r="AK96" i="3"/>
  <c r="AL96" i="3" s="1"/>
  <c r="AO96" i="3" s="1"/>
  <c r="T96" i="3"/>
  <c r="AK95" i="3"/>
  <c r="AL95" i="3" s="1"/>
  <c r="AO95" i="3" s="1"/>
  <c r="T95" i="3"/>
  <c r="U95" i="3" s="1"/>
  <c r="AN95" i="3" s="1"/>
  <c r="AO94" i="3"/>
  <c r="AN94" i="3"/>
  <c r="AK94" i="3"/>
  <c r="T94" i="3"/>
  <c r="AK93" i="3"/>
  <c r="AL93" i="3" s="1"/>
  <c r="AO93" i="3" s="1"/>
  <c r="T93" i="3"/>
  <c r="U93" i="3" s="1"/>
  <c r="AN93" i="3" s="1"/>
  <c r="AO92" i="3"/>
  <c r="AN92" i="3"/>
  <c r="AK90" i="3"/>
  <c r="T90" i="3"/>
  <c r="AK89" i="3"/>
  <c r="AL89" i="3" s="1"/>
  <c r="AO89" i="3" s="1"/>
  <c r="T89" i="3"/>
  <c r="U89" i="3" s="1"/>
  <c r="AN89" i="3" s="1"/>
  <c r="AO88" i="3"/>
  <c r="AN88" i="3"/>
  <c r="AK88" i="3"/>
  <c r="T88" i="3"/>
  <c r="AK87" i="3"/>
  <c r="AL87" i="3" s="1"/>
  <c r="AO87" i="3" s="1"/>
  <c r="T87" i="3"/>
  <c r="U87" i="3" s="1"/>
  <c r="AN87" i="3" s="1"/>
  <c r="AO86" i="3"/>
  <c r="AN86" i="3"/>
  <c r="AK84" i="3"/>
  <c r="AL84" i="3" s="1"/>
  <c r="AO84" i="3" s="1"/>
  <c r="T84" i="3"/>
  <c r="AK83" i="3"/>
  <c r="AL83" i="3" s="1"/>
  <c r="AO83" i="3" s="1"/>
  <c r="T83" i="3"/>
  <c r="U83" i="3" s="1"/>
  <c r="AN83" i="3" s="1"/>
  <c r="AO82" i="3"/>
  <c r="AN82" i="3"/>
  <c r="AK82" i="3"/>
  <c r="T82" i="3"/>
  <c r="AK81" i="3"/>
  <c r="AL81" i="3" s="1"/>
  <c r="AO81" i="3" s="1"/>
  <c r="T81" i="3"/>
  <c r="U81" i="3" s="1"/>
  <c r="AN81" i="3" s="1"/>
  <c r="AO80" i="3"/>
  <c r="AN80" i="3"/>
  <c r="AK78" i="3"/>
  <c r="T78" i="3"/>
  <c r="U78" i="3" s="1"/>
  <c r="AK77" i="3"/>
  <c r="AL77" i="3" s="1"/>
  <c r="AO77" i="3" s="1"/>
  <c r="T77" i="3"/>
  <c r="U77" i="3" s="1"/>
  <c r="AN77" i="3" s="1"/>
  <c r="AO76" i="3"/>
  <c r="AN76" i="3"/>
  <c r="AK76" i="3"/>
  <c r="T76" i="3"/>
  <c r="AK75" i="3"/>
  <c r="AL75" i="3" s="1"/>
  <c r="AO75" i="3" s="1"/>
  <c r="T75" i="3"/>
  <c r="AO74" i="3"/>
  <c r="AN74" i="3"/>
  <c r="AK72" i="3"/>
  <c r="T72" i="3"/>
  <c r="U72" i="3" s="1"/>
  <c r="AN72" i="3" s="1"/>
  <c r="AK71" i="3"/>
  <c r="AL71" i="3" s="1"/>
  <c r="AO71" i="3" s="1"/>
  <c r="T71" i="3"/>
  <c r="U71" i="3" s="1"/>
  <c r="AN71" i="3" s="1"/>
  <c r="AO70" i="3"/>
  <c r="AN70" i="3"/>
  <c r="AK70" i="3"/>
  <c r="T70" i="3"/>
  <c r="AK69" i="3"/>
  <c r="AL69" i="3" s="1"/>
  <c r="AO69" i="3" s="1"/>
  <c r="T69" i="3"/>
  <c r="U69" i="3" s="1"/>
  <c r="AO68" i="3"/>
  <c r="AN68" i="3"/>
  <c r="AK66" i="3"/>
  <c r="AL66" i="3" s="1"/>
  <c r="AO66" i="3" s="1"/>
  <c r="T66" i="3"/>
  <c r="AK65" i="3"/>
  <c r="AL65" i="3" s="1"/>
  <c r="AO65" i="3" s="1"/>
  <c r="T65" i="3"/>
  <c r="U65" i="3" s="1"/>
  <c r="AN65" i="3" s="1"/>
  <c r="AO64" i="3"/>
  <c r="AN64" i="3"/>
  <c r="AK64" i="3"/>
  <c r="T64" i="3"/>
  <c r="AK63" i="3"/>
  <c r="AL63" i="3" s="1"/>
  <c r="AO63" i="3" s="1"/>
  <c r="T63" i="3"/>
  <c r="U63" i="3" s="1"/>
  <c r="AN63" i="3" s="1"/>
  <c r="AO62" i="3"/>
  <c r="AN62" i="3"/>
  <c r="AK60" i="3"/>
  <c r="AL60" i="3" s="1"/>
  <c r="AO60" i="3" s="1"/>
  <c r="T60" i="3"/>
  <c r="U60" i="3" s="1"/>
  <c r="AN60" i="3" s="1"/>
  <c r="AK59" i="3"/>
  <c r="AL59" i="3" s="1"/>
  <c r="AO59" i="3" s="1"/>
  <c r="T59" i="3"/>
  <c r="U59" i="3" s="1"/>
  <c r="AN59" i="3" s="1"/>
  <c r="AO58" i="3"/>
  <c r="AN58" i="3"/>
  <c r="AK58" i="3"/>
  <c r="T58" i="3"/>
  <c r="AK57" i="3"/>
  <c r="AL57" i="3" s="1"/>
  <c r="AO57" i="3" s="1"/>
  <c r="T57" i="3"/>
  <c r="U57" i="3" s="1"/>
  <c r="AN57" i="3" s="1"/>
  <c r="AO56" i="3"/>
  <c r="AN56" i="3"/>
  <c r="AK54" i="3"/>
  <c r="AL54" i="3" s="1"/>
  <c r="AO54" i="3" s="1"/>
  <c r="T54" i="3"/>
  <c r="U54" i="3" s="1"/>
  <c r="AK53" i="3"/>
  <c r="AL53" i="3" s="1"/>
  <c r="AO53" i="3" s="1"/>
  <c r="T53" i="3"/>
  <c r="U53" i="3" s="1"/>
  <c r="AN53" i="3" s="1"/>
  <c r="AO52" i="3"/>
  <c r="AN52" i="3"/>
  <c r="AK52" i="3"/>
  <c r="T52" i="3"/>
  <c r="AK51" i="3"/>
  <c r="AL51" i="3" s="1"/>
  <c r="AO51" i="3" s="1"/>
  <c r="T51" i="3"/>
  <c r="U51" i="3" s="1"/>
  <c r="AN51" i="3" s="1"/>
  <c r="AO50" i="3"/>
  <c r="AN50" i="3"/>
  <c r="AK48" i="3"/>
  <c r="T48" i="3"/>
  <c r="AK47" i="3"/>
  <c r="AL47" i="3" s="1"/>
  <c r="AO47" i="3" s="1"/>
  <c r="T47" i="3"/>
  <c r="U47" i="3" s="1"/>
  <c r="AN47" i="3" s="1"/>
  <c r="AO46" i="3"/>
  <c r="AN46" i="3"/>
  <c r="AK46" i="3"/>
  <c r="T46" i="3"/>
  <c r="AK45" i="3"/>
  <c r="AL45" i="3" s="1"/>
  <c r="AO45" i="3" s="1"/>
  <c r="T45" i="3"/>
  <c r="U45" i="3" s="1"/>
  <c r="AO44" i="3"/>
  <c r="AN44" i="3"/>
  <c r="AO42" i="3"/>
  <c r="AK42" i="3"/>
  <c r="AL42" i="3" s="1"/>
  <c r="T42" i="3"/>
  <c r="U42" i="3" s="1"/>
  <c r="AK41" i="3"/>
  <c r="AL41" i="3" s="1"/>
  <c r="AO41" i="3" s="1"/>
  <c r="T41" i="3"/>
  <c r="U41" i="3" s="1"/>
  <c r="AN41" i="3" s="1"/>
  <c r="AO40" i="3"/>
  <c r="AN40" i="3"/>
  <c r="AK40" i="3"/>
  <c r="T40" i="3"/>
  <c r="AK39" i="3"/>
  <c r="AL39" i="3" s="1"/>
  <c r="AO39" i="3" s="1"/>
  <c r="T39" i="3"/>
  <c r="U39" i="3" s="1"/>
  <c r="AN39" i="3" s="1"/>
  <c r="AO38" i="3"/>
  <c r="AN38" i="3"/>
  <c r="AK36" i="3"/>
  <c r="AL36" i="3" s="1"/>
  <c r="AO36" i="3" s="1"/>
  <c r="T36" i="3"/>
  <c r="U36" i="3" s="1"/>
  <c r="AN36" i="3" s="1"/>
  <c r="AK35" i="3"/>
  <c r="AL35" i="3" s="1"/>
  <c r="AO35" i="3" s="1"/>
  <c r="T35" i="3"/>
  <c r="U35" i="3" s="1"/>
  <c r="AN35" i="3" s="1"/>
  <c r="AO34" i="3"/>
  <c r="AN34" i="3"/>
  <c r="AK34" i="3"/>
  <c r="T34" i="3"/>
  <c r="AK33" i="3"/>
  <c r="AL33" i="3" s="1"/>
  <c r="AO33" i="3" s="1"/>
  <c r="T33" i="3"/>
  <c r="U33" i="3" s="1"/>
  <c r="AN33" i="3" s="1"/>
  <c r="AO32" i="3"/>
  <c r="AN32" i="3"/>
  <c r="AK30" i="3"/>
  <c r="AL30" i="3" s="1"/>
  <c r="AO30" i="3" s="1"/>
  <c r="T30" i="3"/>
  <c r="AK29" i="3"/>
  <c r="AL29" i="3" s="1"/>
  <c r="AO29" i="3" s="1"/>
  <c r="T29" i="3"/>
  <c r="U29" i="3" s="1"/>
  <c r="AN29" i="3" s="1"/>
  <c r="AO28" i="3"/>
  <c r="AN28" i="3"/>
  <c r="AK28" i="3"/>
  <c r="T28" i="3"/>
  <c r="AK27" i="3"/>
  <c r="T27" i="3"/>
  <c r="U27" i="3" s="1"/>
  <c r="AN27" i="3" s="1"/>
  <c r="AO26" i="3"/>
  <c r="AN26" i="3"/>
  <c r="AK24" i="3"/>
  <c r="AL24" i="3" s="1"/>
  <c r="AO24" i="3" s="1"/>
  <c r="T24" i="3"/>
  <c r="U24" i="3" s="1"/>
  <c r="AN24" i="3" s="1"/>
  <c r="AK23" i="3"/>
  <c r="AL23" i="3" s="1"/>
  <c r="AO23" i="3" s="1"/>
  <c r="T23" i="3"/>
  <c r="U23" i="3" s="1"/>
  <c r="AN23" i="3" s="1"/>
  <c r="AO22" i="3"/>
  <c r="AN22" i="3"/>
  <c r="AK22" i="3"/>
  <c r="T22" i="3"/>
  <c r="AK21" i="3"/>
  <c r="AL21" i="3" s="1"/>
  <c r="AO21" i="3" s="1"/>
  <c r="T21" i="3"/>
  <c r="U21" i="3" s="1"/>
  <c r="AN21" i="3" s="1"/>
  <c r="AO20" i="3"/>
  <c r="AN20" i="3"/>
  <c r="AK18" i="3"/>
  <c r="AL18" i="3" s="1"/>
  <c r="AO18" i="3" s="1"/>
  <c r="T18" i="3"/>
  <c r="U18" i="3" s="1"/>
  <c r="AK17" i="3"/>
  <c r="AL17" i="3" s="1"/>
  <c r="AO17" i="3" s="1"/>
  <c r="T17" i="3"/>
  <c r="U17" i="3" s="1"/>
  <c r="AN17" i="3" s="1"/>
  <c r="AO16" i="3"/>
  <c r="AN16" i="3"/>
  <c r="AK16" i="3"/>
  <c r="T16" i="3"/>
  <c r="AK15" i="3"/>
  <c r="AL15" i="3" s="1"/>
  <c r="AO15" i="3" s="1"/>
  <c r="T15" i="3"/>
  <c r="U15" i="3" s="1"/>
  <c r="AN15" i="3" s="1"/>
  <c r="AO14" i="3"/>
  <c r="AN14" i="3"/>
  <c r="AN12" i="3"/>
  <c r="AK12" i="3"/>
  <c r="T12" i="3"/>
  <c r="U12" i="3" s="1"/>
  <c r="AK11" i="3"/>
  <c r="AL11" i="3" s="1"/>
  <c r="AO11" i="3" s="1"/>
  <c r="T11" i="3"/>
  <c r="U11" i="3" s="1"/>
  <c r="AN11" i="3" s="1"/>
  <c r="AO10" i="3"/>
  <c r="AN10" i="3"/>
  <c r="AK10" i="3"/>
  <c r="T10" i="3"/>
  <c r="AK9" i="3"/>
  <c r="AL9" i="3" s="1"/>
  <c r="AO9" i="3" s="1"/>
  <c r="T9" i="3"/>
  <c r="U9" i="3" s="1"/>
  <c r="AN9" i="3" s="1"/>
  <c r="AO8" i="3"/>
  <c r="AN8" i="3"/>
  <c r="AK6" i="3"/>
  <c r="AL6" i="3" s="1"/>
  <c r="AO6" i="3" s="1"/>
  <c r="T6" i="3"/>
  <c r="U6" i="3" s="1"/>
  <c r="AK5" i="3"/>
  <c r="AL5" i="3" s="1"/>
  <c r="AO5" i="3" s="1"/>
  <c r="T5" i="3"/>
  <c r="U5" i="3" s="1"/>
  <c r="AN5" i="3" s="1"/>
  <c r="AO4" i="3"/>
  <c r="AN4" i="3"/>
  <c r="AK4" i="3"/>
  <c r="T4" i="3"/>
  <c r="AK3" i="3"/>
  <c r="AL3" i="3" s="1"/>
  <c r="AO3" i="3" s="1"/>
  <c r="T3" i="3"/>
  <c r="U3" i="3" s="1"/>
  <c r="AN3" i="3" s="1"/>
  <c r="N105" i="3" l="1"/>
  <c r="AE106" i="3"/>
  <c r="Z110" i="3"/>
  <c r="Z106" i="3"/>
  <c r="T110" i="3"/>
  <c r="N107" i="3"/>
  <c r="N106" i="3"/>
  <c r="AA113" i="3"/>
  <c r="T105" i="3"/>
  <c r="I153" i="1"/>
  <c r="K161" i="1"/>
  <c r="T158" i="1"/>
  <c r="AK153" i="1"/>
  <c r="AG156" i="1"/>
  <c r="AE158" i="1"/>
  <c r="AL158" i="1" s="1"/>
  <c r="Z158" i="1"/>
  <c r="Z153" i="1"/>
  <c r="AL153" i="1" s="1"/>
  <c r="AI161" i="1"/>
  <c r="T154" i="1"/>
  <c r="Z154" i="1"/>
  <c r="N154" i="1"/>
  <c r="I154" i="1"/>
  <c r="AK67" i="1"/>
  <c r="P161" i="1"/>
  <c r="AA161" i="1"/>
  <c r="Q156" i="1"/>
  <c r="AB156" i="1"/>
  <c r="AK145" i="1"/>
  <c r="T121" i="1"/>
  <c r="AL66" i="1"/>
  <c r="AO66" i="1" s="1"/>
  <c r="O156" i="1"/>
  <c r="AK7" i="1"/>
  <c r="T55" i="1"/>
  <c r="AK79" i="1"/>
  <c r="F156" i="1"/>
  <c r="X161" i="1"/>
  <c r="AH161" i="1"/>
  <c r="AK127" i="1"/>
  <c r="AF161" i="1"/>
  <c r="AK37" i="1"/>
  <c r="T43" i="1"/>
  <c r="AL43" i="1" s="1"/>
  <c r="AO43" i="1" s="1"/>
  <c r="L156" i="1"/>
  <c r="W156" i="1"/>
  <c r="O161" i="1"/>
  <c r="N153" i="1"/>
  <c r="U153" i="1" s="1"/>
  <c r="AK19" i="1"/>
  <c r="X156" i="1"/>
  <c r="AH156" i="1"/>
  <c r="W161" i="1"/>
  <c r="AJ161" i="1"/>
  <c r="T85" i="1"/>
  <c r="AK91" i="1"/>
  <c r="AL126" i="1"/>
  <c r="AO126" i="1" s="1"/>
  <c r="T13" i="1"/>
  <c r="AL18" i="1"/>
  <c r="AO18" i="1" s="1"/>
  <c r="T133" i="1"/>
  <c r="Q161" i="1"/>
  <c r="AK160" i="1"/>
  <c r="U12" i="1"/>
  <c r="AN12" i="1" s="1"/>
  <c r="U147" i="1"/>
  <c r="AN147" i="1" s="1"/>
  <c r="H161" i="1"/>
  <c r="R161" i="1"/>
  <c r="U139" i="1"/>
  <c r="AN139" i="1" s="1"/>
  <c r="AN135" i="1"/>
  <c r="T37" i="1"/>
  <c r="U120" i="1"/>
  <c r="AN120" i="1" s="1"/>
  <c r="T127" i="1"/>
  <c r="AN150" i="1"/>
  <c r="Y156" i="1"/>
  <c r="G161" i="1"/>
  <c r="J161" i="1"/>
  <c r="AC161" i="1"/>
  <c r="T31" i="1"/>
  <c r="AL31" i="1" s="1"/>
  <c r="AO31" i="1" s="1"/>
  <c r="T139" i="1"/>
  <c r="AL139" i="1" s="1"/>
  <c r="AO139" i="1" s="1"/>
  <c r="P156" i="1"/>
  <c r="AJ156" i="1"/>
  <c r="T160" i="1"/>
  <c r="AD161" i="1"/>
  <c r="U85" i="1"/>
  <c r="AN85" i="1" s="1"/>
  <c r="T109" i="1"/>
  <c r="AL109" i="1" s="1"/>
  <c r="AO109" i="1" s="1"/>
  <c r="M156" i="1"/>
  <c r="T7" i="1"/>
  <c r="AK13" i="1"/>
  <c r="U6" i="1"/>
  <c r="AL12" i="1"/>
  <c r="AO12" i="1" s="1"/>
  <c r="AL36" i="1"/>
  <c r="AO36" i="1" s="1"/>
  <c r="T49" i="1"/>
  <c r="AL49" i="1" s="1"/>
  <c r="AO49" i="1" s="1"/>
  <c r="U54" i="1"/>
  <c r="U55" i="1" s="1"/>
  <c r="AN55" i="1" s="1"/>
  <c r="T91" i="1"/>
  <c r="AL91" i="1" s="1"/>
  <c r="AO91" i="1" s="1"/>
  <c r="U109" i="1"/>
  <c r="AN109" i="1" s="1"/>
  <c r="H156" i="1"/>
  <c r="R156" i="1"/>
  <c r="AE159" i="1"/>
  <c r="Z160" i="1"/>
  <c r="AG161" i="1"/>
  <c r="AD156" i="1"/>
  <c r="S156" i="1"/>
  <c r="AL6" i="1"/>
  <c r="AO6" i="1" s="1"/>
  <c r="T25" i="1"/>
  <c r="AL25" i="1" s="1"/>
  <c r="AO25" i="1" s="1"/>
  <c r="T61" i="1"/>
  <c r="AL61" i="1" s="1"/>
  <c r="AO61" i="1" s="1"/>
  <c r="AK97" i="1"/>
  <c r="AL105" i="1"/>
  <c r="AO105" i="1" s="1"/>
  <c r="U132" i="1"/>
  <c r="AN132" i="1" s="1"/>
  <c r="K156" i="1"/>
  <c r="AF156" i="1"/>
  <c r="F161" i="1"/>
  <c r="Y161" i="1"/>
  <c r="G113" i="3"/>
  <c r="AJ108" i="3"/>
  <c r="AD108" i="3"/>
  <c r="T91" i="3"/>
  <c r="AK13" i="3"/>
  <c r="U90" i="3"/>
  <c r="AN90" i="3" s="1"/>
  <c r="W113" i="3"/>
  <c r="U13" i="3"/>
  <c r="AN13" i="3" s="1"/>
  <c r="AI113" i="3"/>
  <c r="AK31" i="3"/>
  <c r="T31" i="3"/>
  <c r="AK49" i="3"/>
  <c r="I106" i="3"/>
  <c r="AK106" i="3"/>
  <c r="AB108" i="3"/>
  <c r="AE111" i="3"/>
  <c r="K113" i="3"/>
  <c r="AK73" i="3"/>
  <c r="AC108" i="3"/>
  <c r="O113" i="3"/>
  <c r="AG108" i="3"/>
  <c r="T67" i="3"/>
  <c r="AL67" i="3" s="1"/>
  <c r="AO67" i="3" s="1"/>
  <c r="L108" i="3"/>
  <c r="AH113" i="3"/>
  <c r="Y108" i="3"/>
  <c r="R113" i="3"/>
  <c r="AC113" i="3"/>
  <c r="T7" i="3"/>
  <c r="AL7" i="3" s="1"/>
  <c r="AO7" i="3" s="1"/>
  <c r="AL12" i="3"/>
  <c r="AO12" i="3" s="1"/>
  <c r="T37" i="3"/>
  <c r="AL37" i="3" s="1"/>
  <c r="AO37" i="3" s="1"/>
  <c r="AK97" i="3"/>
  <c r="X108" i="3"/>
  <c r="AH108" i="3"/>
  <c r="T112" i="3"/>
  <c r="U112" i="3" s="1"/>
  <c r="AN112" i="3" s="1"/>
  <c r="AD113" i="3"/>
  <c r="AK7" i="3"/>
  <c r="AK37" i="3"/>
  <c r="AE105" i="3"/>
  <c r="O108" i="3"/>
  <c r="AI108" i="3"/>
  <c r="AF113" i="3"/>
  <c r="G108" i="3"/>
  <c r="P108" i="3"/>
  <c r="E113" i="3"/>
  <c r="E114" i="3" s="1"/>
  <c r="M113" i="3"/>
  <c r="AG113" i="3"/>
  <c r="U30" i="3"/>
  <c r="AN30" i="3" s="1"/>
  <c r="T106" i="3"/>
  <c r="H108" i="3"/>
  <c r="N111" i="3"/>
  <c r="X113" i="3"/>
  <c r="U37" i="3"/>
  <c r="AN37" i="3" s="1"/>
  <c r="AK105" i="3"/>
  <c r="J108" i="3"/>
  <c r="R108" i="3"/>
  <c r="I110" i="3"/>
  <c r="P113" i="3"/>
  <c r="T49" i="3"/>
  <c r="AK79" i="3"/>
  <c r="T103" i="3"/>
  <c r="Z105" i="3"/>
  <c r="S108" i="3"/>
  <c r="AE110" i="3"/>
  <c r="H113" i="3"/>
  <c r="U48" i="3"/>
  <c r="AN48" i="3" s="1"/>
  <c r="AF108" i="3"/>
  <c r="I112" i="3"/>
  <c r="U31" i="1"/>
  <c r="AN31" i="1" s="1"/>
  <c r="AN27" i="1"/>
  <c r="U19" i="1"/>
  <c r="AN19" i="1" s="1"/>
  <c r="AN18" i="1"/>
  <c r="U127" i="1"/>
  <c r="AN127" i="1" s="1"/>
  <c r="AN126" i="1"/>
  <c r="AK133" i="1"/>
  <c r="AK49" i="1"/>
  <c r="U61" i="1"/>
  <c r="AN61" i="1" s="1"/>
  <c r="AL133" i="1"/>
  <c r="AO133" i="1" s="1"/>
  <c r="U145" i="1"/>
  <c r="AN145" i="1" s="1"/>
  <c r="AK154" i="1"/>
  <c r="T155" i="1"/>
  <c r="U155" i="1" s="1"/>
  <c r="AN155" i="1" s="1"/>
  <c r="AI156" i="1"/>
  <c r="AB161" i="1"/>
  <c r="AE160" i="1"/>
  <c r="U25" i="1"/>
  <c r="AN25" i="1" s="1"/>
  <c r="AK31" i="1"/>
  <c r="T67" i="1"/>
  <c r="AK121" i="1"/>
  <c r="AA156" i="1"/>
  <c r="AE155" i="1"/>
  <c r="U72" i="1"/>
  <c r="T73" i="1"/>
  <c r="AL73" i="1" s="1"/>
  <c r="AO73" i="1" s="1"/>
  <c r="T19" i="1"/>
  <c r="AL19" i="1" s="1"/>
  <c r="AO19" i="1" s="1"/>
  <c r="AK25" i="1"/>
  <c r="U67" i="1"/>
  <c r="AN67" i="1" s="1"/>
  <c r="AN66" i="1"/>
  <c r="AK73" i="1"/>
  <c r="AO120" i="1"/>
  <c r="AL121" i="1"/>
  <c r="AO121" i="1" s="1"/>
  <c r="G156" i="1"/>
  <c r="I155" i="1"/>
  <c r="U37" i="1"/>
  <c r="AN37" i="1" s="1"/>
  <c r="T79" i="1"/>
  <c r="AL79" i="1" s="1"/>
  <c r="AO79" i="1" s="1"/>
  <c r="U96" i="1"/>
  <c r="T97" i="1"/>
  <c r="T103" i="1"/>
  <c r="AL114" i="1"/>
  <c r="AO114" i="1" s="1"/>
  <c r="AK115" i="1"/>
  <c r="V161" i="1"/>
  <c r="U48" i="1"/>
  <c r="AK55" i="1"/>
  <c r="U78" i="1"/>
  <c r="AK85" i="1"/>
  <c r="AL84" i="1"/>
  <c r="U102" i="1"/>
  <c r="AE154" i="1"/>
  <c r="N155" i="1"/>
  <c r="J156" i="1"/>
  <c r="I158" i="1"/>
  <c r="M161" i="1"/>
  <c r="U160" i="1"/>
  <c r="AN160" i="1" s="1"/>
  <c r="U43" i="1"/>
  <c r="AN43" i="1" s="1"/>
  <c r="AL54" i="1"/>
  <c r="AO54" i="1" s="1"/>
  <c r="AL96" i="1"/>
  <c r="AO96" i="1" s="1"/>
  <c r="AL102" i="1"/>
  <c r="AO102" i="1" s="1"/>
  <c r="AK103" i="1"/>
  <c r="AN117" i="1"/>
  <c r="V156" i="1"/>
  <c r="Z155" i="1"/>
  <c r="AN36" i="1"/>
  <c r="AK43" i="1"/>
  <c r="AK151" i="1"/>
  <c r="AL150" i="1"/>
  <c r="AO150" i="1" s="1"/>
  <c r="T115" i="1"/>
  <c r="AK61" i="1"/>
  <c r="U90" i="1"/>
  <c r="U114" i="1"/>
  <c r="AK139" i="1"/>
  <c r="N159" i="1"/>
  <c r="L161" i="1"/>
  <c r="N158" i="1"/>
  <c r="E161" i="1"/>
  <c r="E162" i="1" s="1"/>
  <c r="I160" i="1"/>
  <c r="T145" i="1"/>
  <c r="AL145" i="1" s="1"/>
  <c r="AO145" i="1" s="1"/>
  <c r="N160" i="1"/>
  <c r="AK155" i="1"/>
  <c r="AN45" i="3"/>
  <c r="AN18" i="3"/>
  <c r="U19" i="3"/>
  <c r="AN19" i="3" s="1"/>
  <c r="U43" i="3"/>
  <c r="AN43" i="3" s="1"/>
  <c r="AN42" i="3"/>
  <c r="U73" i="3"/>
  <c r="AN73" i="3" s="1"/>
  <c r="AN69" i="3"/>
  <c r="U7" i="3"/>
  <c r="AN7" i="3" s="1"/>
  <c r="AN6" i="3"/>
  <c r="U25" i="3"/>
  <c r="AN25" i="3" s="1"/>
  <c r="AL48" i="3"/>
  <c r="AO48" i="3" s="1"/>
  <c r="AK103" i="3"/>
  <c r="AL102" i="3"/>
  <c r="AO102" i="3" s="1"/>
  <c r="T19" i="3"/>
  <c r="AL19" i="3" s="1"/>
  <c r="AO19" i="3" s="1"/>
  <c r="AK25" i="3"/>
  <c r="AL27" i="3"/>
  <c r="AO27" i="3" s="1"/>
  <c r="T55" i="3"/>
  <c r="AL55" i="3" s="1"/>
  <c r="AO55" i="3" s="1"/>
  <c r="U61" i="3"/>
  <c r="AN61" i="3" s="1"/>
  <c r="AN78" i="3"/>
  <c r="AK55" i="3"/>
  <c r="AK61" i="3"/>
  <c r="U103" i="3"/>
  <c r="AN103" i="3" s="1"/>
  <c r="F108" i="3"/>
  <c r="I107" i="3"/>
  <c r="T25" i="3"/>
  <c r="AL25" i="3" s="1"/>
  <c r="AO25" i="3" s="1"/>
  <c r="AK67" i="3"/>
  <c r="AK19" i="3"/>
  <c r="T43" i="3"/>
  <c r="AL43" i="3" s="1"/>
  <c r="AO43" i="3" s="1"/>
  <c r="U66" i="3"/>
  <c r="AL72" i="3"/>
  <c r="AO72" i="3" s="1"/>
  <c r="AL78" i="3"/>
  <c r="AO78" i="3" s="1"/>
  <c r="T85" i="3"/>
  <c r="AL85" i="3" s="1"/>
  <c r="AO85" i="3" s="1"/>
  <c r="U84" i="3"/>
  <c r="T73" i="3"/>
  <c r="U55" i="3"/>
  <c r="AN55" i="3" s="1"/>
  <c r="AN54" i="3"/>
  <c r="T79" i="3"/>
  <c r="U75" i="3"/>
  <c r="AN75" i="3" s="1"/>
  <c r="I105" i="3"/>
  <c r="K108" i="3"/>
  <c r="AK85" i="3"/>
  <c r="AA108" i="3"/>
  <c r="AE107" i="3"/>
  <c r="AB113" i="3"/>
  <c r="AE112" i="3"/>
  <c r="Z107" i="3"/>
  <c r="V108" i="3"/>
  <c r="Q108" i="3"/>
  <c r="AK110" i="3"/>
  <c r="AK91" i="3"/>
  <c r="AL90" i="3"/>
  <c r="T13" i="3"/>
  <c r="AL13" i="3" s="1"/>
  <c r="AO13" i="3" s="1"/>
  <c r="AK43" i="3"/>
  <c r="T61" i="3"/>
  <c r="AL61" i="3" s="1"/>
  <c r="AO61" i="3" s="1"/>
  <c r="T97" i="3"/>
  <c r="AL97" i="3" s="1"/>
  <c r="AO97" i="3" s="1"/>
  <c r="U96" i="3"/>
  <c r="L113" i="3"/>
  <c r="N112" i="3"/>
  <c r="V113" i="3"/>
  <c r="W108" i="3"/>
  <c r="F113" i="3"/>
  <c r="Y113" i="3"/>
  <c r="Q113" i="3"/>
  <c r="AJ113" i="3"/>
  <c r="AK112" i="3"/>
  <c r="T107" i="3"/>
  <c r="U107" i="3" s="1"/>
  <c r="AN107" i="3" s="1"/>
  <c r="Z112" i="3"/>
  <c r="AK107" i="3"/>
  <c r="U105" i="3" l="1"/>
  <c r="AN54" i="1"/>
  <c r="T161" i="1"/>
  <c r="N161" i="1"/>
  <c r="AE113" i="3"/>
  <c r="AE108" i="3"/>
  <c r="N113" i="3"/>
  <c r="U110" i="3"/>
  <c r="AN110" i="3" s="1"/>
  <c r="Z156" i="1"/>
  <c r="AE161" i="1"/>
  <c r="AK161" i="1"/>
  <c r="Z161" i="1"/>
  <c r="AE156" i="1"/>
  <c r="T156" i="1"/>
  <c r="N156" i="1"/>
  <c r="U13" i="1"/>
  <c r="AN13" i="1" s="1"/>
  <c r="F157" i="1"/>
  <c r="G157" i="1" s="1"/>
  <c r="H157" i="1" s="1"/>
  <c r="U151" i="1"/>
  <c r="AN151" i="1" s="1"/>
  <c r="AL67" i="1"/>
  <c r="AO67" i="1" s="1"/>
  <c r="AO158" i="1"/>
  <c r="AL115" i="1"/>
  <c r="AO115" i="1" s="1"/>
  <c r="I156" i="1"/>
  <c r="I157" i="1" s="1"/>
  <c r="J157" i="1" s="1"/>
  <c r="K157" i="1" s="1"/>
  <c r="L157" i="1" s="1"/>
  <c r="M157" i="1" s="1"/>
  <c r="AL160" i="1"/>
  <c r="AO160" i="1" s="1"/>
  <c r="U121" i="1"/>
  <c r="AN121" i="1" s="1"/>
  <c r="U133" i="1"/>
  <c r="AN133" i="1" s="1"/>
  <c r="AL97" i="1"/>
  <c r="AO97" i="1" s="1"/>
  <c r="AL7" i="1"/>
  <c r="AO7" i="1" s="1"/>
  <c r="AL127" i="1"/>
  <c r="AO127" i="1" s="1"/>
  <c r="U158" i="1"/>
  <c r="AN158" i="1" s="1"/>
  <c r="AK156" i="1"/>
  <c r="AL37" i="1"/>
  <c r="AO37" i="1" s="1"/>
  <c r="AN6" i="1"/>
  <c r="U7" i="1"/>
  <c r="AN7" i="1" s="1"/>
  <c r="AL151" i="1"/>
  <c r="AO151" i="1" s="1"/>
  <c r="AL13" i="1"/>
  <c r="AO13" i="1" s="1"/>
  <c r="Z113" i="3"/>
  <c r="AK108" i="3"/>
  <c r="U31" i="3"/>
  <c r="AN31" i="3" s="1"/>
  <c r="AL110" i="3"/>
  <c r="AO110" i="3" s="1"/>
  <c r="AL49" i="3"/>
  <c r="AO49" i="3" s="1"/>
  <c r="I108" i="3"/>
  <c r="I109" i="3" s="1"/>
  <c r="J109" i="3" s="1"/>
  <c r="K109" i="3" s="1"/>
  <c r="L109" i="3" s="1"/>
  <c r="M109" i="3" s="1"/>
  <c r="U91" i="3"/>
  <c r="AN91" i="3" s="1"/>
  <c r="T113" i="3"/>
  <c r="AL107" i="3"/>
  <c r="AO107" i="3" s="1"/>
  <c r="AL79" i="3"/>
  <c r="AO79" i="3" s="1"/>
  <c r="AK113" i="3"/>
  <c r="N108" i="3"/>
  <c r="I113" i="3"/>
  <c r="I114" i="3" s="1"/>
  <c r="U49" i="3"/>
  <c r="AN49" i="3" s="1"/>
  <c r="AL112" i="3"/>
  <c r="AO112" i="3" s="1"/>
  <c r="F114" i="3"/>
  <c r="G114" i="3" s="1"/>
  <c r="H114" i="3" s="1"/>
  <c r="AL105" i="3"/>
  <c r="T108" i="3"/>
  <c r="AL73" i="3"/>
  <c r="AO73" i="3" s="1"/>
  <c r="AL31" i="3"/>
  <c r="AO31" i="3" s="1"/>
  <c r="AN96" i="1"/>
  <c r="U97" i="1"/>
  <c r="AN97" i="1" s="1"/>
  <c r="AN102" i="1"/>
  <c r="U103" i="1"/>
  <c r="AN103" i="1" s="1"/>
  <c r="AN72" i="1"/>
  <c r="U73" i="1"/>
  <c r="AN73" i="1" s="1"/>
  <c r="U115" i="1"/>
  <c r="AN115" i="1" s="1"/>
  <c r="AN114" i="1"/>
  <c r="U79" i="1"/>
  <c r="AN79" i="1" s="1"/>
  <c r="AN78" i="1"/>
  <c r="AO84" i="1"/>
  <c r="AL85" i="1"/>
  <c r="AO85" i="1" s="1"/>
  <c r="U91" i="1"/>
  <c r="AN91" i="1" s="1"/>
  <c r="AN90" i="1"/>
  <c r="F162" i="1"/>
  <c r="G162" i="1" s="1"/>
  <c r="H162" i="1" s="1"/>
  <c r="I161" i="1"/>
  <c r="I162" i="1" s="1"/>
  <c r="AL155" i="1"/>
  <c r="AO155" i="1" s="1"/>
  <c r="AN48" i="1"/>
  <c r="U49" i="1"/>
  <c r="AN49" i="1" s="1"/>
  <c r="AL103" i="1"/>
  <c r="AO103" i="1" s="1"/>
  <c r="AL55" i="1"/>
  <c r="AO55" i="1" s="1"/>
  <c r="AL103" i="3"/>
  <c r="AO103" i="3" s="1"/>
  <c r="F109" i="3"/>
  <c r="G109" i="3" s="1"/>
  <c r="H109" i="3" s="1"/>
  <c r="U85" i="3"/>
  <c r="AN85" i="3" s="1"/>
  <c r="AN84" i="3"/>
  <c r="U97" i="3"/>
  <c r="AN97" i="3" s="1"/>
  <c r="AN96" i="3"/>
  <c r="Z108" i="3"/>
  <c r="U79" i="3"/>
  <c r="AN79" i="3" s="1"/>
  <c r="AL91" i="3"/>
  <c r="AO91" i="3" s="1"/>
  <c r="AO90" i="3"/>
  <c r="AN66" i="3"/>
  <c r="U67" i="3"/>
  <c r="AN67" i="3" s="1"/>
  <c r="AN105" i="3" l="1"/>
  <c r="AO105" i="3"/>
  <c r="AO153" i="1"/>
  <c r="AL161" i="1"/>
  <c r="AO161" i="1" s="1"/>
  <c r="AN153" i="1"/>
  <c r="AL108" i="3"/>
  <c r="AO108" i="3" s="1"/>
  <c r="AL113" i="3"/>
  <c r="AO113" i="3" s="1"/>
  <c r="AL156" i="1"/>
  <c r="AO156" i="1" s="1"/>
  <c r="N157" i="1"/>
  <c r="O157" i="1" s="1"/>
  <c r="P157" i="1" s="1"/>
  <c r="Q157" i="1" s="1"/>
  <c r="R157" i="1" s="1"/>
  <c r="S157" i="1" s="1"/>
  <c r="U156" i="1"/>
  <c r="U113" i="3"/>
  <c r="AN113" i="3" s="1"/>
  <c r="N114" i="3"/>
  <c r="O114" i="3" s="1"/>
  <c r="P114" i="3" s="1"/>
  <c r="Q114" i="3" s="1"/>
  <c r="R114" i="3" s="1"/>
  <c r="S114" i="3" s="1"/>
  <c r="J114" i="3"/>
  <c r="K114" i="3" s="1"/>
  <c r="L114" i="3" s="1"/>
  <c r="M114" i="3" s="1"/>
  <c r="N109" i="3"/>
  <c r="O109" i="3" s="1"/>
  <c r="P109" i="3" s="1"/>
  <c r="Q109" i="3" s="1"/>
  <c r="R109" i="3" s="1"/>
  <c r="S109" i="3" s="1"/>
  <c r="U108" i="3"/>
  <c r="N162" i="1"/>
  <c r="J162" i="1"/>
  <c r="K162" i="1" s="1"/>
  <c r="L162" i="1" s="1"/>
  <c r="M162" i="1" s="1"/>
  <c r="U161" i="1"/>
  <c r="T157" i="1" l="1"/>
  <c r="Z157" i="1" s="1"/>
  <c r="U157" i="1"/>
  <c r="AN156" i="1"/>
  <c r="T114" i="3"/>
  <c r="AL114" i="3" s="1"/>
  <c r="AO114" i="3" s="1"/>
  <c r="U114" i="3"/>
  <c r="AN114" i="3" s="1"/>
  <c r="T109" i="3"/>
  <c r="Z109" i="3" s="1"/>
  <c r="AN108" i="3"/>
  <c r="U109" i="3"/>
  <c r="U162" i="1"/>
  <c r="AN161" i="1"/>
  <c r="O162" i="1"/>
  <c r="P162" i="1" s="1"/>
  <c r="Q162" i="1" s="1"/>
  <c r="R162" i="1" s="1"/>
  <c r="S162" i="1" s="1"/>
  <c r="T162" i="1"/>
  <c r="AL157" i="1" l="1"/>
  <c r="AO157" i="1" s="1"/>
  <c r="AN157" i="1"/>
  <c r="V157" i="1"/>
  <c r="W157" i="1" s="1"/>
  <c r="V114" i="3"/>
  <c r="W114" i="3" s="1"/>
  <c r="Y114" i="3" s="1"/>
  <c r="Z114" i="3"/>
  <c r="AE114" i="3" s="1"/>
  <c r="AL109" i="3"/>
  <c r="AO109" i="3" s="1"/>
  <c r="V109" i="3"/>
  <c r="W109" i="3" s="1"/>
  <c r="AN109" i="3"/>
  <c r="AL162" i="1"/>
  <c r="AO162" i="1" s="1"/>
  <c r="Z162" i="1"/>
  <c r="AA157" i="1"/>
  <c r="AB157" i="1" s="1"/>
  <c r="AC157" i="1" s="1"/>
  <c r="AD157" i="1" s="1"/>
  <c r="AE157" i="1"/>
  <c r="AN162" i="1"/>
  <c r="V162" i="1"/>
  <c r="W162" i="1" s="1"/>
  <c r="AE109" i="3"/>
  <c r="AA109" i="3"/>
  <c r="AB109" i="3" s="1"/>
  <c r="AC109" i="3" s="1"/>
  <c r="AD109" i="3" s="1"/>
  <c r="X114" i="3" l="1"/>
  <c r="X157" i="1"/>
  <c r="Y157" i="1"/>
  <c r="AA114" i="3"/>
  <c r="AB114" i="3" s="1"/>
  <c r="AC114" i="3" s="1"/>
  <c r="AD114" i="3" s="1"/>
  <c r="X109" i="3"/>
  <c r="Y109" i="3"/>
  <c r="AK157" i="1"/>
  <c r="AF157" i="1"/>
  <c r="AG157" i="1" s="1"/>
  <c r="AH157" i="1" s="1"/>
  <c r="AI157" i="1" s="1"/>
  <c r="AJ157" i="1" s="1"/>
  <c r="X162" i="1"/>
  <c r="Y162" i="1"/>
  <c r="AE162" i="1"/>
  <c r="AA162" i="1"/>
  <c r="AB162" i="1" s="1"/>
  <c r="AC162" i="1" s="1"/>
  <c r="AD162" i="1" s="1"/>
  <c r="AK109" i="3"/>
  <c r="AF109" i="3"/>
  <c r="AG109" i="3" s="1"/>
  <c r="AH109" i="3" s="1"/>
  <c r="AI109" i="3" s="1"/>
  <c r="AJ109" i="3" s="1"/>
  <c r="AF114" i="3"/>
  <c r="AG114" i="3" s="1"/>
  <c r="AH114" i="3" s="1"/>
  <c r="AI114" i="3" s="1"/>
  <c r="AJ114" i="3" s="1"/>
  <c r="AK114" i="3"/>
  <c r="AF162" i="1" l="1"/>
  <c r="AG162" i="1" s="1"/>
  <c r="AH162" i="1" s="1"/>
  <c r="AI162" i="1" s="1"/>
  <c r="AJ162" i="1" s="1"/>
  <c r="AK162" i="1"/>
</calcChain>
</file>

<file path=xl/sharedStrings.xml><?xml version="1.0" encoding="utf-8"?>
<sst xmlns="http://schemas.openxmlformats.org/spreadsheetml/2006/main" count="720" uniqueCount="119">
  <si>
    <t>Total</t>
    <phoneticPr fontId="3" type="noConversion"/>
  </si>
  <si>
    <t>Current week</t>
    <phoneticPr fontId="3" type="noConversion"/>
  </si>
  <si>
    <t>Capabity</t>
  </si>
  <si>
    <t>BOH</t>
  </si>
  <si>
    <t>Rolling</t>
    <phoneticPr fontId="3" type="noConversion"/>
  </si>
  <si>
    <t>Demand</t>
  </si>
  <si>
    <t>Supply</t>
  </si>
  <si>
    <t>TTL supply</t>
    <phoneticPr fontId="3" type="noConversion"/>
  </si>
  <si>
    <t>Delta</t>
  </si>
  <si>
    <t>DOI</t>
  </si>
  <si>
    <t>LOI</t>
  </si>
  <si>
    <t>Memory 8Gb DDR4 2666 onboard</t>
    <phoneticPr fontId="4" type="noConversion"/>
  </si>
  <si>
    <t>Memory 8Gb DDR4 3200 onboard</t>
    <phoneticPr fontId="4" type="noConversion"/>
  </si>
  <si>
    <t>Memory 16Gb DDR4 2666 onboard</t>
    <phoneticPr fontId="4" type="noConversion"/>
  </si>
  <si>
    <t>Memory 16Gb DDR4 3200 onboard</t>
    <phoneticPr fontId="4" type="noConversion"/>
  </si>
  <si>
    <t>Memory 32Gb DDR4 3200 onboard</t>
    <phoneticPr fontId="4" type="noConversion"/>
  </si>
  <si>
    <t>Memory 4GB DDR4 2666 SODIMM</t>
    <phoneticPr fontId="4" type="noConversion"/>
  </si>
  <si>
    <t>Memory 4GB DDR4 3200 SODIMM</t>
    <phoneticPr fontId="4" type="noConversion"/>
  </si>
  <si>
    <t>Memory 8GB DDR4 2666 SODIMM</t>
    <phoneticPr fontId="4" type="noConversion"/>
  </si>
  <si>
    <t>Memory 8GB DDR4 3200 SODIMM</t>
    <phoneticPr fontId="4" type="noConversion"/>
  </si>
  <si>
    <t>Memory 16GB DDR4 2666 SODIMM</t>
    <phoneticPr fontId="4" type="noConversion"/>
  </si>
  <si>
    <t>Memory 16GB DDR4 3200 SODIMM</t>
    <phoneticPr fontId="4" type="noConversion"/>
  </si>
  <si>
    <t>Memory 32GB DDR4 2666 SODIMM</t>
    <phoneticPr fontId="4" type="noConversion"/>
  </si>
  <si>
    <t>Memory 32GB DDR4 3200 SODIMM</t>
    <phoneticPr fontId="4" type="noConversion"/>
  </si>
  <si>
    <t xml:space="preserve">Total </t>
    <phoneticPr fontId="3" type="noConversion"/>
  </si>
  <si>
    <t>Memory 16Gb LPDDR4 3733 onboard</t>
    <phoneticPr fontId="4" type="noConversion"/>
  </si>
  <si>
    <t>Memory 32Gb LPDDR4X 432B 4266 onboard</t>
    <phoneticPr fontId="4" type="noConversion"/>
  </si>
  <si>
    <t>Memory 64Gb LPDDR4X 200B 4266 onboard G2</t>
    <phoneticPr fontId="4" type="noConversion"/>
  </si>
  <si>
    <t>Memory 8GB DDR4 3200 SODIMM G2</t>
    <phoneticPr fontId="4" type="noConversion"/>
  </si>
  <si>
    <t>Memory 16GB DDR4 3200 SODIMM G2</t>
    <phoneticPr fontId="4" type="noConversion"/>
  </si>
  <si>
    <t>Memory 8Gb DDR4 3200 onboard G2</t>
    <phoneticPr fontId="4" type="noConversion"/>
  </si>
  <si>
    <t>Memory 8GB DDR4 3200 SODIMM G3</t>
    <phoneticPr fontId="4" type="noConversion"/>
  </si>
  <si>
    <t>Memory 16GB DDR4 3200 SODIMM G3</t>
    <phoneticPr fontId="4" type="noConversion"/>
  </si>
  <si>
    <t>Memory 8GB DDR5 4800 SODIMM</t>
    <phoneticPr fontId="4" type="noConversion"/>
  </si>
  <si>
    <t>Memory 16GB DDR5 4800 SODIMM</t>
    <phoneticPr fontId="4" type="noConversion"/>
  </si>
  <si>
    <t>Memory 16Gb LPDDR5 315B 6400 onboard</t>
    <phoneticPr fontId="4" type="noConversion"/>
  </si>
  <si>
    <t>Memory 32Gb LPDDR5 315B 6400 onboard</t>
    <phoneticPr fontId="4" type="noConversion"/>
  </si>
  <si>
    <t>Memory 64Gb LPDDR5 315B 6400 onboard</t>
    <phoneticPr fontId="4" type="noConversion"/>
  </si>
  <si>
    <t>Demand</t>
    <phoneticPr fontId="2" type="noConversion"/>
  </si>
  <si>
    <t>Memory 16Gb DDR4 3200 onboard G3</t>
    <phoneticPr fontId="4" type="noConversion"/>
  </si>
  <si>
    <t>Memory 16Gb DDR5 4800 onboard</t>
    <phoneticPr fontId="4" type="noConversion"/>
  </si>
  <si>
    <t>Memory 64Gb LPDDR4X 200B 4266 onboard G3</t>
    <phoneticPr fontId="4" type="noConversion"/>
  </si>
  <si>
    <r>
      <t xml:space="preserve">Memory 16Gb LPDDR4X 200B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</si>
  <si>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 xml:space="preserve">200B </t>
    </r>
    <r>
      <rPr>
        <b/>
        <sz val="12"/>
        <rFont val="Arial"/>
        <family val="2"/>
      </rPr>
      <t xml:space="preserve">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</si>
  <si>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>432B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</si>
  <si>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64Gb LPDDR4X </t>
    </r>
    <r>
      <rPr>
        <b/>
        <sz val="12"/>
        <color rgb="FFFF0000"/>
        <rFont val="Arial"/>
        <family val="2"/>
      </rPr>
      <t>432B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</si>
  <si>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16Gb LPDDR4X 200B 4266 onboard </t>
    </r>
    <r>
      <rPr>
        <b/>
        <sz val="12"/>
        <color rgb="FFFF0000"/>
        <rFont val="Arial"/>
        <family val="2"/>
      </rPr>
      <t>G3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</si>
  <si>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>200B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G3</t>
    </r>
    <phoneticPr fontId="4" type="noConversion"/>
  </si>
  <si>
    <t>Memory 16GB DDR5 5400 SODIMM</t>
    <phoneticPr fontId="4" type="noConversion"/>
  </si>
  <si>
    <t>Memory 32Gb LPDDR5 315B 6400 onboard G2</t>
    <phoneticPr fontId="4" type="noConversion"/>
  </si>
  <si>
    <t>Memory 64Gb LPDDR5 315B 6400 onboard G2</t>
    <phoneticPr fontId="4" type="noConversion"/>
  </si>
  <si>
    <t>Feb</t>
    <phoneticPr fontId="3" type="noConversion"/>
  </si>
  <si>
    <t>Mar</t>
    <phoneticPr fontId="3" type="noConversion"/>
  </si>
  <si>
    <t>FYQ4</t>
    <phoneticPr fontId="3" type="noConversion"/>
  </si>
  <si>
    <t>Memory 8GB DDR5 5600 SODIMM</t>
    <phoneticPr fontId="4" type="noConversion"/>
  </si>
  <si>
    <t>Memory 16GB DDR5 5600 SODIMM</t>
    <phoneticPr fontId="4" type="noConversion"/>
  </si>
  <si>
    <t>Memory 32Gb LPDDR5x 315B 7500 onboard</t>
    <phoneticPr fontId="4" type="noConversion"/>
  </si>
  <si>
    <t>Memory 64Gb LPDDR5x 315B 7500 onboard</t>
    <phoneticPr fontId="4" type="noConversion"/>
  </si>
  <si>
    <t>Jan</t>
    <phoneticPr fontId="3" type="noConversion"/>
  </si>
  <si>
    <t>Capabity</t>
    <phoneticPr fontId="3" type="noConversion"/>
  </si>
  <si>
    <t>BOH</t>
    <phoneticPr fontId="3" type="noConversion"/>
  </si>
  <si>
    <t>Unnamed: 4_level_1</t>
    <phoneticPr fontId="3" type="noConversion"/>
  </si>
  <si>
    <t>TTL</t>
    <phoneticPr fontId="3" type="noConversion"/>
  </si>
  <si>
    <t>Memory 8Gb DDR4 2666 onboard</t>
    <phoneticPr fontId="3" type="noConversion"/>
  </si>
  <si>
    <t>Demand</t>
    <phoneticPr fontId="3" type="noConversion"/>
  </si>
  <si>
    <t>Supply</t>
    <phoneticPr fontId="3" type="noConversion"/>
  </si>
  <si>
    <t>LOI</t>
    <phoneticPr fontId="3" type="noConversion"/>
  </si>
  <si>
    <t>Delta</t>
    <phoneticPr fontId="3" type="noConversion"/>
  </si>
  <si>
    <t>DOI</t>
    <phoneticPr fontId="3" type="noConversion"/>
  </si>
  <si>
    <t>Memory 8Gb DDR4 3200 onboard</t>
    <phoneticPr fontId="3" type="noConversion"/>
  </si>
  <si>
    <t>Memory 8Gb DDR4 3200 onboard G2</t>
    <phoneticPr fontId="3" type="noConversion"/>
  </si>
  <si>
    <t>Memory 16Gb DDR4 3200 onboard G3</t>
    <phoneticPr fontId="3" type="noConversion"/>
  </si>
  <si>
    <t>Memory 16Gb DDR4 2666 onboard</t>
    <phoneticPr fontId="3" type="noConversion"/>
  </si>
  <si>
    <t>Memory 16Gb DDR4 3200 onboard</t>
    <phoneticPr fontId="3" type="noConversion"/>
  </si>
  <si>
    <t>Memory 32Gb DDR4 3200 onboard</t>
    <phoneticPr fontId="3" type="noConversion"/>
  </si>
  <si>
    <t>Memory 4GB DDR4 2666 SODIMM</t>
    <phoneticPr fontId="3" type="noConversion"/>
  </si>
  <si>
    <t>Memory 4GB DDR4 3200 SODIMM</t>
    <phoneticPr fontId="3" type="noConversion"/>
  </si>
  <si>
    <t>Memory 8GB DDR4 2666 SODIMM</t>
    <phoneticPr fontId="3" type="noConversion"/>
  </si>
  <si>
    <t>Memory 8GB DDR4 3200 SODIMM</t>
    <phoneticPr fontId="3" type="noConversion"/>
  </si>
  <si>
    <t>Memory 8GB DDR4 3200 SODIMM G2</t>
    <phoneticPr fontId="3" type="noConversion"/>
  </si>
  <si>
    <t>Memory 8GB DDR4 3200 SODIMM G3</t>
    <phoneticPr fontId="3" type="noConversion"/>
  </si>
  <si>
    <t>Memory 16GB DDR4 2666 SODIMM</t>
    <phoneticPr fontId="3" type="noConversion"/>
  </si>
  <si>
    <t>Memory 16GB DDR4 3200 SODIMM</t>
    <phoneticPr fontId="3" type="noConversion"/>
  </si>
  <si>
    <t>Memory 16GB DDR4 3200 SODIMM G2</t>
    <phoneticPr fontId="3" type="noConversion"/>
  </si>
  <si>
    <t>Memory 16GB DDR4 3200 SODIMM G3</t>
    <phoneticPr fontId="3" type="noConversion"/>
  </si>
  <si>
    <t>Memory 32GB DDR4 2666 SODIMM</t>
    <phoneticPr fontId="3" type="noConversion"/>
  </si>
  <si>
    <t>Memory 32GB DDR4 3200 SODIMM</t>
    <phoneticPr fontId="3" type="noConversion"/>
  </si>
  <si>
    <t>Memory 16Gb LPDDR4 3733 onboard</t>
    <phoneticPr fontId="3" type="noConversion"/>
  </si>
  <si>
    <t>Memory 16Gb LPDDR4X 200B 4266 onboard G3</t>
    <phoneticPr fontId="3" type="noConversion"/>
  </si>
  <si>
    <t>Memory 16Gb LPDDR4X 200B 4266 onboard G2</t>
    <phoneticPr fontId="3" type="noConversion"/>
  </si>
  <si>
    <t>Memory 32Gb LPDDR4X 432B 4266 onboard</t>
    <phoneticPr fontId="3" type="noConversion"/>
  </si>
  <si>
    <t>Memory 32Gb LPDDR4X 200B 4266 onboard G2</t>
    <phoneticPr fontId="3" type="noConversion"/>
  </si>
  <si>
    <t>Memory 32Gb LPDDR4X 432B 4266 onboard G2</t>
    <phoneticPr fontId="3" type="noConversion"/>
  </si>
  <si>
    <t>Memory 64Gb LPDDR4X 432B 4266 onboard G2</t>
    <phoneticPr fontId="3" type="noConversion"/>
  </si>
  <si>
    <t>Memory 32Gb LPDDR4X 200B 4266 onboard G3</t>
    <phoneticPr fontId="3" type="noConversion"/>
  </si>
  <si>
    <t>Memory 64Gb LPDDR4X 200B 4266 onboard G2</t>
    <phoneticPr fontId="3" type="noConversion"/>
  </si>
  <si>
    <t>Memory 64Gb LPDDR4X 200B 4266 onboard G3</t>
    <phoneticPr fontId="3" type="noConversion"/>
  </si>
  <si>
    <t>Memory 8GB DDR5 4800 SODIMM</t>
    <phoneticPr fontId="3" type="noConversion"/>
  </si>
  <si>
    <t>Memory 16GB DDR5 4800 SODIMM</t>
    <phoneticPr fontId="3" type="noConversion"/>
  </si>
  <si>
    <t>Memory 16Gb LPDDR5 315B 6400 onboard</t>
    <phoneticPr fontId="3" type="noConversion"/>
  </si>
  <si>
    <t>Memory 32Gb LPDDR5 315B 6400 onboard</t>
    <phoneticPr fontId="3" type="noConversion"/>
  </si>
  <si>
    <t>Memory 64Gb LPDDR5 315B 6400 onboard</t>
    <phoneticPr fontId="3" type="noConversion"/>
  </si>
  <si>
    <t>Memory 16Gb DDR5 4800 onboard</t>
    <phoneticPr fontId="3" type="noConversion"/>
  </si>
  <si>
    <t>Memory 16GB DDR5 5400 SODIMM</t>
    <phoneticPr fontId="3" type="noConversion"/>
  </si>
  <si>
    <t>Memory 32Gb LPDDR5 315B 6400 onboard G2</t>
    <phoneticPr fontId="3" type="noConversion"/>
  </si>
  <si>
    <t>Memory 64Gb LPDDR5 315B 6400 onboard G2</t>
    <phoneticPr fontId="3" type="noConversion"/>
  </si>
  <si>
    <t>Memory 8GB DDR5 5600 SODIMM</t>
    <phoneticPr fontId="3" type="noConversion"/>
  </si>
  <si>
    <t>Memory 16GB DDR5 5600 SODIMM</t>
    <phoneticPr fontId="3" type="noConversion"/>
  </si>
  <si>
    <t>Memory 32Gb LPDDR5x 315B 7500 onboard</t>
    <phoneticPr fontId="3" type="noConversion"/>
  </si>
  <si>
    <t>Memory 64Gb LPDDR5x 315B 7500 onboard</t>
    <phoneticPr fontId="3" type="noConversion"/>
  </si>
  <si>
    <t>1Gb  Eqv.</t>
    <phoneticPr fontId="3" type="noConversion"/>
  </si>
  <si>
    <t>Apr</t>
    <phoneticPr fontId="3" type="noConversion"/>
  </si>
  <si>
    <t>May</t>
    <phoneticPr fontId="3" type="noConversion"/>
  </si>
  <si>
    <t>Jun</t>
    <phoneticPr fontId="3" type="noConversion"/>
  </si>
  <si>
    <t>FYQ1</t>
    <phoneticPr fontId="3" type="noConversion"/>
  </si>
  <si>
    <t>Total.1</t>
    <phoneticPr fontId="3" type="noConversion"/>
  </si>
  <si>
    <t>Unnamed: 39_level_1</t>
    <phoneticPr fontId="3" type="noConversion"/>
  </si>
  <si>
    <t>Unnamed: 40_level_1</t>
    <phoneticPr fontId="3" type="noConversion"/>
  </si>
  <si>
    <t xml:space="preserve">last Q 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</si>
</sst>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);[Red]\(0.0\)"/>
    <numFmt numFmtId="177" formatCode="0.0,;[Red]\(0.0,\)"/>
    <numFmt numFmtId="178" formatCode="m/d;@"/>
  </numFmts>
  <fonts count="19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2"/>
      <color indexed="8"/>
      <name val="Arial"/>
      <family val="2"/>
    </font>
    <font>
      <b/>
      <sz val="10"/>
      <name val="微软雅黑"/>
      <family val="2"/>
      <charset val="134"/>
    </font>
    <font>
      <sz val="10"/>
      <name val="微软雅黑"/>
      <family val="2"/>
      <charset val="134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" fillId="0" borderId="0"/>
    <xf numFmtId="0" fontId="5" fillId="0" borderId="0"/>
  </cellStyleXfs>
  <cellXfs count="141">
    <xf numFmtId="0" fontId="0" fillId="0" borderId="0" xfId="0">
      <alignment vertical="center"/>
    </xf>
    <xf numFmtId="176" fontId="7" fillId="0" borderId="7" xfId="0" applyNumberFormat="1" applyFont="1" applyBorder="1" applyAlignment="1">
      <alignment horizontal="center" vertical="center"/>
    </xf>
    <xf numFmtId="176" fontId="7" fillId="0" borderId="11" xfId="0" applyNumberFormat="1" applyFont="1" applyBorder="1" applyAlignment="1">
      <alignment horizontal="center" vertical="center"/>
    </xf>
    <xf numFmtId="176" fontId="7" fillId="0" borderId="7" xfId="2" applyNumberFormat="1" applyFont="1" applyBorder="1" applyAlignment="1">
      <alignment horizontal="center" vertical="center"/>
    </xf>
    <xf numFmtId="176" fontId="7" fillId="0" borderId="11" xfId="2" applyNumberFormat="1" applyFont="1" applyBorder="1" applyAlignment="1">
      <alignment horizontal="center" vertical="center"/>
    </xf>
    <xf numFmtId="176" fontId="7" fillId="0" borderId="9" xfId="2" applyNumberFormat="1" applyFont="1" applyBorder="1" applyAlignment="1">
      <alignment horizontal="left" vertical="center"/>
    </xf>
    <xf numFmtId="176" fontId="7" fillId="0" borderId="0" xfId="0" applyNumberFormat="1" applyFont="1" applyAlignment="1">
      <alignment horizontal="center" vertical="center"/>
    </xf>
    <xf numFmtId="177" fontId="8" fillId="3" borderId="14" xfId="0" applyNumberFormat="1" applyFont="1" applyFill="1" applyBorder="1" applyAlignment="1">
      <alignment horizontal="center" vertical="center"/>
    </xf>
    <xf numFmtId="177" fontId="8" fillId="3" borderId="16" xfId="0" applyNumberFormat="1" applyFont="1" applyFill="1" applyBorder="1" applyAlignment="1">
      <alignment horizontal="center" vertical="center"/>
    </xf>
    <xf numFmtId="177" fontId="8" fillId="3" borderId="15" xfId="0" applyNumberFormat="1" applyFont="1" applyFill="1" applyBorder="1" applyAlignment="1">
      <alignment horizontal="center" vertical="center"/>
    </xf>
    <xf numFmtId="177" fontId="8" fillId="6" borderId="15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7" fillId="0" borderId="0" xfId="2" applyNumberFormat="1" applyFont="1" applyAlignment="1">
      <alignment horizontal="center" vertical="center"/>
    </xf>
    <xf numFmtId="38" fontId="8" fillId="0" borderId="0" xfId="2" applyNumberFormat="1" applyFont="1" applyAlignment="1">
      <alignment horizontal="center" vertical="center"/>
    </xf>
    <xf numFmtId="176" fontId="7" fillId="8" borderId="9" xfId="0" applyNumberFormat="1" applyFont="1" applyFill="1" applyBorder="1" applyAlignment="1">
      <alignment horizontal="left" vertical="center"/>
    </xf>
    <xf numFmtId="0" fontId="8" fillId="0" borderId="0" xfId="2" applyFont="1" applyAlignment="1">
      <alignment horizontal="center" vertical="center"/>
    </xf>
    <xf numFmtId="0" fontId="8" fillId="8" borderId="0" xfId="2" applyFont="1" applyFill="1" applyAlignment="1">
      <alignment horizontal="left" vertical="center"/>
    </xf>
    <xf numFmtId="38" fontId="8" fillId="0" borderId="0" xfId="2" applyNumberFormat="1" applyFont="1">
      <alignment vertical="center"/>
    </xf>
    <xf numFmtId="176" fontId="11" fillId="12" borderId="3" xfId="0" applyNumberFormat="1" applyFont="1" applyFill="1" applyBorder="1" applyAlignment="1">
      <alignment horizontal="center" vertical="center"/>
    </xf>
    <xf numFmtId="177" fontId="12" fillId="11" borderId="3" xfId="0" applyNumberFormat="1" applyFont="1" applyFill="1" applyBorder="1" applyAlignment="1">
      <alignment horizontal="center" vertical="center"/>
    </xf>
    <xf numFmtId="177" fontId="13" fillId="0" borderId="8" xfId="0" applyNumberFormat="1" applyFont="1" applyBorder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177" fontId="13" fillId="3" borderId="8" xfId="0" applyNumberFormat="1" applyFont="1" applyFill="1" applyBorder="1" applyAlignment="1">
      <alignment horizontal="center" vertical="center"/>
    </xf>
    <xf numFmtId="177" fontId="13" fillId="0" borderId="13" xfId="0" applyNumberFormat="1" applyFont="1" applyBorder="1" applyAlignment="1">
      <alignment horizontal="center" vertical="center"/>
    </xf>
    <xf numFmtId="177" fontId="13" fillId="0" borderId="13" xfId="1" applyNumberFormat="1" applyFont="1" applyBorder="1" applyAlignment="1">
      <alignment horizontal="center" vertical="center"/>
    </xf>
    <xf numFmtId="176" fontId="14" fillId="0" borderId="7" xfId="2" applyNumberFormat="1" applyFont="1" applyBorder="1" applyAlignment="1">
      <alignment horizontal="center" vertical="center"/>
    </xf>
    <xf numFmtId="177" fontId="13" fillId="0" borderId="8" xfId="2" applyNumberFormat="1" applyFont="1" applyBorder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177" fontId="13" fillId="3" borderId="8" xfId="2" applyNumberFormat="1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38" fontId="13" fillId="0" borderId="0" xfId="2" applyNumberFormat="1" applyFont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177" fontId="13" fillId="4" borderId="0" xfId="2" applyNumberFormat="1" applyFont="1" applyFill="1" applyAlignment="1">
      <alignment horizontal="center" vertical="center"/>
    </xf>
    <xf numFmtId="176" fontId="14" fillId="0" borderId="11" xfId="2" applyNumberFormat="1" applyFont="1" applyBorder="1" applyAlignment="1">
      <alignment horizontal="center" vertical="center"/>
    </xf>
    <xf numFmtId="177" fontId="13" fillId="4" borderId="12" xfId="2" applyNumberFormat="1" applyFont="1" applyFill="1" applyBorder="1" applyAlignment="1">
      <alignment horizontal="center" vertical="center"/>
    </xf>
    <xf numFmtId="177" fontId="13" fillId="5" borderId="12" xfId="2" applyNumberFormat="1" applyFont="1" applyFill="1" applyBorder="1" applyAlignment="1">
      <alignment horizontal="center" vertical="center"/>
    </xf>
    <xf numFmtId="176" fontId="14" fillId="0" borderId="9" xfId="2" applyNumberFormat="1" applyFont="1" applyBorder="1" applyAlignment="1">
      <alignment horizontal="left" vertical="center"/>
    </xf>
    <xf numFmtId="177" fontId="13" fillId="5" borderId="8" xfId="2" applyNumberFormat="1" applyFont="1" applyFill="1" applyBorder="1" applyAlignment="1">
      <alignment horizontal="center" vertical="center"/>
    </xf>
    <xf numFmtId="176" fontId="15" fillId="0" borderId="3" xfId="2" applyNumberFormat="1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176" fontId="15" fillId="3" borderId="20" xfId="0" applyNumberFormat="1" applyFont="1" applyFill="1" applyBorder="1" applyAlignment="1">
      <alignment horizontal="center" vertical="center"/>
    </xf>
    <xf numFmtId="176" fontId="15" fillId="3" borderId="3" xfId="0" applyNumberFormat="1" applyFont="1" applyFill="1" applyBorder="1" applyAlignment="1">
      <alignment horizontal="center" vertical="center"/>
    </xf>
    <xf numFmtId="14" fontId="15" fillId="0" borderId="3" xfId="0" applyNumberFormat="1" applyFont="1" applyBorder="1" applyAlignment="1">
      <alignment horizontal="center" vertical="center"/>
    </xf>
    <xf numFmtId="177" fontId="15" fillId="9" borderId="3" xfId="1" applyNumberFormat="1" applyFont="1" applyFill="1" applyBorder="1" applyAlignment="1">
      <alignment horizontal="center" vertical="center"/>
    </xf>
    <xf numFmtId="38" fontId="16" fillId="0" borderId="0" xfId="2" applyNumberFormat="1" applyFont="1" applyAlignment="1">
      <alignment horizontal="center" vertical="center"/>
    </xf>
    <xf numFmtId="176" fontId="15" fillId="9" borderId="3" xfId="0" applyNumberFormat="1" applyFont="1" applyFill="1" applyBorder="1" applyAlignment="1">
      <alignment horizontal="center" vertical="center"/>
    </xf>
    <xf numFmtId="176" fontId="7" fillId="8" borderId="9" xfId="2" applyNumberFormat="1" applyFont="1" applyFill="1" applyBorder="1" applyAlignment="1">
      <alignment horizontal="left" vertical="center"/>
    </xf>
    <xf numFmtId="0" fontId="16" fillId="0" borderId="0" xfId="2" applyFont="1" applyAlignment="1">
      <alignment horizontal="center" vertical="center"/>
    </xf>
    <xf numFmtId="0" fontId="8" fillId="3" borderId="0" xfId="0" applyFont="1" applyFill="1">
      <alignment vertical="center"/>
    </xf>
    <xf numFmtId="177" fontId="8" fillId="6" borderId="14" xfId="0" applyNumberFormat="1" applyFont="1" applyFill="1" applyBorder="1">
      <alignment vertical="center"/>
    </xf>
    <xf numFmtId="177" fontId="8" fillId="6" borderId="16" xfId="0" applyNumberFormat="1" applyFont="1" applyFill="1" applyBorder="1">
      <alignment vertical="center"/>
    </xf>
    <xf numFmtId="0" fontId="8" fillId="6" borderId="0" xfId="0" applyFont="1" applyFill="1">
      <alignment vertical="center"/>
    </xf>
    <xf numFmtId="0" fontId="8" fillId="0" borderId="0" xfId="2" applyFont="1">
      <alignment vertical="center"/>
    </xf>
    <xf numFmtId="0" fontId="8" fillId="3" borderId="0" xfId="2" applyFont="1" applyFill="1">
      <alignment vertical="center"/>
    </xf>
    <xf numFmtId="0" fontId="17" fillId="0" borderId="0" xfId="2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3" borderId="0" xfId="0" applyFont="1" applyFill="1">
      <alignment vertical="center"/>
    </xf>
    <xf numFmtId="0" fontId="17" fillId="6" borderId="0" xfId="0" applyFont="1" applyFill="1">
      <alignment vertical="center"/>
    </xf>
    <xf numFmtId="0" fontId="17" fillId="0" borderId="0" xfId="2" applyFont="1">
      <alignment vertical="center"/>
    </xf>
    <xf numFmtId="177" fontId="12" fillId="11" borderId="21" xfId="0" applyNumberFormat="1" applyFont="1" applyFill="1" applyBorder="1" applyAlignment="1">
      <alignment horizontal="center" vertical="center"/>
    </xf>
    <xf numFmtId="177" fontId="13" fillId="0" borderId="22" xfId="0" applyNumberFormat="1" applyFont="1" applyBorder="1" applyAlignment="1">
      <alignment horizontal="center" vertical="center"/>
    </xf>
    <xf numFmtId="177" fontId="13" fillId="0" borderId="22" xfId="1" applyNumberFormat="1" applyFont="1" applyBorder="1" applyAlignment="1">
      <alignment horizontal="center" vertical="center"/>
    </xf>
    <xf numFmtId="177" fontId="8" fillId="6" borderId="15" xfId="0" applyNumberFormat="1" applyFont="1" applyFill="1" applyBorder="1">
      <alignment vertical="center"/>
    </xf>
    <xf numFmtId="177" fontId="8" fillId="3" borderId="26" xfId="0" applyNumberFormat="1" applyFont="1" applyFill="1" applyBorder="1" applyAlignment="1">
      <alignment horizontal="center" vertical="center"/>
    </xf>
    <xf numFmtId="177" fontId="8" fillId="6" borderId="27" xfId="0" applyNumberFormat="1" applyFont="1" applyFill="1" applyBorder="1" applyAlignment="1">
      <alignment horizontal="center" vertical="center"/>
    </xf>
    <xf numFmtId="177" fontId="8" fillId="3" borderId="27" xfId="0" applyNumberFormat="1" applyFont="1" applyFill="1" applyBorder="1" applyAlignment="1">
      <alignment horizontal="center" vertical="center"/>
    </xf>
    <xf numFmtId="177" fontId="8" fillId="6" borderId="26" xfId="0" applyNumberFormat="1" applyFont="1" applyFill="1" applyBorder="1">
      <alignment vertical="center"/>
    </xf>
    <xf numFmtId="177" fontId="17" fillId="3" borderId="14" xfId="2" applyNumberFormat="1" applyFont="1" applyFill="1" applyBorder="1" applyAlignment="1">
      <alignment horizontal="center" vertical="center"/>
    </xf>
    <xf numFmtId="177" fontId="17" fillId="3" borderId="16" xfId="2" applyNumberFormat="1" applyFont="1" applyFill="1" applyBorder="1" applyAlignment="1">
      <alignment horizontal="center" vertical="center"/>
    </xf>
    <xf numFmtId="177" fontId="17" fillId="3" borderId="28" xfId="0" applyNumberFormat="1" applyFont="1" applyFill="1" applyBorder="1" applyAlignment="1">
      <alignment horizontal="center" vertical="center"/>
    </xf>
    <xf numFmtId="177" fontId="17" fillId="3" borderId="12" xfId="2" applyNumberFormat="1" applyFont="1" applyFill="1" applyBorder="1" applyAlignment="1">
      <alignment horizontal="center" vertical="center"/>
    </xf>
    <xf numFmtId="177" fontId="8" fillId="3" borderId="29" xfId="0" applyNumberFormat="1" applyFont="1" applyFill="1" applyBorder="1" applyAlignment="1">
      <alignment horizontal="center" vertical="center"/>
    </xf>
    <xf numFmtId="177" fontId="8" fillId="3" borderId="20" xfId="0" applyNumberFormat="1" applyFont="1" applyFill="1" applyBorder="1" applyAlignment="1">
      <alignment horizontal="center" vertical="center"/>
    </xf>
    <xf numFmtId="177" fontId="8" fillId="3" borderId="30" xfId="0" applyNumberFormat="1" applyFont="1" applyFill="1" applyBorder="1" applyAlignment="1">
      <alignment horizontal="center" vertical="center"/>
    </xf>
    <xf numFmtId="177" fontId="8" fillId="6" borderId="29" xfId="0" applyNumberFormat="1" applyFont="1" applyFill="1" applyBorder="1">
      <alignment vertical="center"/>
    </xf>
    <xf numFmtId="177" fontId="8" fillId="6" borderId="20" xfId="0" applyNumberFormat="1" applyFont="1" applyFill="1" applyBorder="1">
      <alignment vertical="center"/>
    </xf>
    <xf numFmtId="177" fontId="8" fillId="6" borderId="20" xfId="0" applyNumberFormat="1" applyFont="1" applyFill="1" applyBorder="1" applyAlignment="1">
      <alignment horizontal="center" vertical="center"/>
    </xf>
    <xf numFmtId="177" fontId="8" fillId="6" borderId="30" xfId="0" applyNumberFormat="1" applyFont="1" applyFill="1" applyBorder="1" applyAlignment="1">
      <alignment horizontal="center" vertical="center"/>
    </xf>
    <xf numFmtId="177" fontId="8" fillId="3" borderId="19" xfId="0" applyNumberFormat="1" applyFont="1" applyFill="1" applyBorder="1" applyAlignment="1">
      <alignment horizontal="center" vertical="center"/>
    </xf>
    <xf numFmtId="177" fontId="8" fillId="3" borderId="17" xfId="0" applyNumberFormat="1" applyFont="1" applyFill="1" applyBorder="1" applyAlignment="1">
      <alignment horizontal="center" vertical="center"/>
    </xf>
    <xf numFmtId="177" fontId="8" fillId="3" borderId="18" xfId="0" applyNumberFormat="1" applyFont="1" applyFill="1" applyBorder="1" applyAlignment="1">
      <alignment horizontal="center" vertical="center"/>
    </xf>
    <xf numFmtId="177" fontId="8" fillId="6" borderId="19" xfId="0" applyNumberFormat="1" applyFont="1" applyFill="1" applyBorder="1">
      <alignment vertical="center"/>
    </xf>
    <xf numFmtId="177" fontId="8" fillId="6" borderId="17" xfId="0" applyNumberFormat="1" applyFont="1" applyFill="1" applyBorder="1">
      <alignment vertical="center"/>
    </xf>
    <xf numFmtId="177" fontId="8" fillId="6" borderId="17" xfId="0" applyNumberFormat="1" applyFont="1" applyFill="1" applyBorder="1" applyAlignment="1">
      <alignment horizontal="center" vertical="center"/>
    </xf>
    <xf numFmtId="177" fontId="8" fillId="6" borderId="18" xfId="0" applyNumberFormat="1" applyFont="1" applyFill="1" applyBorder="1" applyAlignment="1">
      <alignment horizontal="center" vertical="center"/>
    </xf>
    <xf numFmtId="177" fontId="17" fillId="0" borderId="14" xfId="2" applyNumberFormat="1" applyFont="1" applyBorder="1" applyAlignment="1">
      <alignment horizontal="center" vertical="center"/>
    </xf>
    <xf numFmtId="177" fontId="17" fillId="0" borderId="16" xfId="2" applyNumberFormat="1" applyFont="1" applyBorder="1" applyAlignment="1">
      <alignment horizontal="center" vertical="center"/>
    </xf>
    <xf numFmtId="177" fontId="17" fillId="0" borderId="28" xfId="0" applyNumberFormat="1" applyFont="1" applyBorder="1" applyAlignment="1">
      <alignment horizontal="center" vertical="center"/>
    </xf>
    <xf numFmtId="177" fontId="8" fillId="0" borderId="14" xfId="2" applyNumberFormat="1" applyFont="1" applyBorder="1" applyAlignment="1">
      <alignment horizontal="center" vertical="center"/>
    </xf>
    <xf numFmtId="177" fontId="8" fillId="0" borderId="16" xfId="2" applyNumberFormat="1" applyFont="1" applyBorder="1" applyAlignment="1">
      <alignment horizontal="center" vertical="center"/>
    </xf>
    <xf numFmtId="177" fontId="8" fillId="0" borderId="28" xfId="0" applyNumberFormat="1" applyFont="1" applyBorder="1" applyAlignment="1">
      <alignment horizontal="center" vertical="center"/>
    </xf>
    <xf numFmtId="177" fontId="8" fillId="0" borderId="14" xfId="0" applyNumberFormat="1" applyFont="1" applyBorder="1" applyAlignment="1">
      <alignment horizontal="center" vertical="center"/>
    </xf>
    <xf numFmtId="177" fontId="8" fillId="0" borderId="16" xfId="0" applyNumberFormat="1" applyFont="1" applyBorder="1" applyAlignment="1">
      <alignment horizontal="center" vertical="center"/>
    </xf>
    <xf numFmtId="177" fontId="13" fillId="0" borderId="9" xfId="2" applyNumberFormat="1" applyFont="1" applyBorder="1" applyAlignment="1">
      <alignment horizontal="center" vertical="center"/>
    </xf>
    <xf numFmtId="177" fontId="13" fillId="0" borderId="9" xfId="0" applyNumberFormat="1" applyFont="1" applyBorder="1" applyAlignment="1">
      <alignment horizontal="center" vertical="center"/>
    </xf>
    <xf numFmtId="177" fontId="13" fillId="0" borderId="11" xfId="0" applyNumberFormat="1" applyFont="1" applyBorder="1" applyAlignment="1">
      <alignment horizontal="center" vertical="center"/>
    </xf>
    <xf numFmtId="177" fontId="13" fillId="3" borderId="21" xfId="2" applyNumberFormat="1" applyFont="1" applyFill="1" applyBorder="1" applyAlignment="1">
      <alignment horizontal="center" vertical="center"/>
    </xf>
    <xf numFmtId="177" fontId="13" fillId="0" borderId="31" xfId="1" applyNumberFormat="1" applyFont="1" applyBorder="1" applyAlignment="1">
      <alignment horizontal="center" vertical="center"/>
    </xf>
    <xf numFmtId="176" fontId="7" fillId="3" borderId="23" xfId="0" applyNumberFormat="1" applyFont="1" applyFill="1" applyBorder="1" applyAlignment="1">
      <alignment horizontal="center" vertical="center"/>
    </xf>
    <xf numFmtId="176" fontId="7" fillId="3" borderId="24" xfId="0" applyNumberFormat="1" applyFont="1" applyFill="1" applyBorder="1" applyAlignment="1">
      <alignment horizontal="center" vertical="center"/>
    </xf>
    <xf numFmtId="176" fontId="7" fillId="3" borderId="25" xfId="0" applyNumberFormat="1" applyFont="1" applyFill="1" applyBorder="1" applyAlignment="1">
      <alignment horizontal="center" vertical="center"/>
    </xf>
    <xf numFmtId="176" fontId="7" fillId="6" borderId="23" xfId="0" applyNumberFormat="1" applyFont="1" applyFill="1" applyBorder="1" applyAlignment="1">
      <alignment horizontal="center" vertical="center"/>
    </xf>
    <xf numFmtId="176" fontId="7" fillId="6" borderId="24" xfId="0" applyNumberFormat="1" applyFont="1" applyFill="1" applyBorder="1" applyAlignment="1">
      <alignment horizontal="center" vertical="center"/>
    </xf>
    <xf numFmtId="176" fontId="7" fillId="6" borderId="25" xfId="0" applyNumberFormat="1" applyFont="1" applyFill="1" applyBorder="1" applyAlignment="1">
      <alignment horizontal="center" vertical="center"/>
    </xf>
    <xf numFmtId="177" fontId="8" fillId="3" borderId="28" xfId="0" applyNumberFormat="1" applyFont="1" applyFill="1" applyBorder="1" applyAlignment="1">
      <alignment horizontal="center" vertical="center"/>
    </xf>
    <xf numFmtId="177" fontId="8" fillId="6" borderId="28" xfId="0" applyNumberFormat="1" applyFont="1" applyFill="1" applyBorder="1">
      <alignment vertical="center"/>
    </xf>
    <xf numFmtId="177" fontId="18" fillId="3" borderId="12" xfId="2" applyNumberFormat="1" applyFont="1" applyFill="1" applyBorder="1" applyAlignment="1">
      <alignment horizontal="center" vertical="center"/>
    </xf>
    <xf numFmtId="177" fontId="18" fillId="3" borderId="14" xfId="2" applyNumberFormat="1" applyFont="1" applyFill="1" applyBorder="1" applyAlignment="1">
      <alignment horizontal="center" vertical="center"/>
    </xf>
    <xf numFmtId="177" fontId="8" fillId="6" borderId="29" xfId="0" applyNumberFormat="1" applyFont="1" applyFill="1" applyBorder="1" applyAlignment="1">
      <alignment horizontal="center" vertical="center"/>
    </xf>
    <xf numFmtId="178" fontId="15" fillId="0" borderId="3" xfId="0" applyNumberFormat="1" applyFont="1" applyBorder="1" applyAlignment="1">
      <alignment horizontal="center" vertical="center"/>
    </xf>
    <xf numFmtId="178" fontId="15" fillId="9" borderId="3" xfId="1" applyNumberFormat="1" applyFont="1" applyFill="1" applyBorder="1" applyAlignment="1">
      <alignment horizontal="center" vertical="center"/>
    </xf>
    <xf numFmtId="176" fontId="10" fillId="8" borderId="23" xfId="0" applyNumberFormat="1" applyFont="1" applyFill="1" applyBorder="1" applyAlignment="1">
      <alignment horizontal="left" vertical="center"/>
    </xf>
    <xf numFmtId="176" fontId="10" fillId="8" borderId="24" xfId="0" applyNumberFormat="1" applyFont="1" applyFill="1" applyBorder="1" applyAlignment="1">
      <alignment horizontal="left" vertical="center"/>
    </xf>
    <xf numFmtId="176" fontId="10" fillId="8" borderId="25" xfId="0" applyNumberFormat="1" applyFont="1" applyFill="1" applyBorder="1" applyAlignment="1">
      <alignment horizontal="left" vertical="center"/>
    </xf>
    <xf numFmtId="176" fontId="14" fillId="7" borderId="6" xfId="2" applyNumberFormat="1" applyFont="1" applyFill="1" applyBorder="1" applyAlignment="1">
      <alignment horizontal="left" vertical="center"/>
    </xf>
    <xf numFmtId="176" fontId="14" fillId="7" borderId="9" xfId="2" applyNumberFormat="1" applyFont="1" applyFill="1" applyBorder="1" applyAlignment="1">
      <alignment horizontal="left" vertical="center"/>
    </xf>
    <xf numFmtId="176" fontId="14" fillId="7" borderId="10" xfId="2" applyNumberFormat="1" applyFont="1" applyFill="1" applyBorder="1" applyAlignment="1">
      <alignment horizontal="left" vertical="center"/>
    </xf>
    <xf numFmtId="176" fontId="7" fillId="0" borderId="6" xfId="2" applyNumberFormat="1" applyFont="1" applyBorder="1" applyAlignment="1">
      <alignment horizontal="left" vertical="center"/>
    </xf>
    <xf numFmtId="176" fontId="7" fillId="0" borderId="9" xfId="2" applyNumberFormat="1" applyFont="1" applyBorder="1" applyAlignment="1">
      <alignment horizontal="left" vertical="center"/>
    </xf>
    <xf numFmtId="176" fontId="7" fillId="0" borderId="10" xfId="2" applyNumberFormat="1" applyFont="1" applyBorder="1" applyAlignment="1">
      <alignment horizontal="left" vertical="center"/>
    </xf>
    <xf numFmtId="176" fontId="14" fillId="12" borderId="6" xfId="2" applyNumberFormat="1" applyFont="1" applyFill="1" applyBorder="1" applyAlignment="1">
      <alignment horizontal="left" vertical="center"/>
    </xf>
    <xf numFmtId="176" fontId="14" fillId="12" borderId="9" xfId="2" applyNumberFormat="1" applyFont="1" applyFill="1" applyBorder="1" applyAlignment="1">
      <alignment horizontal="left" vertical="center"/>
    </xf>
    <xf numFmtId="176" fontId="14" fillId="12" borderId="10" xfId="2" applyNumberFormat="1" applyFont="1" applyFill="1" applyBorder="1" applyAlignment="1">
      <alignment horizontal="left" vertical="center"/>
    </xf>
    <xf numFmtId="176" fontId="15" fillId="9" borderId="3" xfId="0" applyNumberFormat="1" applyFont="1" applyFill="1" applyBorder="1" applyAlignment="1">
      <alignment horizontal="center" vertical="center"/>
    </xf>
    <xf numFmtId="0" fontId="15" fillId="10" borderId="3" xfId="0" applyFont="1" applyFill="1" applyBorder="1" applyAlignment="1">
      <alignment horizontal="center" vertical="center"/>
    </xf>
    <xf numFmtId="176" fontId="15" fillId="0" borderId="4" xfId="2" applyNumberFormat="1" applyFont="1" applyBorder="1" applyAlignment="1">
      <alignment horizontal="center" vertical="center"/>
    </xf>
    <xf numFmtId="176" fontId="15" fillId="0" borderId="5" xfId="2" applyNumberFormat="1" applyFont="1" applyBorder="1" applyAlignment="1">
      <alignment horizontal="center" vertical="center"/>
    </xf>
    <xf numFmtId="176" fontId="7" fillId="7" borderId="6" xfId="2" applyNumberFormat="1" applyFont="1" applyFill="1" applyBorder="1" applyAlignment="1">
      <alignment horizontal="left" vertical="center"/>
    </xf>
    <xf numFmtId="176" fontId="7" fillId="7" borderId="9" xfId="2" applyNumberFormat="1" applyFont="1" applyFill="1" applyBorder="1" applyAlignment="1">
      <alignment horizontal="left" vertical="center"/>
    </xf>
    <xf numFmtId="176" fontId="7" fillId="7" borderId="10" xfId="2" applyNumberFormat="1" applyFont="1" applyFill="1" applyBorder="1" applyAlignment="1">
      <alignment horizontal="left" vertical="center"/>
    </xf>
    <xf numFmtId="176" fontId="9" fillId="0" borderId="6" xfId="2" applyNumberFormat="1" applyFont="1" applyBorder="1" applyAlignment="1">
      <alignment horizontal="left" vertical="center"/>
    </xf>
    <xf numFmtId="176" fontId="9" fillId="0" borderId="9" xfId="2" applyNumberFormat="1" applyFont="1" applyBorder="1" applyAlignment="1">
      <alignment horizontal="left" vertical="center"/>
    </xf>
    <xf numFmtId="176" fontId="9" fillId="0" borderId="10" xfId="2" applyNumberFormat="1" applyFont="1" applyBorder="1" applyAlignment="1">
      <alignment horizontal="left" vertical="center"/>
    </xf>
    <xf numFmtId="176" fontId="7" fillId="8" borderId="6" xfId="2" applyNumberFormat="1" applyFont="1" applyFill="1" applyBorder="1" applyAlignment="1">
      <alignment horizontal="left" vertical="center"/>
    </xf>
    <xf numFmtId="176" fontId="7" fillId="8" borderId="9" xfId="2" applyNumberFormat="1" applyFont="1" applyFill="1" applyBorder="1" applyAlignment="1">
      <alignment horizontal="left" vertical="center"/>
    </xf>
    <xf numFmtId="176" fontId="7" fillId="8" borderId="10" xfId="2" applyNumberFormat="1" applyFont="1" applyFill="1" applyBorder="1" applyAlignment="1">
      <alignment horizontal="left" vertical="center"/>
    </xf>
    <xf numFmtId="176" fontId="15" fillId="2" borderId="1" xfId="2" applyNumberFormat="1" applyFont="1" applyFill="1" applyBorder="1" applyAlignment="1">
      <alignment horizontal="center" vertical="center"/>
    </xf>
    <xf numFmtId="176" fontId="15" fillId="2" borderId="2" xfId="2" applyNumberFormat="1" applyFont="1" applyFill="1" applyBorder="1" applyAlignment="1">
      <alignment horizontal="center" vertical="center"/>
    </xf>
    <xf numFmtId="176" fontId="9" fillId="7" borderId="6" xfId="2" applyNumberFormat="1" applyFont="1" applyFill="1" applyBorder="1" applyAlignment="1">
      <alignment horizontal="left" vertical="center"/>
    </xf>
    <xf numFmtId="176" fontId="9" fillId="7" borderId="9" xfId="2" applyNumberFormat="1" applyFont="1" applyFill="1" applyBorder="1" applyAlignment="1">
      <alignment horizontal="left" vertical="center"/>
    </xf>
    <xf numFmtId="176" fontId="9" fillId="7" borderId="10" xfId="2" applyNumberFormat="1" applyFont="1" applyFill="1" applyBorder="1" applyAlignment="1">
      <alignment horizontal="left" vertical="center"/>
    </xf>
  </cellXfs>
  <cellStyles count="5">
    <cellStyle name="常规" xfId="0" builtinId="0"/>
    <cellStyle name="常规 2" xfId="2" xr:uid="{00000000-0005-0000-0000-000001000000}"/>
    <cellStyle name="常规 3" xfId="1" xr:uid="{00000000-0005-0000-0000-000002000000}"/>
    <cellStyle name="常规 3 2" xfId="4" xr:uid="{00000000-0005-0000-0000-000003000000}"/>
    <cellStyle name="常规 4" xfId="3" xr:uid="{00000000-0005-0000-0000-000004000000}"/>
  </cellStyles>
  <dxfs count="2016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7"/>
      <color rgb="FFADDB7B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64"/>
  <sheetViews>
    <sheetView zoomScaleNormal="55" workbookViewId="0">
      <pane xSplit="1" topLeftCell="B1" activePane="topRight" state="frozen"/>
      <selection pane="topRight" activeCell="D1" sqref="D1"/>
    </sheetView>
  </sheetViews>
  <sheetFormatPr baseColWidth="10" defaultColWidth="9" defaultRowHeight="16"/>
  <cols>
    <col min="1" max="1" width="46.6640625" style="16" customWidth="1"/>
    <col min="2" max="2" width="12.6640625" style="52" bestFit="1" customWidth="1"/>
    <col min="3" max="3" width="15.83203125" style="52" customWidth="1"/>
    <col min="4" max="4" width="14.5" style="52" customWidth="1"/>
    <col min="5" max="20" width="12" style="52" customWidth="1"/>
    <col min="21" max="21" width="12" style="53" customWidth="1"/>
    <col min="22" max="36" width="12" style="52" customWidth="1"/>
    <col min="37" max="37" width="12.33203125" style="52" customWidth="1"/>
    <col min="38" max="38" width="12.33203125" style="53" customWidth="1"/>
    <col min="39" max="39" width="5.33203125" style="58" bestFit="1" customWidth="1"/>
    <col min="40" max="41" width="14.33203125" style="17" bestFit="1" customWidth="1"/>
    <col min="42" max="245" width="9" style="52"/>
    <col min="246" max="246" width="20.5" style="52" customWidth="1"/>
    <col min="247" max="247" width="8.5" style="52" customWidth="1"/>
    <col min="248" max="248" width="10" style="52" customWidth="1"/>
    <col min="249" max="249" width="8.5" style="52" customWidth="1"/>
    <col min="250" max="252" width="9.5" style="52" bestFit="1" customWidth="1"/>
    <col min="253" max="253" width="8.33203125" style="52" bestFit="1" customWidth="1"/>
    <col min="254" max="254" width="8.33203125" style="52" customWidth="1"/>
    <col min="255" max="257" width="9.5" style="52" bestFit="1" customWidth="1"/>
    <col min="258" max="258" width="8.33203125" style="52" bestFit="1" customWidth="1"/>
    <col min="259" max="259" width="8.33203125" style="52" customWidth="1"/>
    <col min="260" max="262" width="9.5" style="52" bestFit="1" customWidth="1"/>
    <col min="263" max="263" width="8.33203125" style="52" bestFit="1" customWidth="1"/>
    <col min="264" max="265" width="8.33203125" style="52" customWidth="1"/>
    <col min="266" max="266" width="9.1640625" style="52" bestFit="1" customWidth="1"/>
    <col min="267" max="501" width="9" style="52"/>
    <col min="502" max="502" width="20.5" style="52" customWidth="1"/>
    <col min="503" max="503" width="8.5" style="52" customWidth="1"/>
    <col min="504" max="504" width="10" style="52" customWidth="1"/>
    <col min="505" max="505" width="8.5" style="52" customWidth="1"/>
    <col min="506" max="508" width="9.5" style="52" bestFit="1" customWidth="1"/>
    <col min="509" max="509" width="8.33203125" style="52" bestFit="1" customWidth="1"/>
    <col min="510" max="510" width="8.33203125" style="52" customWidth="1"/>
    <col min="511" max="513" width="9.5" style="52" bestFit="1" customWidth="1"/>
    <col min="514" max="514" width="8.33203125" style="52" bestFit="1" customWidth="1"/>
    <col min="515" max="515" width="8.33203125" style="52" customWidth="1"/>
    <col min="516" max="518" width="9.5" style="52" bestFit="1" customWidth="1"/>
    <col min="519" max="519" width="8.33203125" style="52" bestFit="1" customWidth="1"/>
    <col min="520" max="521" width="8.33203125" style="52" customWidth="1"/>
    <col min="522" max="522" width="9.1640625" style="52" bestFit="1" customWidth="1"/>
    <col min="523" max="757" width="9" style="52"/>
    <col min="758" max="758" width="20.5" style="52" customWidth="1"/>
    <col min="759" max="759" width="8.5" style="52" customWidth="1"/>
    <col min="760" max="760" width="10" style="52" customWidth="1"/>
    <col min="761" max="761" width="8.5" style="52" customWidth="1"/>
    <col min="762" max="764" width="9.5" style="52" bestFit="1" customWidth="1"/>
    <col min="765" max="765" width="8.33203125" style="52" bestFit="1" customWidth="1"/>
    <col min="766" max="766" width="8.33203125" style="52" customWidth="1"/>
    <col min="767" max="769" width="9.5" style="52" bestFit="1" customWidth="1"/>
    <col min="770" max="770" width="8.33203125" style="52" bestFit="1" customWidth="1"/>
    <col min="771" max="771" width="8.33203125" style="52" customWidth="1"/>
    <col min="772" max="774" width="9.5" style="52" bestFit="1" customWidth="1"/>
    <col min="775" max="775" width="8.33203125" style="52" bestFit="1" customWidth="1"/>
    <col min="776" max="777" width="8.33203125" style="52" customWidth="1"/>
    <col min="778" max="778" width="9.1640625" style="52" bestFit="1" customWidth="1"/>
    <col min="779" max="1013" width="9" style="52"/>
    <col min="1014" max="1014" width="20.5" style="52" customWidth="1"/>
    <col min="1015" max="1015" width="8.5" style="52" customWidth="1"/>
    <col min="1016" max="1016" width="10" style="52" customWidth="1"/>
    <col min="1017" max="1017" width="8.5" style="52" customWidth="1"/>
    <col min="1018" max="1020" width="9.5" style="52" bestFit="1" customWidth="1"/>
    <col min="1021" max="1021" width="8.33203125" style="52" bestFit="1" customWidth="1"/>
    <col min="1022" max="1022" width="8.33203125" style="52" customWidth="1"/>
    <col min="1023" max="1025" width="9.5" style="52" bestFit="1" customWidth="1"/>
    <col min="1026" max="1026" width="8.33203125" style="52" bestFit="1" customWidth="1"/>
    <col min="1027" max="1027" width="8.33203125" style="52" customWidth="1"/>
    <col min="1028" max="1030" width="9.5" style="52" bestFit="1" customWidth="1"/>
    <col min="1031" max="1031" width="8.33203125" style="52" bestFit="1" customWidth="1"/>
    <col min="1032" max="1033" width="8.33203125" style="52" customWidth="1"/>
    <col min="1034" max="1034" width="9.1640625" style="52" bestFit="1" customWidth="1"/>
    <col min="1035" max="1269" width="9" style="52"/>
    <col min="1270" max="1270" width="20.5" style="52" customWidth="1"/>
    <col min="1271" max="1271" width="8.5" style="52" customWidth="1"/>
    <col min="1272" max="1272" width="10" style="52" customWidth="1"/>
    <col min="1273" max="1273" width="8.5" style="52" customWidth="1"/>
    <col min="1274" max="1276" width="9.5" style="52" bestFit="1" customWidth="1"/>
    <col min="1277" max="1277" width="8.33203125" style="52" bestFit="1" customWidth="1"/>
    <col min="1278" max="1278" width="8.33203125" style="52" customWidth="1"/>
    <col min="1279" max="1281" width="9.5" style="52" bestFit="1" customWidth="1"/>
    <col min="1282" max="1282" width="8.33203125" style="52" bestFit="1" customWidth="1"/>
    <col min="1283" max="1283" width="8.33203125" style="52" customWidth="1"/>
    <col min="1284" max="1286" width="9.5" style="52" bestFit="1" customWidth="1"/>
    <col min="1287" max="1287" width="8.33203125" style="52" bestFit="1" customWidth="1"/>
    <col min="1288" max="1289" width="8.33203125" style="52" customWidth="1"/>
    <col min="1290" max="1290" width="9.1640625" style="52" bestFit="1" customWidth="1"/>
    <col min="1291" max="1525" width="9" style="52"/>
    <col min="1526" max="1526" width="20.5" style="52" customWidth="1"/>
    <col min="1527" max="1527" width="8.5" style="52" customWidth="1"/>
    <col min="1528" max="1528" width="10" style="52" customWidth="1"/>
    <col min="1529" max="1529" width="8.5" style="52" customWidth="1"/>
    <col min="1530" max="1532" width="9.5" style="52" bestFit="1" customWidth="1"/>
    <col min="1533" max="1533" width="8.33203125" style="52" bestFit="1" customWidth="1"/>
    <col min="1534" max="1534" width="8.33203125" style="52" customWidth="1"/>
    <col min="1535" max="1537" width="9.5" style="52" bestFit="1" customWidth="1"/>
    <col min="1538" max="1538" width="8.33203125" style="52" bestFit="1" customWidth="1"/>
    <col min="1539" max="1539" width="8.33203125" style="52" customWidth="1"/>
    <col min="1540" max="1542" width="9.5" style="52" bestFit="1" customWidth="1"/>
    <col min="1543" max="1543" width="8.33203125" style="52" bestFit="1" customWidth="1"/>
    <col min="1544" max="1545" width="8.33203125" style="52" customWidth="1"/>
    <col min="1546" max="1546" width="9.1640625" style="52" bestFit="1" customWidth="1"/>
    <col min="1547" max="1781" width="9" style="52"/>
    <col min="1782" max="1782" width="20.5" style="52" customWidth="1"/>
    <col min="1783" max="1783" width="8.5" style="52" customWidth="1"/>
    <col min="1784" max="1784" width="10" style="52" customWidth="1"/>
    <col min="1785" max="1785" width="8.5" style="52" customWidth="1"/>
    <col min="1786" max="1788" width="9.5" style="52" bestFit="1" customWidth="1"/>
    <col min="1789" max="1789" width="8.33203125" style="52" bestFit="1" customWidth="1"/>
    <col min="1790" max="1790" width="8.33203125" style="52" customWidth="1"/>
    <col min="1791" max="1793" width="9.5" style="52" bestFit="1" customWidth="1"/>
    <col min="1794" max="1794" width="8.33203125" style="52" bestFit="1" customWidth="1"/>
    <col min="1795" max="1795" width="8.33203125" style="52" customWidth="1"/>
    <col min="1796" max="1798" width="9.5" style="52" bestFit="1" customWidth="1"/>
    <col min="1799" max="1799" width="8.33203125" style="52" bestFit="1" customWidth="1"/>
    <col min="1800" max="1801" width="8.33203125" style="52" customWidth="1"/>
    <col min="1802" max="1802" width="9.1640625" style="52" bestFit="1" customWidth="1"/>
    <col min="1803" max="2037" width="9" style="52"/>
    <col min="2038" max="2038" width="20.5" style="52" customWidth="1"/>
    <col min="2039" max="2039" width="8.5" style="52" customWidth="1"/>
    <col min="2040" max="2040" width="10" style="52" customWidth="1"/>
    <col min="2041" max="2041" width="8.5" style="52" customWidth="1"/>
    <col min="2042" max="2044" width="9.5" style="52" bestFit="1" customWidth="1"/>
    <col min="2045" max="2045" width="8.33203125" style="52" bestFit="1" customWidth="1"/>
    <col min="2046" max="2046" width="8.33203125" style="52" customWidth="1"/>
    <col min="2047" max="2049" width="9.5" style="52" bestFit="1" customWidth="1"/>
    <col min="2050" max="2050" width="8.33203125" style="52" bestFit="1" customWidth="1"/>
    <col min="2051" max="2051" width="8.33203125" style="52" customWidth="1"/>
    <col min="2052" max="2054" width="9.5" style="52" bestFit="1" customWidth="1"/>
    <col min="2055" max="2055" width="8.33203125" style="52" bestFit="1" customWidth="1"/>
    <col min="2056" max="2057" width="8.33203125" style="52" customWidth="1"/>
    <col min="2058" max="2058" width="9.1640625" style="52" bestFit="1" customWidth="1"/>
    <col min="2059" max="2293" width="9" style="52"/>
    <col min="2294" max="2294" width="20.5" style="52" customWidth="1"/>
    <col min="2295" max="2295" width="8.5" style="52" customWidth="1"/>
    <col min="2296" max="2296" width="10" style="52" customWidth="1"/>
    <col min="2297" max="2297" width="8.5" style="52" customWidth="1"/>
    <col min="2298" max="2300" width="9.5" style="52" bestFit="1" customWidth="1"/>
    <col min="2301" max="2301" width="8.33203125" style="52" bestFit="1" customWidth="1"/>
    <col min="2302" max="2302" width="8.33203125" style="52" customWidth="1"/>
    <col min="2303" max="2305" width="9.5" style="52" bestFit="1" customWidth="1"/>
    <col min="2306" max="2306" width="8.33203125" style="52" bestFit="1" customWidth="1"/>
    <col min="2307" max="2307" width="8.33203125" style="52" customWidth="1"/>
    <col min="2308" max="2310" width="9.5" style="52" bestFit="1" customWidth="1"/>
    <col min="2311" max="2311" width="8.33203125" style="52" bestFit="1" customWidth="1"/>
    <col min="2312" max="2313" width="8.33203125" style="52" customWidth="1"/>
    <col min="2314" max="2314" width="9.1640625" style="52" bestFit="1" customWidth="1"/>
    <col min="2315" max="2549" width="9" style="52"/>
    <col min="2550" max="2550" width="20.5" style="52" customWidth="1"/>
    <col min="2551" max="2551" width="8.5" style="52" customWidth="1"/>
    <col min="2552" max="2552" width="10" style="52" customWidth="1"/>
    <col min="2553" max="2553" width="8.5" style="52" customWidth="1"/>
    <col min="2554" max="2556" width="9.5" style="52" bestFit="1" customWidth="1"/>
    <col min="2557" max="2557" width="8.33203125" style="52" bestFit="1" customWidth="1"/>
    <col min="2558" max="2558" width="8.33203125" style="52" customWidth="1"/>
    <col min="2559" max="2561" width="9.5" style="52" bestFit="1" customWidth="1"/>
    <col min="2562" max="2562" width="8.33203125" style="52" bestFit="1" customWidth="1"/>
    <col min="2563" max="2563" width="8.33203125" style="52" customWidth="1"/>
    <col min="2564" max="2566" width="9.5" style="52" bestFit="1" customWidth="1"/>
    <col min="2567" max="2567" width="8.33203125" style="52" bestFit="1" customWidth="1"/>
    <col min="2568" max="2569" width="8.33203125" style="52" customWidth="1"/>
    <col min="2570" max="2570" width="9.1640625" style="52" bestFit="1" customWidth="1"/>
    <col min="2571" max="2805" width="9" style="52"/>
    <col min="2806" max="2806" width="20.5" style="52" customWidth="1"/>
    <col min="2807" max="2807" width="8.5" style="52" customWidth="1"/>
    <col min="2808" max="2808" width="10" style="52" customWidth="1"/>
    <col min="2809" max="2809" width="8.5" style="52" customWidth="1"/>
    <col min="2810" max="2812" width="9.5" style="52" bestFit="1" customWidth="1"/>
    <col min="2813" max="2813" width="8.33203125" style="52" bestFit="1" customWidth="1"/>
    <col min="2814" max="2814" width="8.33203125" style="52" customWidth="1"/>
    <col min="2815" max="2817" width="9.5" style="52" bestFit="1" customWidth="1"/>
    <col min="2818" max="2818" width="8.33203125" style="52" bestFit="1" customWidth="1"/>
    <col min="2819" max="2819" width="8.33203125" style="52" customWidth="1"/>
    <col min="2820" max="2822" width="9.5" style="52" bestFit="1" customWidth="1"/>
    <col min="2823" max="2823" width="8.33203125" style="52" bestFit="1" customWidth="1"/>
    <col min="2824" max="2825" width="8.33203125" style="52" customWidth="1"/>
    <col min="2826" max="2826" width="9.1640625" style="52" bestFit="1" customWidth="1"/>
    <col min="2827" max="3061" width="9" style="52"/>
    <col min="3062" max="3062" width="20.5" style="52" customWidth="1"/>
    <col min="3063" max="3063" width="8.5" style="52" customWidth="1"/>
    <col min="3064" max="3064" width="10" style="52" customWidth="1"/>
    <col min="3065" max="3065" width="8.5" style="52" customWidth="1"/>
    <col min="3066" max="3068" width="9.5" style="52" bestFit="1" customWidth="1"/>
    <col min="3069" max="3069" width="8.33203125" style="52" bestFit="1" customWidth="1"/>
    <col min="3070" max="3070" width="8.33203125" style="52" customWidth="1"/>
    <col min="3071" max="3073" width="9.5" style="52" bestFit="1" customWidth="1"/>
    <col min="3074" max="3074" width="8.33203125" style="52" bestFit="1" customWidth="1"/>
    <col min="3075" max="3075" width="8.33203125" style="52" customWidth="1"/>
    <col min="3076" max="3078" width="9.5" style="52" bestFit="1" customWidth="1"/>
    <col min="3079" max="3079" width="8.33203125" style="52" bestFit="1" customWidth="1"/>
    <col min="3080" max="3081" width="8.33203125" style="52" customWidth="1"/>
    <col min="3082" max="3082" width="9.1640625" style="52" bestFit="1" customWidth="1"/>
    <col min="3083" max="3317" width="9" style="52"/>
    <col min="3318" max="3318" width="20.5" style="52" customWidth="1"/>
    <col min="3319" max="3319" width="8.5" style="52" customWidth="1"/>
    <col min="3320" max="3320" width="10" style="52" customWidth="1"/>
    <col min="3321" max="3321" width="8.5" style="52" customWidth="1"/>
    <col min="3322" max="3324" width="9.5" style="52" bestFit="1" customWidth="1"/>
    <col min="3325" max="3325" width="8.33203125" style="52" bestFit="1" customWidth="1"/>
    <col min="3326" max="3326" width="8.33203125" style="52" customWidth="1"/>
    <col min="3327" max="3329" width="9.5" style="52" bestFit="1" customWidth="1"/>
    <col min="3330" max="3330" width="8.33203125" style="52" bestFit="1" customWidth="1"/>
    <col min="3331" max="3331" width="8.33203125" style="52" customWidth="1"/>
    <col min="3332" max="3334" width="9.5" style="52" bestFit="1" customWidth="1"/>
    <col min="3335" max="3335" width="8.33203125" style="52" bestFit="1" customWidth="1"/>
    <col min="3336" max="3337" width="8.33203125" style="52" customWidth="1"/>
    <col min="3338" max="3338" width="9.1640625" style="52" bestFit="1" customWidth="1"/>
    <col min="3339" max="3573" width="9" style="52"/>
    <col min="3574" max="3574" width="20.5" style="52" customWidth="1"/>
    <col min="3575" max="3575" width="8.5" style="52" customWidth="1"/>
    <col min="3576" max="3576" width="10" style="52" customWidth="1"/>
    <col min="3577" max="3577" width="8.5" style="52" customWidth="1"/>
    <col min="3578" max="3580" width="9.5" style="52" bestFit="1" customWidth="1"/>
    <col min="3581" max="3581" width="8.33203125" style="52" bestFit="1" customWidth="1"/>
    <col min="3582" max="3582" width="8.33203125" style="52" customWidth="1"/>
    <col min="3583" max="3585" width="9.5" style="52" bestFit="1" customWidth="1"/>
    <col min="3586" max="3586" width="8.33203125" style="52" bestFit="1" customWidth="1"/>
    <col min="3587" max="3587" width="8.33203125" style="52" customWidth="1"/>
    <col min="3588" max="3590" width="9.5" style="52" bestFit="1" customWidth="1"/>
    <col min="3591" max="3591" width="8.33203125" style="52" bestFit="1" customWidth="1"/>
    <col min="3592" max="3593" width="8.33203125" style="52" customWidth="1"/>
    <col min="3594" max="3594" width="9.1640625" style="52" bestFit="1" customWidth="1"/>
    <col min="3595" max="3829" width="9" style="52"/>
    <col min="3830" max="3830" width="20.5" style="52" customWidth="1"/>
    <col min="3831" max="3831" width="8.5" style="52" customWidth="1"/>
    <col min="3832" max="3832" width="10" style="52" customWidth="1"/>
    <col min="3833" max="3833" width="8.5" style="52" customWidth="1"/>
    <col min="3834" max="3836" width="9.5" style="52" bestFit="1" customWidth="1"/>
    <col min="3837" max="3837" width="8.33203125" style="52" bestFit="1" customWidth="1"/>
    <col min="3838" max="3838" width="8.33203125" style="52" customWidth="1"/>
    <col min="3839" max="3841" width="9.5" style="52" bestFit="1" customWidth="1"/>
    <col min="3842" max="3842" width="8.33203125" style="52" bestFit="1" customWidth="1"/>
    <col min="3843" max="3843" width="8.33203125" style="52" customWidth="1"/>
    <col min="3844" max="3846" width="9.5" style="52" bestFit="1" customWidth="1"/>
    <col min="3847" max="3847" width="8.33203125" style="52" bestFit="1" customWidth="1"/>
    <col min="3848" max="3849" width="8.33203125" style="52" customWidth="1"/>
    <col min="3850" max="3850" width="9.1640625" style="52" bestFit="1" customWidth="1"/>
    <col min="3851" max="4085" width="9" style="52"/>
    <col min="4086" max="4086" width="20.5" style="52" customWidth="1"/>
    <col min="4087" max="4087" width="8.5" style="52" customWidth="1"/>
    <col min="4088" max="4088" width="10" style="52" customWidth="1"/>
    <col min="4089" max="4089" width="8.5" style="52" customWidth="1"/>
    <col min="4090" max="4092" width="9.5" style="52" bestFit="1" customWidth="1"/>
    <col min="4093" max="4093" width="8.33203125" style="52" bestFit="1" customWidth="1"/>
    <col min="4094" max="4094" width="8.33203125" style="52" customWidth="1"/>
    <col min="4095" max="4097" width="9.5" style="52" bestFit="1" customWidth="1"/>
    <col min="4098" max="4098" width="8.33203125" style="52" bestFit="1" customWidth="1"/>
    <col min="4099" max="4099" width="8.33203125" style="52" customWidth="1"/>
    <col min="4100" max="4102" width="9.5" style="52" bestFit="1" customWidth="1"/>
    <col min="4103" max="4103" width="8.33203125" style="52" bestFit="1" customWidth="1"/>
    <col min="4104" max="4105" width="8.33203125" style="52" customWidth="1"/>
    <col min="4106" max="4106" width="9.1640625" style="52" bestFit="1" customWidth="1"/>
    <col min="4107" max="4341" width="9" style="52"/>
    <col min="4342" max="4342" width="20.5" style="52" customWidth="1"/>
    <col min="4343" max="4343" width="8.5" style="52" customWidth="1"/>
    <col min="4344" max="4344" width="10" style="52" customWidth="1"/>
    <col min="4345" max="4345" width="8.5" style="52" customWidth="1"/>
    <col min="4346" max="4348" width="9.5" style="52" bestFit="1" customWidth="1"/>
    <col min="4349" max="4349" width="8.33203125" style="52" bestFit="1" customWidth="1"/>
    <col min="4350" max="4350" width="8.33203125" style="52" customWidth="1"/>
    <col min="4351" max="4353" width="9.5" style="52" bestFit="1" customWidth="1"/>
    <col min="4354" max="4354" width="8.33203125" style="52" bestFit="1" customWidth="1"/>
    <col min="4355" max="4355" width="8.33203125" style="52" customWidth="1"/>
    <col min="4356" max="4358" width="9.5" style="52" bestFit="1" customWidth="1"/>
    <col min="4359" max="4359" width="8.33203125" style="52" bestFit="1" customWidth="1"/>
    <col min="4360" max="4361" width="8.33203125" style="52" customWidth="1"/>
    <col min="4362" max="4362" width="9.1640625" style="52" bestFit="1" customWidth="1"/>
    <col min="4363" max="4597" width="9" style="52"/>
    <col min="4598" max="4598" width="20.5" style="52" customWidth="1"/>
    <col min="4599" max="4599" width="8.5" style="52" customWidth="1"/>
    <col min="4600" max="4600" width="10" style="52" customWidth="1"/>
    <col min="4601" max="4601" width="8.5" style="52" customWidth="1"/>
    <col min="4602" max="4604" width="9.5" style="52" bestFit="1" customWidth="1"/>
    <col min="4605" max="4605" width="8.33203125" style="52" bestFit="1" customWidth="1"/>
    <col min="4606" max="4606" width="8.33203125" style="52" customWidth="1"/>
    <col min="4607" max="4609" width="9.5" style="52" bestFit="1" customWidth="1"/>
    <col min="4610" max="4610" width="8.33203125" style="52" bestFit="1" customWidth="1"/>
    <col min="4611" max="4611" width="8.33203125" style="52" customWidth="1"/>
    <col min="4612" max="4614" width="9.5" style="52" bestFit="1" customWidth="1"/>
    <col min="4615" max="4615" width="8.33203125" style="52" bestFit="1" customWidth="1"/>
    <col min="4616" max="4617" width="8.33203125" style="52" customWidth="1"/>
    <col min="4618" max="4618" width="9.1640625" style="52" bestFit="1" customWidth="1"/>
    <col min="4619" max="4853" width="9" style="52"/>
    <col min="4854" max="4854" width="20.5" style="52" customWidth="1"/>
    <col min="4855" max="4855" width="8.5" style="52" customWidth="1"/>
    <col min="4856" max="4856" width="10" style="52" customWidth="1"/>
    <col min="4857" max="4857" width="8.5" style="52" customWidth="1"/>
    <col min="4858" max="4860" width="9.5" style="52" bestFit="1" customWidth="1"/>
    <col min="4861" max="4861" width="8.33203125" style="52" bestFit="1" customWidth="1"/>
    <col min="4862" max="4862" width="8.33203125" style="52" customWidth="1"/>
    <col min="4863" max="4865" width="9.5" style="52" bestFit="1" customWidth="1"/>
    <col min="4866" max="4866" width="8.33203125" style="52" bestFit="1" customWidth="1"/>
    <col min="4867" max="4867" width="8.33203125" style="52" customWidth="1"/>
    <col min="4868" max="4870" width="9.5" style="52" bestFit="1" customWidth="1"/>
    <col min="4871" max="4871" width="8.33203125" style="52" bestFit="1" customWidth="1"/>
    <col min="4872" max="4873" width="8.33203125" style="52" customWidth="1"/>
    <col min="4874" max="4874" width="9.1640625" style="52" bestFit="1" customWidth="1"/>
    <col min="4875" max="5109" width="9" style="52"/>
    <col min="5110" max="5110" width="20.5" style="52" customWidth="1"/>
    <col min="5111" max="5111" width="8.5" style="52" customWidth="1"/>
    <col min="5112" max="5112" width="10" style="52" customWidth="1"/>
    <col min="5113" max="5113" width="8.5" style="52" customWidth="1"/>
    <col min="5114" max="5116" width="9.5" style="52" bestFit="1" customWidth="1"/>
    <col min="5117" max="5117" width="8.33203125" style="52" bestFit="1" customWidth="1"/>
    <col min="5118" max="5118" width="8.33203125" style="52" customWidth="1"/>
    <col min="5119" max="5121" width="9.5" style="52" bestFit="1" customWidth="1"/>
    <col min="5122" max="5122" width="8.33203125" style="52" bestFit="1" customWidth="1"/>
    <col min="5123" max="5123" width="8.33203125" style="52" customWidth="1"/>
    <col min="5124" max="5126" width="9.5" style="52" bestFit="1" customWidth="1"/>
    <col min="5127" max="5127" width="8.33203125" style="52" bestFit="1" customWidth="1"/>
    <col min="5128" max="5129" width="8.33203125" style="52" customWidth="1"/>
    <col min="5130" max="5130" width="9.1640625" style="52" bestFit="1" customWidth="1"/>
    <col min="5131" max="5365" width="9" style="52"/>
    <col min="5366" max="5366" width="20.5" style="52" customWidth="1"/>
    <col min="5367" max="5367" width="8.5" style="52" customWidth="1"/>
    <col min="5368" max="5368" width="10" style="52" customWidth="1"/>
    <col min="5369" max="5369" width="8.5" style="52" customWidth="1"/>
    <col min="5370" max="5372" width="9.5" style="52" bestFit="1" customWidth="1"/>
    <col min="5373" max="5373" width="8.33203125" style="52" bestFit="1" customWidth="1"/>
    <col min="5374" max="5374" width="8.33203125" style="52" customWidth="1"/>
    <col min="5375" max="5377" width="9.5" style="52" bestFit="1" customWidth="1"/>
    <col min="5378" max="5378" width="8.33203125" style="52" bestFit="1" customWidth="1"/>
    <col min="5379" max="5379" width="8.33203125" style="52" customWidth="1"/>
    <col min="5380" max="5382" width="9.5" style="52" bestFit="1" customWidth="1"/>
    <col min="5383" max="5383" width="8.33203125" style="52" bestFit="1" customWidth="1"/>
    <col min="5384" max="5385" width="8.33203125" style="52" customWidth="1"/>
    <col min="5386" max="5386" width="9.1640625" style="52" bestFit="1" customWidth="1"/>
    <col min="5387" max="5621" width="9" style="52"/>
    <col min="5622" max="5622" width="20.5" style="52" customWidth="1"/>
    <col min="5623" max="5623" width="8.5" style="52" customWidth="1"/>
    <col min="5624" max="5624" width="10" style="52" customWidth="1"/>
    <col min="5625" max="5625" width="8.5" style="52" customWidth="1"/>
    <col min="5626" max="5628" width="9.5" style="52" bestFit="1" customWidth="1"/>
    <col min="5629" max="5629" width="8.33203125" style="52" bestFit="1" customWidth="1"/>
    <col min="5630" max="5630" width="8.33203125" style="52" customWidth="1"/>
    <col min="5631" max="5633" width="9.5" style="52" bestFit="1" customWidth="1"/>
    <col min="5634" max="5634" width="8.33203125" style="52" bestFit="1" customWidth="1"/>
    <col min="5635" max="5635" width="8.33203125" style="52" customWidth="1"/>
    <col min="5636" max="5638" width="9.5" style="52" bestFit="1" customWidth="1"/>
    <col min="5639" max="5639" width="8.33203125" style="52" bestFit="1" customWidth="1"/>
    <col min="5640" max="5641" width="8.33203125" style="52" customWidth="1"/>
    <col min="5642" max="5642" width="9.1640625" style="52" bestFit="1" customWidth="1"/>
    <col min="5643" max="5877" width="9" style="52"/>
    <col min="5878" max="5878" width="20.5" style="52" customWidth="1"/>
    <col min="5879" max="5879" width="8.5" style="52" customWidth="1"/>
    <col min="5880" max="5880" width="10" style="52" customWidth="1"/>
    <col min="5881" max="5881" width="8.5" style="52" customWidth="1"/>
    <col min="5882" max="5884" width="9.5" style="52" bestFit="1" customWidth="1"/>
    <col min="5885" max="5885" width="8.33203125" style="52" bestFit="1" customWidth="1"/>
    <col min="5886" max="5886" width="8.33203125" style="52" customWidth="1"/>
    <col min="5887" max="5889" width="9.5" style="52" bestFit="1" customWidth="1"/>
    <col min="5890" max="5890" width="8.33203125" style="52" bestFit="1" customWidth="1"/>
    <col min="5891" max="5891" width="8.33203125" style="52" customWidth="1"/>
    <col min="5892" max="5894" width="9.5" style="52" bestFit="1" customWidth="1"/>
    <col min="5895" max="5895" width="8.33203125" style="52" bestFit="1" customWidth="1"/>
    <col min="5896" max="5897" width="8.33203125" style="52" customWidth="1"/>
    <col min="5898" max="5898" width="9.1640625" style="52" bestFit="1" customWidth="1"/>
    <col min="5899" max="6133" width="9" style="52"/>
    <col min="6134" max="6134" width="20.5" style="52" customWidth="1"/>
    <col min="6135" max="6135" width="8.5" style="52" customWidth="1"/>
    <col min="6136" max="6136" width="10" style="52" customWidth="1"/>
    <col min="6137" max="6137" width="8.5" style="52" customWidth="1"/>
    <col min="6138" max="6140" width="9.5" style="52" bestFit="1" customWidth="1"/>
    <col min="6141" max="6141" width="8.33203125" style="52" bestFit="1" customWidth="1"/>
    <col min="6142" max="6142" width="8.33203125" style="52" customWidth="1"/>
    <col min="6143" max="6145" width="9.5" style="52" bestFit="1" customWidth="1"/>
    <col min="6146" max="6146" width="8.33203125" style="52" bestFit="1" customWidth="1"/>
    <col min="6147" max="6147" width="8.33203125" style="52" customWidth="1"/>
    <col min="6148" max="6150" width="9.5" style="52" bestFit="1" customWidth="1"/>
    <col min="6151" max="6151" width="8.33203125" style="52" bestFit="1" customWidth="1"/>
    <col min="6152" max="6153" width="8.33203125" style="52" customWidth="1"/>
    <col min="6154" max="6154" width="9.1640625" style="52" bestFit="1" customWidth="1"/>
    <col min="6155" max="6389" width="9" style="52"/>
    <col min="6390" max="6390" width="20.5" style="52" customWidth="1"/>
    <col min="6391" max="6391" width="8.5" style="52" customWidth="1"/>
    <col min="6392" max="6392" width="10" style="52" customWidth="1"/>
    <col min="6393" max="6393" width="8.5" style="52" customWidth="1"/>
    <col min="6394" max="6396" width="9.5" style="52" bestFit="1" customWidth="1"/>
    <col min="6397" max="6397" width="8.33203125" style="52" bestFit="1" customWidth="1"/>
    <col min="6398" max="6398" width="8.33203125" style="52" customWidth="1"/>
    <col min="6399" max="6401" width="9.5" style="52" bestFit="1" customWidth="1"/>
    <col min="6402" max="6402" width="8.33203125" style="52" bestFit="1" customWidth="1"/>
    <col min="6403" max="6403" width="8.33203125" style="52" customWidth="1"/>
    <col min="6404" max="6406" width="9.5" style="52" bestFit="1" customWidth="1"/>
    <col min="6407" max="6407" width="8.33203125" style="52" bestFit="1" customWidth="1"/>
    <col min="6408" max="6409" width="8.33203125" style="52" customWidth="1"/>
    <col min="6410" max="6410" width="9.1640625" style="52" bestFit="1" customWidth="1"/>
    <col min="6411" max="6645" width="9" style="52"/>
    <col min="6646" max="6646" width="20.5" style="52" customWidth="1"/>
    <col min="6647" max="6647" width="8.5" style="52" customWidth="1"/>
    <col min="6648" max="6648" width="10" style="52" customWidth="1"/>
    <col min="6649" max="6649" width="8.5" style="52" customWidth="1"/>
    <col min="6650" max="6652" width="9.5" style="52" bestFit="1" customWidth="1"/>
    <col min="6653" max="6653" width="8.33203125" style="52" bestFit="1" customWidth="1"/>
    <col min="6654" max="6654" width="8.33203125" style="52" customWidth="1"/>
    <col min="6655" max="6657" width="9.5" style="52" bestFit="1" customWidth="1"/>
    <col min="6658" max="6658" width="8.33203125" style="52" bestFit="1" customWidth="1"/>
    <col min="6659" max="6659" width="8.33203125" style="52" customWidth="1"/>
    <col min="6660" max="6662" width="9.5" style="52" bestFit="1" customWidth="1"/>
    <col min="6663" max="6663" width="8.33203125" style="52" bestFit="1" customWidth="1"/>
    <col min="6664" max="6665" width="8.33203125" style="52" customWidth="1"/>
    <col min="6666" max="6666" width="9.1640625" style="52" bestFit="1" customWidth="1"/>
    <col min="6667" max="6901" width="9" style="52"/>
    <col min="6902" max="6902" width="20.5" style="52" customWidth="1"/>
    <col min="6903" max="6903" width="8.5" style="52" customWidth="1"/>
    <col min="6904" max="6904" width="10" style="52" customWidth="1"/>
    <col min="6905" max="6905" width="8.5" style="52" customWidth="1"/>
    <col min="6906" max="6908" width="9.5" style="52" bestFit="1" customWidth="1"/>
    <col min="6909" max="6909" width="8.33203125" style="52" bestFit="1" customWidth="1"/>
    <col min="6910" max="6910" width="8.33203125" style="52" customWidth="1"/>
    <col min="6911" max="6913" width="9.5" style="52" bestFit="1" customWidth="1"/>
    <col min="6914" max="6914" width="8.33203125" style="52" bestFit="1" customWidth="1"/>
    <col min="6915" max="6915" width="8.33203125" style="52" customWidth="1"/>
    <col min="6916" max="6918" width="9.5" style="52" bestFit="1" customWidth="1"/>
    <col min="6919" max="6919" width="8.33203125" style="52" bestFit="1" customWidth="1"/>
    <col min="6920" max="6921" width="8.33203125" style="52" customWidth="1"/>
    <col min="6922" max="6922" width="9.1640625" style="52" bestFit="1" customWidth="1"/>
    <col min="6923" max="7157" width="9" style="52"/>
    <col min="7158" max="7158" width="20.5" style="52" customWidth="1"/>
    <col min="7159" max="7159" width="8.5" style="52" customWidth="1"/>
    <col min="7160" max="7160" width="10" style="52" customWidth="1"/>
    <col min="7161" max="7161" width="8.5" style="52" customWidth="1"/>
    <col min="7162" max="7164" width="9.5" style="52" bestFit="1" customWidth="1"/>
    <col min="7165" max="7165" width="8.33203125" style="52" bestFit="1" customWidth="1"/>
    <col min="7166" max="7166" width="8.33203125" style="52" customWidth="1"/>
    <col min="7167" max="7169" width="9.5" style="52" bestFit="1" customWidth="1"/>
    <col min="7170" max="7170" width="8.33203125" style="52" bestFit="1" customWidth="1"/>
    <col min="7171" max="7171" width="8.33203125" style="52" customWidth="1"/>
    <col min="7172" max="7174" width="9.5" style="52" bestFit="1" customWidth="1"/>
    <col min="7175" max="7175" width="8.33203125" style="52" bestFit="1" customWidth="1"/>
    <col min="7176" max="7177" width="8.33203125" style="52" customWidth="1"/>
    <col min="7178" max="7178" width="9.1640625" style="52" bestFit="1" customWidth="1"/>
    <col min="7179" max="7413" width="9" style="52"/>
    <col min="7414" max="7414" width="20.5" style="52" customWidth="1"/>
    <col min="7415" max="7415" width="8.5" style="52" customWidth="1"/>
    <col min="7416" max="7416" width="10" style="52" customWidth="1"/>
    <col min="7417" max="7417" width="8.5" style="52" customWidth="1"/>
    <col min="7418" max="7420" width="9.5" style="52" bestFit="1" customWidth="1"/>
    <col min="7421" max="7421" width="8.33203125" style="52" bestFit="1" customWidth="1"/>
    <col min="7422" max="7422" width="8.33203125" style="52" customWidth="1"/>
    <col min="7423" max="7425" width="9.5" style="52" bestFit="1" customWidth="1"/>
    <col min="7426" max="7426" width="8.33203125" style="52" bestFit="1" customWidth="1"/>
    <col min="7427" max="7427" width="8.33203125" style="52" customWidth="1"/>
    <col min="7428" max="7430" width="9.5" style="52" bestFit="1" customWidth="1"/>
    <col min="7431" max="7431" width="8.33203125" style="52" bestFit="1" customWidth="1"/>
    <col min="7432" max="7433" width="8.33203125" style="52" customWidth="1"/>
    <col min="7434" max="7434" width="9.1640625" style="52" bestFit="1" customWidth="1"/>
    <col min="7435" max="7669" width="9" style="52"/>
    <col min="7670" max="7670" width="20.5" style="52" customWidth="1"/>
    <col min="7671" max="7671" width="8.5" style="52" customWidth="1"/>
    <col min="7672" max="7672" width="10" style="52" customWidth="1"/>
    <col min="7673" max="7673" width="8.5" style="52" customWidth="1"/>
    <col min="7674" max="7676" width="9.5" style="52" bestFit="1" customWidth="1"/>
    <col min="7677" max="7677" width="8.33203125" style="52" bestFit="1" customWidth="1"/>
    <col min="7678" max="7678" width="8.33203125" style="52" customWidth="1"/>
    <col min="7679" max="7681" width="9.5" style="52" bestFit="1" customWidth="1"/>
    <col min="7682" max="7682" width="8.33203125" style="52" bestFit="1" customWidth="1"/>
    <col min="7683" max="7683" width="8.33203125" style="52" customWidth="1"/>
    <col min="7684" max="7686" width="9.5" style="52" bestFit="1" customWidth="1"/>
    <col min="7687" max="7687" width="8.33203125" style="52" bestFit="1" customWidth="1"/>
    <col min="7688" max="7689" width="8.33203125" style="52" customWidth="1"/>
    <col min="7690" max="7690" width="9.1640625" style="52" bestFit="1" customWidth="1"/>
    <col min="7691" max="7925" width="9" style="52"/>
    <col min="7926" max="7926" width="20.5" style="52" customWidth="1"/>
    <col min="7927" max="7927" width="8.5" style="52" customWidth="1"/>
    <col min="7928" max="7928" width="10" style="52" customWidth="1"/>
    <col min="7929" max="7929" width="8.5" style="52" customWidth="1"/>
    <col min="7930" max="7932" width="9.5" style="52" bestFit="1" customWidth="1"/>
    <col min="7933" max="7933" width="8.33203125" style="52" bestFit="1" customWidth="1"/>
    <col min="7934" max="7934" width="8.33203125" style="52" customWidth="1"/>
    <col min="7935" max="7937" width="9.5" style="52" bestFit="1" customWidth="1"/>
    <col min="7938" max="7938" width="8.33203125" style="52" bestFit="1" customWidth="1"/>
    <col min="7939" max="7939" width="8.33203125" style="52" customWidth="1"/>
    <col min="7940" max="7942" width="9.5" style="52" bestFit="1" customWidth="1"/>
    <col min="7943" max="7943" width="8.33203125" style="52" bestFit="1" customWidth="1"/>
    <col min="7944" max="7945" width="8.33203125" style="52" customWidth="1"/>
    <col min="7946" max="7946" width="9.1640625" style="52" bestFit="1" customWidth="1"/>
    <col min="7947" max="8181" width="9" style="52"/>
    <col min="8182" max="8182" width="20.5" style="52" customWidth="1"/>
    <col min="8183" max="8183" width="8.5" style="52" customWidth="1"/>
    <col min="8184" max="8184" width="10" style="52" customWidth="1"/>
    <col min="8185" max="8185" width="8.5" style="52" customWidth="1"/>
    <col min="8186" max="8188" width="9.5" style="52" bestFit="1" customWidth="1"/>
    <col min="8189" max="8189" width="8.33203125" style="52" bestFit="1" customWidth="1"/>
    <col min="8190" max="8190" width="8.33203125" style="52" customWidth="1"/>
    <col min="8191" max="8193" width="9.5" style="52" bestFit="1" customWidth="1"/>
    <col min="8194" max="8194" width="8.33203125" style="52" bestFit="1" customWidth="1"/>
    <col min="8195" max="8195" width="8.33203125" style="52" customWidth="1"/>
    <col min="8196" max="8198" width="9.5" style="52" bestFit="1" customWidth="1"/>
    <col min="8199" max="8199" width="8.33203125" style="52" bestFit="1" customWidth="1"/>
    <col min="8200" max="8201" width="8.33203125" style="52" customWidth="1"/>
    <col min="8202" max="8202" width="9.1640625" style="52" bestFit="1" customWidth="1"/>
    <col min="8203" max="8437" width="9" style="52"/>
    <col min="8438" max="8438" width="20.5" style="52" customWidth="1"/>
    <col min="8439" max="8439" width="8.5" style="52" customWidth="1"/>
    <col min="8440" max="8440" width="10" style="52" customWidth="1"/>
    <col min="8441" max="8441" width="8.5" style="52" customWidth="1"/>
    <col min="8442" max="8444" width="9.5" style="52" bestFit="1" customWidth="1"/>
    <col min="8445" max="8445" width="8.33203125" style="52" bestFit="1" customWidth="1"/>
    <col min="8446" max="8446" width="8.33203125" style="52" customWidth="1"/>
    <col min="8447" max="8449" width="9.5" style="52" bestFit="1" customWidth="1"/>
    <col min="8450" max="8450" width="8.33203125" style="52" bestFit="1" customWidth="1"/>
    <col min="8451" max="8451" width="8.33203125" style="52" customWidth="1"/>
    <col min="8452" max="8454" width="9.5" style="52" bestFit="1" customWidth="1"/>
    <col min="8455" max="8455" width="8.33203125" style="52" bestFit="1" customWidth="1"/>
    <col min="8456" max="8457" width="8.33203125" style="52" customWidth="1"/>
    <col min="8458" max="8458" width="9.1640625" style="52" bestFit="1" customWidth="1"/>
    <col min="8459" max="8693" width="9" style="52"/>
    <col min="8694" max="8694" width="20.5" style="52" customWidth="1"/>
    <col min="8695" max="8695" width="8.5" style="52" customWidth="1"/>
    <col min="8696" max="8696" width="10" style="52" customWidth="1"/>
    <col min="8697" max="8697" width="8.5" style="52" customWidth="1"/>
    <col min="8698" max="8700" width="9.5" style="52" bestFit="1" customWidth="1"/>
    <col min="8701" max="8701" width="8.33203125" style="52" bestFit="1" customWidth="1"/>
    <col min="8702" max="8702" width="8.33203125" style="52" customWidth="1"/>
    <col min="8703" max="8705" width="9.5" style="52" bestFit="1" customWidth="1"/>
    <col min="8706" max="8706" width="8.33203125" style="52" bestFit="1" customWidth="1"/>
    <col min="8707" max="8707" width="8.33203125" style="52" customWidth="1"/>
    <col min="8708" max="8710" width="9.5" style="52" bestFit="1" customWidth="1"/>
    <col min="8711" max="8711" width="8.33203125" style="52" bestFit="1" customWidth="1"/>
    <col min="8712" max="8713" width="8.33203125" style="52" customWidth="1"/>
    <col min="8714" max="8714" width="9.1640625" style="52" bestFit="1" customWidth="1"/>
    <col min="8715" max="8949" width="9" style="52"/>
    <col min="8950" max="8950" width="20.5" style="52" customWidth="1"/>
    <col min="8951" max="8951" width="8.5" style="52" customWidth="1"/>
    <col min="8952" max="8952" width="10" style="52" customWidth="1"/>
    <col min="8953" max="8953" width="8.5" style="52" customWidth="1"/>
    <col min="8954" max="8956" width="9.5" style="52" bestFit="1" customWidth="1"/>
    <col min="8957" max="8957" width="8.33203125" style="52" bestFit="1" customWidth="1"/>
    <col min="8958" max="8958" width="8.33203125" style="52" customWidth="1"/>
    <col min="8959" max="8961" width="9.5" style="52" bestFit="1" customWidth="1"/>
    <col min="8962" max="8962" width="8.33203125" style="52" bestFit="1" customWidth="1"/>
    <col min="8963" max="8963" width="8.33203125" style="52" customWidth="1"/>
    <col min="8964" max="8966" width="9.5" style="52" bestFit="1" customWidth="1"/>
    <col min="8967" max="8967" width="8.33203125" style="52" bestFit="1" customWidth="1"/>
    <col min="8968" max="8969" width="8.33203125" style="52" customWidth="1"/>
    <col min="8970" max="8970" width="9.1640625" style="52" bestFit="1" customWidth="1"/>
    <col min="8971" max="9205" width="9" style="52"/>
    <col min="9206" max="9206" width="20.5" style="52" customWidth="1"/>
    <col min="9207" max="9207" width="8.5" style="52" customWidth="1"/>
    <col min="9208" max="9208" width="10" style="52" customWidth="1"/>
    <col min="9209" max="9209" width="8.5" style="52" customWidth="1"/>
    <col min="9210" max="9212" width="9.5" style="52" bestFit="1" customWidth="1"/>
    <col min="9213" max="9213" width="8.33203125" style="52" bestFit="1" customWidth="1"/>
    <col min="9214" max="9214" width="8.33203125" style="52" customWidth="1"/>
    <col min="9215" max="9217" width="9.5" style="52" bestFit="1" customWidth="1"/>
    <col min="9218" max="9218" width="8.33203125" style="52" bestFit="1" customWidth="1"/>
    <col min="9219" max="9219" width="8.33203125" style="52" customWidth="1"/>
    <col min="9220" max="9222" width="9.5" style="52" bestFit="1" customWidth="1"/>
    <col min="9223" max="9223" width="8.33203125" style="52" bestFit="1" customWidth="1"/>
    <col min="9224" max="9225" width="8.33203125" style="52" customWidth="1"/>
    <col min="9226" max="9226" width="9.1640625" style="52" bestFit="1" customWidth="1"/>
    <col min="9227" max="9461" width="9" style="52"/>
    <col min="9462" max="9462" width="20.5" style="52" customWidth="1"/>
    <col min="9463" max="9463" width="8.5" style="52" customWidth="1"/>
    <col min="9464" max="9464" width="10" style="52" customWidth="1"/>
    <col min="9465" max="9465" width="8.5" style="52" customWidth="1"/>
    <col min="9466" max="9468" width="9.5" style="52" bestFit="1" customWidth="1"/>
    <col min="9469" max="9469" width="8.33203125" style="52" bestFit="1" customWidth="1"/>
    <col min="9470" max="9470" width="8.33203125" style="52" customWidth="1"/>
    <col min="9471" max="9473" width="9.5" style="52" bestFit="1" customWidth="1"/>
    <col min="9474" max="9474" width="8.33203125" style="52" bestFit="1" customWidth="1"/>
    <col min="9475" max="9475" width="8.33203125" style="52" customWidth="1"/>
    <col min="9476" max="9478" width="9.5" style="52" bestFit="1" customWidth="1"/>
    <col min="9479" max="9479" width="8.33203125" style="52" bestFit="1" customWidth="1"/>
    <col min="9480" max="9481" width="8.33203125" style="52" customWidth="1"/>
    <col min="9482" max="9482" width="9.1640625" style="52" bestFit="1" customWidth="1"/>
    <col min="9483" max="9717" width="9" style="52"/>
    <col min="9718" max="9718" width="20.5" style="52" customWidth="1"/>
    <col min="9719" max="9719" width="8.5" style="52" customWidth="1"/>
    <col min="9720" max="9720" width="10" style="52" customWidth="1"/>
    <col min="9721" max="9721" width="8.5" style="52" customWidth="1"/>
    <col min="9722" max="9724" width="9.5" style="52" bestFit="1" customWidth="1"/>
    <col min="9725" max="9725" width="8.33203125" style="52" bestFit="1" customWidth="1"/>
    <col min="9726" max="9726" width="8.33203125" style="52" customWidth="1"/>
    <col min="9727" max="9729" width="9.5" style="52" bestFit="1" customWidth="1"/>
    <col min="9730" max="9730" width="8.33203125" style="52" bestFit="1" customWidth="1"/>
    <col min="9731" max="9731" width="8.33203125" style="52" customWidth="1"/>
    <col min="9732" max="9734" width="9.5" style="52" bestFit="1" customWidth="1"/>
    <col min="9735" max="9735" width="8.33203125" style="52" bestFit="1" customWidth="1"/>
    <col min="9736" max="9737" width="8.33203125" style="52" customWidth="1"/>
    <col min="9738" max="9738" width="9.1640625" style="52" bestFit="1" customWidth="1"/>
    <col min="9739" max="9973" width="9" style="52"/>
    <col min="9974" max="9974" width="20.5" style="52" customWidth="1"/>
    <col min="9975" max="9975" width="8.5" style="52" customWidth="1"/>
    <col min="9976" max="9976" width="10" style="52" customWidth="1"/>
    <col min="9977" max="9977" width="8.5" style="52" customWidth="1"/>
    <col min="9978" max="9980" width="9.5" style="52" bestFit="1" customWidth="1"/>
    <col min="9981" max="9981" width="8.33203125" style="52" bestFit="1" customWidth="1"/>
    <col min="9982" max="9982" width="8.33203125" style="52" customWidth="1"/>
    <col min="9983" max="9985" width="9.5" style="52" bestFit="1" customWidth="1"/>
    <col min="9986" max="9986" width="8.33203125" style="52" bestFit="1" customWidth="1"/>
    <col min="9987" max="9987" width="8.33203125" style="52" customWidth="1"/>
    <col min="9988" max="9990" width="9.5" style="52" bestFit="1" customWidth="1"/>
    <col min="9991" max="9991" width="8.33203125" style="52" bestFit="1" customWidth="1"/>
    <col min="9992" max="9993" width="8.33203125" style="52" customWidth="1"/>
    <col min="9994" max="9994" width="9.1640625" style="52" bestFit="1" customWidth="1"/>
    <col min="9995" max="10229" width="9" style="52"/>
    <col min="10230" max="10230" width="20.5" style="52" customWidth="1"/>
    <col min="10231" max="10231" width="8.5" style="52" customWidth="1"/>
    <col min="10232" max="10232" width="10" style="52" customWidth="1"/>
    <col min="10233" max="10233" width="8.5" style="52" customWidth="1"/>
    <col min="10234" max="10236" width="9.5" style="52" bestFit="1" customWidth="1"/>
    <col min="10237" max="10237" width="8.33203125" style="52" bestFit="1" customWidth="1"/>
    <col min="10238" max="10238" width="8.33203125" style="52" customWidth="1"/>
    <col min="10239" max="10241" width="9.5" style="52" bestFit="1" customWidth="1"/>
    <col min="10242" max="10242" width="8.33203125" style="52" bestFit="1" customWidth="1"/>
    <col min="10243" max="10243" width="8.33203125" style="52" customWidth="1"/>
    <col min="10244" max="10246" width="9.5" style="52" bestFit="1" customWidth="1"/>
    <col min="10247" max="10247" width="8.33203125" style="52" bestFit="1" customWidth="1"/>
    <col min="10248" max="10249" width="8.33203125" style="52" customWidth="1"/>
    <col min="10250" max="10250" width="9.1640625" style="52" bestFit="1" customWidth="1"/>
    <col min="10251" max="10485" width="9" style="52"/>
    <col min="10486" max="10486" width="20.5" style="52" customWidth="1"/>
    <col min="10487" max="10487" width="8.5" style="52" customWidth="1"/>
    <col min="10488" max="10488" width="10" style="52" customWidth="1"/>
    <col min="10489" max="10489" width="8.5" style="52" customWidth="1"/>
    <col min="10490" max="10492" width="9.5" style="52" bestFit="1" customWidth="1"/>
    <col min="10493" max="10493" width="8.33203125" style="52" bestFit="1" customWidth="1"/>
    <col min="10494" max="10494" width="8.33203125" style="52" customWidth="1"/>
    <col min="10495" max="10497" width="9.5" style="52" bestFit="1" customWidth="1"/>
    <col min="10498" max="10498" width="8.33203125" style="52" bestFit="1" customWidth="1"/>
    <col min="10499" max="10499" width="8.33203125" style="52" customWidth="1"/>
    <col min="10500" max="10502" width="9.5" style="52" bestFit="1" customWidth="1"/>
    <col min="10503" max="10503" width="8.33203125" style="52" bestFit="1" customWidth="1"/>
    <col min="10504" max="10505" width="8.33203125" style="52" customWidth="1"/>
    <col min="10506" max="10506" width="9.1640625" style="52" bestFit="1" customWidth="1"/>
    <col min="10507" max="10741" width="9" style="52"/>
    <col min="10742" max="10742" width="20.5" style="52" customWidth="1"/>
    <col min="10743" max="10743" width="8.5" style="52" customWidth="1"/>
    <col min="10744" max="10744" width="10" style="52" customWidth="1"/>
    <col min="10745" max="10745" width="8.5" style="52" customWidth="1"/>
    <col min="10746" max="10748" width="9.5" style="52" bestFit="1" customWidth="1"/>
    <col min="10749" max="10749" width="8.33203125" style="52" bestFit="1" customWidth="1"/>
    <col min="10750" max="10750" width="8.33203125" style="52" customWidth="1"/>
    <col min="10751" max="10753" width="9.5" style="52" bestFit="1" customWidth="1"/>
    <col min="10754" max="10754" width="8.33203125" style="52" bestFit="1" customWidth="1"/>
    <col min="10755" max="10755" width="8.33203125" style="52" customWidth="1"/>
    <col min="10756" max="10758" width="9.5" style="52" bestFit="1" customWidth="1"/>
    <col min="10759" max="10759" width="8.33203125" style="52" bestFit="1" customWidth="1"/>
    <col min="10760" max="10761" width="8.33203125" style="52" customWidth="1"/>
    <col min="10762" max="10762" width="9.1640625" style="52" bestFit="1" customWidth="1"/>
    <col min="10763" max="10997" width="9" style="52"/>
    <col min="10998" max="10998" width="20.5" style="52" customWidth="1"/>
    <col min="10999" max="10999" width="8.5" style="52" customWidth="1"/>
    <col min="11000" max="11000" width="10" style="52" customWidth="1"/>
    <col min="11001" max="11001" width="8.5" style="52" customWidth="1"/>
    <col min="11002" max="11004" width="9.5" style="52" bestFit="1" customWidth="1"/>
    <col min="11005" max="11005" width="8.33203125" style="52" bestFit="1" customWidth="1"/>
    <col min="11006" max="11006" width="8.33203125" style="52" customWidth="1"/>
    <col min="11007" max="11009" width="9.5" style="52" bestFit="1" customWidth="1"/>
    <col min="11010" max="11010" width="8.33203125" style="52" bestFit="1" customWidth="1"/>
    <col min="11011" max="11011" width="8.33203125" style="52" customWidth="1"/>
    <col min="11012" max="11014" width="9.5" style="52" bestFit="1" customWidth="1"/>
    <col min="11015" max="11015" width="8.33203125" style="52" bestFit="1" customWidth="1"/>
    <col min="11016" max="11017" width="8.33203125" style="52" customWidth="1"/>
    <col min="11018" max="11018" width="9.1640625" style="52" bestFit="1" customWidth="1"/>
    <col min="11019" max="11253" width="9" style="52"/>
    <col min="11254" max="11254" width="20.5" style="52" customWidth="1"/>
    <col min="11255" max="11255" width="8.5" style="52" customWidth="1"/>
    <col min="11256" max="11256" width="10" style="52" customWidth="1"/>
    <col min="11257" max="11257" width="8.5" style="52" customWidth="1"/>
    <col min="11258" max="11260" width="9.5" style="52" bestFit="1" customWidth="1"/>
    <col min="11261" max="11261" width="8.33203125" style="52" bestFit="1" customWidth="1"/>
    <col min="11262" max="11262" width="8.33203125" style="52" customWidth="1"/>
    <col min="11263" max="11265" width="9.5" style="52" bestFit="1" customWidth="1"/>
    <col min="11266" max="11266" width="8.33203125" style="52" bestFit="1" customWidth="1"/>
    <col min="11267" max="11267" width="8.33203125" style="52" customWidth="1"/>
    <col min="11268" max="11270" width="9.5" style="52" bestFit="1" customWidth="1"/>
    <col min="11271" max="11271" width="8.33203125" style="52" bestFit="1" customWidth="1"/>
    <col min="11272" max="11273" width="8.33203125" style="52" customWidth="1"/>
    <col min="11274" max="11274" width="9.1640625" style="52" bestFit="1" customWidth="1"/>
    <col min="11275" max="11509" width="9" style="52"/>
    <col min="11510" max="11510" width="20.5" style="52" customWidth="1"/>
    <col min="11511" max="11511" width="8.5" style="52" customWidth="1"/>
    <col min="11512" max="11512" width="10" style="52" customWidth="1"/>
    <col min="11513" max="11513" width="8.5" style="52" customWidth="1"/>
    <col min="11514" max="11516" width="9.5" style="52" bestFit="1" customWidth="1"/>
    <col min="11517" max="11517" width="8.33203125" style="52" bestFit="1" customWidth="1"/>
    <col min="11518" max="11518" width="8.33203125" style="52" customWidth="1"/>
    <col min="11519" max="11521" width="9.5" style="52" bestFit="1" customWidth="1"/>
    <col min="11522" max="11522" width="8.33203125" style="52" bestFit="1" customWidth="1"/>
    <col min="11523" max="11523" width="8.33203125" style="52" customWidth="1"/>
    <col min="11524" max="11526" width="9.5" style="52" bestFit="1" customWidth="1"/>
    <col min="11527" max="11527" width="8.33203125" style="52" bestFit="1" customWidth="1"/>
    <col min="11528" max="11529" width="8.33203125" style="52" customWidth="1"/>
    <col min="11530" max="11530" width="9.1640625" style="52" bestFit="1" customWidth="1"/>
    <col min="11531" max="11765" width="9" style="52"/>
    <col min="11766" max="11766" width="20.5" style="52" customWidth="1"/>
    <col min="11767" max="11767" width="8.5" style="52" customWidth="1"/>
    <col min="11768" max="11768" width="10" style="52" customWidth="1"/>
    <col min="11769" max="11769" width="8.5" style="52" customWidth="1"/>
    <col min="11770" max="11772" width="9.5" style="52" bestFit="1" customWidth="1"/>
    <col min="11773" max="11773" width="8.33203125" style="52" bestFit="1" customWidth="1"/>
    <col min="11774" max="11774" width="8.33203125" style="52" customWidth="1"/>
    <col min="11775" max="11777" width="9.5" style="52" bestFit="1" customWidth="1"/>
    <col min="11778" max="11778" width="8.33203125" style="52" bestFit="1" customWidth="1"/>
    <col min="11779" max="11779" width="8.33203125" style="52" customWidth="1"/>
    <col min="11780" max="11782" width="9.5" style="52" bestFit="1" customWidth="1"/>
    <col min="11783" max="11783" width="8.33203125" style="52" bestFit="1" customWidth="1"/>
    <col min="11784" max="11785" width="8.33203125" style="52" customWidth="1"/>
    <col min="11786" max="11786" width="9.1640625" style="52" bestFit="1" customWidth="1"/>
    <col min="11787" max="12021" width="9" style="52"/>
    <col min="12022" max="12022" width="20.5" style="52" customWidth="1"/>
    <col min="12023" max="12023" width="8.5" style="52" customWidth="1"/>
    <col min="12024" max="12024" width="10" style="52" customWidth="1"/>
    <col min="12025" max="12025" width="8.5" style="52" customWidth="1"/>
    <col min="12026" max="12028" width="9.5" style="52" bestFit="1" customWidth="1"/>
    <col min="12029" max="12029" width="8.33203125" style="52" bestFit="1" customWidth="1"/>
    <col min="12030" max="12030" width="8.33203125" style="52" customWidth="1"/>
    <col min="12031" max="12033" width="9.5" style="52" bestFit="1" customWidth="1"/>
    <col min="12034" max="12034" width="8.33203125" style="52" bestFit="1" customWidth="1"/>
    <col min="12035" max="12035" width="8.33203125" style="52" customWidth="1"/>
    <col min="12036" max="12038" width="9.5" style="52" bestFit="1" customWidth="1"/>
    <col min="12039" max="12039" width="8.33203125" style="52" bestFit="1" customWidth="1"/>
    <col min="12040" max="12041" width="8.33203125" style="52" customWidth="1"/>
    <col min="12042" max="12042" width="9.1640625" style="52" bestFit="1" customWidth="1"/>
    <col min="12043" max="12277" width="9" style="52"/>
    <col min="12278" max="12278" width="20.5" style="52" customWidth="1"/>
    <col min="12279" max="12279" width="8.5" style="52" customWidth="1"/>
    <col min="12280" max="12280" width="10" style="52" customWidth="1"/>
    <col min="12281" max="12281" width="8.5" style="52" customWidth="1"/>
    <col min="12282" max="12284" width="9.5" style="52" bestFit="1" customWidth="1"/>
    <col min="12285" max="12285" width="8.33203125" style="52" bestFit="1" customWidth="1"/>
    <col min="12286" max="12286" width="8.33203125" style="52" customWidth="1"/>
    <col min="12287" max="12289" width="9.5" style="52" bestFit="1" customWidth="1"/>
    <col min="12290" max="12290" width="8.33203125" style="52" bestFit="1" customWidth="1"/>
    <col min="12291" max="12291" width="8.33203125" style="52" customWidth="1"/>
    <col min="12292" max="12294" width="9.5" style="52" bestFit="1" customWidth="1"/>
    <col min="12295" max="12295" width="8.33203125" style="52" bestFit="1" customWidth="1"/>
    <col min="12296" max="12297" width="8.33203125" style="52" customWidth="1"/>
    <col min="12298" max="12298" width="9.1640625" style="52" bestFit="1" customWidth="1"/>
    <col min="12299" max="12533" width="9" style="52"/>
    <col min="12534" max="12534" width="20.5" style="52" customWidth="1"/>
    <col min="12535" max="12535" width="8.5" style="52" customWidth="1"/>
    <col min="12536" max="12536" width="10" style="52" customWidth="1"/>
    <col min="12537" max="12537" width="8.5" style="52" customWidth="1"/>
    <col min="12538" max="12540" width="9.5" style="52" bestFit="1" customWidth="1"/>
    <col min="12541" max="12541" width="8.33203125" style="52" bestFit="1" customWidth="1"/>
    <col min="12542" max="12542" width="8.33203125" style="52" customWidth="1"/>
    <col min="12543" max="12545" width="9.5" style="52" bestFit="1" customWidth="1"/>
    <col min="12546" max="12546" width="8.33203125" style="52" bestFit="1" customWidth="1"/>
    <col min="12547" max="12547" width="8.33203125" style="52" customWidth="1"/>
    <col min="12548" max="12550" width="9.5" style="52" bestFit="1" customWidth="1"/>
    <col min="12551" max="12551" width="8.33203125" style="52" bestFit="1" customWidth="1"/>
    <col min="12552" max="12553" width="8.33203125" style="52" customWidth="1"/>
    <col min="12554" max="12554" width="9.1640625" style="52" bestFit="1" customWidth="1"/>
    <col min="12555" max="12789" width="9" style="52"/>
    <col min="12790" max="12790" width="20.5" style="52" customWidth="1"/>
    <col min="12791" max="12791" width="8.5" style="52" customWidth="1"/>
    <col min="12792" max="12792" width="10" style="52" customWidth="1"/>
    <col min="12793" max="12793" width="8.5" style="52" customWidth="1"/>
    <col min="12794" max="12796" width="9.5" style="52" bestFit="1" customWidth="1"/>
    <col min="12797" max="12797" width="8.33203125" style="52" bestFit="1" customWidth="1"/>
    <col min="12798" max="12798" width="8.33203125" style="52" customWidth="1"/>
    <col min="12799" max="12801" width="9.5" style="52" bestFit="1" customWidth="1"/>
    <col min="12802" max="12802" width="8.33203125" style="52" bestFit="1" customWidth="1"/>
    <col min="12803" max="12803" width="8.33203125" style="52" customWidth="1"/>
    <col min="12804" max="12806" width="9.5" style="52" bestFit="1" customWidth="1"/>
    <col min="12807" max="12807" width="8.33203125" style="52" bestFit="1" customWidth="1"/>
    <col min="12808" max="12809" width="8.33203125" style="52" customWidth="1"/>
    <col min="12810" max="12810" width="9.1640625" style="52" bestFit="1" customWidth="1"/>
    <col min="12811" max="13045" width="9" style="52"/>
    <col min="13046" max="13046" width="20.5" style="52" customWidth="1"/>
    <col min="13047" max="13047" width="8.5" style="52" customWidth="1"/>
    <col min="13048" max="13048" width="10" style="52" customWidth="1"/>
    <col min="13049" max="13049" width="8.5" style="52" customWidth="1"/>
    <col min="13050" max="13052" width="9.5" style="52" bestFit="1" customWidth="1"/>
    <col min="13053" max="13053" width="8.33203125" style="52" bestFit="1" customWidth="1"/>
    <col min="13054" max="13054" width="8.33203125" style="52" customWidth="1"/>
    <col min="13055" max="13057" width="9.5" style="52" bestFit="1" customWidth="1"/>
    <col min="13058" max="13058" width="8.33203125" style="52" bestFit="1" customWidth="1"/>
    <col min="13059" max="13059" width="8.33203125" style="52" customWidth="1"/>
    <col min="13060" max="13062" width="9.5" style="52" bestFit="1" customWidth="1"/>
    <col min="13063" max="13063" width="8.33203125" style="52" bestFit="1" customWidth="1"/>
    <col min="13064" max="13065" width="8.33203125" style="52" customWidth="1"/>
    <col min="13066" max="13066" width="9.1640625" style="52" bestFit="1" customWidth="1"/>
    <col min="13067" max="13301" width="9" style="52"/>
    <col min="13302" max="13302" width="20.5" style="52" customWidth="1"/>
    <col min="13303" max="13303" width="8.5" style="52" customWidth="1"/>
    <col min="13304" max="13304" width="10" style="52" customWidth="1"/>
    <col min="13305" max="13305" width="8.5" style="52" customWidth="1"/>
    <col min="13306" max="13308" width="9.5" style="52" bestFit="1" customWidth="1"/>
    <col min="13309" max="13309" width="8.33203125" style="52" bestFit="1" customWidth="1"/>
    <col min="13310" max="13310" width="8.33203125" style="52" customWidth="1"/>
    <col min="13311" max="13313" width="9.5" style="52" bestFit="1" customWidth="1"/>
    <col min="13314" max="13314" width="8.33203125" style="52" bestFit="1" customWidth="1"/>
    <col min="13315" max="13315" width="8.33203125" style="52" customWidth="1"/>
    <col min="13316" max="13318" width="9.5" style="52" bestFit="1" customWidth="1"/>
    <col min="13319" max="13319" width="8.33203125" style="52" bestFit="1" customWidth="1"/>
    <col min="13320" max="13321" width="8.33203125" style="52" customWidth="1"/>
    <col min="13322" max="13322" width="9.1640625" style="52" bestFit="1" customWidth="1"/>
    <col min="13323" max="13557" width="9" style="52"/>
    <col min="13558" max="13558" width="20.5" style="52" customWidth="1"/>
    <col min="13559" max="13559" width="8.5" style="52" customWidth="1"/>
    <col min="13560" max="13560" width="10" style="52" customWidth="1"/>
    <col min="13561" max="13561" width="8.5" style="52" customWidth="1"/>
    <col min="13562" max="13564" width="9.5" style="52" bestFit="1" customWidth="1"/>
    <col min="13565" max="13565" width="8.33203125" style="52" bestFit="1" customWidth="1"/>
    <col min="13566" max="13566" width="8.33203125" style="52" customWidth="1"/>
    <col min="13567" max="13569" width="9.5" style="52" bestFit="1" customWidth="1"/>
    <col min="13570" max="13570" width="8.33203125" style="52" bestFit="1" customWidth="1"/>
    <col min="13571" max="13571" width="8.33203125" style="52" customWidth="1"/>
    <col min="13572" max="13574" width="9.5" style="52" bestFit="1" customWidth="1"/>
    <col min="13575" max="13575" width="8.33203125" style="52" bestFit="1" customWidth="1"/>
    <col min="13576" max="13577" width="8.33203125" style="52" customWidth="1"/>
    <col min="13578" max="13578" width="9.1640625" style="52" bestFit="1" customWidth="1"/>
    <col min="13579" max="13813" width="9" style="52"/>
    <col min="13814" max="13814" width="20.5" style="52" customWidth="1"/>
    <col min="13815" max="13815" width="8.5" style="52" customWidth="1"/>
    <col min="13816" max="13816" width="10" style="52" customWidth="1"/>
    <col min="13817" max="13817" width="8.5" style="52" customWidth="1"/>
    <col min="13818" max="13820" width="9.5" style="52" bestFit="1" customWidth="1"/>
    <col min="13821" max="13821" width="8.33203125" style="52" bestFit="1" customWidth="1"/>
    <col min="13822" max="13822" width="8.33203125" style="52" customWidth="1"/>
    <col min="13823" max="13825" width="9.5" style="52" bestFit="1" customWidth="1"/>
    <col min="13826" max="13826" width="8.33203125" style="52" bestFit="1" customWidth="1"/>
    <col min="13827" max="13827" width="8.33203125" style="52" customWidth="1"/>
    <col min="13828" max="13830" width="9.5" style="52" bestFit="1" customWidth="1"/>
    <col min="13831" max="13831" width="8.33203125" style="52" bestFit="1" customWidth="1"/>
    <col min="13832" max="13833" width="8.33203125" style="52" customWidth="1"/>
    <col min="13834" max="13834" width="9.1640625" style="52" bestFit="1" customWidth="1"/>
    <col min="13835" max="14069" width="9" style="52"/>
    <col min="14070" max="14070" width="20.5" style="52" customWidth="1"/>
    <col min="14071" max="14071" width="8.5" style="52" customWidth="1"/>
    <col min="14072" max="14072" width="10" style="52" customWidth="1"/>
    <col min="14073" max="14073" width="8.5" style="52" customWidth="1"/>
    <col min="14074" max="14076" width="9.5" style="52" bestFit="1" customWidth="1"/>
    <col min="14077" max="14077" width="8.33203125" style="52" bestFit="1" customWidth="1"/>
    <col min="14078" max="14078" width="8.33203125" style="52" customWidth="1"/>
    <col min="14079" max="14081" width="9.5" style="52" bestFit="1" customWidth="1"/>
    <col min="14082" max="14082" width="8.33203125" style="52" bestFit="1" customWidth="1"/>
    <col min="14083" max="14083" width="8.33203125" style="52" customWidth="1"/>
    <col min="14084" max="14086" width="9.5" style="52" bestFit="1" customWidth="1"/>
    <col min="14087" max="14087" width="8.33203125" style="52" bestFit="1" customWidth="1"/>
    <col min="14088" max="14089" width="8.33203125" style="52" customWidth="1"/>
    <col min="14090" max="14090" width="9.1640625" style="52" bestFit="1" customWidth="1"/>
    <col min="14091" max="14325" width="9" style="52"/>
    <col min="14326" max="14326" width="20.5" style="52" customWidth="1"/>
    <col min="14327" max="14327" width="8.5" style="52" customWidth="1"/>
    <col min="14328" max="14328" width="10" style="52" customWidth="1"/>
    <col min="14329" max="14329" width="8.5" style="52" customWidth="1"/>
    <col min="14330" max="14332" width="9.5" style="52" bestFit="1" customWidth="1"/>
    <col min="14333" max="14333" width="8.33203125" style="52" bestFit="1" customWidth="1"/>
    <col min="14334" max="14334" width="8.33203125" style="52" customWidth="1"/>
    <col min="14335" max="14337" width="9.5" style="52" bestFit="1" customWidth="1"/>
    <col min="14338" max="14338" width="8.33203125" style="52" bestFit="1" customWidth="1"/>
    <col min="14339" max="14339" width="8.33203125" style="52" customWidth="1"/>
    <col min="14340" max="14342" width="9.5" style="52" bestFit="1" customWidth="1"/>
    <col min="14343" max="14343" width="8.33203125" style="52" bestFit="1" customWidth="1"/>
    <col min="14344" max="14345" width="8.33203125" style="52" customWidth="1"/>
    <col min="14346" max="14346" width="9.1640625" style="52" bestFit="1" customWidth="1"/>
    <col min="14347" max="14581" width="9" style="52"/>
    <col min="14582" max="14582" width="20.5" style="52" customWidth="1"/>
    <col min="14583" max="14583" width="8.5" style="52" customWidth="1"/>
    <col min="14584" max="14584" width="10" style="52" customWidth="1"/>
    <col min="14585" max="14585" width="8.5" style="52" customWidth="1"/>
    <col min="14586" max="14588" width="9.5" style="52" bestFit="1" customWidth="1"/>
    <col min="14589" max="14589" width="8.33203125" style="52" bestFit="1" customWidth="1"/>
    <col min="14590" max="14590" width="8.33203125" style="52" customWidth="1"/>
    <col min="14591" max="14593" width="9.5" style="52" bestFit="1" customWidth="1"/>
    <col min="14594" max="14594" width="8.33203125" style="52" bestFit="1" customWidth="1"/>
    <col min="14595" max="14595" width="8.33203125" style="52" customWidth="1"/>
    <col min="14596" max="14598" width="9.5" style="52" bestFit="1" customWidth="1"/>
    <col min="14599" max="14599" width="8.33203125" style="52" bestFit="1" customWidth="1"/>
    <col min="14600" max="14601" width="8.33203125" style="52" customWidth="1"/>
    <col min="14602" max="14602" width="9.1640625" style="52" bestFit="1" customWidth="1"/>
    <col min="14603" max="14837" width="9" style="52"/>
    <col min="14838" max="14838" width="20.5" style="52" customWidth="1"/>
    <col min="14839" max="14839" width="8.5" style="52" customWidth="1"/>
    <col min="14840" max="14840" width="10" style="52" customWidth="1"/>
    <col min="14841" max="14841" width="8.5" style="52" customWidth="1"/>
    <col min="14842" max="14844" width="9.5" style="52" bestFit="1" customWidth="1"/>
    <col min="14845" max="14845" width="8.33203125" style="52" bestFit="1" customWidth="1"/>
    <col min="14846" max="14846" width="8.33203125" style="52" customWidth="1"/>
    <col min="14847" max="14849" width="9.5" style="52" bestFit="1" customWidth="1"/>
    <col min="14850" max="14850" width="8.33203125" style="52" bestFit="1" customWidth="1"/>
    <col min="14851" max="14851" width="8.33203125" style="52" customWidth="1"/>
    <col min="14852" max="14854" width="9.5" style="52" bestFit="1" customWidth="1"/>
    <col min="14855" max="14855" width="8.33203125" style="52" bestFit="1" customWidth="1"/>
    <col min="14856" max="14857" width="8.33203125" style="52" customWidth="1"/>
    <col min="14858" max="14858" width="9.1640625" style="52" bestFit="1" customWidth="1"/>
    <col min="14859" max="15093" width="9" style="52"/>
    <col min="15094" max="15094" width="20.5" style="52" customWidth="1"/>
    <col min="15095" max="15095" width="8.5" style="52" customWidth="1"/>
    <col min="15096" max="15096" width="10" style="52" customWidth="1"/>
    <col min="15097" max="15097" width="8.5" style="52" customWidth="1"/>
    <col min="15098" max="15100" width="9.5" style="52" bestFit="1" customWidth="1"/>
    <col min="15101" max="15101" width="8.33203125" style="52" bestFit="1" customWidth="1"/>
    <col min="15102" max="15102" width="8.33203125" style="52" customWidth="1"/>
    <col min="15103" max="15105" width="9.5" style="52" bestFit="1" customWidth="1"/>
    <col min="15106" max="15106" width="8.33203125" style="52" bestFit="1" customWidth="1"/>
    <col min="15107" max="15107" width="8.33203125" style="52" customWidth="1"/>
    <col min="15108" max="15110" width="9.5" style="52" bestFit="1" customWidth="1"/>
    <col min="15111" max="15111" width="8.33203125" style="52" bestFit="1" customWidth="1"/>
    <col min="15112" max="15113" width="8.33203125" style="52" customWidth="1"/>
    <col min="15114" max="15114" width="9.1640625" style="52" bestFit="1" customWidth="1"/>
    <col min="15115" max="15349" width="9" style="52"/>
    <col min="15350" max="15350" width="20.5" style="52" customWidth="1"/>
    <col min="15351" max="15351" width="8.5" style="52" customWidth="1"/>
    <col min="15352" max="15352" width="10" style="52" customWidth="1"/>
    <col min="15353" max="15353" width="8.5" style="52" customWidth="1"/>
    <col min="15354" max="15356" width="9.5" style="52" bestFit="1" customWidth="1"/>
    <col min="15357" max="15357" width="8.33203125" style="52" bestFit="1" customWidth="1"/>
    <col min="15358" max="15358" width="8.33203125" style="52" customWidth="1"/>
    <col min="15359" max="15361" width="9.5" style="52" bestFit="1" customWidth="1"/>
    <col min="15362" max="15362" width="8.33203125" style="52" bestFit="1" customWidth="1"/>
    <col min="15363" max="15363" width="8.33203125" style="52" customWidth="1"/>
    <col min="15364" max="15366" width="9.5" style="52" bestFit="1" customWidth="1"/>
    <col min="15367" max="15367" width="8.33203125" style="52" bestFit="1" customWidth="1"/>
    <col min="15368" max="15369" width="8.33203125" style="52" customWidth="1"/>
    <col min="15370" max="15370" width="9.1640625" style="52" bestFit="1" customWidth="1"/>
    <col min="15371" max="15605" width="9" style="52"/>
    <col min="15606" max="15606" width="20.5" style="52" customWidth="1"/>
    <col min="15607" max="15607" width="8.5" style="52" customWidth="1"/>
    <col min="15608" max="15608" width="10" style="52" customWidth="1"/>
    <col min="15609" max="15609" width="8.5" style="52" customWidth="1"/>
    <col min="15610" max="15612" width="9.5" style="52" bestFit="1" customWidth="1"/>
    <col min="15613" max="15613" width="8.33203125" style="52" bestFit="1" customWidth="1"/>
    <col min="15614" max="15614" width="8.33203125" style="52" customWidth="1"/>
    <col min="15615" max="15617" width="9.5" style="52" bestFit="1" customWidth="1"/>
    <col min="15618" max="15618" width="8.33203125" style="52" bestFit="1" customWidth="1"/>
    <col min="15619" max="15619" width="8.33203125" style="52" customWidth="1"/>
    <col min="15620" max="15622" width="9.5" style="52" bestFit="1" customWidth="1"/>
    <col min="15623" max="15623" width="8.33203125" style="52" bestFit="1" customWidth="1"/>
    <col min="15624" max="15625" width="8.33203125" style="52" customWidth="1"/>
    <col min="15626" max="15626" width="9.1640625" style="52" bestFit="1" customWidth="1"/>
    <col min="15627" max="15861" width="9" style="52"/>
    <col min="15862" max="15862" width="20.5" style="52" customWidth="1"/>
    <col min="15863" max="15863" width="8.5" style="52" customWidth="1"/>
    <col min="15864" max="15864" width="10" style="52" customWidth="1"/>
    <col min="15865" max="15865" width="8.5" style="52" customWidth="1"/>
    <col min="15866" max="15868" width="9.5" style="52" bestFit="1" customWidth="1"/>
    <col min="15869" max="15869" width="8.33203125" style="52" bestFit="1" customWidth="1"/>
    <col min="15870" max="15870" width="8.33203125" style="52" customWidth="1"/>
    <col min="15871" max="15873" width="9.5" style="52" bestFit="1" customWidth="1"/>
    <col min="15874" max="15874" width="8.33203125" style="52" bestFit="1" customWidth="1"/>
    <col min="15875" max="15875" width="8.33203125" style="52" customWidth="1"/>
    <col min="15876" max="15878" width="9.5" style="52" bestFit="1" customWidth="1"/>
    <col min="15879" max="15879" width="8.33203125" style="52" bestFit="1" customWidth="1"/>
    <col min="15880" max="15881" width="8.33203125" style="52" customWidth="1"/>
    <col min="15882" max="15882" width="9.1640625" style="52" bestFit="1" customWidth="1"/>
    <col min="15883" max="16117" width="9" style="52"/>
    <col min="16118" max="16118" width="20.5" style="52" customWidth="1"/>
    <col min="16119" max="16119" width="8.5" style="52" customWidth="1"/>
    <col min="16120" max="16120" width="10" style="52" customWidth="1"/>
    <col min="16121" max="16121" width="8.5" style="52" customWidth="1"/>
    <col min="16122" max="16124" width="9.5" style="52" bestFit="1" customWidth="1"/>
    <col min="16125" max="16125" width="8.33203125" style="52" bestFit="1" customWidth="1"/>
    <col min="16126" max="16126" width="8.33203125" style="52" customWidth="1"/>
    <col min="16127" max="16129" width="9.5" style="52" bestFit="1" customWidth="1"/>
    <col min="16130" max="16130" width="8.33203125" style="52" bestFit="1" customWidth="1"/>
    <col min="16131" max="16131" width="8.33203125" style="52" customWidth="1"/>
    <col min="16132" max="16134" width="9.5" style="52" bestFit="1" customWidth="1"/>
    <col min="16135" max="16135" width="8.33203125" style="52" bestFit="1" customWidth="1"/>
    <col min="16136" max="16137" width="8.33203125" style="52" customWidth="1"/>
    <col min="16138" max="16138" width="9.1640625" style="52" bestFit="1" customWidth="1"/>
    <col min="16139" max="16384" width="9" style="52"/>
  </cols>
  <sheetData>
    <row r="1" spans="1:41" s="47" customFormat="1" ht="14.25" customHeight="1" thickBot="1">
      <c r="A1" s="136" t="s">
        <v>0</v>
      </c>
      <c r="B1" s="137"/>
      <c r="C1" s="38" t="s">
        <v>1</v>
      </c>
      <c r="D1" s="18" t="s">
        <v>118</v>
      </c>
      <c r="E1" s="123" t="s">
        <v>58</v>
      </c>
      <c r="F1" s="123"/>
      <c r="G1" s="123"/>
      <c r="H1" s="123"/>
      <c r="I1" s="45" t="s">
        <v>58</v>
      </c>
      <c r="J1" s="124" t="s">
        <v>51</v>
      </c>
      <c r="K1" s="124"/>
      <c r="L1" s="124"/>
      <c r="M1" s="124"/>
      <c r="N1" s="39" t="s">
        <v>51</v>
      </c>
      <c r="O1" s="124" t="s">
        <v>52</v>
      </c>
      <c r="P1" s="124"/>
      <c r="Q1" s="124"/>
      <c r="R1" s="124"/>
      <c r="S1" s="124"/>
      <c r="T1" s="39" t="s">
        <v>52</v>
      </c>
      <c r="U1" s="40" t="s">
        <v>53</v>
      </c>
      <c r="V1" s="123" t="s">
        <v>111</v>
      </c>
      <c r="W1" s="123"/>
      <c r="X1" s="123"/>
      <c r="Y1" s="123"/>
      <c r="Z1" s="45" t="s">
        <v>111</v>
      </c>
      <c r="AA1" s="124" t="s">
        <v>112</v>
      </c>
      <c r="AB1" s="124"/>
      <c r="AC1" s="124"/>
      <c r="AD1" s="124"/>
      <c r="AE1" s="39" t="s">
        <v>112</v>
      </c>
      <c r="AF1" s="124" t="s">
        <v>113</v>
      </c>
      <c r="AG1" s="124"/>
      <c r="AH1" s="124"/>
      <c r="AI1" s="124"/>
      <c r="AJ1" s="124"/>
      <c r="AK1" s="39" t="s">
        <v>113</v>
      </c>
      <c r="AL1" s="40" t="s">
        <v>114</v>
      </c>
      <c r="AM1" s="54" t="s">
        <v>114</v>
      </c>
      <c r="AN1" s="41" t="s">
        <v>53</v>
      </c>
      <c r="AO1" s="41" t="s">
        <v>114</v>
      </c>
    </row>
    <row r="2" spans="1:41" s="47" customFormat="1" ht="17.25" customHeight="1" thickBot="1">
      <c r="A2" s="125" t="s">
        <v>59</v>
      </c>
      <c r="B2" s="126"/>
      <c r="C2" s="38" t="s">
        <v>60</v>
      </c>
      <c r="D2" s="18" t="s">
        <v>4</v>
      </c>
      <c r="E2" s="42" t="s">
        <v>61</v>
      </c>
      <c r="F2" s="109">
        <v>44927</v>
      </c>
      <c r="G2" s="109">
        <v>44935</v>
      </c>
      <c r="H2" s="109">
        <v>44942</v>
      </c>
      <c r="I2" s="43" t="s">
        <v>62</v>
      </c>
      <c r="J2" s="109">
        <v>44949</v>
      </c>
      <c r="K2" s="109">
        <v>44956</v>
      </c>
      <c r="L2" s="109">
        <v>44963</v>
      </c>
      <c r="M2" s="109">
        <v>44970</v>
      </c>
      <c r="N2" s="39" t="s">
        <v>0</v>
      </c>
      <c r="O2" s="109">
        <v>44977</v>
      </c>
      <c r="P2" s="109">
        <v>44984</v>
      </c>
      <c r="Q2" s="109">
        <v>44991</v>
      </c>
      <c r="R2" s="109">
        <v>44998</v>
      </c>
      <c r="S2" s="109">
        <v>45005</v>
      </c>
      <c r="T2" s="39" t="s">
        <v>0</v>
      </c>
      <c r="U2" s="40" t="s">
        <v>0</v>
      </c>
      <c r="V2" s="109">
        <v>45012</v>
      </c>
      <c r="W2" s="109">
        <v>45019</v>
      </c>
      <c r="X2" s="109">
        <v>45026</v>
      </c>
      <c r="Y2" s="109">
        <v>45033</v>
      </c>
      <c r="Z2" s="110" t="s">
        <v>62</v>
      </c>
      <c r="AA2" s="109">
        <v>45040</v>
      </c>
      <c r="AB2" s="109">
        <v>45047</v>
      </c>
      <c r="AC2" s="109">
        <v>45054</v>
      </c>
      <c r="AD2" s="109">
        <v>45061</v>
      </c>
      <c r="AE2" s="109" t="s">
        <v>0</v>
      </c>
      <c r="AF2" s="109">
        <v>45068</v>
      </c>
      <c r="AG2" s="109">
        <v>45075</v>
      </c>
      <c r="AH2" s="109">
        <v>45082</v>
      </c>
      <c r="AI2" s="109">
        <v>45089</v>
      </c>
      <c r="AJ2" s="109">
        <v>45096</v>
      </c>
      <c r="AK2" s="39" t="s">
        <v>0</v>
      </c>
      <c r="AL2" s="40" t="s">
        <v>0</v>
      </c>
      <c r="AM2" s="54" t="s">
        <v>115</v>
      </c>
      <c r="AN2" s="44" t="s">
        <v>116</v>
      </c>
      <c r="AO2" s="44" t="s">
        <v>117</v>
      </c>
    </row>
    <row r="3" spans="1:41" s="15" customFormat="1">
      <c r="A3" s="117" t="s">
        <v>63</v>
      </c>
      <c r="B3" s="3" t="s">
        <v>64</v>
      </c>
      <c r="C3" s="26"/>
      <c r="D3" s="26"/>
      <c r="E3" s="27"/>
      <c r="F3" s="27">
        <v>0</v>
      </c>
      <c r="G3" s="27">
        <v>0</v>
      </c>
      <c r="H3" s="27">
        <v>0</v>
      </c>
      <c r="I3" s="26">
        <v>0</v>
      </c>
      <c r="J3" s="27">
        <v>22400</v>
      </c>
      <c r="K3" s="27">
        <v>0</v>
      </c>
      <c r="L3" s="27">
        <v>4480</v>
      </c>
      <c r="M3" s="27">
        <v>0</v>
      </c>
      <c r="N3" s="26">
        <v>26880</v>
      </c>
      <c r="O3" s="27">
        <v>351</v>
      </c>
      <c r="P3" s="27">
        <v>11878</v>
      </c>
      <c r="Q3" s="27">
        <v>0</v>
      </c>
      <c r="R3" s="27">
        <v>0</v>
      </c>
      <c r="S3" s="27">
        <v>0</v>
      </c>
      <c r="T3" s="26">
        <v>12229</v>
      </c>
      <c r="U3" s="28">
        <v>123747</v>
      </c>
      <c r="V3" s="27">
        <v>0</v>
      </c>
      <c r="W3" s="27">
        <v>2359</v>
      </c>
      <c r="X3" s="27">
        <v>0</v>
      </c>
      <c r="Y3" s="27">
        <v>0</v>
      </c>
      <c r="Z3" s="26">
        <v>2359</v>
      </c>
      <c r="AA3" s="27">
        <v>0</v>
      </c>
      <c r="AB3" s="27">
        <v>0</v>
      </c>
      <c r="AC3" s="27">
        <v>0</v>
      </c>
      <c r="AD3" s="27">
        <v>0</v>
      </c>
      <c r="AE3" s="26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6">
        <v>0</v>
      </c>
      <c r="AL3" s="28">
        <v>2359</v>
      </c>
      <c r="AM3" s="54">
        <v>8</v>
      </c>
      <c r="AN3" s="13">
        <v>989976</v>
      </c>
      <c r="AO3" s="13">
        <v>18872</v>
      </c>
    </row>
    <row r="4" spans="1:41" s="15" customFormat="1">
      <c r="A4" s="118"/>
      <c r="B4" s="12" t="s">
        <v>65</v>
      </c>
      <c r="C4" s="26"/>
      <c r="D4" s="26"/>
      <c r="E4" s="27"/>
      <c r="F4" s="27">
        <v>0</v>
      </c>
      <c r="G4" s="27">
        <v>0</v>
      </c>
      <c r="H4" s="27">
        <v>0</v>
      </c>
      <c r="I4" s="26">
        <v>0</v>
      </c>
      <c r="J4" s="27">
        <v>22400</v>
      </c>
      <c r="K4" s="27">
        <v>0</v>
      </c>
      <c r="L4" s="27">
        <v>4480</v>
      </c>
      <c r="M4" s="27">
        <v>0</v>
      </c>
      <c r="N4" s="26">
        <v>26880</v>
      </c>
      <c r="O4" s="27">
        <v>0</v>
      </c>
      <c r="P4" s="27">
        <v>0</v>
      </c>
      <c r="Q4" s="27">
        <v>0</v>
      </c>
      <c r="R4" s="27">
        <v>0</v>
      </c>
      <c r="S4" s="27">
        <v>0</v>
      </c>
      <c r="T4" s="26">
        <v>0</v>
      </c>
      <c r="U4" s="28">
        <v>0</v>
      </c>
      <c r="V4" s="27">
        <v>0</v>
      </c>
      <c r="W4" s="27">
        <v>0</v>
      </c>
      <c r="X4" s="27">
        <v>0</v>
      </c>
      <c r="Y4" s="27">
        <v>0</v>
      </c>
      <c r="Z4" s="26">
        <v>0</v>
      </c>
      <c r="AA4" s="27">
        <v>0</v>
      </c>
      <c r="AB4" s="27">
        <v>0</v>
      </c>
      <c r="AC4" s="27">
        <v>0</v>
      </c>
      <c r="AD4" s="27">
        <v>0</v>
      </c>
      <c r="AE4" s="26">
        <v>0</v>
      </c>
      <c r="AF4" s="27">
        <v>0</v>
      </c>
      <c r="AG4" s="27">
        <v>0</v>
      </c>
      <c r="AH4" s="27">
        <v>0</v>
      </c>
      <c r="AI4" s="27">
        <v>0</v>
      </c>
      <c r="AJ4" s="27">
        <v>0</v>
      </c>
      <c r="AK4" s="26">
        <v>0</v>
      </c>
      <c r="AL4" s="28">
        <v>0</v>
      </c>
      <c r="AM4" s="54"/>
      <c r="AN4" s="13">
        <v>0</v>
      </c>
      <c r="AO4" s="13">
        <v>0</v>
      </c>
    </row>
    <row r="5" spans="1:41" s="15" customFormat="1">
      <c r="A5" s="118"/>
      <c r="B5" s="12" t="s">
        <v>66</v>
      </c>
      <c r="C5" s="26">
        <v>0</v>
      </c>
      <c r="D5" s="26">
        <v>0</v>
      </c>
      <c r="E5" s="27"/>
      <c r="F5" s="27">
        <v>0</v>
      </c>
      <c r="G5" s="27">
        <v>0</v>
      </c>
      <c r="H5" s="27">
        <v>0</v>
      </c>
      <c r="I5" s="26">
        <v>0</v>
      </c>
      <c r="J5" s="27">
        <v>0</v>
      </c>
      <c r="K5" s="27">
        <v>0</v>
      </c>
      <c r="L5" s="27">
        <v>0</v>
      </c>
      <c r="M5" s="27">
        <v>0</v>
      </c>
      <c r="N5" s="26">
        <v>0</v>
      </c>
      <c r="O5" s="27">
        <v>0</v>
      </c>
      <c r="P5" s="27">
        <v>0</v>
      </c>
      <c r="Q5" s="27">
        <v>0</v>
      </c>
      <c r="R5" s="27">
        <v>0</v>
      </c>
      <c r="S5" s="27">
        <v>0</v>
      </c>
      <c r="T5" s="26">
        <v>0</v>
      </c>
      <c r="U5" s="28">
        <v>0</v>
      </c>
      <c r="V5" s="27">
        <v>0</v>
      </c>
      <c r="W5" s="27">
        <v>0</v>
      </c>
      <c r="X5" s="27">
        <v>0</v>
      </c>
      <c r="Y5" s="27">
        <v>0</v>
      </c>
      <c r="Z5" s="26">
        <v>0</v>
      </c>
      <c r="AA5" s="27">
        <v>0</v>
      </c>
      <c r="AB5" s="27">
        <v>0</v>
      </c>
      <c r="AC5" s="27">
        <v>0</v>
      </c>
      <c r="AD5" s="27">
        <v>0</v>
      </c>
      <c r="AE5" s="26">
        <v>0</v>
      </c>
      <c r="AF5" s="27">
        <v>0</v>
      </c>
      <c r="AG5" s="27">
        <v>0</v>
      </c>
      <c r="AH5" s="27">
        <v>0</v>
      </c>
      <c r="AI5" s="27">
        <v>0</v>
      </c>
      <c r="AJ5" s="27">
        <v>0</v>
      </c>
      <c r="AK5" s="26">
        <v>0</v>
      </c>
      <c r="AL5" s="28">
        <v>0</v>
      </c>
      <c r="AM5" s="54"/>
      <c r="AN5" s="13">
        <v>0</v>
      </c>
      <c r="AO5" s="13">
        <v>0</v>
      </c>
    </row>
    <row r="6" spans="1:41" s="15" customFormat="1">
      <c r="A6" s="118"/>
      <c r="B6" s="12" t="s">
        <v>7</v>
      </c>
      <c r="C6" s="26"/>
      <c r="D6" s="26"/>
      <c r="E6" s="32"/>
      <c r="F6" s="27">
        <v>0</v>
      </c>
      <c r="G6" s="27">
        <v>0</v>
      </c>
      <c r="H6" s="27">
        <v>0</v>
      </c>
      <c r="I6" s="26">
        <v>0</v>
      </c>
      <c r="J6" s="32">
        <v>22400</v>
      </c>
      <c r="K6" s="27">
        <v>0</v>
      </c>
      <c r="L6" s="27">
        <v>4480</v>
      </c>
      <c r="M6" s="27">
        <v>0</v>
      </c>
      <c r="N6" s="26">
        <v>26880</v>
      </c>
      <c r="O6" s="32">
        <v>0</v>
      </c>
      <c r="P6" s="27">
        <v>0</v>
      </c>
      <c r="Q6" s="27">
        <v>0</v>
      </c>
      <c r="R6" s="27">
        <v>0</v>
      </c>
      <c r="S6" s="27">
        <v>0</v>
      </c>
      <c r="T6" s="26">
        <v>0</v>
      </c>
      <c r="U6" s="28">
        <v>111518</v>
      </c>
      <c r="V6" s="32">
        <v>0</v>
      </c>
      <c r="W6" s="27">
        <v>0</v>
      </c>
      <c r="X6" s="27">
        <v>0</v>
      </c>
      <c r="Y6" s="27">
        <v>0</v>
      </c>
      <c r="Z6" s="26">
        <v>-12229</v>
      </c>
      <c r="AA6" s="32">
        <v>0</v>
      </c>
      <c r="AB6" s="27">
        <v>0</v>
      </c>
      <c r="AC6" s="27">
        <v>0</v>
      </c>
      <c r="AD6" s="27">
        <v>0</v>
      </c>
      <c r="AE6" s="26">
        <v>0</v>
      </c>
      <c r="AF6" s="32">
        <v>0</v>
      </c>
      <c r="AG6" s="27">
        <v>0</v>
      </c>
      <c r="AH6" s="27">
        <v>0</v>
      </c>
      <c r="AI6" s="27">
        <v>0</v>
      </c>
      <c r="AJ6" s="27">
        <v>0</v>
      </c>
      <c r="AK6" s="26">
        <v>0</v>
      </c>
      <c r="AL6" s="28">
        <v>-12229</v>
      </c>
      <c r="AM6" s="54"/>
      <c r="AN6" s="13">
        <v>0</v>
      </c>
      <c r="AO6" s="13">
        <v>0</v>
      </c>
    </row>
    <row r="7" spans="1:41" s="15" customFormat="1" ht="17" thickBot="1">
      <c r="A7" s="119"/>
      <c r="B7" s="4" t="s">
        <v>67</v>
      </c>
      <c r="C7" s="26">
        <v>69788</v>
      </c>
      <c r="D7" s="37">
        <v>84638</v>
      </c>
      <c r="E7" s="21"/>
      <c r="F7" s="21">
        <v>0</v>
      </c>
      <c r="G7" s="21">
        <v>0</v>
      </c>
      <c r="H7" s="21">
        <v>0</v>
      </c>
      <c r="I7" s="20">
        <v>0</v>
      </c>
      <c r="J7" s="21">
        <v>0</v>
      </c>
      <c r="K7" s="21">
        <v>0</v>
      </c>
      <c r="L7" s="21">
        <v>0</v>
      </c>
      <c r="M7" s="21">
        <v>0</v>
      </c>
      <c r="N7" s="20">
        <v>0</v>
      </c>
      <c r="O7" s="21">
        <v>-351</v>
      </c>
      <c r="P7" s="21">
        <v>-12229</v>
      </c>
      <c r="Q7" s="21">
        <v>-12229</v>
      </c>
      <c r="R7" s="21">
        <v>-12229</v>
      </c>
      <c r="S7" s="21">
        <v>-12229</v>
      </c>
      <c r="T7" s="20">
        <v>-12229</v>
      </c>
      <c r="U7" s="22">
        <v>-12229</v>
      </c>
      <c r="V7" s="21">
        <v>-12229</v>
      </c>
      <c r="W7" s="21">
        <v>-14588</v>
      </c>
      <c r="X7" s="21">
        <v>-14588</v>
      </c>
      <c r="Y7" s="21">
        <v>-14588</v>
      </c>
      <c r="Z7" s="20">
        <v>-14588</v>
      </c>
      <c r="AA7" s="21">
        <v>-14588</v>
      </c>
      <c r="AB7" s="21">
        <v>-14588</v>
      </c>
      <c r="AC7" s="21">
        <v>-14588</v>
      </c>
      <c r="AD7" s="21">
        <v>-14588</v>
      </c>
      <c r="AE7" s="20">
        <v>-14588</v>
      </c>
      <c r="AF7" s="21">
        <v>-14588</v>
      </c>
      <c r="AG7" s="21">
        <v>-14588</v>
      </c>
      <c r="AH7" s="21">
        <v>-14588</v>
      </c>
      <c r="AI7" s="21">
        <v>-14588</v>
      </c>
      <c r="AJ7" s="21">
        <v>-14588</v>
      </c>
      <c r="AK7" s="20">
        <v>-14588</v>
      </c>
      <c r="AL7" s="22">
        <v>-26817</v>
      </c>
      <c r="AM7" s="54"/>
      <c r="AN7" s="13">
        <v>0</v>
      </c>
      <c r="AO7" s="13">
        <v>0</v>
      </c>
    </row>
    <row r="8" spans="1:41" s="15" customFormat="1" ht="17" thickBot="1">
      <c r="A8" s="46"/>
      <c r="B8" s="12" t="s">
        <v>68</v>
      </c>
      <c r="C8" s="26"/>
      <c r="D8" s="26"/>
      <c r="E8" s="19">
        <v>0</v>
      </c>
      <c r="F8" s="19"/>
      <c r="G8" s="19"/>
      <c r="H8" s="19"/>
      <c r="I8" s="23"/>
      <c r="J8" s="19"/>
      <c r="K8" s="19"/>
      <c r="L8" s="19"/>
      <c r="M8" s="19"/>
      <c r="N8" s="23"/>
      <c r="O8" s="19"/>
      <c r="P8" s="19"/>
      <c r="Q8" s="19"/>
      <c r="R8" s="19"/>
      <c r="S8" s="19"/>
      <c r="T8" s="23"/>
      <c r="U8" s="24"/>
      <c r="V8" s="19"/>
      <c r="W8" s="19"/>
      <c r="X8" s="19"/>
      <c r="Y8" s="19"/>
      <c r="Z8" s="23"/>
      <c r="AA8" s="19"/>
      <c r="AB8" s="19"/>
      <c r="AC8" s="19"/>
      <c r="AD8" s="19"/>
      <c r="AE8" s="23"/>
      <c r="AF8" s="19"/>
      <c r="AG8" s="19"/>
      <c r="AH8" s="19"/>
      <c r="AI8" s="19"/>
      <c r="AJ8" s="19"/>
      <c r="AK8" s="23"/>
      <c r="AL8" s="24"/>
      <c r="AM8" s="54"/>
      <c r="AN8" s="13">
        <v>0</v>
      </c>
      <c r="AO8" s="13">
        <v>0</v>
      </c>
    </row>
    <row r="9" spans="1:41" s="15" customFormat="1">
      <c r="A9" s="117" t="s">
        <v>69</v>
      </c>
      <c r="B9" s="3" t="s">
        <v>64</v>
      </c>
      <c r="C9" s="26"/>
      <c r="D9" s="26"/>
      <c r="E9" s="27"/>
      <c r="F9" s="27">
        <v>623919</v>
      </c>
      <c r="G9" s="27">
        <v>989600</v>
      </c>
      <c r="H9" s="27">
        <v>0</v>
      </c>
      <c r="I9" s="26">
        <v>1613519</v>
      </c>
      <c r="J9" s="27">
        <v>88800</v>
      </c>
      <c r="K9" s="27">
        <v>58459</v>
      </c>
      <c r="L9" s="27">
        <v>448413</v>
      </c>
      <c r="M9" s="27">
        <v>0</v>
      </c>
      <c r="N9" s="26">
        <v>595672</v>
      </c>
      <c r="O9" s="27">
        <v>640709</v>
      </c>
      <c r="P9" s="27">
        <v>21478</v>
      </c>
      <c r="Q9" s="27">
        <v>395921</v>
      </c>
      <c r="R9" s="27">
        <v>3170</v>
      </c>
      <c r="S9" s="27">
        <v>0</v>
      </c>
      <c r="T9" s="26">
        <v>1061278</v>
      </c>
      <c r="U9" s="28">
        <v>4715532</v>
      </c>
      <c r="V9" s="27">
        <v>398753</v>
      </c>
      <c r="W9" s="27">
        <v>12975</v>
      </c>
      <c r="X9" s="27">
        <v>46798</v>
      </c>
      <c r="Y9" s="27">
        <v>0</v>
      </c>
      <c r="Z9" s="26">
        <v>458526</v>
      </c>
      <c r="AA9" s="27">
        <v>197319</v>
      </c>
      <c r="AB9" s="27">
        <v>27778</v>
      </c>
      <c r="AC9" s="27">
        <v>26897</v>
      </c>
      <c r="AD9" s="27">
        <v>0</v>
      </c>
      <c r="AE9" s="26">
        <v>251994</v>
      </c>
      <c r="AF9" s="27">
        <v>71033</v>
      </c>
      <c r="AG9" s="27">
        <v>978</v>
      </c>
      <c r="AH9" s="27">
        <v>4</v>
      </c>
      <c r="AI9" s="27">
        <v>0</v>
      </c>
      <c r="AJ9" s="27">
        <v>0</v>
      </c>
      <c r="AK9" s="26">
        <v>72015</v>
      </c>
      <c r="AL9" s="28">
        <v>782535</v>
      </c>
      <c r="AM9" s="54">
        <v>8</v>
      </c>
      <c r="AN9" s="13">
        <v>37724256</v>
      </c>
      <c r="AO9" s="13">
        <v>6260280</v>
      </c>
    </row>
    <row r="10" spans="1:41" s="15" customFormat="1">
      <c r="A10" s="118"/>
      <c r="B10" s="12" t="s">
        <v>65</v>
      </c>
      <c r="C10" s="26"/>
      <c r="D10" s="26"/>
      <c r="E10" s="27"/>
      <c r="F10" s="27">
        <v>623919</v>
      </c>
      <c r="G10" s="27">
        <v>989600</v>
      </c>
      <c r="H10" s="27">
        <v>0</v>
      </c>
      <c r="I10" s="26">
        <v>1613519</v>
      </c>
      <c r="J10" s="27">
        <v>88800</v>
      </c>
      <c r="K10" s="27">
        <v>58459</v>
      </c>
      <c r="L10" s="27">
        <v>448413</v>
      </c>
      <c r="M10" s="27">
        <v>0</v>
      </c>
      <c r="N10" s="26">
        <v>595672</v>
      </c>
      <c r="O10" s="27">
        <v>870000</v>
      </c>
      <c r="P10" s="27">
        <v>0</v>
      </c>
      <c r="Q10" s="27">
        <v>400000</v>
      </c>
      <c r="R10" s="27">
        <v>450000</v>
      </c>
      <c r="S10" s="27">
        <v>0</v>
      </c>
      <c r="T10" s="26">
        <v>1720000</v>
      </c>
      <c r="U10" s="28">
        <v>0</v>
      </c>
      <c r="V10" s="27">
        <v>0</v>
      </c>
      <c r="W10" s="27">
        <v>0</v>
      </c>
      <c r="X10" s="27">
        <v>0</v>
      </c>
      <c r="Y10" s="27">
        <v>0</v>
      </c>
      <c r="Z10" s="26">
        <v>0</v>
      </c>
      <c r="AA10" s="27">
        <v>0</v>
      </c>
      <c r="AB10" s="27">
        <v>0</v>
      </c>
      <c r="AC10" s="27">
        <v>550000</v>
      </c>
      <c r="AD10" s="27">
        <v>0</v>
      </c>
      <c r="AE10" s="26">
        <v>550000</v>
      </c>
      <c r="AF10" s="27">
        <v>0</v>
      </c>
      <c r="AG10" s="27">
        <v>0</v>
      </c>
      <c r="AH10" s="27">
        <v>0</v>
      </c>
      <c r="AI10" s="27">
        <v>0</v>
      </c>
      <c r="AJ10" s="27">
        <v>0</v>
      </c>
      <c r="AK10" s="26">
        <v>0</v>
      </c>
      <c r="AL10" s="28">
        <v>0</v>
      </c>
      <c r="AM10" s="54"/>
      <c r="AN10" s="13">
        <v>0</v>
      </c>
      <c r="AO10" s="13">
        <v>0</v>
      </c>
    </row>
    <row r="11" spans="1:41" s="15" customFormat="1">
      <c r="A11" s="118"/>
      <c r="B11" s="12" t="s">
        <v>66</v>
      </c>
      <c r="C11" s="26">
        <v>104000</v>
      </c>
      <c r="D11" s="26">
        <v>104000</v>
      </c>
      <c r="E11" s="27"/>
      <c r="F11" s="27">
        <v>0</v>
      </c>
      <c r="G11" s="27">
        <v>0</v>
      </c>
      <c r="H11" s="27">
        <v>0</v>
      </c>
      <c r="I11" s="26">
        <v>0</v>
      </c>
      <c r="J11" s="27">
        <v>0</v>
      </c>
      <c r="K11" s="27">
        <v>0</v>
      </c>
      <c r="L11" s="27">
        <v>0</v>
      </c>
      <c r="M11" s="27">
        <v>0</v>
      </c>
      <c r="N11" s="26">
        <v>0</v>
      </c>
      <c r="O11" s="27">
        <v>0</v>
      </c>
      <c r="P11" s="27">
        <v>0</v>
      </c>
      <c r="Q11" s="27">
        <v>0</v>
      </c>
      <c r="R11" s="27">
        <v>0</v>
      </c>
      <c r="S11" s="27">
        <v>0</v>
      </c>
      <c r="T11" s="26">
        <v>0</v>
      </c>
      <c r="U11" s="28">
        <v>0</v>
      </c>
      <c r="V11" s="27">
        <v>0</v>
      </c>
      <c r="W11" s="27">
        <v>0</v>
      </c>
      <c r="X11" s="27">
        <v>0</v>
      </c>
      <c r="Y11" s="27">
        <v>0</v>
      </c>
      <c r="Z11" s="26">
        <v>0</v>
      </c>
      <c r="AA11" s="27">
        <v>0</v>
      </c>
      <c r="AB11" s="27">
        <v>0</v>
      </c>
      <c r="AC11" s="27">
        <v>0</v>
      </c>
      <c r="AD11" s="27">
        <v>0</v>
      </c>
      <c r="AE11" s="26">
        <v>0</v>
      </c>
      <c r="AF11" s="27">
        <v>0</v>
      </c>
      <c r="AG11" s="27">
        <v>0</v>
      </c>
      <c r="AH11" s="27">
        <v>0</v>
      </c>
      <c r="AI11" s="27">
        <v>0</v>
      </c>
      <c r="AJ11" s="27">
        <v>0</v>
      </c>
      <c r="AK11" s="26">
        <v>0</v>
      </c>
      <c r="AL11" s="28">
        <v>0</v>
      </c>
      <c r="AM11" s="54"/>
      <c r="AN11" s="13">
        <v>0</v>
      </c>
      <c r="AO11" s="13">
        <v>0</v>
      </c>
    </row>
    <row r="12" spans="1:41" s="15" customFormat="1">
      <c r="A12" s="118"/>
      <c r="B12" s="12" t="s">
        <v>7</v>
      </c>
      <c r="C12" s="26"/>
      <c r="D12" s="26"/>
      <c r="E12" s="32"/>
      <c r="F12" s="27">
        <v>623919</v>
      </c>
      <c r="G12" s="27">
        <v>989600</v>
      </c>
      <c r="H12" s="27">
        <v>0</v>
      </c>
      <c r="I12" s="26">
        <v>1613519</v>
      </c>
      <c r="J12" s="32">
        <v>88800</v>
      </c>
      <c r="K12" s="27">
        <v>58459</v>
      </c>
      <c r="L12" s="27">
        <v>448413</v>
      </c>
      <c r="M12" s="27">
        <v>0</v>
      </c>
      <c r="N12" s="26">
        <v>595672</v>
      </c>
      <c r="O12" s="32">
        <v>870000</v>
      </c>
      <c r="P12" s="27">
        <v>0</v>
      </c>
      <c r="Q12" s="27">
        <v>400000</v>
      </c>
      <c r="R12" s="27">
        <v>450000</v>
      </c>
      <c r="S12" s="27">
        <v>0</v>
      </c>
      <c r="T12" s="26">
        <v>1720000</v>
      </c>
      <c r="U12" s="28">
        <v>5374254</v>
      </c>
      <c r="V12" s="32">
        <v>0</v>
      </c>
      <c r="W12" s="27">
        <v>0</v>
      </c>
      <c r="X12" s="27">
        <v>0</v>
      </c>
      <c r="Y12" s="27">
        <v>0</v>
      </c>
      <c r="Z12" s="26">
        <v>658722</v>
      </c>
      <c r="AA12" s="32">
        <v>0</v>
      </c>
      <c r="AB12" s="27">
        <v>0</v>
      </c>
      <c r="AC12" s="27">
        <v>550000</v>
      </c>
      <c r="AD12" s="27">
        <v>0</v>
      </c>
      <c r="AE12" s="26">
        <v>550000</v>
      </c>
      <c r="AF12" s="32">
        <v>0</v>
      </c>
      <c r="AG12" s="27">
        <v>0</v>
      </c>
      <c r="AH12" s="27">
        <v>0</v>
      </c>
      <c r="AI12" s="27">
        <v>0</v>
      </c>
      <c r="AJ12" s="27">
        <v>0</v>
      </c>
      <c r="AK12" s="26">
        <v>0</v>
      </c>
      <c r="AL12" s="28">
        <v>1208722</v>
      </c>
      <c r="AM12" s="54"/>
      <c r="AN12" s="13">
        <v>0</v>
      </c>
      <c r="AO12" s="13">
        <v>0</v>
      </c>
    </row>
    <row r="13" spans="1:41" s="15" customFormat="1" ht="17" thickBot="1">
      <c r="A13" s="119"/>
      <c r="B13" s="4" t="s">
        <v>67</v>
      </c>
      <c r="C13" s="26">
        <v>2240747</v>
      </c>
      <c r="D13" s="37">
        <v>1445063</v>
      </c>
      <c r="E13" s="21"/>
      <c r="F13" s="21">
        <v>0</v>
      </c>
      <c r="G13" s="21">
        <v>0</v>
      </c>
      <c r="H13" s="21">
        <v>0</v>
      </c>
      <c r="I13" s="20">
        <v>0</v>
      </c>
      <c r="J13" s="21">
        <v>0</v>
      </c>
      <c r="K13" s="21">
        <v>0</v>
      </c>
      <c r="L13" s="21">
        <v>0</v>
      </c>
      <c r="M13" s="21">
        <v>0</v>
      </c>
      <c r="N13" s="20">
        <v>0</v>
      </c>
      <c r="O13" s="21">
        <v>229291</v>
      </c>
      <c r="P13" s="21">
        <v>207813</v>
      </c>
      <c r="Q13" s="21">
        <v>211892</v>
      </c>
      <c r="R13" s="21">
        <v>658722</v>
      </c>
      <c r="S13" s="21">
        <v>658722</v>
      </c>
      <c r="T13" s="20">
        <v>658722</v>
      </c>
      <c r="U13" s="22">
        <v>658722</v>
      </c>
      <c r="V13" s="21">
        <v>259969</v>
      </c>
      <c r="W13" s="21">
        <v>246994</v>
      </c>
      <c r="X13" s="21">
        <v>200196</v>
      </c>
      <c r="Y13" s="21">
        <v>200196</v>
      </c>
      <c r="Z13" s="20">
        <v>200196</v>
      </c>
      <c r="AA13" s="21">
        <v>2877</v>
      </c>
      <c r="AB13" s="21">
        <v>-24901</v>
      </c>
      <c r="AC13" s="21">
        <v>498202</v>
      </c>
      <c r="AD13" s="21">
        <v>498202</v>
      </c>
      <c r="AE13" s="20">
        <v>498202</v>
      </c>
      <c r="AF13" s="21">
        <v>427169</v>
      </c>
      <c r="AG13" s="21">
        <v>426191</v>
      </c>
      <c r="AH13" s="21">
        <v>426187</v>
      </c>
      <c r="AI13" s="21">
        <v>426187</v>
      </c>
      <c r="AJ13" s="21">
        <v>426187</v>
      </c>
      <c r="AK13" s="20">
        <v>426187</v>
      </c>
      <c r="AL13" s="22">
        <v>1084909</v>
      </c>
      <c r="AM13" s="54"/>
      <c r="AN13" s="13">
        <v>0</v>
      </c>
      <c r="AO13" s="13">
        <v>0</v>
      </c>
    </row>
    <row r="14" spans="1:41" s="15" customFormat="1" ht="17" thickBot="1">
      <c r="A14" s="46"/>
      <c r="B14" s="12" t="s">
        <v>68</v>
      </c>
      <c r="C14" s="26"/>
      <c r="D14" s="26"/>
      <c r="E14" s="19">
        <v>0</v>
      </c>
      <c r="F14" s="19"/>
      <c r="G14" s="19"/>
      <c r="H14" s="19"/>
      <c r="I14" s="23"/>
      <c r="J14" s="19"/>
      <c r="K14" s="19"/>
      <c r="L14" s="19"/>
      <c r="M14" s="19"/>
      <c r="N14" s="23"/>
      <c r="O14" s="19"/>
      <c r="P14" s="19"/>
      <c r="Q14" s="19"/>
      <c r="R14" s="19"/>
      <c r="S14" s="19"/>
      <c r="T14" s="23"/>
      <c r="U14" s="24"/>
      <c r="V14" s="19"/>
      <c r="W14" s="19"/>
      <c r="X14" s="19"/>
      <c r="Y14" s="19"/>
      <c r="Z14" s="23"/>
      <c r="AA14" s="19"/>
      <c r="AB14" s="19"/>
      <c r="AC14" s="19"/>
      <c r="AD14" s="19"/>
      <c r="AE14" s="23"/>
      <c r="AF14" s="19"/>
      <c r="AG14" s="19"/>
      <c r="AH14" s="19"/>
      <c r="AI14" s="19"/>
      <c r="AJ14" s="19"/>
      <c r="AK14" s="23"/>
      <c r="AL14" s="24"/>
      <c r="AM14" s="54"/>
      <c r="AN14" s="13">
        <v>0</v>
      </c>
      <c r="AO14" s="13">
        <v>0</v>
      </c>
    </row>
    <row r="15" spans="1:41" s="15" customFormat="1">
      <c r="A15" s="117" t="s">
        <v>70</v>
      </c>
      <c r="B15" s="3" t="s">
        <v>64</v>
      </c>
      <c r="C15" s="26"/>
      <c r="D15" s="26"/>
      <c r="E15" s="27"/>
      <c r="F15" s="27">
        <v>0</v>
      </c>
      <c r="G15" s="27">
        <v>0</v>
      </c>
      <c r="H15" s="27">
        <v>0</v>
      </c>
      <c r="I15" s="26">
        <v>0</v>
      </c>
      <c r="J15" s="27">
        <v>0</v>
      </c>
      <c r="K15" s="27">
        <v>0</v>
      </c>
      <c r="L15" s="27">
        <v>0</v>
      </c>
      <c r="M15" s="27">
        <v>0</v>
      </c>
      <c r="N15" s="26">
        <v>0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6">
        <v>0</v>
      </c>
      <c r="U15" s="28">
        <v>0</v>
      </c>
      <c r="V15" s="27">
        <v>0</v>
      </c>
      <c r="W15" s="27">
        <v>0</v>
      </c>
      <c r="X15" s="27">
        <v>0</v>
      </c>
      <c r="Y15" s="27">
        <v>0</v>
      </c>
      <c r="Z15" s="26">
        <v>0</v>
      </c>
      <c r="AA15" s="27">
        <v>0</v>
      </c>
      <c r="AB15" s="27">
        <v>0</v>
      </c>
      <c r="AC15" s="27">
        <v>0</v>
      </c>
      <c r="AD15" s="27">
        <v>0</v>
      </c>
      <c r="AE15" s="26">
        <v>0</v>
      </c>
      <c r="AF15" s="27">
        <v>0</v>
      </c>
      <c r="AG15" s="27">
        <v>0</v>
      </c>
      <c r="AH15" s="27">
        <v>0</v>
      </c>
      <c r="AI15" s="27">
        <v>0</v>
      </c>
      <c r="AJ15" s="27">
        <v>0</v>
      </c>
      <c r="AK15" s="26">
        <v>0</v>
      </c>
      <c r="AL15" s="28">
        <v>0</v>
      </c>
      <c r="AM15" s="54">
        <v>8</v>
      </c>
      <c r="AN15" s="13">
        <v>0</v>
      </c>
      <c r="AO15" s="13">
        <v>0</v>
      </c>
    </row>
    <row r="16" spans="1:41" s="15" customFormat="1">
      <c r="A16" s="118"/>
      <c r="B16" s="12" t="s">
        <v>65</v>
      </c>
      <c r="C16" s="26"/>
      <c r="D16" s="26"/>
      <c r="E16" s="27"/>
      <c r="F16" s="27">
        <v>0</v>
      </c>
      <c r="G16" s="27">
        <v>0</v>
      </c>
      <c r="H16" s="27">
        <v>0</v>
      </c>
      <c r="I16" s="26">
        <v>0</v>
      </c>
      <c r="J16" s="27">
        <v>0</v>
      </c>
      <c r="K16" s="27">
        <v>0</v>
      </c>
      <c r="L16" s="27">
        <v>0</v>
      </c>
      <c r="M16" s="27">
        <v>0</v>
      </c>
      <c r="N16" s="26">
        <v>0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  <c r="T16" s="26">
        <v>0</v>
      </c>
      <c r="U16" s="28">
        <v>0</v>
      </c>
      <c r="V16" s="27">
        <v>0</v>
      </c>
      <c r="W16" s="27">
        <v>0</v>
      </c>
      <c r="X16" s="27">
        <v>0</v>
      </c>
      <c r="Y16" s="27">
        <v>0</v>
      </c>
      <c r="Z16" s="26">
        <v>0</v>
      </c>
      <c r="AA16" s="27">
        <v>0</v>
      </c>
      <c r="AB16" s="27">
        <v>0</v>
      </c>
      <c r="AC16" s="27">
        <v>0</v>
      </c>
      <c r="AD16" s="27">
        <v>0</v>
      </c>
      <c r="AE16" s="26">
        <v>0</v>
      </c>
      <c r="AF16" s="27">
        <v>0</v>
      </c>
      <c r="AG16" s="27">
        <v>0</v>
      </c>
      <c r="AH16" s="27">
        <v>0</v>
      </c>
      <c r="AI16" s="27">
        <v>0</v>
      </c>
      <c r="AJ16" s="27">
        <v>0</v>
      </c>
      <c r="AK16" s="26">
        <v>0</v>
      </c>
      <c r="AL16" s="28">
        <v>0</v>
      </c>
      <c r="AM16" s="54"/>
      <c r="AN16" s="13">
        <v>0</v>
      </c>
      <c r="AO16" s="13">
        <v>0</v>
      </c>
    </row>
    <row r="17" spans="1:41" s="15" customFormat="1">
      <c r="A17" s="118"/>
      <c r="B17" s="12" t="s">
        <v>66</v>
      </c>
      <c r="C17" s="26">
        <v>0</v>
      </c>
      <c r="D17" s="26">
        <v>0</v>
      </c>
      <c r="E17" s="27"/>
      <c r="F17" s="27">
        <v>0</v>
      </c>
      <c r="G17" s="27">
        <v>0</v>
      </c>
      <c r="H17" s="27">
        <v>0</v>
      </c>
      <c r="I17" s="26">
        <v>0</v>
      </c>
      <c r="J17" s="27">
        <v>0</v>
      </c>
      <c r="K17" s="27">
        <v>0</v>
      </c>
      <c r="L17" s="27">
        <v>0</v>
      </c>
      <c r="M17" s="27">
        <v>0</v>
      </c>
      <c r="N17" s="26">
        <v>0</v>
      </c>
      <c r="O17" s="27">
        <v>0</v>
      </c>
      <c r="P17" s="27">
        <v>0</v>
      </c>
      <c r="Q17" s="27">
        <v>0</v>
      </c>
      <c r="R17" s="27">
        <v>0</v>
      </c>
      <c r="S17" s="27">
        <v>0</v>
      </c>
      <c r="T17" s="26">
        <v>0</v>
      </c>
      <c r="U17" s="28">
        <v>0</v>
      </c>
      <c r="V17" s="27">
        <v>0</v>
      </c>
      <c r="W17" s="27">
        <v>0</v>
      </c>
      <c r="X17" s="27">
        <v>0</v>
      </c>
      <c r="Y17" s="27">
        <v>0</v>
      </c>
      <c r="Z17" s="26">
        <v>0</v>
      </c>
      <c r="AA17" s="27">
        <v>0</v>
      </c>
      <c r="AB17" s="27">
        <v>0</v>
      </c>
      <c r="AC17" s="27">
        <v>0</v>
      </c>
      <c r="AD17" s="27">
        <v>0</v>
      </c>
      <c r="AE17" s="26">
        <v>0</v>
      </c>
      <c r="AF17" s="27">
        <v>0</v>
      </c>
      <c r="AG17" s="27">
        <v>0</v>
      </c>
      <c r="AH17" s="27">
        <v>0</v>
      </c>
      <c r="AI17" s="27">
        <v>0</v>
      </c>
      <c r="AJ17" s="27">
        <v>0</v>
      </c>
      <c r="AK17" s="26">
        <v>0</v>
      </c>
      <c r="AL17" s="28">
        <v>0</v>
      </c>
      <c r="AM17" s="54"/>
      <c r="AN17" s="13">
        <v>0</v>
      </c>
      <c r="AO17" s="13">
        <v>0</v>
      </c>
    </row>
    <row r="18" spans="1:41" s="15" customFormat="1">
      <c r="A18" s="118"/>
      <c r="B18" s="12" t="s">
        <v>7</v>
      </c>
      <c r="C18" s="26"/>
      <c r="D18" s="26"/>
      <c r="E18" s="32"/>
      <c r="F18" s="27">
        <v>0</v>
      </c>
      <c r="G18" s="27">
        <v>0</v>
      </c>
      <c r="H18" s="27">
        <v>0</v>
      </c>
      <c r="I18" s="26">
        <v>0</v>
      </c>
      <c r="J18" s="32">
        <v>0</v>
      </c>
      <c r="K18" s="27">
        <v>0</v>
      </c>
      <c r="L18" s="27">
        <v>0</v>
      </c>
      <c r="M18" s="27">
        <v>0</v>
      </c>
      <c r="N18" s="26">
        <v>0</v>
      </c>
      <c r="O18" s="32">
        <v>0</v>
      </c>
      <c r="P18" s="27">
        <v>0</v>
      </c>
      <c r="Q18" s="27">
        <v>0</v>
      </c>
      <c r="R18" s="27">
        <v>0</v>
      </c>
      <c r="S18" s="27">
        <v>0</v>
      </c>
      <c r="T18" s="26">
        <v>0</v>
      </c>
      <c r="U18" s="28">
        <v>0</v>
      </c>
      <c r="V18" s="32">
        <v>0</v>
      </c>
      <c r="W18" s="27">
        <v>0</v>
      </c>
      <c r="X18" s="27">
        <v>0</v>
      </c>
      <c r="Y18" s="27">
        <v>0</v>
      </c>
      <c r="Z18" s="26">
        <v>0</v>
      </c>
      <c r="AA18" s="32">
        <v>0</v>
      </c>
      <c r="AB18" s="27">
        <v>0</v>
      </c>
      <c r="AC18" s="27">
        <v>0</v>
      </c>
      <c r="AD18" s="27">
        <v>0</v>
      </c>
      <c r="AE18" s="26">
        <v>0</v>
      </c>
      <c r="AF18" s="32">
        <v>0</v>
      </c>
      <c r="AG18" s="27">
        <v>0</v>
      </c>
      <c r="AH18" s="27">
        <v>0</v>
      </c>
      <c r="AI18" s="27">
        <v>0</v>
      </c>
      <c r="AJ18" s="27">
        <v>0</v>
      </c>
      <c r="AK18" s="26">
        <v>0</v>
      </c>
      <c r="AL18" s="28">
        <v>0</v>
      </c>
      <c r="AM18" s="54"/>
      <c r="AN18" s="13">
        <v>0</v>
      </c>
      <c r="AO18" s="13">
        <v>0</v>
      </c>
    </row>
    <row r="19" spans="1:41" s="15" customFormat="1" ht="17" thickBot="1">
      <c r="A19" s="119"/>
      <c r="B19" s="4" t="s">
        <v>67</v>
      </c>
      <c r="C19" s="26">
        <v>0</v>
      </c>
      <c r="D19" s="37">
        <v>0</v>
      </c>
      <c r="E19" s="21"/>
      <c r="F19" s="21">
        <v>0</v>
      </c>
      <c r="G19" s="21">
        <v>0</v>
      </c>
      <c r="H19" s="21">
        <v>0</v>
      </c>
      <c r="I19" s="20">
        <v>0</v>
      </c>
      <c r="J19" s="21">
        <v>0</v>
      </c>
      <c r="K19" s="21">
        <v>0</v>
      </c>
      <c r="L19" s="21">
        <v>0</v>
      </c>
      <c r="M19" s="21">
        <v>0</v>
      </c>
      <c r="N19" s="20">
        <v>0</v>
      </c>
      <c r="O19" s="21">
        <v>0</v>
      </c>
      <c r="P19" s="21">
        <v>0</v>
      </c>
      <c r="Q19" s="21">
        <v>0</v>
      </c>
      <c r="R19" s="21">
        <v>0</v>
      </c>
      <c r="S19" s="21">
        <v>0</v>
      </c>
      <c r="T19" s="20">
        <v>0</v>
      </c>
      <c r="U19" s="22">
        <v>0</v>
      </c>
      <c r="V19" s="21">
        <v>0</v>
      </c>
      <c r="W19" s="21">
        <v>0</v>
      </c>
      <c r="X19" s="21">
        <v>0</v>
      </c>
      <c r="Y19" s="21">
        <v>0</v>
      </c>
      <c r="Z19" s="20">
        <v>0</v>
      </c>
      <c r="AA19" s="21">
        <v>0</v>
      </c>
      <c r="AB19" s="21">
        <v>0</v>
      </c>
      <c r="AC19" s="21">
        <v>0</v>
      </c>
      <c r="AD19" s="21">
        <v>0</v>
      </c>
      <c r="AE19" s="20">
        <v>0</v>
      </c>
      <c r="AF19" s="21">
        <v>0</v>
      </c>
      <c r="AG19" s="21">
        <v>0</v>
      </c>
      <c r="AH19" s="21">
        <v>0</v>
      </c>
      <c r="AI19" s="21">
        <v>0</v>
      </c>
      <c r="AJ19" s="21">
        <v>0</v>
      </c>
      <c r="AK19" s="20">
        <v>0</v>
      </c>
      <c r="AL19" s="22">
        <v>0</v>
      </c>
      <c r="AM19" s="54"/>
      <c r="AN19" s="13">
        <v>0</v>
      </c>
      <c r="AO19" s="13">
        <v>0</v>
      </c>
    </row>
    <row r="20" spans="1:41" s="15" customFormat="1" ht="17" thickBot="1">
      <c r="A20" s="46"/>
      <c r="B20" s="12" t="s">
        <v>68</v>
      </c>
      <c r="C20" s="26"/>
      <c r="D20" s="26"/>
      <c r="E20" s="19"/>
      <c r="F20" s="19"/>
      <c r="G20" s="19"/>
      <c r="H20" s="19"/>
      <c r="I20" s="23"/>
      <c r="J20" s="19"/>
      <c r="K20" s="19"/>
      <c r="L20" s="19"/>
      <c r="M20" s="19"/>
      <c r="N20" s="23"/>
      <c r="O20" s="19"/>
      <c r="P20" s="19"/>
      <c r="Q20" s="19"/>
      <c r="R20" s="19"/>
      <c r="S20" s="19"/>
      <c r="T20" s="23"/>
      <c r="U20" s="24"/>
      <c r="V20" s="19"/>
      <c r="W20" s="19"/>
      <c r="X20" s="19"/>
      <c r="Y20" s="19"/>
      <c r="Z20" s="23"/>
      <c r="AA20" s="19"/>
      <c r="AB20" s="19"/>
      <c r="AC20" s="19"/>
      <c r="AD20" s="19"/>
      <c r="AE20" s="23"/>
      <c r="AF20" s="19"/>
      <c r="AG20" s="19"/>
      <c r="AH20" s="19"/>
      <c r="AI20" s="19"/>
      <c r="AJ20" s="19"/>
      <c r="AK20" s="23"/>
      <c r="AL20" s="24"/>
      <c r="AM20" s="54"/>
      <c r="AN20" s="13">
        <v>0</v>
      </c>
      <c r="AO20" s="13">
        <v>0</v>
      </c>
    </row>
    <row r="21" spans="1:41" s="11" customFormat="1">
      <c r="A21" s="138" t="s">
        <v>71</v>
      </c>
      <c r="B21" s="1" t="s">
        <v>64</v>
      </c>
      <c r="C21" s="20"/>
      <c r="D21" s="20"/>
      <c r="E21" s="27"/>
      <c r="F21" s="27">
        <v>1828044</v>
      </c>
      <c r="G21" s="27">
        <v>573652</v>
      </c>
      <c r="H21" s="27">
        <v>0</v>
      </c>
      <c r="I21" s="26">
        <v>2401696</v>
      </c>
      <c r="J21" s="27">
        <v>100006</v>
      </c>
      <c r="K21" s="27">
        <v>753807</v>
      </c>
      <c r="L21" s="27">
        <v>253560</v>
      </c>
      <c r="M21" s="27">
        <v>0</v>
      </c>
      <c r="N21" s="26">
        <v>1107373</v>
      </c>
      <c r="O21" s="27">
        <v>2302484</v>
      </c>
      <c r="P21" s="27">
        <v>360497</v>
      </c>
      <c r="Q21" s="27">
        <v>897688</v>
      </c>
      <c r="R21" s="27">
        <v>539286</v>
      </c>
      <c r="S21" s="27">
        <v>0</v>
      </c>
      <c r="T21" s="26">
        <v>4099955</v>
      </c>
      <c r="U21" s="28">
        <v>9633281</v>
      </c>
      <c r="V21" s="27">
        <v>674105</v>
      </c>
      <c r="W21" s="27">
        <v>119344</v>
      </c>
      <c r="X21" s="27">
        <v>104577</v>
      </c>
      <c r="Y21" s="27">
        <v>0</v>
      </c>
      <c r="Z21" s="26">
        <v>898026</v>
      </c>
      <c r="AA21" s="27">
        <v>718084</v>
      </c>
      <c r="AB21" s="27">
        <v>197252</v>
      </c>
      <c r="AC21" s="27">
        <v>153813</v>
      </c>
      <c r="AD21" s="27">
        <v>0</v>
      </c>
      <c r="AE21" s="26">
        <v>1069149</v>
      </c>
      <c r="AF21" s="27">
        <v>83198</v>
      </c>
      <c r="AG21" s="27">
        <v>212</v>
      </c>
      <c r="AH21" s="27">
        <v>43611</v>
      </c>
      <c r="AI21" s="27">
        <v>189</v>
      </c>
      <c r="AJ21" s="27">
        <v>0</v>
      </c>
      <c r="AK21" s="26">
        <v>127210</v>
      </c>
      <c r="AL21" s="28">
        <v>2094385</v>
      </c>
      <c r="AM21" s="55">
        <v>16</v>
      </c>
      <c r="AN21" s="13">
        <v>154132496</v>
      </c>
      <c r="AO21" s="13">
        <v>33510160</v>
      </c>
    </row>
    <row r="22" spans="1:41" s="11" customFormat="1">
      <c r="A22" s="139"/>
      <c r="B22" s="6" t="s">
        <v>65</v>
      </c>
      <c r="C22" s="26"/>
      <c r="D22" s="20"/>
      <c r="E22" s="27"/>
      <c r="F22" s="27">
        <v>1828044</v>
      </c>
      <c r="G22" s="27">
        <v>573652</v>
      </c>
      <c r="H22" s="27">
        <v>0</v>
      </c>
      <c r="I22" s="26">
        <v>2401696</v>
      </c>
      <c r="J22" s="27">
        <v>100006</v>
      </c>
      <c r="K22" s="27">
        <v>753807</v>
      </c>
      <c r="L22" s="27">
        <v>253560</v>
      </c>
      <c r="M22" s="27">
        <v>0</v>
      </c>
      <c r="N22" s="26">
        <v>1107373</v>
      </c>
      <c r="O22" s="27">
        <v>2700000</v>
      </c>
      <c r="P22" s="27">
        <v>0</v>
      </c>
      <c r="Q22" s="27">
        <v>500000</v>
      </c>
      <c r="R22" s="27">
        <v>1050000</v>
      </c>
      <c r="S22" s="27">
        <v>0</v>
      </c>
      <c r="T22" s="26">
        <v>4250000</v>
      </c>
      <c r="U22" s="28">
        <v>0</v>
      </c>
      <c r="V22" s="27">
        <v>0</v>
      </c>
      <c r="W22" s="27">
        <v>600000</v>
      </c>
      <c r="X22" s="27">
        <v>300000</v>
      </c>
      <c r="Y22" s="27">
        <v>0</v>
      </c>
      <c r="Z22" s="26">
        <v>900000</v>
      </c>
      <c r="AA22" s="27">
        <v>0</v>
      </c>
      <c r="AB22" s="27">
        <v>0</v>
      </c>
      <c r="AC22" s="27">
        <v>300000</v>
      </c>
      <c r="AD22" s="27">
        <v>0</v>
      </c>
      <c r="AE22" s="26">
        <v>300000</v>
      </c>
      <c r="AF22" s="27">
        <v>0</v>
      </c>
      <c r="AG22" s="27">
        <v>0</v>
      </c>
      <c r="AH22" s="27">
        <v>0</v>
      </c>
      <c r="AI22" s="27">
        <v>0</v>
      </c>
      <c r="AJ22" s="27">
        <v>0</v>
      </c>
      <c r="AK22" s="26">
        <v>0</v>
      </c>
      <c r="AL22" s="28">
        <v>0</v>
      </c>
      <c r="AM22" s="55"/>
      <c r="AN22" s="13">
        <v>0</v>
      </c>
      <c r="AO22" s="13">
        <v>0</v>
      </c>
    </row>
    <row r="23" spans="1:41" s="11" customFormat="1">
      <c r="A23" s="139"/>
      <c r="B23" s="6" t="s">
        <v>66</v>
      </c>
      <c r="C23" s="26">
        <v>257600</v>
      </c>
      <c r="D23" s="20">
        <v>257600</v>
      </c>
      <c r="E23" s="27"/>
      <c r="F23" s="27">
        <v>0</v>
      </c>
      <c r="G23" s="27">
        <v>0</v>
      </c>
      <c r="H23" s="27">
        <v>0</v>
      </c>
      <c r="I23" s="26">
        <v>0</v>
      </c>
      <c r="J23" s="27">
        <v>0</v>
      </c>
      <c r="K23" s="27">
        <v>0</v>
      </c>
      <c r="L23" s="27">
        <v>257600</v>
      </c>
      <c r="M23" s="27">
        <v>0</v>
      </c>
      <c r="N23" s="26">
        <v>257600</v>
      </c>
      <c r="O23" s="27">
        <v>0</v>
      </c>
      <c r="P23" s="27">
        <v>0</v>
      </c>
      <c r="Q23" s="27">
        <v>0</v>
      </c>
      <c r="R23" s="27">
        <v>0</v>
      </c>
      <c r="S23" s="27">
        <v>0</v>
      </c>
      <c r="T23" s="26">
        <v>0</v>
      </c>
      <c r="U23" s="28">
        <v>257600</v>
      </c>
      <c r="V23" s="27">
        <v>0</v>
      </c>
      <c r="W23" s="27">
        <v>0</v>
      </c>
      <c r="X23" s="27">
        <v>0</v>
      </c>
      <c r="Y23" s="27">
        <v>0</v>
      </c>
      <c r="Z23" s="26">
        <v>0</v>
      </c>
      <c r="AA23" s="27">
        <v>0</v>
      </c>
      <c r="AB23" s="27">
        <v>0</v>
      </c>
      <c r="AC23" s="27">
        <v>0</v>
      </c>
      <c r="AD23" s="27">
        <v>0</v>
      </c>
      <c r="AE23" s="26">
        <v>0</v>
      </c>
      <c r="AF23" s="27">
        <v>0</v>
      </c>
      <c r="AG23" s="27">
        <v>0</v>
      </c>
      <c r="AH23" s="27">
        <v>0</v>
      </c>
      <c r="AI23" s="27">
        <v>0</v>
      </c>
      <c r="AJ23" s="27">
        <v>0</v>
      </c>
      <c r="AK23" s="26">
        <v>0</v>
      </c>
      <c r="AL23" s="28">
        <v>0</v>
      </c>
      <c r="AM23" s="55"/>
      <c r="AN23" s="13">
        <v>0</v>
      </c>
      <c r="AO23" s="13">
        <v>0</v>
      </c>
    </row>
    <row r="24" spans="1:41" s="11" customFormat="1">
      <c r="A24" s="139"/>
      <c r="B24" s="6" t="s">
        <v>7</v>
      </c>
      <c r="C24" s="26"/>
      <c r="D24" s="20"/>
      <c r="E24" s="32"/>
      <c r="F24" s="27">
        <v>1828044</v>
      </c>
      <c r="G24" s="27">
        <v>573652</v>
      </c>
      <c r="H24" s="27">
        <v>0</v>
      </c>
      <c r="I24" s="26">
        <v>2401696</v>
      </c>
      <c r="J24" s="32">
        <v>100006</v>
      </c>
      <c r="K24" s="27">
        <v>753807</v>
      </c>
      <c r="L24" s="27">
        <v>511160</v>
      </c>
      <c r="M24" s="27">
        <v>0</v>
      </c>
      <c r="N24" s="26">
        <v>1364973</v>
      </c>
      <c r="O24" s="32">
        <v>2700000</v>
      </c>
      <c r="P24" s="27">
        <v>0</v>
      </c>
      <c r="Q24" s="27">
        <v>500000</v>
      </c>
      <c r="R24" s="27">
        <v>1050000</v>
      </c>
      <c r="S24" s="27">
        <v>0</v>
      </c>
      <c r="T24" s="26">
        <v>4250000</v>
      </c>
      <c r="U24" s="28">
        <v>10040926</v>
      </c>
      <c r="V24" s="32">
        <v>0</v>
      </c>
      <c r="W24" s="27">
        <v>600000</v>
      </c>
      <c r="X24" s="27">
        <v>300000</v>
      </c>
      <c r="Y24" s="27">
        <v>0</v>
      </c>
      <c r="Z24" s="26">
        <v>1307645</v>
      </c>
      <c r="AA24" s="32">
        <v>0</v>
      </c>
      <c r="AB24" s="27">
        <v>0</v>
      </c>
      <c r="AC24" s="27">
        <v>300000</v>
      </c>
      <c r="AD24" s="27">
        <v>0</v>
      </c>
      <c r="AE24" s="26">
        <v>300000</v>
      </c>
      <c r="AF24" s="32">
        <v>0</v>
      </c>
      <c r="AG24" s="27">
        <v>0</v>
      </c>
      <c r="AH24" s="27">
        <v>0</v>
      </c>
      <c r="AI24" s="27">
        <v>0</v>
      </c>
      <c r="AJ24" s="27">
        <v>0</v>
      </c>
      <c r="AK24" s="26">
        <v>0</v>
      </c>
      <c r="AL24" s="28">
        <v>1607645</v>
      </c>
      <c r="AM24" s="55"/>
      <c r="AN24" s="13">
        <v>0</v>
      </c>
      <c r="AO24" s="13">
        <v>0</v>
      </c>
    </row>
    <row r="25" spans="1:41" s="11" customFormat="1" ht="17" thickBot="1">
      <c r="A25" s="140"/>
      <c r="B25" s="2" t="s">
        <v>67</v>
      </c>
      <c r="C25" s="26">
        <v>970721</v>
      </c>
      <c r="D25" s="37">
        <v>2024257</v>
      </c>
      <c r="E25" s="21"/>
      <c r="F25" s="21">
        <v>0</v>
      </c>
      <c r="G25" s="21">
        <v>0</v>
      </c>
      <c r="H25" s="21">
        <v>0</v>
      </c>
      <c r="I25" s="20">
        <v>0</v>
      </c>
      <c r="J25" s="21">
        <v>0</v>
      </c>
      <c r="K25" s="21">
        <v>0</v>
      </c>
      <c r="L25" s="21">
        <v>257600</v>
      </c>
      <c r="M25" s="21">
        <v>257600</v>
      </c>
      <c r="N25" s="20">
        <v>257600</v>
      </c>
      <c r="O25" s="21">
        <v>655116</v>
      </c>
      <c r="P25" s="21">
        <v>294619</v>
      </c>
      <c r="Q25" s="21">
        <v>-103069</v>
      </c>
      <c r="R25" s="21">
        <v>407645</v>
      </c>
      <c r="S25" s="21">
        <v>407645</v>
      </c>
      <c r="T25" s="20">
        <v>407645</v>
      </c>
      <c r="U25" s="22">
        <v>407645</v>
      </c>
      <c r="V25" s="21">
        <v>-266460</v>
      </c>
      <c r="W25" s="21">
        <v>214196</v>
      </c>
      <c r="X25" s="21">
        <v>409619</v>
      </c>
      <c r="Y25" s="21">
        <v>409619</v>
      </c>
      <c r="Z25" s="20">
        <v>409619</v>
      </c>
      <c r="AA25" s="21">
        <v>-308465</v>
      </c>
      <c r="AB25" s="21">
        <v>-505717</v>
      </c>
      <c r="AC25" s="21">
        <v>-359530</v>
      </c>
      <c r="AD25" s="21">
        <v>-359530</v>
      </c>
      <c r="AE25" s="20">
        <v>-359530</v>
      </c>
      <c r="AF25" s="21">
        <v>-442728</v>
      </c>
      <c r="AG25" s="21">
        <v>-442940</v>
      </c>
      <c r="AH25" s="21">
        <v>-486551</v>
      </c>
      <c r="AI25" s="21">
        <v>-486740</v>
      </c>
      <c r="AJ25" s="21">
        <v>-486740</v>
      </c>
      <c r="AK25" s="20">
        <v>-486740</v>
      </c>
      <c r="AL25" s="22">
        <v>-79095</v>
      </c>
      <c r="AM25" s="55"/>
      <c r="AN25" s="13">
        <v>0</v>
      </c>
      <c r="AO25" s="13">
        <v>0</v>
      </c>
    </row>
    <row r="26" spans="1:41" s="11" customFormat="1" ht="17" thickBot="1">
      <c r="A26" s="14"/>
      <c r="B26" s="6" t="s">
        <v>68</v>
      </c>
      <c r="C26" s="20"/>
      <c r="D26" s="20"/>
      <c r="E26" s="19">
        <v>0</v>
      </c>
      <c r="F26" s="19"/>
      <c r="G26" s="19"/>
      <c r="H26" s="19"/>
      <c r="I26" s="23"/>
      <c r="J26" s="19"/>
      <c r="K26" s="19"/>
      <c r="L26" s="19"/>
      <c r="M26" s="19"/>
      <c r="N26" s="23"/>
      <c r="O26" s="19"/>
      <c r="P26" s="19"/>
      <c r="Q26" s="19"/>
      <c r="R26" s="19"/>
      <c r="S26" s="19"/>
      <c r="T26" s="23"/>
      <c r="U26" s="24"/>
      <c r="V26" s="19"/>
      <c r="W26" s="19"/>
      <c r="X26" s="19"/>
      <c r="Y26" s="19"/>
      <c r="Z26" s="23"/>
      <c r="AA26" s="19"/>
      <c r="AB26" s="19"/>
      <c r="AC26" s="19"/>
      <c r="AD26" s="19"/>
      <c r="AE26" s="23"/>
      <c r="AF26" s="19"/>
      <c r="AG26" s="19"/>
      <c r="AH26" s="19"/>
      <c r="AI26" s="19"/>
      <c r="AJ26" s="19"/>
      <c r="AK26" s="23"/>
      <c r="AL26" s="24"/>
      <c r="AM26" s="55"/>
      <c r="AN26" s="13">
        <v>0</v>
      </c>
      <c r="AO26" s="13">
        <v>0</v>
      </c>
    </row>
    <row r="27" spans="1:41" s="15" customFormat="1">
      <c r="A27" s="130" t="s">
        <v>72</v>
      </c>
      <c r="B27" s="3" t="s">
        <v>64</v>
      </c>
      <c r="C27" s="26"/>
      <c r="D27" s="26"/>
      <c r="E27" s="27"/>
      <c r="F27" s="27">
        <v>0</v>
      </c>
      <c r="G27" s="27">
        <v>0</v>
      </c>
      <c r="H27" s="27">
        <v>0</v>
      </c>
      <c r="I27" s="26">
        <v>0</v>
      </c>
      <c r="J27" s="27">
        <v>0</v>
      </c>
      <c r="K27" s="27">
        <v>0</v>
      </c>
      <c r="L27" s="27">
        <v>0</v>
      </c>
      <c r="M27" s="27">
        <v>0</v>
      </c>
      <c r="N27" s="26">
        <v>0</v>
      </c>
      <c r="O27" s="27">
        <v>3</v>
      </c>
      <c r="P27" s="27">
        <v>0</v>
      </c>
      <c r="Q27" s="27">
        <v>0</v>
      </c>
      <c r="R27" s="27">
        <v>0</v>
      </c>
      <c r="S27" s="27">
        <v>0</v>
      </c>
      <c r="T27" s="26">
        <v>3</v>
      </c>
      <c r="U27" s="28">
        <v>14389</v>
      </c>
      <c r="V27" s="27">
        <v>0</v>
      </c>
      <c r="W27" s="27">
        <v>0</v>
      </c>
      <c r="X27" s="27">
        <v>0</v>
      </c>
      <c r="Y27" s="27">
        <v>0</v>
      </c>
      <c r="Z27" s="26">
        <v>0</v>
      </c>
      <c r="AA27" s="27">
        <v>0</v>
      </c>
      <c r="AB27" s="27">
        <v>0</v>
      </c>
      <c r="AC27" s="27">
        <v>0</v>
      </c>
      <c r="AD27" s="27">
        <v>0</v>
      </c>
      <c r="AE27" s="26">
        <v>0</v>
      </c>
      <c r="AF27" s="27">
        <v>0</v>
      </c>
      <c r="AG27" s="27">
        <v>0</v>
      </c>
      <c r="AH27" s="27">
        <v>0</v>
      </c>
      <c r="AI27" s="27">
        <v>0</v>
      </c>
      <c r="AJ27" s="27">
        <v>0</v>
      </c>
      <c r="AK27" s="26">
        <v>0</v>
      </c>
      <c r="AL27" s="28">
        <v>0</v>
      </c>
      <c r="AM27" s="55">
        <v>16</v>
      </c>
      <c r="AN27" s="13">
        <v>230224</v>
      </c>
      <c r="AO27" s="13">
        <v>0</v>
      </c>
    </row>
    <row r="28" spans="1:41" s="15" customFormat="1">
      <c r="A28" s="131"/>
      <c r="B28" s="12" t="s">
        <v>65</v>
      </c>
      <c r="C28" s="26"/>
      <c r="D28" s="26"/>
      <c r="E28" s="27"/>
      <c r="F28" s="27">
        <v>0</v>
      </c>
      <c r="G28" s="27">
        <v>0</v>
      </c>
      <c r="H28" s="27">
        <v>0</v>
      </c>
      <c r="I28" s="26">
        <v>0</v>
      </c>
      <c r="J28" s="27">
        <v>0</v>
      </c>
      <c r="K28" s="27">
        <v>0</v>
      </c>
      <c r="L28" s="27">
        <v>0</v>
      </c>
      <c r="M28" s="27">
        <v>0</v>
      </c>
      <c r="N28" s="26">
        <v>0</v>
      </c>
      <c r="O28" s="27">
        <v>0</v>
      </c>
      <c r="P28" s="27">
        <v>0</v>
      </c>
      <c r="Q28" s="27">
        <v>0</v>
      </c>
      <c r="R28" s="27">
        <v>0</v>
      </c>
      <c r="S28" s="27">
        <v>0</v>
      </c>
      <c r="T28" s="26">
        <v>0</v>
      </c>
      <c r="U28" s="28">
        <v>0</v>
      </c>
      <c r="V28" s="27">
        <v>0</v>
      </c>
      <c r="W28" s="27">
        <v>0</v>
      </c>
      <c r="X28" s="27">
        <v>0</v>
      </c>
      <c r="Y28" s="27">
        <v>0</v>
      </c>
      <c r="Z28" s="26">
        <v>0</v>
      </c>
      <c r="AA28" s="27">
        <v>0</v>
      </c>
      <c r="AB28" s="27">
        <v>0</v>
      </c>
      <c r="AC28" s="27">
        <v>0</v>
      </c>
      <c r="AD28" s="27">
        <v>0</v>
      </c>
      <c r="AE28" s="26">
        <v>0</v>
      </c>
      <c r="AF28" s="27">
        <v>0</v>
      </c>
      <c r="AG28" s="27">
        <v>0</v>
      </c>
      <c r="AH28" s="27">
        <v>0</v>
      </c>
      <c r="AI28" s="27">
        <v>0</v>
      </c>
      <c r="AJ28" s="27">
        <v>0</v>
      </c>
      <c r="AK28" s="26">
        <v>0</v>
      </c>
      <c r="AL28" s="28">
        <v>0</v>
      </c>
      <c r="AM28" s="54"/>
      <c r="AN28" s="13">
        <v>0</v>
      </c>
      <c r="AO28" s="13">
        <v>0</v>
      </c>
    </row>
    <row r="29" spans="1:41" s="15" customFormat="1">
      <c r="A29" s="131"/>
      <c r="B29" s="12" t="s">
        <v>66</v>
      </c>
      <c r="C29" s="26">
        <v>0</v>
      </c>
      <c r="D29" s="26">
        <v>0</v>
      </c>
      <c r="E29" s="27"/>
      <c r="F29" s="27">
        <v>0</v>
      </c>
      <c r="G29" s="27">
        <v>0</v>
      </c>
      <c r="H29" s="27">
        <v>0</v>
      </c>
      <c r="I29" s="26">
        <v>0</v>
      </c>
      <c r="J29" s="27">
        <v>0</v>
      </c>
      <c r="K29" s="27">
        <v>0</v>
      </c>
      <c r="L29" s="27">
        <v>0</v>
      </c>
      <c r="M29" s="27">
        <v>0</v>
      </c>
      <c r="N29" s="26">
        <v>0</v>
      </c>
      <c r="O29" s="27">
        <v>0</v>
      </c>
      <c r="P29" s="27">
        <v>0</v>
      </c>
      <c r="Q29" s="27">
        <v>0</v>
      </c>
      <c r="R29" s="27">
        <v>0</v>
      </c>
      <c r="S29" s="27">
        <v>0</v>
      </c>
      <c r="T29" s="26">
        <v>0</v>
      </c>
      <c r="U29" s="28">
        <v>0</v>
      </c>
      <c r="V29" s="27">
        <v>0</v>
      </c>
      <c r="W29" s="27">
        <v>0</v>
      </c>
      <c r="X29" s="27">
        <v>0</v>
      </c>
      <c r="Y29" s="27">
        <v>0</v>
      </c>
      <c r="Z29" s="26">
        <v>0</v>
      </c>
      <c r="AA29" s="27">
        <v>0</v>
      </c>
      <c r="AB29" s="27">
        <v>0</v>
      </c>
      <c r="AC29" s="27">
        <v>0</v>
      </c>
      <c r="AD29" s="27">
        <v>0</v>
      </c>
      <c r="AE29" s="26">
        <v>0</v>
      </c>
      <c r="AF29" s="27">
        <v>0</v>
      </c>
      <c r="AG29" s="27">
        <v>0</v>
      </c>
      <c r="AH29" s="27">
        <v>0</v>
      </c>
      <c r="AI29" s="27">
        <v>0</v>
      </c>
      <c r="AJ29" s="27">
        <v>0</v>
      </c>
      <c r="AK29" s="26">
        <v>0</v>
      </c>
      <c r="AL29" s="28">
        <v>0</v>
      </c>
      <c r="AM29" s="54"/>
      <c r="AN29" s="13">
        <v>0</v>
      </c>
      <c r="AO29" s="13">
        <v>0</v>
      </c>
    </row>
    <row r="30" spans="1:41" s="15" customFormat="1">
      <c r="A30" s="131"/>
      <c r="B30" s="12" t="s">
        <v>7</v>
      </c>
      <c r="C30" s="26"/>
      <c r="D30" s="26"/>
      <c r="E30" s="32"/>
      <c r="F30" s="27">
        <v>0</v>
      </c>
      <c r="G30" s="27">
        <v>0</v>
      </c>
      <c r="H30" s="27">
        <v>0</v>
      </c>
      <c r="I30" s="26">
        <v>0</v>
      </c>
      <c r="J30" s="32">
        <v>0</v>
      </c>
      <c r="K30" s="27">
        <v>0</v>
      </c>
      <c r="L30" s="27">
        <v>0</v>
      </c>
      <c r="M30" s="27">
        <v>0</v>
      </c>
      <c r="N30" s="26">
        <v>0</v>
      </c>
      <c r="O30" s="32">
        <v>0</v>
      </c>
      <c r="P30" s="27">
        <v>0</v>
      </c>
      <c r="Q30" s="27">
        <v>0</v>
      </c>
      <c r="R30" s="27">
        <v>0</v>
      </c>
      <c r="S30" s="27">
        <v>0</v>
      </c>
      <c r="T30" s="26">
        <v>0</v>
      </c>
      <c r="U30" s="28">
        <v>14386</v>
      </c>
      <c r="V30" s="32">
        <v>0</v>
      </c>
      <c r="W30" s="27">
        <v>0</v>
      </c>
      <c r="X30" s="27">
        <v>0</v>
      </c>
      <c r="Y30" s="27">
        <v>0</v>
      </c>
      <c r="Z30" s="26">
        <v>-3</v>
      </c>
      <c r="AA30" s="32">
        <v>0</v>
      </c>
      <c r="AB30" s="27">
        <v>0</v>
      </c>
      <c r="AC30" s="27">
        <v>0</v>
      </c>
      <c r="AD30" s="27">
        <v>0</v>
      </c>
      <c r="AE30" s="26">
        <v>0</v>
      </c>
      <c r="AF30" s="32">
        <v>0</v>
      </c>
      <c r="AG30" s="27">
        <v>0</v>
      </c>
      <c r="AH30" s="27">
        <v>0</v>
      </c>
      <c r="AI30" s="27">
        <v>0</v>
      </c>
      <c r="AJ30" s="27">
        <v>0</v>
      </c>
      <c r="AK30" s="26">
        <v>0</v>
      </c>
      <c r="AL30" s="28">
        <v>-3</v>
      </c>
      <c r="AM30" s="54"/>
      <c r="AN30" s="13">
        <v>0</v>
      </c>
      <c r="AO30" s="13">
        <v>0</v>
      </c>
    </row>
    <row r="31" spans="1:41" s="15" customFormat="1" ht="17" thickBot="1">
      <c r="A31" s="132"/>
      <c r="B31" s="4" t="s">
        <v>67</v>
      </c>
      <c r="C31" s="26">
        <v>12173</v>
      </c>
      <c r="D31" s="37">
        <v>14386</v>
      </c>
      <c r="E31" s="21"/>
      <c r="F31" s="21">
        <v>0</v>
      </c>
      <c r="G31" s="21">
        <v>0</v>
      </c>
      <c r="H31" s="21">
        <v>0</v>
      </c>
      <c r="I31" s="20">
        <v>0</v>
      </c>
      <c r="J31" s="21">
        <v>0</v>
      </c>
      <c r="K31" s="21">
        <v>0</v>
      </c>
      <c r="L31" s="21">
        <v>0</v>
      </c>
      <c r="M31" s="21">
        <v>0</v>
      </c>
      <c r="N31" s="20">
        <v>0</v>
      </c>
      <c r="O31" s="21">
        <v>-3</v>
      </c>
      <c r="P31" s="21">
        <v>-3</v>
      </c>
      <c r="Q31" s="21">
        <v>-3</v>
      </c>
      <c r="R31" s="21">
        <v>-3</v>
      </c>
      <c r="S31" s="21">
        <v>-3</v>
      </c>
      <c r="T31" s="20">
        <v>-3</v>
      </c>
      <c r="U31" s="22">
        <v>-3</v>
      </c>
      <c r="V31" s="21">
        <v>-3</v>
      </c>
      <c r="W31" s="21">
        <v>-3</v>
      </c>
      <c r="X31" s="21">
        <v>-3</v>
      </c>
      <c r="Y31" s="21">
        <v>-3</v>
      </c>
      <c r="Z31" s="20">
        <v>-3</v>
      </c>
      <c r="AA31" s="21">
        <v>-3</v>
      </c>
      <c r="AB31" s="21">
        <v>-3</v>
      </c>
      <c r="AC31" s="21">
        <v>-3</v>
      </c>
      <c r="AD31" s="21">
        <v>-3</v>
      </c>
      <c r="AE31" s="20">
        <v>-3</v>
      </c>
      <c r="AF31" s="21">
        <v>-3</v>
      </c>
      <c r="AG31" s="21">
        <v>-3</v>
      </c>
      <c r="AH31" s="21">
        <v>-3</v>
      </c>
      <c r="AI31" s="21">
        <v>-3</v>
      </c>
      <c r="AJ31" s="21">
        <v>-3</v>
      </c>
      <c r="AK31" s="20">
        <v>-3</v>
      </c>
      <c r="AL31" s="22">
        <v>-6</v>
      </c>
      <c r="AM31" s="54"/>
      <c r="AN31" s="13">
        <v>0</v>
      </c>
      <c r="AO31" s="13">
        <v>0</v>
      </c>
    </row>
    <row r="32" spans="1:41" s="15" customFormat="1" ht="17" thickBot="1">
      <c r="A32" s="46"/>
      <c r="B32" s="12" t="s">
        <v>68</v>
      </c>
      <c r="C32" s="26"/>
      <c r="D32" s="26"/>
      <c r="E32" s="19"/>
      <c r="F32" s="19"/>
      <c r="G32" s="19"/>
      <c r="H32" s="19"/>
      <c r="I32" s="23"/>
      <c r="J32" s="19"/>
      <c r="K32" s="19"/>
      <c r="L32" s="19"/>
      <c r="M32" s="19"/>
      <c r="N32" s="23"/>
      <c r="O32" s="19"/>
      <c r="P32" s="19"/>
      <c r="Q32" s="19"/>
      <c r="R32" s="19"/>
      <c r="S32" s="19"/>
      <c r="T32" s="23"/>
      <c r="U32" s="24"/>
      <c r="V32" s="19"/>
      <c r="W32" s="19"/>
      <c r="X32" s="19"/>
      <c r="Y32" s="19"/>
      <c r="Z32" s="23"/>
      <c r="AA32" s="19"/>
      <c r="AB32" s="19"/>
      <c r="AC32" s="19"/>
      <c r="AD32" s="19"/>
      <c r="AE32" s="23"/>
      <c r="AF32" s="19"/>
      <c r="AG32" s="19"/>
      <c r="AH32" s="19"/>
      <c r="AI32" s="19"/>
      <c r="AJ32" s="19"/>
      <c r="AK32" s="23"/>
      <c r="AL32" s="24"/>
      <c r="AM32" s="54"/>
      <c r="AN32" s="13">
        <v>0</v>
      </c>
      <c r="AO32" s="13">
        <v>0</v>
      </c>
    </row>
    <row r="33" spans="1:41" s="15" customFormat="1">
      <c r="A33" s="117" t="s">
        <v>73</v>
      </c>
      <c r="B33" s="3" t="s">
        <v>64</v>
      </c>
      <c r="C33" s="26"/>
      <c r="D33" s="26"/>
      <c r="E33" s="27"/>
      <c r="F33" s="27">
        <v>102400</v>
      </c>
      <c r="G33" s="27">
        <v>411702</v>
      </c>
      <c r="H33" s="27">
        <v>0</v>
      </c>
      <c r="I33" s="26">
        <v>514102</v>
      </c>
      <c r="J33" s="27">
        <v>0</v>
      </c>
      <c r="K33" s="27">
        <v>300000</v>
      </c>
      <c r="L33" s="27">
        <v>40960</v>
      </c>
      <c r="M33" s="27">
        <v>0</v>
      </c>
      <c r="N33" s="26">
        <v>340960</v>
      </c>
      <c r="O33" s="27">
        <v>197808</v>
      </c>
      <c r="P33" s="27">
        <v>2036</v>
      </c>
      <c r="Q33" s="27">
        <v>152698</v>
      </c>
      <c r="R33" s="27">
        <v>54947</v>
      </c>
      <c r="S33" s="27">
        <v>0</v>
      </c>
      <c r="T33" s="26">
        <v>407489</v>
      </c>
      <c r="U33" s="28">
        <v>2273489</v>
      </c>
      <c r="V33" s="27">
        <v>20680</v>
      </c>
      <c r="W33" s="27">
        <v>1162</v>
      </c>
      <c r="X33" s="27">
        <v>7048</v>
      </c>
      <c r="Y33" s="27">
        <v>0</v>
      </c>
      <c r="Z33" s="26">
        <v>28890</v>
      </c>
      <c r="AA33" s="27">
        <v>40501</v>
      </c>
      <c r="AB33" s="27">
        <v>0</v>
      </c>
      <c r="AC33" s="27">
        <v>27401</v>
      </c>
      <c r="AD33" s="27">
        <v>0</v>
      </c>
      <c r="AE33" s="26">
        <v>67902</v>
      </c>
      <c r="AF33" s="27">
        <v>4212</v>
      </c>
      <c r="AG33" s="27">
        <v>0</v>
      </c>
      <c r="AH33" s="27">
        <v>0</v>
      </c>
      <c r="AI33" s="27">
        <v>0</v>
      </c>
      <c r="AJ33" s="27">
        <v>0</v>
      </c>
      <c r="AK33" s="26">
        <v>4212</v>
      </c>
      <c r="AL33" s="28">
        <v>101004</v>
      </c>
      <c r="AM33" s="55">
        <v>16</v>
      </c>
      <c r="AN33" s="13">
        <v>36375824</v>
      </c>
      <c r="AO33" s="13">
        <v>1616064</v>
      </c>
    </row>
    <row r="34" spans="1:41" s="15" customFormat="1">
      <c r="A34" s="118"/>
      <c r="B34" s="12" t="s">
        <v>65</v>
      </c>
      <c r="C34" s="26"/>
      <c r="D34" s="26"/>
      <c r="E34" s="27"/>
      <c r="F34" s="27">
        <v>102400</v>
      </c>
      <c r="G34" s="27">
        <v>411702</v>
      </c>
      <c r="H34" s="27">
        <v>0</v>
      </c>
      <c r="I34" s="26">
        <v>514102</v>
      </c>
      <c r="J34" s="27">
        <v>0</v>
      </c>
      <c r="K34" s="27">
        <v>300000</v>
      </c>
      <c r="L34" s="27">
        <v>40960</v>
      </c>
      <c r="M34" s="27">
        <v>0</v>
      </c>
      <c r="N34" s="26">
        <v>340960</v>
      </c>
      <c r="O34" s="27">
        <v>350000</v>
      </c>
      <c r="P34" s="27">
        <v>0</v>
      </c>
      <c r="Q34" s="27">
        <v>0</v>
      </c>
      <c r="R34" s="27">
        <v>200000</v>
      </c>
      <c r="S34" s="27">
        <v>0</v>
      </c>
      <c r="T34" s="26">
        <v>550000</v>
      </c>
      <c r="U34" s="28">
        <v>0</v>
      </c>
      <c r="V34" s="27">
        <v>50000</v>
      </c>
      <c r="W34" s="27">
        <v>0</v>
      </c>
      <c r="X34" s="27">
        <v>0</v>
      </c>
      <c r="Y34" s="27">
        <v>0</v>
      </c>
      <c r="Z34" s="26">
        <v>50000</v>
      </c>
      <c r="AA34" s="27">
        <v>0</v>
      </c>
      <c r="AB34" s="27">
        <v>0</v>
      </c>
      <c r="AC34" s="27">
        <v>0</v>
      </c>
      <c r="AD34" s="27">
        <v>0</v>
      </c>
      <c r="AE34" s="26">
        <v>0</v>
      </c>
      <c r="AF34" s="27">
        <v>0</v>
      </c>
      <c r="AG34" s="27">
        <v>0</v>
      </c>
      <c r="AH34" s="27">
        <v>0</v>
      </c>
      <c r="AI34" s="27">
        <v>0</v>
      </c>
      <c r="AJ34" s="27">
        <v>0</v>
      </c>
      <c r="AK34" s="26">
        <v>0</v>
      </c>
      <c r="AL34" s="28">
        <v>0</v>
      </c>
      <c r="AM34" s="54"/>
      <c r="AN34" s="13">
        <v>0</v>
      </c>
      <c r="AO34" s="13">
        <v>0</v>
      </c>
    </row>
    <row r="35" spans="1:41" s="15" customFormat="1">
      <c r="A35" s="118"/>
      <c r="B35" s="12" t="s">
        <v>66</v>
      </c>
      <c r="C35" s="26">
        <v>0</v>
      </c>
      <c r="D35" s="26">
        <v>0</v>
      </c>
      <c r="E35" s="27"/>
      <c r="F35" s="27">
        <v>0</v>
      </c>
      <c r="G35" s="27">
        <v>0</v>
      </c>
      <c r="H35" s="27">
        <v>0</v>
      </c>
      <c r="I35" s="26">
        <v>0</v>
      </c>
      <c r="J35" s="27">
        <v>0</v>
      </c>
      <c r="K35" s="27">
        <v>0</v>
      </c>
      <c r="L35" s="27">
        <v>0</v>
      </c>
      <c r="M35" s="27">
        <v>0</v>
      </c>
      <c r="N35" s="26">
        <v>0</v>
      </c>
      <c r="O35" s="27">
        <v>0</v>
      </c>
      <c r="P35" s="27">
        <v>0</v>
      </c>
      <c r="Q35" s="27">
        <v>0</v>
      </c>
      <c r="R35" s="27">
        <v>0</v>
      </c>
      <c r="S35" s="27">
        <v>0</v>
      </c>
      <c r="T35" s="26">
        <v>0</v>
      </c>
      <c r="U35" s="28">
        <v>0</v>
      </c>
      <c r="V35" s="27">
        <v>0</v>
      </c>
      <c r="W35" s="27">
        <v>0</v>
      </c>
      <c r="X35" s="27">
        <v>0</v>
      </c>
      <c r="Y35" s="27">
        <v>0</v>
      </c>
      <c r="Z35" s="26">
        <v>0</v>
      </c>
      <c r="AA35" s="27">
        <v>0</v>
      </c>
      <c r="AB35" s="27">
        <v>0</v>
      </c>
      <c r="AC35" s="27">
        <v>0</v>
      </c>
      <c r="AD35" s="27">
        <v>0</v>
      </c>
      <c r="AE35" s="26">
        <v>0</v>
      </c>
      <c r="AF35" s="27">
        <v>0</v>
      </c>
      <c r="AG35" s="27">
        <v>0</v>
      </c>
      <c r="AH35" s="27">
        <v>0</v>
      </c>
      <c r="AI35" s="27">
        <v>0</v>
      </c>
      <c r="AJ35" s="27">
        <v>0</v>
      </c>
      <c r="AK35" s="26">
        <v>0</v>
      </c>
      <c r="AL35" s="28">
        <v>0</v>
      </c>
      <c r="AM35" s="54"/>
      <c r="AN35" s="13">
        <v>0</v>
      </c>
      <c r="AO35" s="13">
        <v>0</v>
      </c>
    </row>
    <row r="36" spans="1:41" s="15" customFormat="1">
      <c r="A36" s="118"/>
      <c r="B36" s="12" t="s">
        <v>7</v>
      </c>
      <c r="C36" s="26"/>
      <c r="D36" s="26"/>
      <c r="E36" s="32"/>
      <c r="F36" s="27">
        <v>102400</v>
      </c>
      <c r="G36" s="27">
        <v>411702</v>
      </c>
      <c r="H36" s="27">
        <v>0</v>
      </c>
      <c r="I36" s="26">
        <v>514102</v>
      </c>
      <c r="J36" s="32">
        <v>0</v>
      </c>
      <c r="K36" s="27">
        <v>300000</v>
      </c>
      <c r="L36" s="27">
        <v>40960</v>
      </c>
      <c r="M36" s="27">
        <v>0</v>
      </c>
      <c r="N36" s="26">
        <v>340960</v>
      </c>
      <c r="O36" s="32">
        <v>350000</v>
      </c>
      <c r="P36" s="27">
        <v>0</v>
      </c>
      <c r="Q36" s="27">
        <v>0</v>
      </c>
      <c r="R36" s="27">
        <v>200000</v>
      </c>
      <c r="S36" s="27">
        <v>0</v>
      </c>
      <c r="T36" s="26">
        <v>550000</v>
      </c>
      <c r="U36" s="28">
        <v>2416000</v>
      </c>
      <c r="V36" s="32">
        <v>50000</v>
      </c>
      <c r="W36" s="27">
        <v>0</v>
      </c>
      <c r="X36" s="27">
        <v>0</v>
      </c>
      <c r="Y36" s="27">
        <v>0</v>
      </c>
      <c r="Z36" s="26">
        <v>192511</v>
      </c>
      <c r="AA36" s="32">
        <v>0</v>
      </c>
      <c r="AB36" s="27">
        <v>0</v>
      </c>
      <c r="AC36" s="27">
        <v>0</v>
      </c>
      <c r="AD36" s="27">
        <v>0</v>
      </c>
      <c r="AE36" s="26">
        <v>0</v>
      </c>
      <c r="AF36" s="32">
        <v>0</v>
      </c>
      <c r="AG36" s="27">
        <v>0</v>
      </c>
      <c r="AH36" s="27">
        <v>0</v>
      </c>
      <c r="AI36" s="27">
        <v>0</v>
      </c>
      <c r="AJ36" s="27">
        <v>0</v>
      </c>
      <c r="AK36" s="26">
        <v>0</v>
      </c>
      <c r="AL36" s="28">
        <v>192511</v>
      </c>
      <c r="AM36" s="54"/>
      <c r="AN36" s="13">
        <v>0</v>
      </c>
      <c r="AO36" s="13">
        <v>0</v>
      </c>
    </row>
    <row r="37" spans="1:41" s="15" customFormat="1" ht="17" thickBot="1">
      <c r="A37" s="119"/>
      <c r="B37" s="4" t="s">
        <v>67</v>
      </c>
      <c r="C37" s="26">
        <v>571116</v>
      </c>
      <c r="D37" s="37">
        <v>1010938</v>
      </c>
      <c r="E37" s="21"/>
      <c r="F37" s="21">
        <v>0</v>
      </c>
      <c r="G37" s="21">
        <v>0</v>
      </c>
      <c r="H37" s="21">
        <v>0</v>
      </c>
      <c r="I37" s="20">
        <v>0</v>
      </c>
      <c r="J37" s="21">
        <v>0</v>
      </c>
      <c r="K37" s="21">
        <v>0</v>
      </c>
      <c r="L37" s="21">
        <v>0</v>
      </c>
      <c r="M37" s="21">
        <v>0</v>
      </c>
      <c r="N37" s="20">
        <v>0</v>
      </c>
      <c r="O37" s="21">
        <v>152192</v>
      </c>
      <c r="P37" s="21">
        <v>150156</v>
      </c>
      <c r="Q37" s="21">
        <v>-2542</v>
      </c>
      <c r="R37" s="21">
        <v>142511</v>
      </c>
      <c r="S37" s="21">
        <v>142511</v>
      </c>
      <c r="T37" s="20">
        <v>142511</v>
      </c>
      <c r="U37" s="22">
        <v>142511</v>
      </c>
      <c r="V37" s="21">
        <v>171831</v>
      </c>
      <c r="W37" s="21">
        <v>170669</v>
      </c>
      <c r="X37" s="21">
        <v>163621</v>
      </c>
      <c r="Y37" s="21">
        <v>163621</v>
      </c>
      <c r="Z37" s="20">
        <v>163621</v>
      </c>
      <c r="AA37" s="21">
        <v>123120</v>
      </c>
      <c r="AB37" s="21">
        <v>123120</v>
      </c>
      <c r="AC37" s="21">
        <v>95719</v>
      </c>
      <c r="AD37" s="21">
        <v>95719</v>
      </c>
      <c r="AE37" s="20">
        <v>95719</v>
      </c>
      <c r="AF37" s="21">
        <v>91507</v>
      </c>
      <c r="AG37" s="21">
        <v>91507</v>
      </c>
      <c r="AH37" s="21">
        <v>91507</v>
      </c>
      <c r="AI37" s="21">
        <v>91507</v>
      </c>
      <c r="AJ37" s="21">
        <v>91507</v>
      </c>
      <c r="AK37" s="20">
        <v>91507</v>
      </c>
      <c r="AL37" s="22">
        <v>234018</v>
      </c>
      <c r="AM37" s="54"/>
      <c r="AN37" s="13">
        <v>0</v>
      </c>
      <c r="AO37" s="13">
        <v>0</v>
      </c>
    </row>
    <row r="38" spans="1:41" s="15" customFormat="1" ht="17" thickBot="1">
      <c r="A38" s="46"/>
      <c r="B38" s="12" t="s">
        <v>68</v>
      </c>
      <c r="C38" s="26"/>
      <c r="D38" s="26"/>
      <c r="E38" s="19">
        <v>0</v>
      </c>
      <c r="F38" s="19"/>
      <c r="G38" s="19"/>
      <c r="H38" s="19"/>
      <c r="I38" s="23"/>
      <c r="J38" s="19"/>
      <c r="K38" s="19"/>
      <c r="L38" s="19"/>
      <c r="M38" s="19"/>
      <c r="N38" s="23"/>
      <c r="O38" s="19"/>
      <c r="P38" s="19"/>
      <c r="Q38" s="19"/>
      <c r="R38" s="19"/>
      <c r="S38" s="19"/>
      <c r="T38" s="23"/>
      <c r="U38" s="24"/>
      <c r="V38" s="19"/>
      <c r="W38" s="19"/>
      <c r="X38" s="19"/>
      <c r="Y38" s="19"/>
      <c r="Z38" s="23"/>
      <c r="AA38" s="19"/>
      <c r="AB38" s="19"/>
      <c r="AC38" s="19"/>
      <c r="AD38" s="19"/>
      <c r="AE38" s="23"/>
      <c r="AF38" s="19"/>
      <c r="AG38" s="19"/>
      <c r="AH38" s="19"/>
      <c r="AI38" s="19"/>
      <c r="AJ38" s="19"/>
      <c r="AK38" s="23"/>
      <c r="AL38" s="24"/>
      <c r="AM38" s="54"/>
      <c r="AN38" s="13">
        <v>0</v>
      </c>
      <c r="AO38" s="13">
        <v>0</v>
      </c>
    </row>
    <row r="39" spans="1:41" s="15" customFormat="1">
      <c r="A39" s="117" t="s">
        <v>74</v>
      </c>
      <c r="B39" s="3" t="s">
        <v>64</v>
      </c>
      <c r="C39" s="26"/>
      <c r="D39" s="26"/>
      <c r="E39" s="27"/>
      <c r="F39" s="27">
        <v>0</v>
      </c>
      <c r="G39" s="27">
        <v>0</v>
      </c>
      <c r="H39" s="27">
        <v>0</v>
      </c>
      <c r="I39" s="26">
        <v>0</v>
      </c>
      <c r="J39" s="27">
        <v>0</v>
      </c>
      <c r="K39" s="27">
        <v>0</v>
      </c>
      <c r="L39" s="27">
        <v>0</v>
      </c>
      <c r="M39" s="27">
        <v>0</v>
      </c>
      <c r="N39" s="26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6">
        <v>0</v>
      </c>
      <c r="U39" s="28">
        <v>13788</v>
      </c>
      <c r="V39" s="27">
        <v>0</v>
      </c>
      <c r="W39" s="27">
        <v>0</v>
      </c>
      <c r="X39" s="27">
        <v>0</v>
      </c>
      <c r="Y39" s="27">
        <v>0</v>
      </c>
      <c r="Z39" s="26">
        <v>0</v>
      </c>
      <c r="AA39" s="27">
        <v>0</v>
      </c>
      <c r="AB39" s="27">
        <v>0</v>
      </c>
      <c r="AC39" s="27">
        <v>0</v>
      </c>
      <c r="AD39" s="27">
        <v>0</v>
      </c>
      <c r="AE39" s="26">
        <v>0</v>
      </c>
      <c r="AF39" s="27">
        <v>0</v>
      </c>
      <c r="AG39" s="27">
        <v>0</v>
      </c>
      <c r="AH39" s="27">
        <v>0</v>
      </c>
      <c r="AI39" s="27">
        <v>0</v>
      </c>
      <c r="AJ39" s="27">
        <v>0</v>
      </c>
      <c r="AK39" s="26">
        <v>0</v>
      </c>
      <c r="AL39" s="28">
        <v>0</v>
      </c>
      <c r="AM39" s="54">
        <v>32</v>
      </c>
      <c r="AN39" s="13">
        <v>441216</v>
      </c>
      <c r="AO39" s="13">
        <v>0</v>
      </c>
    </row>
    <row r="40" spans="1:41" s="15" customFormat="1">
      <c r="A40" s="118"/>
      <c r="B40" s="12" t="s">
        <v>65</v>
      </c>
      <c r="C40" s="26"/>
      <c r="D40" s="26"/>
      <c r="E40" s="27"/>
      <c r="F40" s="27">
        <v>0</v>
      </c>
      <c r="G40" s="27">
        <v>0</v>
      </c>
      <c r="H40" s="27">
        <v>0</v>
      </c>
      <c r="I40" s="26">
        <v>0</v>
      </c>
      <c r="J40" s="27">
        <v>0</v>
      </c>
      <c r="K40" s="27">
        <v>0</v>
      </c>
      <c r="L40" s="27">
        <v>0</v>
      </c>
      <c r="M40" s="27">
        <v>0</v>
      </c>
      <c r="N40" s="26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6">
        <v>0</v>
      </c>
      <c r="U40" s="28">
        <v>0</v>
      </c>
      <c r="V40" s="27">
        <v>0</v>
      </c>
      <c r="W40" s="27">
        <v>0</v>
      </c>
      <c r="X40" s="27">
        <v>0</v>
      </c>
      <c r="Y40" s="27">
        <v>0</v>
      </c>
      <c r="Z40" s="26">
        <v>0</v>
      </c>
      <c r="AA40" s="27">
        <v>0</v>
      </c>
      <c r="AB40" s="27">
        <v>0</v>
      </c>
      <c r="AC40" s="27">
        <v>0</v>
      </c>
      <c r="AD40" s="27">
        <v>0</v>
      </c>
      <c r="AE40" s="26">
        <v>0</v>
      </c>
      <c r="AF40" s="27">
        <v>0</v>
      </c>
      <c r="AG40" s="27">
        <v>0</v>
      </c>
      <c r="AH40" s="27">
        <v>0</v>
      </c>
      <c r="AI40" s="27">
        <v>0</v>
      </c>
      <c r="AJ40" s="27">
        <v>0</v>
      </c>
      <c r="AK40" s="26">
        <v>0</v>
      </c>
      <c r="AL40" s="28">
        <v>0</v>
      </c>
      <c r="AM40" s="54"/>
      <c r="AN40" s="13">
        <v>0</v>
      </c>
      <c r="AO40" s="13">
        <v>0</v>
      </c>
    </row>
    <row r="41" spans="1:41" s="15" customFormat="1">
      <c r="A41" s="118"/>
      <c r="B41" s="12" t="s">
        <v>66</v>
      </c>
      <c r="C41" s="26">
        <v>0</v>
      </c>
      <c r="D41" s="26">
        <v>0</v>
      </c>
      <c r="E41" s="27"/>
      <c r="F41" s="27">
        <v>0</v>
      </c>
      <c r="G41" s="27">
        <v>0</v>
      </c>
      <c r="H41" s="27">
        <v>0</v>
      </c>
      <c r="I41" s="26">
        <v>0</v>
      </c>
      <c r="J41" s="27">
        <v>0</v>
      </c>
      <c r="K41" s="27">
        <v>0</v>
      </c>
      <c r="L41" s="27">
        <v>0</v>
      </c>
      <c r="M41" s="27">
        <v>0</v>
      </c>
      <c r="N41" s="26">
        <v>0</v>
      </c>
      <c r="O41" s="27">
        <v>0</v>
      </c>
      <c r="P41" s="27">
        <v>0</v>
      </c>
      <c r="Q41" s="27">
        <v>0</v>
      </c>
      <c r="R41" s="27">
        <v>0</v>
      </c>
      <c r="S41" s="27">
        <v>0</v>
      </c>
      <c r="T41" s="26">
        <v>0</v>
      </c>
      <c r="U41" s="28">
        <v>0</v>
      </c>
      <c r="V41" s="27">
        <v>0</v>
      </c>
      <c r="W41" s="27">
        <v>0</v>
      </c>
      <c r="X41" s="27">
        <v>0</v>
      </c>
      <c r="Y41" s="27">
        <v>0</v>
      </c>
      <c r="Z41" s="26">
        <v>0</v>
      </c>
      <c r="AA41" s="27">
        <v>0</v>
      </c>
      <c r="AB41" s="27">
        <v>0</v>
      </c>
      <c r="AC41" s="27">
        <v>0</v>
      </c>
      <c r="AD41" s="27">
        <v>0</v>
      </c>
      <c r="AE41" s="26">
        <v>0</v>
      </c>
      <c r="AF41" s="27">
        <v>0</v>
      </c>
      <c r="AG41" s="27">
        <v>0</v>
      </c>
      <c r="AH41" s="27">
        <v>0</v>
      </c>
      <c r="AI41" s="27">
        <v>0</v>
      </c>
      <c r="AJ41" s="27">
        <v>0</v>
      </c>
      <c r="AK41" s="26">
        <v>0</v>
      </c>
      <c r="AL41" s="28">
        <v>0</v>
      </c>
      <c r="AM41" s="54"/>
      <c r="AN41" s="13">
        <v>0</v>
      </c>
      <c r="AO41" s="13">
        <v>0</v>
      </c>
    </row>
    <row r="42" spans="1:41" s="15" customFormat="1">
      <c r="A42" s="118"/>
      <c r="B42" s="12" t="s">
        <v>7</v>
      </c>
      <c r="C42" s="26"/>
      <c r="D42" s="26"/>
      <c r="E42" s="32"/>
      <c r="F42" s="27">
        <v>0</v>
      </c>
      <c r="G42" s="27">
        <v>0</v>
      </c>
      <c r="H42" s="27">
        <v>0</v>
      </c>
      <c r="I42" s="26">
        <v>0</v>
      </c>
      <c r="J42" s="32">
        <v>0</v>
      </c>
      <c r="K42" s="27">
        <v>0</v>
      </c>
      <c r="L42" s="27">
        <v>0</v>
      </c>
      <c r="M42" s="27">
        <v>0</v>
      </c>
      <c r="N42" s="26">
        <v>0</v>
      </c>
      <c r="O42" s="32">
        <v>0</v>
      </c>
      <c r="P42" s="27">
        <v>0</v>
      </c>
      <c r="Q42" s="27">
        <v>0</v>
      </c>
      <c r="R42" s="27">
        <v>0</v>
      </c>
      <c r="S42" s="27">
        <v>0</v>
      </c>
      <c r="T42" s="26">
        <v>0</v>
      </c>
      <c r="U42" s="28">
        <v>13788</v>
      </c>
      <c r="V42" s="32">
        <v>0</v>
      </c>
      <c r="W42" s="27">
        <v>0</v>
      </c>
      <c r="X42" s="27">
        <v>0</v>
      </c>
      <c r="Y42" s="27">
        <v>0</v>
      </c>
      <c r="Z42" s="26">
        <v>0</v>
      </c>
      <c r="AA42" s="32">
        <v>0</v>
      </c>
      <c r="AB42" s="27">
        <v>0</v>
      </c>
      <c r="AC42" s="27">
        <v>0</v>
      </c>
      <c r="AD42" s="27">
        <v>0</v>
      </c>
      <c r="AE42" s="26">
        <v>0</v>
      </c>
      <c r="AF42" s="32">
        <v>0</v>
      </c>
      <c r="AG42" s="27">
        <v>0</v>
      </c>
      <c r="AH42" s="27">
        <v>0</v>
      </c>
      <c r="AI42" s="27">
        <v>0</v>
      </c>
      <c r="AJ42" s="27">
        <v>0</v>
      </c>
      <c r="AK42" s="26">
        <v>0</v>
      </c>
      <c r="AL42" s="28">
        <v>0</v>
      </c>
      <c r="AM42" s="54"/>
      <c r="AN42" s="13">
        <v>0</v>
      </c>
      <c r="AO42" s="13">
        <v>0</v>
      </c>
    </row>
    <row r="43" spans="1:41" s="15" customFormat="1" ht="17" thickBot="1">
      <c r="A43" s="119"/>
      <c r="B43" s="4" t="s">
        <v>67</v>
      </c>
      <c r="C43" s="26">
        <v>4742</v>
      </c>
      <c r="D43" s="37">
        <v>13788</v>
      </c>
      <c r="E43" s="21"/>
      <c r="F43" s="21">
        <v>0</v>
      </c>
      <c r="G43" s="21">
        <v>0</v>
      </c>
      <c r="H43" s="21">
        <v>0</v>
      </c>
      <c r="I43" s="20">
        <v>0</v>
      </c>
      <c r="J43" s="21">
        <v>0</v>
      </c>
      <c r="K43" s="21">
        <v>0</v>
      </c>
      <c r="L43" s="21">
        <v>0</v>
      </c>
      <c r="M43" s="21">
        <v>0</v>
      </c>
      <c r="N43" s="20">
        <v>0</v>
      </c>
      <c r="O43" s="21">
        <v>0</v>
      </c>
      <c r="P43" s="21">
        <v>0</v>
      </c>
      <c r="Q43" s="21">
        <v>0</v>
      </c>
      <c r="R43" s="21">
        <v>0</v>
      </c>
      <c r="S43" s="21">
        <v>0</v>
      </c>
      <c r="T43" s="20">
        <v>0</v>
      </c>
      <c r="U43" s="22">
        <v>0</v>
      </c>
      <c r="V43" s="21">
        <v>0</v>
      </c>
      <c r="W43" s="21">
        <v>0</v>
      </c>
      <c r="X43" s="21">
        <v>0</v>
      </c>
      <c r="Y43" s="21">
        <v>0</v>
      </c>
      <c r="Z43" s="20">
        <v>0</v>
      </c>
      <c r="AA43" s="21">
        <v>0</v>
      </c>
      <c r="AB43" s="21">
        <v>0</v>
      </c>
      <c r="AC43" s="21">
        <v>0</v>
      </c>
      <c r="AD43" s="21">
        <v>0</v>
      </c>
      <c r="AE43" s="20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0">
        <v>0</v>
      </c>
      <c r="AL43" s="22">
        <v>0</v>
      </c>
      <c r="AM43" s="54"/>
      <c r="AN43" s="13">
        <v>0</v>
      </c>
      <c r="AO43" s="13">
        <v>0</v>
      </c>
    </row>
    <row r="44" spans="1:41" s="15" customFormat="1" ht="17" thickBot="1">
      <c r="A44" s="46"/>
      <c r="B44" s="12" t="s">
        <v>68</v>
      </c>
      <c r="C44" s="26"/>
      <c r="D44" s="26"/>
      <c r="E44" s="19"/>
      <c r="F44" s="19"/>
      <c r="G44" s="19"/>
      <c r="H44" s="19"/>
      <c r="I44" s="23"/>
      <c r="J44" s="19"/>
      <c r="K44" s="19"/>
      <c r="L44" s="19"/>
      <c r="M44" s="19"/>
      <c r="N44" s="23"/>
      <c r="O44" s="19"/>
      <c r="P44" s="19"/>
      <c r="Q44" s="19"/>
      <c r="R44" s="19"/>
      <c r="S44" s="19"/>
      <c r="T44" s="23"/>
      <c r="U44" s="24"/>
      <c r="V44" s="19"/>
      <c r="W44" s="19"/>
      <c r="X44" s="19"/>
      <c r="Y44" s="19"/>
      <c r="Z44" s="23"/>
      <c r="AA44" s="19"/>
      <c r="AB44" s="19"/>
      <c r="AC44" s="19"/>
      <c r="AD44" s="19"/>
      <c r="AE44" s="23"/>
      <c r="AF44" s="19"/>
      <c r="AG44" s="19"/>
      <c r="AH44" s="19"/>
      <c r="AI44" s="19"/>
      <c r="AJ44" s="19"/>
      <c r="AK44" s="23"/>
      <c r="AL44" s="24"/>
      <c r="AM44" s="54"/>
      <c r="AN44" s="13">
        <v>0</v>
      </c>
      <c r="AO44" s="13">
        <v>0</v>
      </c>
    </row>
    <row r="45" spans="1:41" s="15" customFormat="1">
      <c r="A45" s="127" t="s">
        <v>75</v>
      </c>
      <c r="B45" s="3" t="s">
        <v>64</v>
      </c>
      <c r="C45" s="26"/>
      <c r="D45" s="26"/>
      <c r="E45" s="27"/>
      <c r="F45" s="27">
        <v>0</v>
      </c>
      <c r="G45" s="27">
        <v>0</v>
      </c>
      <c r="H45" s="27">
        <v>0</v>
      </c>
      <c r="I45" s="26">
        <v>0</v>
      </c>
      <c r="J45" s="27">
        <v>0</v>
      </c>
      <c r="K45" s="27">
        <v>0</v>
      </c>
      <c r="L45" s="27">
        <v>0</v>
      </c>
      <c r="M45" s="27">
        <v>0</v>
      </c>
      <c r="N45" s="26">
        <v>0</v>
      </c>
      <c r="O45" s="27">
        <v>0</v>
      </c>
      <c r="P45" s="27">
        <v>0</v>
      </c>
      <c r="Q45" s="27">
        <v>0</v>
      </c>
      <c r="R45" s="27">
        <v>0</v>
      </c>
      <c r="S45" s="27">
        <v>0</v>
      </c>
      <c r="T45" s="26">
        <v>0</v>
      </c>
      <c r="U45" s="28">
        <v>890</v>
      </c>
      <c r="V45" s="27">
        <v>0</v>
      </c>
      <c r="W45" s="27">
        <v>0</v>
      </c>
      <c r="X45" s="27">
        <v>0</v>
      </c>
      <c r="Y45" s="27">
        <v>0</v>
      </c>
      <c r="Z45" s="26">
        <v>0</v>
      </c>
      <c r="AA45" s="27">
        <v>0</v>
      </c>
      <c r="AB45" s="27">
        <v>0</v>
      </c>
      <c r="AC45" s="27">
        <v>0</v>
      </c>
      <c r="AD45" s="27">
        <v>0</v>
      </c>
      <c r="AE45" s="26">
        <v>0</v>
      </c>
      <c r="AF45" s="27">
        <v>0</v>
      </c>
      <c r="AG45" s="27">
        <v>0</v>
      </c>
      <c r="AH45" s="27">
        <v>0</v>
      </c>
      <c r="AI45" s="27">
        <v>0</v>
      </c>
      <c r="AJ45" s="27">
        <v>0</v>
      </c>
      <c r="AK45" s="26">
        <v>0</v>
      </c>
      <c r="AL45" s="28">
        <v>0</v>
      </c>
      <c r="AM45" s="54">
        <v>32</v>
      </c>
      <c r="AN45" s="13">
        <v>28480</v>
      </c>
      <c r="AO45" s="13">
        <v>0</v>
      </c>
    </row>
    <row r="46" spans="1:41" s="15" customFormat="1">
      <c r="A46" s="128"/>
      <c r="B46" s="12" t="s">
        <v>65</v>
      </c>
      <c r="C46" s="26"/>
      <c r="D46" s="26"/>
      <c r="E46" s="27"/>
      <c r="F46" s="27">
        <v>0</v>
      </c>
      <c r="G46" s="27">
        <v>0</v>
      </c>
      <c r="H46" s="27">
        <v>0</v>
      </c>
      <c r="I46" s="26">
        <v>0</v>
      </c>
      <c r="J46" s="27">
        <v>0</v>
      </c>
      <c r="K46" s="27">
        <v>0</v>
      </c>
      <c r="L46" s="27">
        <v>0</v>
      </c>
      <c r="M46" s="27">
        <v>0</v>
      </c>
      <c r="N46" s="26">
        <v>0</v>
      </c>
      <c r="O46" s="27">
        <v>0</v>
      </c>
      <c r="P46" s="27">
        <v>0</v>
      </c>
      <c r="Q46" s="27">
        <v>0</v>
      </c>
      <c r="R46" s="27">
        <v>0</v>
      </c>
      <c r="S46" s="27">
        <v>0</v>
      </c>
      <c r="T46" s="26">
        <v>0</v>
      </c>
      <c r="U46" s="28">
        <v>0</v>
      </c>
      <c r="V46" s="27">
        <v>0</v>
      </c>
      <c r="W46" s="27">
        <v>0</v>
      </c>
      <c r="X46" s="27">
        <v>0</v>
      </c>
      <c r="Y46" s="27">
        <v>0</v>
      </c>
      <c r="Z46" s="26">
        <v>0</v>
      </c>
      <c r="AA46" s="27">
        <v>0</v>
      </c>
      <c r="AB46" s="27">
        <v>0</v>
      </c>
      <c r="AC46" s="27">
        <v>0</v>
      </c>
      <c r="AD46" s="27">
        <v>0</v>
      </c>
      <c r="AE46" s="26">
        <v>0</v>
      </c>
      <c r="AF46" s="27">
        <v>0</v>
      </c>
      <c r="AG46" s="27">
        <v>0</v>
      </c>
      <c r="AH46" s="27">
        <v>0</v>
      </c>
      <c r="AI46" s="27">
        <v>0</v>
      </c>
      <c r="AJ46" s="27">
        <v>0</v>
      </c>
      <c r="AK46" s="26">
        <v>0</v>
      </c>
      <c r="AL46" s="28">
        <v>0</v>
      </c>
      <c r="AM46" s="54"/>
      <c r="AN46" s="13">
        <v>0</v>
      </c>
      <c r="AO46" s="13">
        <v>0</v>
      </c>
    </row>
    <row r="47" spans="1:41" s="15" customFormat="1">
      <c r="A47" s="128"/>
      <c r="B47" s="12" t="s">
        <v>66</v>
      </c>
      <c r="C47" s="26">
        <v>0</v>
      </c>
      <c r="D47" s="26">
        <v>0</v>
      </c>
      <c r="E47" s="27"/>
      <c r="F47" s="27">
        <v>0</v>
      </c>
      <c r="G47" s="27">
        <v>0</v>
      </c>
      <c r="H47" s="27">
        <v>0</v>
      </c>
      <c r="I47" s="26">
        <v>0</v>
      </c>
      <c r="J47" s="27">
        <v>0</v>
      </c>
      <c r="K47" s="27">
        <v>0</v>
      </c>
      <c r="L47" s="27">
        <v>0</v>
      </c>
      <c r="M47" s="27">
        <v>0</v>
      </c>
      <c r="N47" s="26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6">
        <v>0</v>
      </c>
      <c r="U47" s="28">
        <v>0</v>
      </c>
      <c r="V47" s="27">
        <v>0</v>
      </c>
      <c r="W47" s="27">
        <v>0</v>
      </c>
      <c r="X47" s="27">
        <v>0</v>
      </c>
      <c r="Y47" s="27">
        <v>0</v>
      </c>
      <c r="Z47" s="26">
        <v>0</v>
      </c>
      <c r="AA47" s="27">
        <v>0</v>
      </c>
      <c r="AB47" s="27">
        <v>0</v>
      </c>
      <c r="AC47" s="27">
        <v>0</v>
      </c>
      <c r="AD47" s="27">
        <v>0</v>
      </c>
      <c r="AE47" s="26">
        <v>0</v>
      </c>
      <c r="AF47" s="27">
        <v>0</v>
      </c>
      <c r="AG47" s="27">
        <v>0</v>
      </c>
      <c r="AH47" s="27">
        <v>0</v>
      </c>
      <c r="AI47" s="27">
        <v>0</v>
      </c>
      <c r="AJ47" s="27">
        <v>0</v>
      </c>
      <c r="AK47" s="26">
        <v>0</v>
      </c>
      <c r="AL47" s="28">
        <v>0</v>
      </c>
      <c r="AM47" s="54"/>
      <c r="AN47" s="13">
        <v>0</v>
      </c>
      <c r="AO47" s="13">
        <v>0</v>
      </c>
    </row>
    <row r="48" spans="1:41" s="15" customFormat="1">
      <c r="A48" s="128"/>
      <c r="B48" s="12" t="s">
        <v>7</v>
      </c>
      <c r="C48" s="26"/>
      <c r="D48" s="26"/>
      <c r="E48" s="32"/>
      <c r="F48" s="27">
        <v>0</v>
      </c>
      <c r="G48" s="27">
        <v>0</v>
      </c>
      <c r="H48" s="27">
        <v>0</v>
      </c>
      <c r="I48" s="26">
        <v>0</v>
      </c>
      <c r="J48" s="32">
        <v>0</v>
      </c>
      <c r="K48" s="27">
        <v>0</v>
      </c>
      <c r="L48" s="27">
        <v>0</v>
      </c>
      <c r="M48" s="27">
        <v>0</v>
      </c>
      <c r="N48" s="26">
        <v>0</v>
      </c>
      <c r="O48" s="32">
        <v>0</v>
      </c>
      <c r="P48" s="27">
        <v>0</v>
      </c>
      <c r="Q48" s="27">
        <v>0</v>
      </c>
      <c r="R48" s="27">
        <v>0</v>
      </c>
      <c r="S48" s="27">
        <v>0</v>
      </c>
      <c r="T48" s="26">
        <v>0</v>
      </c>
      <c r="U48" s="28">
        <v>890</v>
      </c>
      <c r="V48" s="32">
        <v>0</v>
      </c>
      <c r="W48" s="27">
        <v>0</v>
      </c>
      <c r="X48" s="27">
        <v>0</v>
      </c>
      <c r="Y48" s="27">
        <v>0</v>
      </c>
      <c r="Z48" s="26">
        <v>0</v>
      </c>
      <c r="AA48" s="32">
        <v>0</v>
      </c>
      <c r="AB48" s="27">
        <v>0</v>
      </c>
      <c r="AC48" s="27">
        <v>0</v>
      </c>
      <c r="AD48" s="27">
        <v>0</v>
      </c>
      <c r="AE48" s="26">
        <v>0</v>
      </c>
      <c r="AF48" s="32">
        <v>0</v>
      </c>
      <c r="AG48" s="27">
        <v>0</v>
      </c>
      <c r="AH48" s="27">
        <v>0</v>
      </c>
      <c r="AI48" s="27">
        <v>0</v>
      </c>
      <c r="AJ48" s="27">
        <v>0</v>
      </c>
      <c r="AK48" s="26">
        <v>0</v>
      </c>
      <c r="AL48" s="28">
        <v>0</v>
      </c>
      <c r="AM48" s="54"/>
      <c r="AN48" s="13">
        <v>0</v>
      </c>
      <c r="AO48" s="13">
        <v>0</v>
      </c>
    </row>
    <row r="49" spans="1:41" s="15" customFormat="1" ht="17" thickBot="1">
      <c r="A49" s="129"/>
      <c r="B49" s="4" t="s">
        <v>67</v>
      </c>
      <c r="C49" s="26">
        <v>0</v>
      </c>
      <c r="D49" s="37">
        <v>890</v>
      </c>
      <c r="E49" s="21"/>
      <c r="F49" s="21">
        <v>0</v>
      </c>
      <c r="G49" s="21">
        <v>0</v>
      </c>
      <c r="H49" s="21">
        <v>0</v>
      </c>
      <c r="I49" s="20">
        <v>0</v>
      </c>
      <c r="J49" s="21">
        <v>0</v>
      </c>
      <c r="K49" s="21">
        <v>0</v>
      </c>
      <c r="L49" s="21">
        <v>0</v>
      </c>
      <c r="M49" s="21">
        <v>0</v>
      </c>
      <c r="N49" s="20">
        <v>0</v>
      </c>
      <c r="O49" s="21">
        <v>0</v>
      </c>
      <c r="P49" s="21">
        <v>0</v>
      </c>
      <c r="Q49" s="21">
        <v>0</v>
      </c>
      <c r="R49" s="21">
        <v>0</v>
      </c>
      <c r="S49" s="21">
        <v>0</v>
      </c>
      <c r="T49" s="20">
        <v>0</v>
      </c>
      <c r="U49" s="22">
        <v>0</v>
      </c>
      <c r="V49" s="21">
        <v>0</v>
      </c>
      <c r="W49" s="21">
        <v>0</v>
      </c>
      <c r="X49" s="21">
        <v>0</v>
      </c>
      <c r="Y49" s="21">
        <v>0</v>
      </c>
      <c r="Z49" s="20">
        <v>0</v>
      </c>
      <c r="AA49" s="21">
        <v>0</v>
      </c>
      <c r="AB49" s="21">
        <v>0</v>
      </c>
      <c r="AC49" s="21">
        <v>0</v>
      </c>
      <c r="AD49" s="21">
        <v>0</v>
      </c>
      <c r="AE49" s="20">
        <v>0</v>
      </c>
      <c r="AF49" s="21">
        <v>0</v>
      </c>
      <c r="AG49" s="21">
        <v>0</v>
      </c>
      <c r="AH49" s="21">
        <v>0</v>
      </c>
      <c r="AI49" s="21">
        <v>0</v>
      </c>
      <c r="AJ49" s="21">
        <v>0</v>
      </c>
      <c r="AK49" s="20">
        <v>0</v>
      </c>
      <c r="AL49" s="22">
        <v>0</v>
      </c>
      <c r="AM49" s="54"/>
      <c r="AN49" s="13">
        <v>0</v>
      </c>
      <c r="AO49" s="13">
        <v>0</v>
      </c>
    </row>
    <row r="50" spans="1:41" s="15" customFormat="1" ht="17" thickBot="1">
      <c r="A50" s="46"/>
      <c r="B50" s="12" t="s">
        <v>68</v>
      </c>
      <c r="C50" s="26"/>
      <c r="D50" s="26"/>
      <c r="E50" s="19"/>
      <c r="F50" s="19"/>
      <c r="G50" s="19"/>
      <c r="H50" s="19"/>
      <c r="I50" s="23"/>
      <c r="J50" s="19"/>
      <c r="K50" s="19"/>
      <c r="L50" s="19"/>
      <c r="M50" s="19"/>
      <c r="N50" s="23"/>
      <c r="O50" s="19"/>
      <c r="P50" s="19"/>
      <c r="Q50" s="19"/>
      <c r="R50" s="19"/>
      <c r="S50" s="19"/>
      <c r="T50" s="23"/>
      <c r="U50" s="24"/>
      <c r="V50" s="19"/>
      <c r="W50" s="19"/>
      <c r="X50" s="19"/>
      <c r="Y50" s="19"/>
      <c r="Z50" s="23"/>
      <c r="AA50" s="19"/>
      <c r="AB50" s="19"/>
      <c r="AC50" s="19"/>
      <c r="AD50" s="19"/>
      <c r="AE50" s="23"/>
      <c r="AF50" s="19"/>
      <c r="AG50" s="19"/>
      <c r="AH50" s="19"/>
      <c r="AI50" s="19"/>
      <c r="AJ50" s="19"/>
      <c r="AK50" s="23"/>
      <c r="AL50" s="24"/>
      <c r="AM50" s="54"/>
      <c r="AN50" s="13">
        <v>0</v>
      </c>
      <c r="AO50" s="13">
        <v>0</v>
      </c>
    </row>
    <row r="51" spans="1:41" s="15" customFormat="1">
      <c r="A51" s="133" t="s">
        <v>76</v>
      </c>
      <c r="B51" s="3" t="s">
        <v>64</v>
      </c>
      <c r="C51" s="26"/>
      <c r="D51" s="26"/>
      <c r="E51" s="27"/>
      <c r="F51" s="27">
        <v>56550</v>
      </c>
      <c r="G51" s="27">
        <v>4300</v>
      </c>
      <c r="H51" s="27">
        <v>7000</v>
      </c>
      <c r="I51" s="26">
        <v>67850</v>
      </c>
      <c r="J51" s="27">
        <v>25000</v>
      </c>
      <c r="K51" s="27">
        <v>83000</v>
      </c>
      <c r="L51" s="27">
        <v>61069</v>
      </c>
      <c r="M51" s="27">
        <v>2554</v>
      </c>
      <c r="N51" s="26">
        <v>171623</v>
      </c>
      <c r="O51" s="27">
        <v>2267</v>
      </c>
      <c r="P51" s="27">
        <v>62503</v>
      </c>
      <c r="Q51" s="27">
        <v>6426</v>
      </c>
      <c r="R51" s="27">
        <v>74874</v>
      </c>
      <c r="S51" s="27">
        <v>24100</v>
      </c>
      <c r="T51" s="26">
        <v>170170</v>
      </c>
      <c r="U51" s="28">
        <v>435097</v>
      </c>
      <c r="V51" s="27">
        <v>26306</v>
      </c>
      <c r="W51" s="27">
        <v>1722</v>
      </c>
      <c r="X51" s="27">
        <v>4072</v>
      </c>
      <c r="Y51" s="27">
        <v>3276</v>
      </c>
      <c r="Z51" s="26">
        <v>35376</v>
      </c>
      <c r="AA51" s="27">
        <v>29725</v>
      </c>
      <c r="AB51" s="27">
        <v>19911</v>
      </c>
      <c r="AC51" s="27">
        <v>1857</v>
      </c>
      <c r="AD51" s="27">
        <v>2971</v>
      </c>
      <c r="AE51" s="26">
        <v>54464</v>
      </c>
      <c r="AF51" s="27">
        <v>9204</v>
      </c>
      <c r="AG51" s="27">
        <v>30319</v>
      </c>
      <c r="AH51" s="27">
        <v>1</v>
      </c>
      <c r="AI51" s="27">
        <v>1</v>
      </c>
      <c r="AJ51" s="27">
        <v>1</v>
      </c>
      <c r="AK51" s="26">
        <v>39526</v>
      </c>
      <c r="AL51" s="28">
        <v>129366</v>
      </c>
      <c r="AM51" s="54">
        <v>32</v>
      </c>
      <c r="AN51" s="13">
        <v>13923104</v>
      </c>
      <c r="AO51" s="13">
        <v>4139712</v>
      </c>
    </row>
    <row r="52" spans="1:41" s="15" customFormat="1">
      <c r="A52" s="134"/>
      <c r="B52" s="12" t="s">
        <v>65</v>
      </c>
      <c r="C52" s="26"/>
      <c r="D52" s="26"/>
      <c r="E52" s="27"/>
      <c r="F52" s="27">
        <v>56550</v>
      </c>
      <c r="G52" s="27">
        <v>4300</v>
      </c>
      <c r="H52" s="27">
        <v>7000</v>
      </c>
      <c r="I52" s="26">
        <v>67850</v>
      </c>
      <c r="J52" s="27">
        <v>25000</v>
      </c>
      <c r="K52" s="27">
        <v>83000</v>
      </c>
      <c r="L52" s="27">
        <v>53000</v>
      </c>
      <c r="M52" s="27">
        <v>70000</v>
      </c>
      <c r="N52" s="26">
        <v>231000</v>
      </c>
      <c r="O52" s="27">
        <v>20000</v>
      </c>
      <c r="P52" s="27">
        <v>50000</v>
      </c>
      <c r="Q52" s="27">
        <v>50000</v>
      </c>
      <c r="R52" s="27">
        <v>50000</v>
      </c>
      <c r="S52" s="27">
        <v>50000</v>
      </c>
      <c r="T52" s="26">
        <v>220000</v>
      </c>
      <c r="U52" s="28">
        <v>0</v>
      </c>
      <c r="V52" s="27">
        <v>50000</v>
      </c>
      <c r="W52" s="27">
        <v>0</v>
      </c>
      <c r="X52" s="27">
        <v>0</v>
      </c>
      <c r="Y52" s="27">
        <v>0</v>
      </c>
      <c r="Z52" s="26">
        <v>50000</v>
      </c>
      <c r="AA52" s="27">
        <v>0</v>
      </c>
      <c r="AB52" s="27">
        <v>0</v>
      </c>
      <c r="AC52" s="27">
        <v>0</v>
      </c>
      <c r="AD52" s="27">
        <v>0</v>
      </c>
      <c r="AE52" s="26">
        <v>0</v>
      </c>
      <c r="AF52" s="27">
        <v>0</v>
      </c>
      <c r="AG52" s="27">
        <v>10000</v>
      </c>
      <c r="AH52" s="27">
        <v>10000</v>
      </c>
      <c r="AI52" s="27">
        <v>10000</v>
      </c>
      <c r="AJ52" s="27">
        <v>10000</v>
      </c>
      <c r="AK52" s="26">
        <v>40000</v>
      </c>
      <c r="AL52" s="28">
        <v>0</v>
      </c>
      <c r="AM52" s="54"/>
      <c r="AN52" s="13">
        <v>0</v>
      </c>
      <c r="AO52" s="13">
        <v>0</v>
      </c>
    </row>
    <row r="53" spans="1:41" s="15" customFormat="1">
      <c r="A53" s="134"/>
      <c r="B53" s="12" t="s">
        <v>66</v>
      </c>
      <c r="C53" s="26">
        <v>4500</v>
      </c>
      <c r="D53" s="26">
        <v>4500</v>
      </c>
      <c r="E53" s="27"/>
      <c r="F53" s="27">
        <v>0</v>
      </c>
      <c r="G53" s="27">
        <v>0</v>
      </c>
      <c r="H53" s="27">
        <v>0</v>
      </c>
      <c r="I53" s="26">
        <v>0</v>
      </c>
      <c r="J53" s="27">
        <v>0</v>
      </c>
      <c r="K53" s="27">
        <v>0</v>
      </c>
      <c r="L53" s="27">
        <v>0</v>
      </c>
      <c r="M53" s="27">
        <v>4500</v>
      </c>
      <c r="N53" s="26">
        <v>4500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6">
        <v>0</v>
      </c>
      <c r="U53" s="28">
        <v>4500</v>
      </c>
      <c r="V53" s="27">
        <v>0</v>
      </c>
      <c r="W53" s="27">
        <v>0</v>
      </c>
      <c r="X53" s="27">
        <v>0</v>
      </c>
      <c r="Y53" s="27">
        <v>0</v>
      </c>
      <c r="Z53" s="26">
        <v>0</v>
      </c>
      <c r="AA53" s="27">
        <v>0</v>
      </c>
      <c r="AB53" s="27">
        <v>0</v>
      </c>
      <c r="AC53" s="27">
        <v>0</v>
      </c>
      <c r="AD53" s="27">
        <v>0</v>
      </c>
      <c r="AE53" s="26">
        <v>0</v>
      </c>
      <c r="AF53" s="27">
        <v>0</v>
      </c>
      <c r="AG53" s="27">
        <v>0</v>
      </c>
      <c r="AH53" s="27">
        <v>0</v>
      </c>
      <c r="AI53" s="27">
        <v>0</v>
      </c>
      <c r="AJ53" s="27">
        <v>0</v>
      </c>
      <c r="AK53" s="26">
        <v>0</v>
      </c>
      <c r="AL53" s="28">
        <v>0</v>
      </c>
      <c r="AM53" s="54"/>
      <c r="AN53" s="13">
        <v>0</v>
      </c>
      <c r="AO53" s="13">
        <v>0</v>
      </c>
    </row>
    <row r="54" spans="1:41" s="15" customFormat="1">
      <c r="A54" s="134"/>
      <c r="B54" s="12" t="s">
        <v>7</v>
      </c>
      <c r="C54" s="26"/>
      <c r="D54" s="26"/>
      <c r="E54" s="32"/>
      <c r="F54" s="27">
        <v>56550</v>
      </c>
      <c r="G54" s="27">
        <v>4300</v>
      </c>
      <c r="H54" s="27">
        <v>7000</v>
      </c>
      <c r="I54" s="26">
        <v>67850</v>
      </c>
      <c r="J54" s="32">
        <v>25000</v>
      </c>
      <c r="K54" s="27">
        <v>83000</v>
      </c>
      <c r="L54" s="27">
        <v>53000</v>
      </c>
      <c r="M54" s="27">
        <v>74500</v>
      </c>
      <c r="N54" s="26">
        <v>235500</v>
      </c>
      <c r="O54" s="32">
        <v>20000</v>
      </c>
      <c r="P54" s="27">
        <v>50000</v>
      </c>
      <c r="Q54" s="27">
        <v>50000</v>
      </c>
      <c r="R54" s="27">
        <v>50000</v>
      </c>
      <c r="S54" s="27">
        <v>50000</v>
      </c>
      <c r="T54" s="26">
        <v>220000</v>
      </c>
      <c r="U54" s="28">
        <v>548804</v>
      </c>
      <c r="V54" s="32">
        <v>50000</v>
      </c>
      <c r="W54" s="27">
        <v>0</v>
      </c>
      <c r="X54" s="27">
        <v>0</v>
      </c>
      <c r="Y54" s="27">
        <v>0</v>
      </c>
      <c r="Z54" s="26">
        <v>163707</v>
      </c>
      <c r="AA54" s="32">
        <v>0</v>
      </c>
      <c r="AB54" s="27">
        <v>0</v>
      </c>
      <c r="AC54" s="27">
        <v>0</v>
      </c>
      <c r="AD54" s="27">
        <v>0</v>
      </c>
      <c r="AE54" s="26">
        <v>0</v>
      </c>
      <c r="AF54" s="32">
        <v>0</v>
      </c>
      <c r="AG54" s="27">
        <v>10000</v>
      </c>
      <c r="AH54" s="27">
        <v>10000</v>
      </c>
      <c r="AI54" s="27">
        <v>10000</v>
      </c>
      <c r="AJ54" s="27">
        <v>10000</v>
      </c>
      <c r="AK54" s="26">
        <v>40000</v>
      </c>
      <c r="AL54" s="28">
        <v>203707</v>
      </c>
      <c r="AM54" s="54"/>
      <c r="AN54" s="13">
        <v>0</v>
      </c>
      <c r="AO54" s="13">
        <v>0</v>
      </c>
    </row>
    <row r="55" spans="1:41" s="15" customFormat="1" ht="17" thickBot="1">
      <c r="A55" s="135"/>
      <c r="B55" s="4" t="s">
        <v>67</v>
      </c>
      <c r="C55" s="26">
        <v>106574</v>
      </c>
      <c r="D55" s="37">
        <v>25454</v>
      </c>
      <c r="E55" s="21"/>
      <c r="F55" s="21">
        <v>0</v>
      </c>
      <c r="G55" s="21">
        <v>0</v>
      </c>
      <c r="H55" s="21">
        <v>0</v>
      </c>
      <c r="I55" s="20">
        <v>0</v>
      </c>
      <c r="J55" s="21">
        <v>0</v>
      </c>
      <c r="K55" s="21">
        <v>0</v>
      </c>
      <c r="L55" s="21">
        <v>-8069</v>
      </c>
      <c r="M55" s="21">
        <v>63877</v>
      </c>
      <c r="N55" s="20">
        <v>63877</v>
      </c>
      <c r="O55" s="21">
        <v>81610</v>
      </c>
      <c r="P55" s="21">
        <v>69107</v>
      </c>
      <c r="Q55" s="21">
        <v>112681</v>
      </c>
      <c r="R55" s="21">
        <v>87807</v>
      </c>
      <c r="S55" s="21">
        <v>113707</v>
      </c>
      <c r="T55" s="20">
        <v>113707</v>
      </c>
      <c r="U55" s="22">
        <v>113707</v>
      </c>
      <c r="V55" s="21">
        <v>137401</v>
      </c>
      <c r="W55" s="21">
        <v>135679</v>
      </c>
      <c r="X55" s="21">
        <v>131607</v>
      </c>
      <c r="Y55" s="21">
        <v>128331</v>
      </c>
      <c r="Z55" s="20">
        <v>128331</v>
      </c>
      <c r="AA55" s="21">
        <v>98606</v>
      </c>
      <c r="AB55" s="21">
        <v>78695</v>
      </c>
      <c r="AC55" s="21">
        <v>76838</v>
      </c>
      <c r="AD55" s="21">
        <v>73867</v>
      </c>
      <c r="AE55" s="20">
        <v>73867</v>
      </c>
      <c r="AF55" s="21">
        <v>64663</v>
      </c>
      <c r="AG55" s="21">
        <v>44344</v>
      </c>
      <c r="AH55" s="21">
        <v>54343</v>
      </c>
      <c r="AI55" s="21">
        <v>64342</v>
      </c>
      <c r="AJ55" s="21">
        <v>74341</v>
      </c>
      <c r="AK55" s="20">
        <v>74341</v>
      </c>
      <c r="AL55" s="22">
        <v>188048</v>
      </c>
      <c r="AM55" s="54"/>
      <c r="AN55" s="13">
        <v>0</v>
      </c>
      <c r="AO55" s="13">
        <v>0</v>
      </c>
    </row>
    <row r="56" spans="1:41" s="15" customFormat="1" ht="17" thickBot="1">
      <c r="A56" s="46"/>
      <c r="B56" s="12" t="s">
        <v>68</v>
      </c>
      <c r="C56" s="26"/>
      <c r="D56" s="26"/>
      <c r="E56" s="19">
        <v>0</v>
      </c>
      <c r="F56" s="19"/>
      <c r="G56" s="19"/>
      <c r="H56" s="19"/>
      <c r="I56" s="23"/>
      <c r="J56" s="19"/>
      <c r="K56" s="19"/>
      <c r="L56" s="19"/>
      <c r="M56" s="19"/>
      <c r="N56" s="23"/>
      <c r="O56" s="19"/>
      <c r="P56" s="19"/>
      <c r="Q56" s="19"/>
      <c r="R56" s="19"/>
      <c r="S56" s="19"/>
      <c r="T56" s="23"/>
      <c r="U56" s="24"/>
      <c r="V56" s="19"/>
      <c r="W56" s="19"/>
      <c r="X56" s="19"/>
      <c r="Y56" s="19"/>
      <c r="Z56" s="23"/>
      <c r="AA56" s="19"/>
      <c r="AB56" s="19"/>
      <c r="AC56" s="19"/>
      <c r="AD56" s="19"/>
      <c r="AE56" s="23"/>
      <c r="AF56" s="19"/>
      <c r="AG56" s="19"/>
      <c r="AH56" s="19"/>
      <c r="AI56" s="19"/>
      <c r="AJ56" s="19"/>
      <c r="AK56" s="23"/>
      <c r="AL56" s="24"/>
      <c r="AM56" s="54"/>
      <c r="AN56" s="13">
        <v>0</v>
      </c>
      <c r="AO56" s="13">
        <v>0</v>
      </c>
    </row>
    <row r="57" spans="1:41" s="15" customFormat="1">
      <c r="A57" s="133" t="s">
        <v>77</v>
      </c>
      <c r="B57" s="3" t="s">
        <v>64</v>
      </c>
      <c r="C57" s="26"/>
      <c r="D57" s="26"/>
      <c r="E57" s="27"/>
      <c r="F57" s="27">
        <v>0</v>
      </c>
      <c r="G57" s="27">
        <v>0</v>
      </c>
      <c r="H57" s="27">
        <v>0</v>
      </c>
      <c r="I57" s="26">
        <v>0</v>
      </c>
      <c r="J57" s="27">
        <v>0</v>
      </c>
      <c r="K57" s="27">
        <v>0</v>
      </c>
      <c r="L57" s="27">
        <v>0</v>
      </c>
      <c r="M57" s="27">
        <v>0</v>
      </c>
      <c r="N57" s="26">
        <v>0</v>
      </c>
      <c r="O57" s="27">
        <v>0</v>
      </c>
      <c r="P57" s="27">
        <v>0</v>
      </c>
      <c r="Q57" s="27">
        <v>0</v>
      </c>
      <c r="R57" s="27">
        <v>0</v>
      </c>
      <c r="S57" s="27">
        <v>0</v>
      </c>
      <c r="T57" s="26">
        <v>0</v>
      </c>
      <c r="U57" s="28">
        <v>598</v>
      </c>
      <c r="V57" s="27">
        <v>0</v>
      </c>
      <c r="W57" s="27">
        <v>0</v>
      </c>
      <c r="X57" s="27">
        <v>0</v>
      </c>
      <c r="Y57" s="27">
        <v>0</v>
      </c>
      <c r="Z57" s="26">
        <v>0</v>
      </c>
      <c r="AA57" s="27">
        <v>0</v>
      </c>
      <c r="AB57" s="27">
        <v>0</v>
      </c>
      <c r="AC57" s="27">
        <v>0</v>
      </c>
      <c r="AD57" s="27">
        <v>0</v>
      </c>
      <c r="AE57" s="26">
        <v>0</v>
      </c>
      <c r="AF57" s="27">
        <v>0</v>
      </c>
      <c r="AG57" s="27">
        <v>0</v>
      </c>
      <c r="AH57" s="27">
        <v>0</v>
      </c>
      <c r="AI57" s="27">
        <v>0</v>
      </c>
      <c r="AJ57" s="27">
        <v>0</v>
      </c>
      <c r="AK57" s="26">
        <v>0</v>
      </c>
      <c r="AL57" s="28">
        <v>0</v>
      </c>
      <c r="AM57" s="54">
        <v>64</v>
      </c>
      <c r="AN57" s="13">
        <v>38272</v>
      </c>
      <c r="AO57" s="13">
        <v>0</v>
      </c>
    </row>
    <row r="58" spans="1:41" s="15" customFormat="1">
      <c r="A58" s="134"/>
      <c r="B58" s="12" t="s">
        <v>65</v>
      </c>
      <c r="C58" s="26"/>
      <c r="D58" s="26"/>
      <c r="E58" s="27"/>
      <c r="F58" s="27">
        <v>0</v>
      </c>
      <c r="G58" s="27">
        <v>0</v>
      </c>
      <c r="H58" s="27">
        <v>0</v>
      </c>
      <c r="I58" s="26">
        <v>0</v>
      </c>
      <c r="J58" s="27">
        <v>0</v>
      </c>
      <c r="K58" s="27">
        <v>0</v>
      </c>
      <c r="L58" s="27">
        <v>0</v>
      </c>
      <c r="M58" s="27">
        <v>0</v>
      </c>
      <c r="N58" s="26">
        <v>0</v>
      </c>
      <c r="O58" s="27">
        <v>0</v>
      </c>
      <c r="P58" s="27">
        <v>0</v>
      </c>
      <c r="Q58" s="27">
        <v>0</v>
      </c>
      <c r="R58" s="27">
        <v>0</v>
      </c>
      <c r="S58" s="27">
        <v>0</v>
      </c>
      <c r="T58" s="26">
        <v>0</v>
      </c>
      <c r="U58" s="28">
        <v>0</v>
      </c>
      <c r="V58" s="27">
        <v>0</v>
      </c>
      <c r="W58" s="27">
        <v>0</v>
      </c>
      <c r="X58" s="27">
        <v>0</v>
      </c>
      <c r="Y58" s="27">
        <v>0</v>
      </c>
      <c r="Z58" s="26">
        <v>0</v>
      </c>
      <c r="AA58" s="27">
        <v>0</v>
      </c>
      <c r="AB58" s="27">
        <v>0</v>
      </c>
      <c r="AC58" s="27">
        <v>0</v>
      </c>
      <c r="AD58" s="27">
        <v>0</v>
      </c>
      <c r="AE58" s="26">
        <v>0</v>
      </c>
      <c r="AF58" s="27">
        <v>0</v>
      </c>
      <c r="AG58" s="27">
        <v>0</v>
      </c>
      <c r="AH58" s="27">
        <v>0</v>
      </c>
      <c r="AI58" s="27">
        <v>0</v>
      </c>
      <c r="AJ58" s="27">
        <v>0</v>
      </c>
      <c r="AK58" s="26">
        <v>0</v>
      </c>
      <c r="AL58" s="28">
        <v>0</v>
      </c>
      <c r="AM58" s="54"/>
      <c r="AN58" s="13">
        <v>0</v>
      </c>
      <c r="AO58" s="13">
        <v>0</v>
      </c>
    </row>
    <row r="59" spans="1:41" s="15" customFormat="1">
      <c r="A59" s="134"/>
      <c r="B59" s="12" t="s">
        <v>66</v>
      </c>
      <c r="C59" s="26">
        <v>0</v>
      </c>
      <c r="D59" s="26">
        <v>0</v>
      </c>
      <c r="E59" s="27"/>
      <c r="F59" s="27">
        <v>0</v>
      </c>
      <c r="G59" s="27">
        <v>0</v>
      </c>
      <c r="H59" s="27">
        <v>0</v>
      </c>
      <c r="I59" s="26">
        <v>0</v>
      </c>
      <c r="J59" s="27">
        <v>0</v>
      </c>
      <c r="K59" s="27">
        <v>0</v>
      </c>
      <c r="L59" s="27">
        <v>0</v>
      </c>
      <c r="M59" s="27">
        <v>0</v>
      </c>
      <c r="N59" s="26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6">
        <v>0</v>
      </c>
      <c r="U59" s="28">
        <v>0</v>
      </c>
      <c r="V59" s="27">
        <v>0</v>
      </c>
      <c r="W59" s="27">
        <v>0</v>
      </c>
      <c r="X59" s="27">
        <v>0</v>
      </c>
      <c r="Y59" s="27">
        <v>0</v>
      </c>
      <c r="Z59" s="26">
        <v>0</v>
      </c>
      <c r="AA59" s="27">
        <v>0</v>
      </c>
      <c r="AB59" s="27">
        <v>0</v>
      </c>
      <c r="AC59" s="27">
        <v>0</v>
      </c>
      <c r="AD59" s="27">
        <v>0</v>
      </c>
      <c r="AE59" s="26">
        <v>0</v>
      </c>
      <c r="AF59" s="27">
        <v>0</v>
      </c>
      <c r="AG59" s="27">
        <v>0</v>
      </c>
      <c r="AH59" s="27">
        <v>0</v>
      </c>
      <c r="AI59" s="27">
        <v>0</v>
      </c>
      <c r="AJ59" s="27">
        <v>0</v>
      </c>
      <c r="AK59" s="26">
        <v>0</v>
      </c>
      <c r="AL59" s="28">
        <v>0</v>
      </c>
      <c r="AM59" s="54"/>
      <c r="AN59" s="13">
        <v>0</v>
      </c>
      <c r="AO59" s="13">
        <v>0</v>
      </c>
    </row>
    <row r="60" spans="1:41" s="15" customFormat="1">
      <c r="A60" s="134"/>
      <c r="B60" s="12" t="s">
        <v>7</v>
      </c>
      <c r="C60" s="26"/>
      <c r="D60" s="26"/>
      <c r="E60" s="32"/>
      <c r="F60" s="27">
        <v>0</v>
      </c>
      <c r="G60" s="27">
        <v>0</v>
      </c>
      <c r="H60" s="27">
        <v>0</v>
      </c>
      <c r="I60" s="26">
        <v>0</v>
      </c>
      <c r="J60" s="32">
        <v>0</v>
      </c>
      <c r="K60" s="27">
        <v>0</v>
      </c>
      <c r="L60" s="27">
        <v>0</v>
      </c>
      <c r="M60" s="27">
        <v>0</v>
      </c>
      <c r="N60" s="26">
        <v>0</v>
      </c>
      <c r="O60" s="32">
        <v>0</v>
      </c>
      <c r="P60" s="27">
        <v>0</v>
      </c>
      <c r="Q60" s="27">
        <v>0</v>
      </c>
      <c r="R60" s="27">
        <v>0</v>
      </c>
      <c r="S60" s="27">
        <v>0</v>
      </c>
      <c r="T60" s="26">
        <v>0</v>
      </c>
      <c r="U60" s="28">
        <v>598</v>
      </c>
      <c r="V60" s="32">
        <v>0</v>
      </c>
      <c r="W60" s="27">
        <v>0</v>
      </c>
      <c r="X60" s="27">
        <v>0</v>
      </c>
      <c r="Y60" s="27">
        <v>0</v>
      </c>
      <c r="Z60" s="26">
        <v>0</v>
      </c>
      <c r="AA60" s="32">
        <v>0</v>
      </c>
      <c r="AB60" s="27">
        <v>0</v>
      </c>
      <c r="AC60" s="27">
        <v>0</v>
      </c>
      <c r="AD60" s="27">
        <v>0</v>
      </c>
      <c r="AE60" s="26">
        <v>0</v>
      </c>
      <c r="AF60" s="32">
        <v>0</v>
      </c>
      <c r="AG60" s="27">
        <v>0</v>
      </c>
      <c r="AH60" s="27">
        <v>0</v>
      </c>
      <c r="AI60" s="27">
        <v>0</v>
      </c>
      <c r="AJ60" s="27">
        <v>0</v>
      </c>
      <c r="AK60" s="26">
        <v>0</v>
      </c>
      <c r="AL60" s="28">
        <v>0</v>
      </c>
      <c r="AM60" s="54"/>
      <c r="AN60" s="13">
        <v>0</v>
      </c>
      <c r="AO60" s="13">
        <v>0</v>
      </c>
    </row>
    <row r="61" spans="1:41" s="15" customFormat="1" ht="17" thickBot="1">
      <c r="A61" s="135"/>
      <c r="B61" s="4" t="s">
        <v>67</v>
      </c>
      <c r="C61" s="26">
        <v>0</v>
      </c>
      <c r="D61" s="37">
        <v>598</v>
      </c>
      <c r="E61" s="21"/>
      <c r="F61" s="21">
        <v>0</v>
      </c>
      <c r="G61" s="21">
        <v>0</v>
      </c>
      <c r="H61" s="21">
        <v>0</v>
      </c>
      <c r="I61" s="20">
        <v>0</v>
      </c>
      <c r="J61" s="21">
        <v>0</v>
      </c>
      <c r="K61" s="21">
        <v>0</v>
      </c>
      <c r="L61" s="21">
        <v>0</v>
      </c>
      <c r="M61" s="21">
        <v>0</v>
      </c>
      <c r="N61" s="20">
        <v>0</v>
      </c>
      <c r="O61" s="21">
        <v>0</v>
      </c>
      <c r="P61" s="21">
        <v>0</v>
      </c>
      <c r="Q61" s="21">
        <v>0</v>
      </c>
      <c r="R61" s="21">
        <v>0</v>
      </c>
      <c r="S61" s="21">
        <v>0</v>
      </c>
      <c r="T61" s="20">
        <v>0</v>
      </c>
      <c r="U61" s="22">
        <v>0</v>
      </c>
      <c r="V61" s="21">
        <v>0</v>
      </c>
      <c r="W61" s="21">
        <v>0</v>
      </c>
      <c r="X61" s="21">
        <v>0</v>
      </c>
      <c r="Y61" s="21">
        <v>0</v>
      </c>
      <c r="Z61" s="20">
        <v>0</v>
      </c>
      <c r="AA61" s="21">
        <v>0</v>
      </c>
      <c r="AB61" s="21">
        <v>0</v>
      </c>
      <c r="AC61" s="21">
        <v>0</v>
      </c>
      <c r="AD61" s="21">
        <v>0</v>
      </c>
      <c r="AE61" s="20">
        <v>0</v>
      </c>
      <c r="AF61" s="21">
        <v>0</v>
      </c>
      <c r="AG61" s="21">
        <v>0</v>
      </c>
      <c r="AH61" s="21">
        <v>0</v>
      </c>
      <c r="AI61" s="21">
        <v>0</v>
      </c>
      <c r="AJ61" s="21">
        <v>0</v>
      </c>
      <c r="AK61" s="20">
        <v>0</v>
      </c>
      <c r="AL61" s="22">
        <v>0</v>
      </c>
      <c r="AM61" s="54"/>
      <c r="AN61" s="13">
        <v>0</v>
      </c>
      <c r="AO61" s="13">
        <v>0</v>
      </c>
    </row>
    <row r="62" spans="1:41" s="15" customFormat="1" ht="17" thickBot="1">
      <c r="A62" s="46"/>
      <c r="B62" s="12" t="s">
        <v>68</v>
      </c>
      <c r="C62" s="26"/>
      <c r="D62" s="26"/>
      <c r="E62" s="19"/>
      <c r="F62" s="19"/>
      <c r="G62" s="19"/>
      <c r="H62" s="19"/>
      <c r="I62" s="23"/>
      <c r="J62" s="19"/>
      <c r="K62" s="19"/>
      <c r="L62" s="19"/>
      <c r="M62" s="19"/>
      <c r="N62" s="23"/>
      <c r="O62" s="19"/>
      <c r="P62" s="19"/>
      <c r="Q62" s="19"/>
      <c r="R62" s="19"/>
      <c r="S62" s="19"/>
      <c r="T62" s="23"/>
      <c r="U62" s="24"/>
      <c r="V62" s="19"/>
      <c r="W62" s="19"/>
      <c r="X62" s="19"/>
      <c r="Y62" s="19"/>
      <c r="Z62" s="23"/>
      <c r="AA62" s="19"/>
      <c r="AB62" s="19"/>
      <c r="AC62" s="19"/>
      <c r="AD62" s="19"/>
      <c r="AE62" s="23"/>
      <c r="AF62" s="19"/>
      <c r="AG62" s="19"/>
      <c r="AH62" s="19"/>
      <c r="AI62" s="19"/>
      <c r="AJ62" s="19"/>
      <c r="AK62" s="23"/>
      <c r="AL62" s="24"/>
      <c r="AM62" s="54"/>
      <c r="AN62" s="13">
        <v>0</v>
      </c>
      <c r="AO62" s="13">
        <v>0</v>
      </c>
    </row>
    <row r="63" spans="1:41" s="15" customFormat="1">
      <c r="A63" s="133" t="s">
        <v>78</v>
      </c>
      <c r="B63" s="3" t="s">
        <v>64</v>
      </c>
      <c r="C63" s="26"/>
      <c r="D63" s="26"/>
      <c r="E63" s="27"/>
      <c r="F63" s="27">
        <v>332750</v>
      </c>
      <c r="G63" s="27">
        <v>120000</v>
      </c>
      <c r="H63" s="27">
        <v>112000</v>
      </c>
      <c r="I63" s="26">
        <v>564750</v>
      </c>
      <c r="J63" s="27">
        <v>19750</v>
      </c>
      <c r="K63" s="27">
        <v>38125</v>
      </c>
      <c r="L63" s="27">
        <v>22556</v>
      </c>
      <c r="M63" s="27">
        <v>2879</v>
      </c>
      <c r="N63" s="26">
        <v>83310</v>
      </c>
      <c r="O63" s="27">
        <v>69398</v>
      </c>
      <c r="P63" s="27">
        <v>23204</v>
      </c>
      <c r="Q63" s="27">
        <v>3861</v>
      </c>
      <c r="R63" s="27">
        <v>31084</v>
      </c>
      <c r="S63" s="27">
        <v>0</v>
      </c>
      <c r="T63" s="26">
        <v>127547</v>
      </c>
      <c r="U63" s="28">
        <v>933441</v>
      </c>
      <c r="V63" s="27">
        <v>83507</v>
      </c>
      <c r="W63" s="27">
        <v>0</v>
      </c>
      <c r="X63" s="27">
        <v>3598</v>
      </c>
      <c r="Y63" s="27">
        <v>1511</v>
      </c>
      <c r="Z63" s="26">
        <v>88616</v>
      </c>
      <c r="AA63" s="27">
        <v>569</v>
      </c>
      <c r="AB63" s="27">
        <v>2266</v>
      </c>
      <c r="AC63" s="27">
        <v>3146</v>
      </c>
      <c r="AD63" s="27">
        <v>3506</v>
      </c>
      <c r="AE63" s="26">
        <v>9487</v>
      </c>
      <c r="AF63" s="27">
        <v>0</v>
      </c>
      <c r="AG63" s="27">
        <v>608</v>
      </c>
      <c r="AH63" s="27">
        <v>0</v>
      </c>
      <c r="AI63" s="27">
        <v>0</v>
      </c>
      <c r="AJ63" s="27">
        <v>0</v>
      </c>
      <c r="AK63" s="26">
        <v>608</v>
      </c>
      <c r="AL63" s="28">
        <v>98711</v>
      </c>
      <c r="AM63" s="54">
        <v>64</v>
      </c>
      <c r="AN63" s="13">
        <v>59740224</v>
      </c>
      <c r="AO63" s="13">
        <v>6317504</v>
      </c>
    </row>
    <row r="64" spans="1:41" s="15" customFormat="1">
      <c r="A64" s="134"/>
      <c r="B64" s="12" t="s">
        <v>65</v>
      </c>
      <c r="C64" s="26"/>
      <c r="D64" s="26"/>
      <c r="E64" s="27"/>
      <c r="F64" s="27">
        <v>332750</v>
      </c>
      <c r="G64" s="27">
        <v>120000</v>
      </c>
      <c r="H64" s="27">
        <v>112000</v>
      </c>
      <c r="I64" s="26">
        <v>564750</v>
      </c>
      <c r="J64" s="27">
        <v>19750</v>
      </c>
      <c r="K64" s="27">
        <v>38125</v>
      </c>
      <c r="L64" s="27">
        <v>0</v>
      </c>
      <c r="M64" s="27">
        <v>55000</v>
      </c>
      <c r="N64" s="26">
        <v>112875</v>
      </c>
      <c r="O64" s="27">
        <v>0</v>
      </c>
      <c r="P64" s="27">
        <v>30000</v>
      </c>
      <c r="Q64" s="27">
        <v>30000</v>
      </c>
      <c r="R64" s="27">
        <v>40000</v>
      </c>
      <c r="S64" s="27">
        <v>40000</v>
      </c>
      <c r="T64" s="26">
        <v>140000</v>
      </c>
      <c r="U64" s="28">
        <v>0</v>
      </c>
      <c r="V64" s="27">
        <v>50000</v>
      </c>
      <c r="W64" s="27">
        <v>0</v>
      </c>
      <c r="X64" s="27">
        <v>0</v>
      </c>
      <c r="Y64" s="27">
        <v>15000</v>
      </c>
      <c r="Z64" s="26">
        <v>65000</v>
      </c>
      <c r="AA64" s="27">
        <v>0</v>
      </c>
      <c r="AB64" s="27">
        <v>0</v>
      </c>
      <c r="AC64" s="27">
        <v>0</v>
      </c>
      <c r="AD64" s="27">
        <v>0</v>
      </c>
      <c r="AE64" s="26">
        <v>0</v>
      </c>
      <c r="AF64" s="27">
        <v>0</v>
      </c>
      <c r="AG64" s="27">
        <v>0</v>
      </c>
      <c r="AH64" s="27">
        <v>0</v>
      </c>
      <c r="AI64" s="27">
        <v>0</v>
      </c>
      <c r="AJ64" s="27">
        <v>0</v>
      </c>
      <c r="AK64" s="26">
        <v>0</v>
      </c>
      <c r="AL64" s="28">
        <v>0</v>
      </c>
      <c r="AM64" s="54"/>
      <c r="AN64" s="13">
        <v>0</v>
      </c>
      <c r="AO64" s="13">
        <v>0</v>
      </c>
    </row>
    <row r="65" spans="1:41" s="15" customFormat="1">
      <c r="A65" s="134"/>
      <c r="B65" s="12" t="s">
        <v>66</v>
      </c>
      <c r="C65" s="26">
        <v>9750</v>
      </c>
      <c r="D65" s="26">
        <v>9750</v>
      </c>
      <c r="E65" s="27"/>
      <c r="F65" s="27">
        <v>0</v>
      </c>
      <c r="G65" s="27">
        <v>0</v>
      </c>
      <c r="H65" s="27">
        <v>0</v>
      </c>
      <c r="I65" s="26">
        <v>0</v>
      </c>
      <c r="J65" s="27">
        <v>0</v>
      </c>
      <c r="K65" s="27">
        <v>0</v>
      </c>
      <c r="L65" s="27">
        <v>0</v>
      </c>
      <c r="M65" s="27">
        <v>9750</v>
      </c>
      <c r="N65" s="26">
        <v>9750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6">
        <v>0</v>
      </c>
      <c r="U65" s="28">
        <v>9750</v>
      </c>
      <c r="V65" s="27">
        <v>0</v>
      </c>
      <c r="W65" s="27">
        <v>0</v>
      </c>
      <c r="X65" s="27">
        <v>0</v>
      </c>
      <c r="Y65" s="27">
        <v>0</v>
      </c>
      <c r="Z65" s="26">
        <v>0</v>
      </c>
      <c r="AA65" s="27">
        <v>0</v>
      </c>
      <c r="AB65" s="27">
        <v>0</v>
      </c>
      <c r="AC65" s="27">
        <v>0</v>
      </c>
      <c r="AD65" s="27">
        <v>0</v>
      </c>
      <c r="AE65" s="26">
        <v>0</v>
      </c>
      <c r="AF65" s="27">
        <v>0</v>
      </c>
      <c r="AG65" s="27">
        <v>0</v>
      </c>
      <c r="AH65" s="27">
        <v>0</v>
      </c>
      <c r="AI65" s="27">
        <v>0</v>
      </c>
      <c r="AJ65" s="27">
        <v>0</v>
      </c>
      <c r="AK65" s="26">
        <v>0</v>
      </c>
      <c r="AL65" s="28">
        <v>0</v>
      </c>
      <c r="AM65" s="54"/>
      <c r="AN65" s="13">
        <v>0</v>
      </c>
      <c r="AO65" s="13">
        <v>0</v>
      </c>
    </row>
    <row r="66" spans="1:41" s="15" customFormat="1">
      <c r="A66" s="134"/>
      <c r="B66" s="12" t="s">
        <v>7</v>
      </c>
      <c r="C66" s="26"/>
      <c r="D66" s="26"/>
      <c r="E66" s="32"/>
      <c r="F66" s="27">
        <v>332750</v>
      </c>
      <c r="G66" s="27">
        <v>120000</v>
      </c>
      <c r="H66" s="27">
        <v>112000</v>
      </c>
      <c r="I66" s="26">
        <v>564750</v>
      </c>
      <c r="J66" s="32">
        <v>19750</v>
      </c>
      <c r="K66" s="27">
        <v>38125</v>
      </c>
      <c r="L66" s="27">
        <v>0</v>
      </c>
      <c r="M66" s="27">
        <v>64750</v>
      </c>
      <c r="N66" s="26">
        <v>122625</v>
      </c>
      <c r="O66" s="32">
        <v>0</v>
      </c>
      <c r="P66" s="27">
        <v>30000</v>
      </c>
      <c r="Q66" s="27">
        <v>30000</v>
      </c>
      <c r="R66" s="27">
        <v>40000</v>
      </c>
      <c r="S66" s="27">
        <v>40000</v>
      </c>
      <c r="T66" s="26">
        <v>140000</v>
      </c>
      <c r="U66" s="28">
        <v>985209</v>
      </c>
      <c r="V66" s="32">
        <v>50000</v>
      </c>
      <c r="W66" s="27">
        <v>0</v>
      </c>
      <c r="X66" s="27">
        <v>0</v>
      </c>
      <c r="Y66" s="27">
        <v>15000</v>
      </c>
      <c r="Z66" s="26">
        <v>116768</v>
      </c>
      <c r="AA66" s="32">
        <v>0</v>
      </c>
      <c r="AB66" s="27">
        <v>0</v>
      </c>
      <c r="AC66" s="27">
        <v>0</v>
      </c>
      <c r="AD66" s="27">
        <v>0</v>
      </c>
      <c r="AE66" s="26">
        <v>0</v>
      </c>
      <c r="AF66" s="32">
        <v>0</v>
      </c>
      <c r="AG66" s="27">
        <v>0</v>
      </c>
      <c r="AH66" s="27">
        <v>0</v>
      </c>
      <c r="AI66" s="27">
        <v>0</v>
      </c>
      <c r="AJ66" s="27">
        <v>0</v>
      </c>
      <c r="AK66" s="26">
        <v>0</v>
      </c>
      <c r="AL66" s="28">
        <v>116768</v>
      </c>
      <c r="AM66" s="54"/>
      <c r="AN66" s="13">
        <v>0</v>
      </c>
      <c r="AO66" s="13">
        <v>0</v>
      </c>
    </row>
    <row r="67" spans="1:41" s="15" customFormat="1" ht="17" thickBot="1">
      <c r="A67" s="135"/>
      <c r="B67" s="4" t="s">
        <v>67</v>
      </c>
      <c r="C67" s="26">
        <v>98139</v>
      </c>
      <c r="D67" s="37">
        <v>157834</v>
      </c>
      <c r="E67" s="21"/>
      <c r="F67" s="21">
        <v>0</v>
      </c>
      <c r="G67" s="21">
        <v>0</v>
      </c>
      <c r="H67" s="21">
        <v>0</v>
      </c>
      <c r="I67" s="20">
        <v>0</v>
      </c>
      <c r="J67" s="21">
        <v>0</v>
      </c>
      <c r="K67" s="21">
        <v>0</v>
      </c>
      <c r="L67" s="21">
        <v>-22556</v>
      </c>
      <c r="M67" s="21">
        <v>39315</v>
      </c>
      <c r="N67" s="20">
        <v>39315</v>
      </c>
      <c r="O67" s="21">
        <v>-30083</v>
      </c>
      <c r="P67" s="21">
        <v>-23287</v>
      </c>
      <c r="Q67" s="21">
        <v>2852</v>
      </c>
      <c r="R67" s="21">
        <v>11768</v>
      </c>
      <c r="S67" s="21">
        <v>51768</v>
      </c>
      <c r="T67" s="20">
        <v>51768</v>
      </c>
      <c r="U67" s="22">
        <v>51768</v>
      </c>
      <c r="V67" s="21">
        <v>18261</v>
      </c>
      <c r="W67" s="21">
        <v>18261</v>
      </c>
      <c r="X67" s="21">
        <v>14663</v>
      </c>
      <c r="Y67" s="21">
        <v>28152</v>
      </c>
      <c r="Z67" s="20">
        <v>28152</v>
      </c>
      <c r="AA67" s="21">
        <v>27583</v>
      </c>
      <c r="AB67" s="21">
        <v>25317</v>
      </c>
      <c r="AC67" s="21">
        <v>22171</v>
      </c>
      <c r="AD67" s="21">
        <v>18665</v>
      </c>
      <c r="AE67" s="20">
        <v>18665</v>
      </c>
      <c r="AF67" s="21">
        <v>18665</v>
      </c>
      <c r="AG67" s="21">
        <v>18057</v>
      </c>
      <c r="AH67" s="21">
        <v>18057</v>
      </c>
      <c r="AI67" s="21">
        <v>18057</v>
      </c>
      <c r="AJ67" s="21">
        <v>18057</v>
      </c>
      <c r="AK67" s="20">
        <v>18057</v>
      </c>
      <c r="AL67" s="22">
        <v>69825</v>
      </c>
      <c r="AM67" s="54"/>
      <c r="AN67" s="13">
        <v>0</v>
      </c>
      <c r="AO67" s="13">
        <v>0</v>
      </c>
    </row>
    <row r="68" spans="1:41" s="15" customFormat="1" ht="17" thickBot="1">
      <c r="A68" s="46"/>
      <c r="B68" s="12" t="s">
        <v>68</v>
      </c>
      <c r="C68" s="26"/>
      <c r="D68" s="26"/>
      <c r="E68" s="19">
        <v>0</v>
      </c>
      <c r="F68" s="19"/>
      <c r="G68" s="19"/>
      <c r="H68" s="19"/>
      <c r="I68" s="23"/>
      <c r="J68" s="19"/>
      <c r="K68" s="19"/>
      <c r="L68" s="19"/>
      <c r="M68" s="19"/>
      <c r="N68" s="23"/>
      <c r="O68" s="19"/>
      <c r="P68" s="19"/>
      <c r="Q68" s="19"/>
      <c r="R68" s="19"/>
      <c r="S68" s="19"/>
      <c r="T68" s="23"/>
      <c r="U68" s="24"/>
      <c r="V68" s="19"/>
      <c r="W68" s="19"/>
      <c r="X68" s="19"/>
      <c r="Y68" s="19"/>
      <c r="Z68" s="23"/>
      <c r="AA68" s="19"/>
      <c r="AB68" s="19"/>
      <c r="AC68" s="19"/>
      <c r="AD68" s="19"/>
      <c r="AE68" s="23"/>
      <c r="AF68" s="19"/>
      <c r="AG68" s="19"/>
      <c r="AH68" s="19"/>
      <c r="AI68" s="19"/>
      <c r="AJ68" s="19"/>
      <c r="AK68" s="23"/>
      <c r="AL68" s="24"/>
      <c r="AM68" s="54"/>
      <c r="AN68" s="13">
        <v>0</v>
      </c>
      <c r="AO68" s="13">
        <v>0</v>
      </c>
    </row>
    <row r="69" spans="1:41" s="15" customFormat="1">
      <c r="A69" s="133" t="s">
        <v>79</v>
      </c>
      <c r="B69" s="3" t="s">
        <v>64</v>
      </c>
      <c r="C69" s="26"/>
      <c r="D69" s="26"/>
      <c r="E69" s="27"/>
      <c r="F69" s="27">
        <v>35144</v>
      </c>
      <c r="G69" s="27">
        <v>4000</v>
      </c>
      <c r="H69" s="27">
        <v>0</v>
      </c>
      <c r="I69" s="26">
        <v>39144</v>
      </c>
      <c r="J69" s="27">
        <v>5000</v>
      </c>
      <c r="K69" s="27">
        <v>0</v>
      </c>
      <c r="L69" s="27">
        <v>35356</v>
      </c>
      <c r="M69" s="27">
        <v>941</v>
      </c>
      <c r="N69" s="26">
        <v>41297</v>
      </c>
      <c r="O69" s="27">
        <v>4260</v>
      </c>
      <c r="P69" s="27">
        <v>24254</v>
      </c>
      <c r="Q69" s="27">
        <v>2173</v>
      </c>
      <c r="R69" s="27">
        <v>13977</v>
      </c>
      <c r="S69" s="27">
        <v>0</v>
      </c>
      <c r="T69" s="26">
        <v>44664</v>
      </c>
      <c r="U69" s="28">
        <v>140173</v>
      </c>
      <c r="V69" s="27">
        <v>5800</v>
      </c>
      <c r="W69" s="27">
        <v>382</v>
      </c>
      <c r="X69" s="27">
        <v>499</v>
      </c>
      <c r="Y69" s="27">
        <v>278</v>
      </c>
      <c r="Z69" s="26">
        <v>6959</v>
      </c>
      <c r="AA69" s="27">
        <v>2794</v>
      </c>
      <c r="AB69" s="27">
        <v>1012</v>
      </c>
      <c r="AC69" s="27">
        <v>193</v>
      </c>
      <c r="AD69" s="27">
        <v>184</v>
      </c>
      <c r="AE69" s="26">
        <v>4183</v>
      </c>
      <c r="AF69" s="27">
        <v>146</v>
      </c>
      <c r="AG69" s="27">
        <v>475</v>
      </c>
      <c r="AH69" s="27">
        <v>0</v>
      </c>
      <c r="AI69" s="27">
        <v>0</v>
      </c>
      <c r="AJ69" s="27">
        <v>0</v>
      </c>
      <c r="AK69" s="26">
        <v>621</v>
      </c>
      <c r="AL69" s="28">
        <v>11763</v>
      </c>
      <c r="AM69" s="54">
        <v>64</v>
      </c>
      <c r="AN69" s="13">
        <v>8971072</v>
      </c>
      <c r="AO69" s="13">
        <v>752832</v>
      </c>
    </row>
    <row r="70" spans="1:41" s="15" customFormat="1">
      <c r="A70" s="134"/>
      <c r="B70" s="12" t="s">
        <v>65</v>
      </c>
      <c r="C70" s="26"/>
      <c r="D70" s="26"/>
      <c r="E70" s="27"/>
      <c r="F70" s="27">
        <v>35144</v>
      </c>
      <c r="G70" s="27">
        <v>4000</v>
      </c>
      <c r="H70" s="27">
        <v>0</v>
      </c>
      <c r="I70" s="26">
        <v>39144</v>
      </c>
      <c r="J70" s="27">
        <v>5000</v>
      </c>
      <c r="K70" s="27">
        <v>0</v>
      </c>
      <c r="L70" s="27">
        <v>0</v>
      </c>
      <c r="M70" s="27">
        <v>10000</v>
      </c>
      <c r="N70" s="26">
        <v>15000</v>
      </c>
      <c r="O70" s="27">
        <v>3000</v>
      </c>
      <c r="P70" s="27">
        <v>0</v>
      </c>
      <c r="Q70" s="27">
        <v>5000</v>
      </c>
      <c r="R70" s="27">
        <v>5000</v>
      </c>
      <c r="S70" s="27">
        <v>5000</v>
      </c>
      <c r="T70" s="26">
        <v>18000</v>
      </c>
      <c r="U70" s="28">
        <v>0</v>
      </c>
      <c r="V70" s="27">
        <v>5000</v>
      </c>
      <c r="W70" s="27">
        <v>0</v>
      </c>
      <c r="X70" s="27">
        <v>0</v>
      </c>
      <c r="Y70" s="27">
        <v>0</v>
      </c>
      <c r="Z70" s="26">
        <v>5000</v>
      </c>
      <c r="AA70" s="27">
        <v>0</v>
      </c>
      <c r="AB70" s="27">
        <v>0</v>
      </c>
      <c r="AC70" s="27">
        <v>0</v>
      </c>
      <c r="AD70" s="27">
        <v>0</v>
      </c>
      <c r="AE70" s="26">
        <v>0</v>
      </c>
      <c r="AF70" s="27">
        <v>0</v>
      </c>
      <c r="AG70" s="27">
        <v>0</v>
      </c>
      <c r="AH70" s="27">
        <v>0</v>
      </c>
      <c r="AI70" s="27">
        <v>0</v>
      </c>
      <c r="AJ70" s="27">
        <v>0</v>
      </c>
      <c r="AK70" s="26">
        <v>0</v>
      </c>
      <c r="AL70" s="28">
        <v>0</v>
      </c>
      <c r="AM70" s="54"/>
      <c r="AN70" s="13">
        <v>0</v>
      </c>
      <c r="AO70" s="13">
        <v>0</v>
      </c>
    </row>
    <row r="71" spans="1:41" s="15" customFormat="1">
      <c r="A71" s="134"/>
      <c r="B71" s="12" t="s">
        <v>66</v>
      </c>
      <c r="C71" s="26">
        <v>0</v>
      </c>
      <c r="D71" s="26">
        <v>0</v>
      </c>
      <c r="E71" s="27"/>
      <c r="F71" s="27">
        <v>0</v>
      </c>
      <c r="G71" s="27">
        <v>0</v>
      </c>
      <c r="H71" s="27">
        <v>0</v>
      </c>
      <c r="I71" s="26">
        <v>0</v>
      </c>
      <c r="J71" s="27">
        <v>0</v>
      </c>
      <c r="K71" s="27">
        <v>0</v>
      </c>
      <c r="L71" s="27">
        <v>0</v>
      </c>
      <c r="M71" s="27">
        <v>0</v>
      </c>
      <c r="N71" s="26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6">
        <v>0</v>
      </c>
      <c r="U71" s="28">
        <v>0</v>
      </c>
      <c r="V71" s="27">
        <v>0</v>
      </c>
      <c r="W71" s="27">
        <v>0</v>
      </c>
      <c r="X71" s="27">
        <v>0</v>
      </c>
      <c r="Y71" s="27">
        <v>0</v>
      </c>
      <c r="Z71" s="26">
        <v>0</v>
      </c>
      <c r="AA71" s="27">
        <v>0</v>
      </c>
      <c r="AB71" s="27">
        <v>0</v>
      </c>
      <c r="AC71" s="27">
        <v>0</v>
      </c>
      <c r="AD71" s="27">
        <v>0</v>
      </c>
      <c r="AE71" s="26">
        <v>0</v>
      </c>
      <c r="AF71" s="27">
        <v>0</v>
      </c>
      <c r="AG71" s="27">
        <v>0</v>
      </c>
      <c r="AH71" s="27">
        <v>0</v>
      </c>
      <c r="AI71" s="27">
        <v>0</v>
      </c>
      <c r="AJ71" s="27">
        <v>0</v>
      </c>
      <c r="AK71" s="26">
        <v>0</v>
      </c>
      <c r="AL71" s="28">
        <v>0</v>
      </c>
      <c r="AM71" s="54"/>
      <c r="AN71" s="13">
        <v>0</v>
      </c>
      <c r="AO71" s="13">
        <v>0</v>
      </c>
    </row>
    <row r="72" spans="1:41" s="15" customFormat="1">
      <c r="A72" s="134"/>
      <c r="B72" s="12" t="s">
        <v>7</v>
      </c>
      <c r="C72" s="26"/>
      <c r="D72" s="26"/>
      <c r="E72" s="32"/>
      <c r="F72" s="27">
        <v>35144</v>
      </c>
      <c r="G72" s="27">
        <v>4000</v>
      </c>
      <c r="H72" s="27">
        <v>0</v>
      </c>
      <c r="I72" s="26">
        <v>39144</v>
      </c>
      <c r="J72" s="32">
        <v>5000</v>
      </c>
      <c r="K72" s="27">
        <v>0</v>
      </c>
      <c r="L72" s="27">
        <v>0</v>
      </c>
      <c r="M72" s="27">
        <v>10000</v>
      </c>
      <c r="N72" s="26">
        <v>15000</v>
      </c>
      <c r="O72" s="32">
        <v>3000</v>
      </c>
      <c r="P72" s="27">
        <v>0</v>
      </c>
      <c r="Q72" s="27">
        <v>5000</v>
      </c>
      <c r="R72" s="27">
        <v>5000</v>
      </c>
      <c r="S72" s="27">
        <v>5000</v>
      </c>
      <c r="T72" s="26">
        <v>18000</v>
      </c>
      <c r="U72" s="28">
        <v>87212</v>
      </c>
      <c r="V72" s="32">
        <v>5000</v>
      </c>
      <c r="W72" s="27">
        <v>0</v>
      </c>
      <c r="X72" s="27">
        <v>0</v>
      </c>
      <c r="Y72" s="27">
        <v>0</v>
      </c>
      <c r="Z72" s="26">
        <v>-47961</v>
      </c>
      <c r="AA72" s="32">
        <v>0</v>
      </c>
      <c r="AB72" s="27">
        <v>0</v>
      </c>
      <c r="AC72" s="27">
        <v>0</v>
      </c>
      <c r="AD72" s="27">
        <v>0</v>
      </c>
      <c r="AE72" s="26">
        <v>0</v>
      </c>
      <c r="AF72" s="32">
        <v>0</v>
      </c>
      <c r="AG72" s="27">
        <v>0</v>
      </c>
      <c r="AH72" s="27">
        <v>0</v>
      </c>
      <c r="AI72" s="27">
        <v>0</v>
      </c>
      <c r="AJ72" s="27">
        <v>0</v>
      </c>
      <c r="AK72" s="26">
        <v>0</v>
      </c>
      <c r="AL72" s="28">
        <v>-47961</v>
      </c>
      <c r="AM72" s="54"/>
      <c r="AN72" s="13">
        <v>0</v>
      </c>
      <c r="AO72" s="13">
        <v>0</v>
      </c>
    </row>
    <row r="73" spans="1:41" s="15" customFormat="1" ht="17" thickBot="1">
      <c r="A73" s="135"/>
      <c r="B73" s="4" t="s">
        <v>67</v>
      </c>
      <c r="C73" s="26">
        <v>2463</v>
      </c>
      <c r="D73" s="37">
        <v>15068</v>
      </c>
      <c r="E73" s="21"/>
      <c r="F73" s="21">
        <v>0</v>
      </c>
      <c r="G73" s="21">
        <v>0</v>
      </c>
      <c r="H73" s="21">
        <v>0</v>
      </c>
      <c r="I73" s="20">
        <v>0</v>
      </c>
      <c r="J73" s="21">
        <v>0</v>
      </c>
      <c r="K73" s="21">
        <v>0</v>
      </c>
      <c r="L73" s="21">
        <v>-35356</v>
      </c>
      <c r="M73" s="21">
        <v>-26297</v>
      </c>
      <c r="N73" s="20">
        <v>-26297</v>
      </c>
      <c r="O73" s="21">
        <v>-27557</v>
      </c>
      <c r="P73" s="21">
        <v>-51811</v>
      </c>
      <c r="Q73" s="21">
        <v>-48984</v>
      </c>
      <c r="R73" s="21">
        <v>-57961</v>
      </c>
      <c r="S73" s="21">
        <v>-52961</v>
      </c>
      <c r="T73" s="20">
        <v>-52961</v>
      </c>
      <c r="U73" s="22">
        <v>-52961</v>
      </c>
      <c r="V73" s="21">
        <v>-53761</v>
      </c>
      <c r="W73" s="21">
        <v>-54143</v>
      </c>
      <c r="X73" s="21">
        <v>-54642</v>
      </c>
      <c r="Y73" s="21">
        <v>-54920</v>
      </c>
      <c r="Z73" s="20">
        <v>-54920</v>
      </c>
      <c r="AA73" s="21">
        <v>-57714</v>
      </c>
      <c r="AB73" s="21">
        <v>-58726</v>
      </c>
      <c r="AC73" s="21">
        <v>-58919</v>
      </c>
      <c r="AD73" s="21">
        <v>-59103</v>
      </c>
      <c r="AE73" s="20">
        <v>-59103</v>
      </c>
      <c r="AF73" s="21">
        <v>-59249</v>
      </c>
      <c r="AG73" s="21">
        <v>-59724</v>
      </c>
      <c r="AH73" s="21">
        <v>-59724</v>
      </c>
      <c r="AI73" s="21">
        <v>-59724</v>
      </c>
      <c r="AJ73" s="21">
        <v>-59724</v>
      </c>
      <c r="AK73" s="20">
        <v>-59724</v>
      </c>
      <c r="AL73" s="22">
        <v>-112685</v>
      </c>
      <c r="AM73" s="54"/>
      <c r="AN73" s="13">
        <v>0</v>
      </c>
      <c r="AO73" s="13">
        <v>0</v>
      </c>
    </row>
    <row r="74" spans="1:41" s="15" customFormat="1" ht="17" thickBot="1">
      <c r="A74" s="46"/>
      <c r="B74" s="12" t="s">
        <v>68</v>
      </c>
      <c r="C74" s="26"/>
      <c r="D74" s="26"/>
      <c r="E74" s="19">
        <v>0</v>
      </c>
      <c r="F74" s="19"/>
      <c r="G74" s="19"/>
      <c r="H74" s="19"/>
      <c r="I74" s="23"/>
      <c r="J74" s="19"/>
      <c r="K74" s="19"/>
      <c r="L74" s="19"/>
      <c r="M74" s="19"/>
      <c r="N74" s="23"/>
      <c r="O74" s="19"/>
      <c r="P74" s="19"/>
      <c r="Q74" s="19"/>
      <c r="R74" s="19"/>
      <c r="S74" s="19"/>
      <c r="T74" s="23"/>
      <c r="U74" s="24"/>
      <c r="V74" s="19"/>
      <c r="W74" s="19"/>
      <c r="X74" s="19"/>
      <c r="Y74" s="19"/>
      <c r="Z74" s="23"/>
      <c r="AA74" s="19"/>
      <c r="AB74" s="19"/>
      <c r="AC74" s="19"/>
      <c r="AD74" s="19"/>
      <c r="AE74" s="23"/>
      <c r="AF74" s="19"/>
      <c r="AG74" s="19"/>
      <c r="AH74" s="19"/>
      <c r="AI74" s="19"/>
      <c r="AJ74" s="19"/>
      <c r="AK74" s="23"/>
      <c r="AL74" s="24"/>
      <c r="AM74" s="54"/>
      <c r="AN74" s="13">
        <v>0</v>
      </c>
      <c r="AO74" s="13">
        <v>0</v>
      </c>
    </row>
    <row r="75" spans="1:41" s="15" customFormat="1">
      <c r="A75" s="133" t="s">
        <v>80</v>
      </c>
      <c r="B75" s="3" t="s">
        <v>64</v>
      </c>
      <c r="C75" s="26"/>
      <c r="D75" s="26"/>
      <c r="E75" s="27"/>
      <c r="F75" s="27">
        <v>3745</v>
      </c>
      <c r="G75" s="27">
        <v>50125</v>
      </c>
      <c r="H75" s="27">
        <v>24400</v>
      </c>
      <c r="I75" s="26">
        <v>78270</v>
      </c>
      <c r="J75" s="27">
        <v>25125</v>
      </c>
      <c r="K75" s="27">
        <v>32875</v>
      </c>
      <c r="L75" s="27">
        <v>81307</v>
      </c>
      <c r="M75" s="27">
        <v>9121</v>
      </c>
      <c r="N75" s="26">
        <v>148428</v>
      </c>
      <c r="O75" s="27">
        <v>12447</v>
      </c>
      <c r="P75" s="27">
        <v>89993</v>
      </c>
      <c r="Q75" s="27">
        <v>25400</v>
      </c>
      <c r="R75" s="27">
        <v>44183</v>
      </c>
      <c r="S75" s="27">
        <v>0</v>
      </c>
      <c r="T75" s="26">
        <v>172023</v>
      </c>
      <c r="U75" s="28">
        <v>462242</v>
      </c>
      <c r="V75" s="27">
        <v>47052</v>
      </c>
      <c r="W75" s="27">
        <v>8401</v>
      </c>
      <c r="X75" s="27">
        <v>8044</v>
      </c>
      <c r="Y75" s="27">
        <v>7175</v>
      </c>
      <c r="Z75" s="26">
        <v>70672</v>
      </c>
      <c r="AA75" s="27">
        <v>14761</v>
      </c>
      <c r="AB75" s="27">
        <v>22759</v>
      </c>
      <c r="AC75" s="27">
        <v>11438</v>
      </c>
      <c r="AD75" s="27">
        <v>12678</v>
      </c>
      <c r="AE75" s="26">
        <v>61636</v>
      </c>
      <c r="AF75" s="27">
        <v>4875</v>
      </c>
      <c r="AG75" s="27">
        <v>3406</v>
      </c>
      <c r="AH75" s="27">
        <v>16</v>
      </c>
      <c r="AI75" s="27">
        <v>1967</v>
      </c>
      <c r="AJ75" s="27">
        <v>13</v>
      </c>
      <c r="AK75" s="26">
        <v>10277</v>
      </c>
      <c r="AL75" s="28">
        <v>142585</v>
      </c>
      <c r="AM75" s="54">
        <v>64</v>
      </c>
      <c r="AN75" s="13">
        <v>29583488</v>
      </c>
      <c r="AO75" s="13">
        <v>9125440</v>
      </c>
    </row>
    <row r="76" spans="1:41" s="15" customFormat="1">
      <c r="A76" s="134"/>
      <c r="B76" s="12" t="s">
        <v>65</v>
      </c>
      <c r="C76" s="26"/>
      <c r="D76" s="26"/>
      <c r="E76" s="27"/>
      <c r="F76" s="27">
        <v>3745</v>
      </c>
      <c r="G76" s="27">
        <v>50125</v>
      </c>
      <c r="H76" s="27">
        <v>24400</v>
      </c>
      <c r="I76" s="26">
        <v>78270</v>
      </c>
      <c r="J76" s="27">
        <v>25125</v>
      </c>
      <c r="K76" s="27">
        <v>32875</v>
      </c>
      <c r="L76" s="27">
        <v>0</v>
      </c>
      <c r="M76" s="27">
        <v>115000</v>
      </c>
      <c r="N76" s="26">
        <v>173000</v>
      </c>
      <c r="O76" s="27">
        <v>5000</v>
      </c>
      <c r="P76" s="27">
        <v>40000</v>
      </c>
      <c r="Q76" s="27">
        <v>40000</v>
      </c>
      <c r="R76" s="27">
        <v>60000</v>
      </c>
      <c r="S76" s="27">
        <v>40000</v>
      </c>
      <c r="T76" s="26">
        <v>185000</v>
      </c>
      <c r="U76" s="28">
        <v>0</v>
      </c>
      <c r="V76" s="27">
        <v>100000</v>
      </c>
      <c r="W76" s="27">
        <v>60000</v>
      </c>
      <c r="X76" s="27">
        <v>0</v>
      </c>
      <c r="Y76" s="27">
        <v>0</v>
      </c>
      <c r="Z76" s="26">
        <v>160000</v>
      </c>
      <c r="AA76" s="27">
        <v>0</v>
      </c>
      <c r="AB76" s="27">
        <v>0</v>
      </c>
      <c r="AC76" s="27">
        <v>0</v>
      </c>
      <c r="AD76" s="27">
        <v>0</v>
      </c>
      <c r="AE76" s="26">
        <v>0</v>
      </c>
      <c r="AF76" s="27">
        <v>0</v>
      </c>
      <c r="AG76" s="27">
        <v>0</v>
      </c>
      <c r="AH76" s="27">
        <v>0</v>
      </c>
      <c r="AI76" s="27">
        <v>0</v>
      </c>
      <c r="AJ76" s="27">
        <v>0</v>
      </c>
      <c r="AK76" s="26">
        <v>0</v>
      </c>
      <c r="AL76" s="28">
        <v>0</v>
      </c>
      <c r="AM76" s="54"/>
      <c r="AN76" s="13">
        <v>0</v>
      </c>
      <c r="AO76" s="13">
        <v>0</v>
      </c>
    </row>
    <row r="77" spans="1:41" s="15" customFormat="1">
      <c r="A77" s="134"/>
      <c r="B77" s="12" t="s">
        <v>66</v>
      </c>
      <c r="C77" s="26">
        <v>0</v>
      </c>
      <c r="D77" s="26">
        <v>0</v>
      </c>
      <c r="E77" s="27"/>
      <c r="F77" s="27">
        <v>0</v>
      </c>
      <c r="G77" s="27">
        <v>0</v>
      </c>
      <c r="H77" s="27">
        <v>0</v>
      </c>
      <c r="I77" s="26">
        <v>0</v>
      </c>
      <c r="J77" s="27">
        <v>0</v>
      </c>
      <c r="K77" s="27">
        <v>0</v>
      </c>
      <c r="L77" s="27">
        <v>0</v>
      </c>
      <c r="M77" s="27">
        <v>0</v>
      </c>
      <c r="N77" s="26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6">
        <v>0</v>
      </c>
      <c r="U77" s="28">
        <v>0</v>
      </c>
      <c r="V77" s="27">
        <v>0</v>
      </c>
      <c r="W77" s="27">
        <v>0</v>
      </c>
      <c r="X77" s="27">
        <v>0</v>
      </c>
      <c r="Y77" s="27">
        <v>0</v>
      </c>
      <c r="Z77" s="26">
        <v>0</v>
      </c>
      <c r="AA77" s="27">
        <v>0</v>
      </c>
      <c r="AB77" s="27">
        <v>0</v>
      </c>
      <c r="AC77" s="27">
        <v>0</v>
      </c>
      <c r="AD77" s="27">
        <v>0</v>
      </c>
      <c r="AE77" s="26">
        <v>0</v>
      </c>
      <c r="AF77" s="27">
        <v>0</v>
      </c>
      <c r="AG77" s="27">
        <v>0</v>
      </c>
      <c r="AH77" s="27">
        <v>0</v>
      </c>
      <c r="AI77" s="27">
        <v>0</v>
      </c>
      <c r="AJ77" s="27">
        <v>0</v>
      </c>
      <c r="AK77" s="26">
        <v>0</v>
      </c>
      <c r="AL77" s="28">
        <v>0</v>
      </c>
      <c r="AM77" s="54"/>
      <c r="AN77" s="13">
        <v>0</v>
      </c>
      <c r="AO77" s="13">
        <v>0</v>
      </c>
    </row>
    <row r="78" spans="1:41" s="15" customFormat="1">
      <c r="A78" s="134"/>
      <c r="B78" s="12" t="s">
        <v>7</v>
      </c>
      <c r="C78" s="26"/>
      <c r="D78" s="26"/>
      <c r="E78" s="32"/>
      <c r="F78" s="27">
        <v>3745</v>
      </c>
      <c r="G78" s="27">
        <v>50125</v>
      </c>
      <c r="H78" s="27">
        <v>24400</v>
      </c>
      <c r="I78" s="26">
        <v>78270</v>
      </c>
      <c r="J78" s="32">
        <v>25125</v>
      </c>
      <c r="K78" s="27">
        <v>32875</v>
      </c>
      <c r="L78" s="27">
        <v>0</v>
      </c>
      <c r="M78" s="27">
        <v>115000</v>
      </c>
      <c r="N78" s="26">
        <v>173000</v>
      </c>
      <c r="O78" s="32">
        <v>5000</v>
      </c>
      <c r="P78" s="27">
        <v>40000</v>
      </c>
      <c r="Q78" s="27">
        <v>40000</v>
      </c>
      <c r="R78" s="27">
        <v>60000</v>
      </c>
      <c r="S78" s="27">
        <v>40000</v>
      </c>
      <c r="T78" s="26">
        <v>185000</v>
      </c>
      <c r="U78" s="28">
        <v>499791</v>
      </c>
      <c r="V78" s="32">
        <v>100000</v>
      </c>
      <c r="W78" s="27">
        <v>60000</v>
      </c>
      <c r="X78" s="27">
        <v>0</v>
      </c>
      <c r="Y78" s="27">
        <v>0</v>
      </c>
      <c r="Z78" s="26">
        <v>197549</v>
      </c>
      <c r="AA78" s="32">
        <v>0</v>
      </c>
      <c r="AB78" s="27">
        <v>0</v>
      </c>
      <c r="AC78" s="27">
        <v>0</v>
      </c>
      <c r="AD78" s="27">
        <v>0</v>
      </c>
      <c r="AE78" s="26">
        <v>0</v>
      </c>
      <c r="AF78" s="32">
        <v>0</v>
      </c>
      <c r="AG78" s="27">
        <v>0</v>
      </c>
      <c r="AH78" s="27">
        <v>0</v>
      </c>
      <c r="AI78" s="27">
        <v>0</v>
      </c>
      <c r="AJ78" s="27">
        <v>0</v>
      </c>
      <c r="AK78" s="26">
        <v>0</v>
      </c>
      <c r="AL78" s="28">
        <v>197549</v>
      </c>
      <c r="AM78" s="54"/>
      <c r="AN78" s="13">
        <v>0</v>
      </c>
      <c r="AO78" s="13">
        <v>0</v>
      </c>
    </row>
    <row r="79" spans="1:41" s="15" customFormat="1" ht="17" thickBot="1">
      <c r="A79" s="135"/>
      <c r="B79" s="4" t="s">
        <v>67</v>
      </c>
      <c r="C79" s="26">
        <v>55116</v>
      </c>
      <c r="D79" s="37">
        <v>63521</v>
      </c>
      <c r="E79" s="21"/>
      <c r="F79" s="21">
        <v>0</v>
      </c>
      <c r="G79" s="21">
        <v>0</v>
      </c>
      <c r="H79" s="21">
        <v>0</v>
      </c>
      <c r="I79" s="20">
        <v>0</v>
      </c>
      <c r="J79" s="21">
        <v>0</v>
      </c>
      <c r="K79" s="21">
        <v>0</v>
      </c>
      <c r="L79" s="21">
        <v>-81307</v>
      </c>
      <c r="M79" s="21">
        <v>24572</v>
      </c>
      <c r="N79" s="20">
        <v>24572</v>
      </c>
      <c r="O79" s="21">
        <v>17125</v>
      </c>
      <c r="P79" s="21">
        <v>-32868</v>
      </c>
      <c r="Q79" s="21">
        <v>-18268</v>
      </c>
      <c r="R79" s="21">
        <v>-2451</v>
      </c>
      <c r="S79" s="21">
        <v>37549</v>
      </c>
      <c r="T79" s="20">
        <v>37549</v>
      </c>
      <c r="U79" s="22">
        <v>37549</v>
      </c>
      <c r="V79" s="21">
        <v>90497</v>
      </c>
      <c r="W79" s="21">
        <v>142096</v>
      </c>
      <c r="X79" s="21">
        <v>134052</v>
      </c>
      <c r="Y79" s="21">
        <v>126877</v>
      </c>
      <c r="Z79" s="20">
        <v>126877</v>
      </c>
      <c r="AA79" s="21">
        <v>112116</v>
      </c>
      <c r="AB79" s="21">
        <v>89357</v>
      </c>
      <c r="AC79" s="21">
        <v>77919</v>
      </c>
      <c r="AD79" s="21">
        <v>65241</v>
      </c>
      <c r="AE79" s="20">
        <v>65241</v>
      </c>
      <c r="AF79" s="21">
        <v>60366</v>
      </c>
      <c r="AG79" s="21">
        <v>56960</v>
      </c>
      <c r="AH79" s="21">
        <v>56944</v>
      </c>
      <c r="AI79" s="21">
        <v>54977</v>
      </c>
      <c r="AJ79" s="21">
        <v>54964</v>
      </c>
      <c r="AK79" s="20">
        <v>54964</v>
      </c>
      <c r="AL79" s="22">
        <v>92513</v>
      </c>
      <c r="AM79" s="54"/>
      <c r="AN79" s="13">
        <v>0</v>
      </c>
      <c r="AO79" s="13">
        <v>0</v>
      </c>
    </row>
    <row r="80" spans="1:41" s="15" customFormat="1" ht="17" thickBot="1">
      <c r="A80" s="46"/>
      <c r="B80" s="12" t="s">
        <v>68</v>
      </c>
      <c r="C80" s="26"/>
      <c r="D80" s="26"/>
      <c r="E80" s="19">
        <v>0</v>
      </c>
      <c r="F80" s="19"/>
      <c r="G80" s="19"/>
      <c r="H80" s="19"/>
      <c r="I80" s="23"/>
      <c r="J80" s="19"/>
      <c r="K80" s="19"/>
      <c r="L80" s="19"/>
      <c r="M80" s="19"/>
      <c r="N80" s="23"/>
      <c r="O80" s="19"/>
      <c r="P80" s="19"/>
      <c r="Q80" s="19"/>
      <c r="R80" s="19"/>
      <c r="S80" s="19"/>
      <c r="T80" s="23"/>
      <c r="U80" s="24"/>
      <c r="V80" s="19"/>
      <c r="W80" s="19"/>
      <c r="X80" s="19"/>
      <c r="Y80" s="19"/>
      <c r="Z80" s="23"/>
      <c r="AA80" s="19"/>
      <c r="AB80" s="19"/>
      <c r="AC80" s="19"/>
      <c r="AD80" s="19"/>
      <c r="AE80" s="23"/>
      <c r="AF80" s="19"/>
      <c r="AG80" s="19"/>
      <c r="AH80" s="19"/>
      <c r="AI80" s="19"/>
      <c r="AJ80" s="19"/>
      <c r="AK80" s="23"/>
      <c r="AL80" s="24"/>
      <c r="AM80" s="54"/>
      <c r="AN80" s="13">
        <v>0</v>
      </c>
      <c r="AO80" s="13">
        <v>0</v>
      </c>
    </row>
    <row r="81" spans="1:41" s="15" customFormat="1">
      <c r="A81" s="133" t="s">
        <v>81</v>
      </c>
      <c r="B81" s="3" t="s">
        <v>64</v>
      </c>
      <c r="C81" s="26"/>
      <c r="D81" s="26"/>
      <c r="E81" s="27"/>
      <c r="F81" s="27">
        <v>0</v>
      </c>
      <c r="G81" s="27">
        <v>0</v>
      </c>
      <c r="H81" s="27">
        <v>0</v>
      </c>
      <c r="I81" s="26">
        <v>0</v>
      </c>
      <c r="J81" s="27">
        <v>0</v>
      </c>
      <c r="K81" s="27">
        <v>0</v>
      </c>
      <c r="L81" s="27">
        <v>0</v>
      </c>
      <c r="M81" s="27">
        <v>0</v>
      </c>
      <c r="N81" s="26">
        <v>0</v>
      </c>
      <c r="O81" s="27">
        <v>0</v>
      </c>
      <c r="P81" s="27">
        <v>0</v>
      </c>
      <c r="Q81" s="27">
        <v>0</v>
      </c>
      <c r="R81" s="27">
        <v>0</v>
      </c>
      <c r="S81" s="27">
        <v>0</v>
      </c>
      <c r="T81" s="26">
        <v>0</v>
      </c>
      <c r="U81" s="28">
        <v>154</v>
      </c>
      <c r="V81" s="27">
        <v>0</v>
      </c>
      <c r="W81" s="27">
        <v>0</v>
      </c>
      <c r="X81" s="27">
        <v>0</v>
      </c>
      <c r="Y81" s="27">
        <v>0</v>
      </c>
      <c r="Z81" s="26">
        <v>0</v>
      </c>
      <c r="AA81" s="27">
        <v>0</v>
      </c>
      <c r="AB81" s="27">
        <v>0</v>
      </c>
      <c r="AC81" s="27">
        <v>0</v>
      </c>
      <c r="AD81" s="27">
        <v>0</v>
      </c>
      <c r="AE81" s="26">
        <v>0</v>
      </c>
      <c r="AF81" s="27">
        <v>0</v>
      </c>
      <c r="AG81" s="27">
        <v>0</v>
      </c>
      <c r="AH81" s="27">
        <v>0</v>
      </c>
      <c r="AI81" s="27">
        <v>0</v>
      </c>
      <c r="AJ81" s="27">
        <v>0</v>
      </c>
      <c r="AK81" s="26">
        <v>0</v>
      </c>
      <c r="AL81" s="28">
        <v>0</v>
      </c>
      <c r="AM81" s="54">
        <v>128</v>
      </c>
      <c r="AN81" s="13">
        <v>19712</v>
      </c>
      <c r="AO81" s="13">
        <v>0</v>
      </c>
    </row>
    <row r="82" spans="1:41" s="15" customFormat="1">
      <c r="A82" s="134"/>
      <c r="B82" s="12" t="s">
        <v>65</v>
      </c>
      <c r="C82" s="26"/>
      <c r="D82" s="26"/>
      <c r="E82" s="27"/>
      <c r="F82" s="27">
        <v>0</v>
      </c>
      <c r="G82" s="27">
        <v>0</v>
      </c>
      <c r="H82" s="27">
        <v>0</v>
      </c>
      <c r="I82" s="26">
        <v>0</v>
      </c>
      <c r="J82" s="27">
        <v>0</v>
      </c>
      <c r="K82" s="27">
        <v>0</v>
      </c>
      <c r="L82" s="27">
        <v>0</v>
      </c>
      <c r="M82" s="27">
        <v>0</v>
      </c>
      <c r="N82" s="26">
        <v>0</v>
      </c>
      <c r="O82" s="27">
        <v>0</v>
      </c>
      <c r="P82" s="27">
        <v>0</v>
      </c>
      <c r="Q82" s="27">
        <v>0</v>
      </c>
      <c r="R82" s="27">
        <v>0</v>
      </c>
      <c r="S82" s="27">
        <v>0</v>
      </c>
      <c r="T82" s="26">
        <v>0</v>
      </c>
      <c r="U82" s="28">
        <v>0</v>
      </c>
      <c r="V82" s="27">
        <v>0</v>
      </c>
      <c r="W82" s="27">
        <v>0</v>
      </c>
      <c r="X82" s="27">
        <v>0</v>
      </c>
      <c r="Y82" s="27">
        <v>0</v>
      </c>
      <c r="Z82" s="26">
        <v>0</v>
      </c>
      <c r="AA82" s="27">
        <v>0</v>
      </c>
      <c r="AB82" s="27">
        <v>0</v>
      </c>
      <c r="AC82" s="27">
        <v>0</v>
      </c>
      <c r="AD82" s="27">
        <v>0</v>
      </c>
      <c r="AE82" s="26">
        <v>0</v>
      </c>
      <c r="AF82" s="27">
        <v>0</v>
      </c>
      <c r="AG82" s="27">
        <v>0</v>
      </c>
      <c r="AH82" s="27">
        <v>0</v>
      </c>
      <c r="AI82" s="27">
        <v>0</v>
      </c>
      <c r="AJ82" s="27">
        <v>0</v>
      </c>
      <c r="AK82" s="26">
        <v>0</v>
      </c>
      <c r="AL82" s="28">
        <v>0</v>
      </c>
      <c r="AM82" s="54"/>
      <c r="AN82" s="13">
        <v>0</v>
      </c>
      <c r="AO82" s="13">
        <v>0</v>
      </c>
    </row>
    <row r="83" spans="1:41" s="15" customFormat="1">
      <c r="A83" s="134"/>
      <c r="B83" s="12" t="s">
        <v>66</v>
      </c>
      <c r="C83" s="26">
        <v>0</v>
      </c>
      <c r="D83" s="26">
        <v>0</v>
      </c>
      <c r="E83" s="27"/>
      <c r="F83" s="27">
        <v>0</v>
      </c>
      <c r="G83" s="27">
        <v>0</v>
      </c>
      <c r="H83" s="27">
        <v>0</v>
      </c>
      <c r="I83" s="26">
        <v>0</v>
      </c>
      <c r="J83" s="27">
        <v>0</v>
      </c>
      <c r="K83" s="27">
        <v>0</v>
      </c>
      <c r="L83" s="27">
        <v>0</v>
      </c>
      <c r="M83" s="27">
        <v>0</v>
      </c>
      <c r="N83" s="26">
        <v>0</v>
      </c>
      <c r="O83" s="27">
        <v>0</v>
      </c>
      <c r="P83" s="27">
        <v>0</v>
      </c>
      <c r="Q83" s="27">
        <v>0</v>
      </c>
      <c r="R83" s="27">
        <v>0</v>
      </c>
      <c r="S83" s="27">
        <v>0</v>
      </c>
      <c r="T83" s="26">
        <v>0</v>
      </c>
      <c r="U83" s="28">
        <v>0</v>
      </c>
      <c r="V83" s="27">
        <v>0</v>
      </c>
      <c r="W83" s="27">
        <v>0</v>
      </c>
      <c r="X83" s="27">
        <v>0</v>
      </c>
      <c r="Y83" s="27">
        <v>0</v>
      </c>
      <c r="Z83" s="26">
        <v>0</v>
      </c>
      <c r="AA83" s="27">
        <v>0</v>
      </c>
      <c r="AB83" s="27">
        <v>0</v>
      </c>
      <c r="AC83" s="27">
        <v>0</v>
      </c>
      <c r="AD83" s="27">
        <v>0</v>
      </c>
      <c r="AE83" s="26">
        <v>0</v>
      </c>
      <c r="AF83" s="27">
        <v>0</v>
      </c>
      <c r="AG83" s="27">
        <v>0</v>
      </c>
      <c r="AH83" s="27">
        <v>0</v>
      </c>
      <c r="AI83" s="27">
        <v>0</v>
      </c>
      <c r="AJ83" s="27">
        <v>0</v>
      </c>
      <c r="AK83" s="26">
        <v>0</v>
      </c>
      <c r="AL83" s="28">
        <v>0</v>
      </c>
      <c r="AM83" s="54"/>
      <c r="AN83" s="13">
        <v>0</v>
      </c>
      <c r="AO83" s="13">
        <v>0</v>
      </c>
    </row>
    <row r="84" spans="1:41" s="15" customFormat="1">
      <c r="A84" s="134"/>
      <c r="B84" s="12" t="s">
        <v>7</v>
      </c>
      <c r="C84" s="26"/>
      <c r="D84" s="26"/>
      <c r="E84" s="32"/>
      <c r="F84" s="27">
        <v>0</v>
      </c>
      <c r="G84" s="27">
        <v>0</v>
      </c>
      <c r="H84" s="27">
        <v>0</v>
      </c>
      <c r="I84" s="26">
        <v>0</v>
      </c>
      <c r="J84" s="32">
        <v>0</v>
      </c>
      <c r="K84" s="27">
        <v>0</v>
      </c>
      <c r="L84" s="27">
        <v>0</v>
      </c>
      <c r="M84" s="27">
        <v>0</v>
      </c>
      <c r="N84" s="26">
        <v>0</v>
      </c>
      <c r="O84" s="32">
        <v>0</v>
      </c>
      <c r="P84" s="27">
        <v>0</v>
      </c>
      <c r="Q84" s="27">
        <v>0</v>
      </c>
      <c r="R84" s="27">
        <v>0</v>
      </c>
      <c r="S84" s="27">
        <v>0</v>
      </c>
      <c r="T84" s="26">
        <v>0</v>
      </c>
      <c r="U84" s="28">
        <v>154</v>
      </c>
      <c r="V84" s="32">
        <v>0</v>
      </c>
      <c r="W84" s="27">
        <v>0</v>
      </c>
      <c r="X84" s="27">
        <v>0</v>
      </c>
      <c r="Y84" s="27">
        <v>0</v>
      </c>
      <c r="Z84" s="26">
        <v>0</v>
      </c>
      <c r="AA84" s="32">
        <v>0</v>
      </c>
      <c r="AB84" s="27">
        <v>0</v>
      </c>
      <c r="AC84" s="27">
        <v>0</v>
      </c>
      <c r="AD84" s="27">
        <v>0</v>
      </c>
      <c r="AE84" s="26">
        <v>0</v>
      </c>
      <c r="AF84" s="32">
        <v>0</v>
      </c>
      <c r="AG84" s="27">
        <v>0</v>
      </c>
      <c r="AH84" s="27">
        <v>0</v>
      </c>
      <c r="AI84" s="27">
        <v>0</v>
      </c>
      <c r="AJ84" s="27">
        <v>0</v>
      </c>
      <c r="AK84" s="26">
        <v>0</v>
      </c>
      <c r="AL84" s="28">
        <v>0</v>
      </c>
      <c r="AM84" s="54"/>
      <c r="AN84" s="13">
        <v>0</v>
      </c>
      <c r="AO84" s="13">
        <v>0</v>
      </c>
    </row>
    <row r="85" spans="1:41" s="15" customFormat="1" ht="17" thickBot="1">
      <c r="A85" s="135"/>
      <c r="B85" s="4" t="s">
        <v>67</v>
      </c>
      <c r="C85" s="26">
        <v>0</v>
      </c>
      <c r="D85" s="37">
        <v>154</v>
      </c>
      <c r="E85" s="21"/>
      <c r="F85" s="21">
        <v>0</v>
      </c>
      <c r="G85" s="21">
        <v>0</v>
      </c>
      <c r="H85" s="21">
        <v>0</v>
      </c>
      <c r="I85" s="20">
        <v>0</v>
      </c>
      <c r="J85" s="21">
        <v>0</v>
      </c>
      <c r="K85" s="21">
        <v>0</v>
      </c>
      <c r="L85" s="21">
        <v>0</v>
      </c>
      <c r="M85" s="21">
        <v>0</v>
      </c>
      <c r="N85" s="20">
        <v>0</v>
      </c>
      <c r="O85" s="21">
        <v>0</v>
      </c>
      <c r="P85" s="21">
        <v>0</v>
      </c>
      <c r="Q85" s="21">
        <v>0</v>
      </c>
      <c r="R85" s="21">
        <v>0</v>
      </c>
      <c r="S85" s="21">
        <v>0</v>
      </c>
      <c r="T85" s="20">
        <v>0</v>
      </c>
      <c r="U85" s="22">
        <v>0</v>
      </c>
      <c r="V85" s="21">
        <v>0</v>
      </c>
      <c r="W85" s="21">
        <v>0</v>
      </c>
      <c r="X85" s="21">
        <v>0</v>
      </c>
      <c r="Y85" s="21">
        <v>0</v>
      </c>
      <c r="Z85" s="20">
        <v>0</v>
      </c>
      <c r="AA85" s="21">
        <v>0</v>
      </c>
      <c r="AB85" s="21">
        <v>0</v>
      </c>
      <c r="AC85" s="21">
        <v>0</v>
      </c>
      <c r="AD85" s="21">
        <v>0</v>
      </c>
      <c r="AE85" s="20">
        <v>0</v>
      </c>
      <c r="AF85" s="21">
        <v>0</v>
      </c>
      <c r="AG85" s="21">
        <v>0</v>
      </c>
      <c r="AH85" s="21">
        <v>0</v>
      </c>
      <c r="AI85" s="21">
        <v>0</v>
      </c>
      <c r="AJ85" s="21">
        <v>0</v>
      </c>
      <c r="AK85" s="20">
        <v>0</v>
      </c>
      <c r="AL85" s="22">
        <v>0</v>
      </c>
      <c r="AM85" s="54"/>
      <c r="AN85" s="13">
        <v>0</v>
      </c>
      <c r="AO85" s="13">
        <v>0</v>
      </c>
    </row>
    <row r="86" spans="1:41" s="15" customFormat="1" ht="17" thickBot="1">
      <c r="A86" s="46"/>
      <c r="B86" s="12" t="s">
        <v>68</v>
      </c>
      <c r="C86" s="26"/>
      <c r="D86" s="26"/>
      <c r="E86" s="19"/>
      <c r="F86" s="19"/>
      <c r="G86" s="19"/>
      <c r="H86" s="19"/>
      <c r="I86" s="23"/>
      <c r="J86" s="19"/>
      <c r="K86" s="19"/>
      <c r="L86" s="19"/>
      <c r="M86" s="19"/>
      <c r="N86" s="23"/>
      <c r="O86" s="19"/>
      <c r="P86" s="19"/>
      <c r="Q86" s="19"/>
      <c r="R86" s="19"/>
      <c r="S86" s="19"/>
      <c r="T86" s="23"/>
      <c r="U86" s="24"/>
      <c r="V86" s="19"/>
      <c r="W86" s="19"/>
      <c r="X86" s="19"/>
      <c r="Y86" s="19"/>
      <c r="Z86" s="23"/>
      <c r="AA86" s="19"/>
      <c r="AB86" s="19"/>
      <c r="AC86" s="19"/>
      <c r="AD86" s="19"/>
      <c r="AE86" s="23"/>
      <c r="AF86" s="19"/>
      <c r="AG86" s="19"/>
      <c r="AH86" s="19"/>
      <c r="AI86" s="19"/>
      <c r="AJ86" s="19"/>
      <c r="AK86" s="23"/>
      <c r="AL86" s="24"/>
      <c r="AM86" s="54"/>
      <c r="AN86" s="13">
        <v>0</v>
      </c>
      <c r="AO86" s="13">
        <v>0</v>
      </c>
    </row>
    <row r="87" spans="1:41" s="15" customFormat="1">
      <c r="A87" s="133" t="s">
        <v>82</v>
      </c>
      <c r="B87" s="3" t="s">
        <v>64</v>
      </c>
      <c r="C87" s="26"/>
      <c r="D87" s="26"/>
      <c r="E87" s="27"/>
      <c r="F87" s="27">
        <v>0</v>
      </c>
      <c r="G87" s="27">
        <v>0</v>
      </c>
      <c r="H87" s="27">
        <v>0</v>
      </c>
      <c r="I87" s="26">
        <v>0</v>
      </c>
      <c r="J87" s="27">
        <v>0</v>
      </c>
      <c r="K87" s="27">
        <v>0</v>
      </c>
      <c r="L87" s="27">
        <v>0</v>
      </c>
      <c r="M87" s="27">
        <v>0</v>
      </c>
      <c r="N87" s="26">
        <v>0</v>
      </c>
      <c r="O87" s="27">
        <v>0</v>
      </c>
      <c r="P87" s="27">
        <v>0</v>
      </c>
      <c r="Q87" s="27">
        <v>0</v>
      </c>
      <c r="R87" s="27">
        <v>0</v>
      </c>
      <c r="S87" s="27">
        <v>0</v>
      </c>
      <c r="T87" s="26">
        <v>0</v>
      </c>
      <c r="U87" s="28">
        <v>557</v>
      </c>
      <c r="V87" s="27">
        <v>0</v>
      </c>
      <c r="W87" s="27">
        <v>0</v>
      </c>
      <c r="X87" s="27">
        <v>0</v>
      </c>
      <c r="Y87" s="27">
        <v>0</v>
      </c>
      <c r="Z87" s="26">
        <v>0</v>
      </c>
      <c r="AA87" s="27">
        <v>0</v>
      </c>
      <c r="AB87" s="27">
        <v>0</v>
      </c>
      <c r="AC87" s="27">
        <v>0</v>
      </c>
      <c r="AD87" s="27">
        <v>0</v>
      </c>
      <c r="AE87" s="26">
        <v>0</v>
      </c>
      <c r="AF87" s="27">
        <v>0</v>
      </c>
      <c r="AG87" s="27">
        <v>0</v>
      </c>
      <c r="AH87" s="27">
        <v>0</v>
      </c>
      <c r="AI87" s="27">
        <v>0</v>
      </c>
      <c r="AJ87" s="27">
        <v>0</v>
      </c>
      <c r="AK87" s="26">
        <v>0</v>
      </c>
      <c r="AL87" s="28">
        <v>0</v>
      </c>
      <c r="AM87" s="54">
        <v>128</v>
      </c>
      <c r="AN87" s="13">
        <v>71296</v>
      </c>
      <c r="AO87" s="13">
        <v>0</v>
      </c>
    </row>
    <row r="88" spans="1:41" s="15" customFormat="1">
      <c r="A88" s="134"/>
      <c r="B88" s="12" t="s">
        <v>65</v>
      </c>
      <c r="C88" s="26"/>
      <c r="D88" s="26"/>
      <c r="E88" s="27"/>
      <c r="F88" s="27">
        <v>0</v>
      </c>
      <c r="G88" s="27">
        <v>0</v>
      </c>
      <c r="H88" s="27">
        <v>0</v>
      </c>
      <c r="I88" s="26">
        <v>0</v>
      </c>
      <c r="J88" s="27">
        <v>0</v>
      </c>
      <c r="K88" s="27">
        <v>0</v>
      </c>
      <c r="L88" s="27">
        <v>0</v>
      </c>
      <c r="M88" s="27">
        <v>20</v>
      </c>
      <c r="N88" s="26">
        <v>20</v>
      </c>
      <c r="O88" s="27">
        <v>0</v>
      </c>
      <c r="P88" s="27">
        <v>0</v>
      </c>
      <c r="Q88" s="27">
        <v>0</v>
      </c>
      <c r="R88" s="27">
        <v>0</v>
      </c>
      <c r="S88" s="27">
        <v>0</v>
      </c>
      <c r="T88" s="26">
        <v>0</v>
      </c>
      <c r="U88" s="28">
        <v>0</v>
      </c>
      <c r="V88" s="27">
        <v>0</v>
      </c>
      <c r="W88" s="27">
        <v>0</v>
      </c>
      <c r="X88" s="27">
        <v>0</v>
      </c>
      <c r="Y88" s="27">
        <v>0</v>
      </c>
      <c r="Z88" s="26">
        <v>0</v>
      </c>
      <c r="AA88" s="27">
        <v>0</v>
      </c>
      <c r="AB88" s="27">
        <v>0</v>
      </c>
      <c r="AC88" s="27">
        <v>0</v>
      </c>
      <c r="AD88" s="27">
        <v>0</v>
      </c>
      <c r="AE88" s="26">
        <v>0</v>
      </c>
      <c r="AF88" s="27">
        <v>0</v>
      </c>
      <c r="AG88" s="27">
        <v>0</v>
      </c>
      <c r="AH88" s="27">
        <v>0</v>
      </c>
      <c r="AI88" s="27">
        <v>0</v>
      </c>
      <c r="AJ88" s="27">
        <v>0</v>
      </c>
      <c r="AK88" s="26">
        <v>0</v>
      </c>
      <c r="AL88" s="28">
        <v>0</v>
      </c>
      <c r="AM88" s="54"/>
      <c r="AN88" s="13">
        <v>0</v>
      </c>
      <c r="AO88" s="13">
        <v>0</v>
      </c>
    </row>
    <row r="89" spans="1:41" s="15" customFormat="1">
      <c r="A89" s="134"/>
      <c r="B89" s="12" t="s">
        <v>66</v>
      </c>
      <c r="C89" s="26">
        <v>0</v>
      </c>
      <c r="D89" s="26">
        <v>0</v>
      </c>
      <c r="E89" s="27"/>
      <c r="F89" s="27">
        <v>0</v>
      </c>
      <c r="G89" s="27">
        <v>0</v>
      </c>
      <c r="H89" s="27">
        <v>0</v>
      </c>
      <c r="I89" s="26">
        <v>0</v>
      </c>
      <c r="J89" s="27">
        <v>0</v>
      </c>
      <c r="K89" s="27">
        <v>0</v>
      </c>
      <c r="L89" s="27">
        <v>0</v>
      </c>
      <c r="M89" s="27">
        <v>0</v>
      </c>
      <c r="N89" s="26">
        <v>0</v>
      </c>
      <c r="O89" s="27">
        <v>0</v>
      </c>
      <c r="P89" s="27">
        <v>0</v>
      </c>
      <c r="Q89" s="27">
        <v>0</v>
      </c>
      <c r="R89" s="27">
        <v>0</v>
      </c>
      <c r="S89" s="27">
        <v>0</v>
      </c>
      <c r="T89" s="26">
        <v>0</v>
      </c>
      <c r="U89" s="28">
        <v>0</v>
      </c>
      <c r="V89" s="27">
        <v>0</v>
      </c>
      <c r="W89" s="27">
        <v>0</v>
      </c>
      <c r="X89" s="27">
        <v>0</v>
      </c>
      <c r="Y89" s="27">
        <v>0</v>
      </c>
      <c r="Z89" s="26">
        <v>0</v>
      </c>
      <c r="AA89" s="27">
        <v>0</v>
      </c>
      <c r="AB89" s="27">
        <v>0</v>
      </c>
      <c r="AC89" s="27">
        <v>0</v>
      </c>
      <c r="AD89" s="27">
        <v>0</v>
      </c>
      <c r="AE89" s="26">
        <v>0</v>
      </c>
      <c r="AF89" s="27">
        <v>0</v>
      </c>
      <c r="AG89" s="27">
        <v>0</v>
      </c>
      <c r="AH89" s="27">
        <v>0</v>
      </c>
      <c r="AI89" s="27">
        <v>0</v>
      </c>
      <c r="AJ89" s="27">
        <v>0</v>
      </c>
      <c r="AK89" s="26">
        <v>0</v>
      </c>
      <c r="AL89" s="28">
        <v>0</v>
      </c>
      <c r="AM89" s="54"/>
      <c r="AN89" s="13">
        <v>0</v>
      </c>
      <c r="AO89" s="13">
        <v>0</v>
      </c>
    </row>
    <row r="90" spans="1:41" s="15" customFormat="1">
      <c r="A90" s="134"/>
      <c r="B90" s="12" t="s">
        <v>7</v>
      </c>
      <c r="C90" s="26"/>
      <c r="D90" s="26"/>
      <c r="E90" s="32"/>
      <c r="F90" s="27">
        <v>0</v>
      </c>
      <c r="G90" s="27">
        <v>0</v>
      </c>
      <c r="H90" s="27">
        <v>0</v>
      </c>
      <c r="I90" s="26">
        <v>0</v>
      </c>
      <c r="J90" s="32">
        <v>0</v>
      </c>
      <c r="K90" s="27">
        <v>0</v>
      </c>
      <c r="L90" s="27">
        <v>0</v>
      </c>
      <c r="M90" s="27">
        <v>20</v>
      </c>
      <c r="N90" s="26">
        <v>20</v>
      </c>
      <c r="O90" s="32">
        <v>0</v>
      </c>
      <c r="P90" s="27">
        <v>0</v>
      </c>
      <c r="Q90" s="27">
        <v>0</v>
      </c>
      <c r="R90" s="27">
        <v>0</v>
      </c>
      <c r="S90" s="27">
        <v>0</v>
      </c>
      <c r="T90" s="26">
        <v>0</v>
      </c>
      <c r="U90" s="28">
        <v>577</v>
      </c>
      <c r="V90" s="32">
        <v>0</v>
      </c>
      <c r="W90" s="27">
        <v>0</v>
      </c>
      <c r="X90" s="27">
        <v>0</v>
      </c>
      <c r="Y90" s="27">
        <v>0</v>
      </c>
      <c r="Z90" s="26">
        <v>20</v>
      </c>
      <c r="AA90" s="32">
        <v>0</v>
      </c>
      <c r="AB90" s="27">
        <v>0</v>
      </c>
      <c r="AC90" s="27">
        <v>0</v>
      </c>
      <c r="AD90" s="27">
        <v>0</v>
      </c>
      <c r="AE90" s="26">
        <v>0</v>
      </c>
      <c r="AF90" s="32">
        <v>0</v>
      </c>
      <c r="AG90" s="27">
        <v>0</v>
      </c>
      <c r="AH90" s="27">
        <v>0</v>
      </c>
      <c r="AI90" s="27">
        <v>0</v>
      </c>
      <c r="AJ90" s="27">
        <v>0</v>
      </c>
      <c r="AK90" s="26">
        <v>0</v>
      </c>
      <c r="AL90" s="28">
        <v>20</v>
      </c>
      <c r="AM90" s="54"/>
      <c r="AN90" s="13">
        <v>0</v>
      </c>
      <c r="AO90" s="13">
        <v>0</v>
      </c>
    </row>
    <row r="91" spans="1:41" s="15" customFormat="1" ht="17" thickBot="1">
      <c r="A91" s="135"/>
      <c r="B91" s="4" t="s">
        <v>67</v>
      </c>
      <c r="C91" s="26">
        <v>91</v>
      </c>
      <c r="D91" s="37">
        <v>557</v>
      </c>
      <c r="E91" s="21"/>
      <c r="F91" s="21">
        <v>0</v>
      </c>
      <c r="G91" s="21">
        <v>0</v>
      </c>
      <c r="H91" s="21">
        <v>0</v>
      </c>
      <c r="I91" s="20">
        <v>0</v>
      </c>
      <c r="J91" s="21">
        <v>0</v>
      </c>
      <c r="K91" s="21">
        <v>0</v>
      </c>
      <c r="L91" s="21">
        <v>0</v>
      </c>
      <c r="M91" s="21">
        <v>20</v>
      </c>
      <c r="N91" s="20">
        <v>20</v>
      </c>
      <c r="O91" s="21">
        <v>20</v>
      </c>
      <c r="P91" s="21">
        <v>20</v>
      </c>
      <c r="Q91" s="21">
        <v>20</v>
      </c>
      <c r="R91" s="21">
        <v>20</v>
      </c>
      <c r="S91" s="21">
        <v>20</v>
      </c>
      <c r="T91" s="20">
        <v>20</v>
      </c>
      <c r="U91" s="22">
        <v>20</v>
      </c>
      <c r="V91" s="21">
        <v>20</v>
      </c>
      <c r="W91" s="21">
        <v>20</v>
      </c>
      <c r="X91" s="21">
        <v>20</v>
      </c>
      <c r="Y91" s="21">
        <v>20</v>
      </c>
      <c r="Z91" s="20">
        <v>20</v>
      </c>
      <c r="AA91" s="21">
        <v>20</v>
      </c>
      <c r="AB91" s="21">
        <v>20</v>
      </c>
      <c r="AC91" s="21">
        <v>20</v>
      </c>
      <c r="AD91" s="21">
        <v>20</v>
      </c>
      <c r="AE91" s="20">
        <v>20</v>
      </c>
      <c r="AF91" s="21">
        <v>20</v>
      </c>
      <c r="AG91" s="21">
        <v>20</v>
      </c>
      <c r="AH91" s="21">
        <v>20</v>
      </c>
      <c r="AI91" s="21">
        <v>20</v>
      </c>
      <c r="AJ91" s="21">
        <v>20</v>
      </c>
      <c r="AK91" s="20">
        <v>20</v>
      </c>
      <c r="AL91" s="22">
        <v>40</v>
      </c>
      <c r="AM91" s="54"/>
      <c r="AN91" s="13">
        <v>0</v>
      </c>
      <c r="AO91" s="13">
        <v>0</v>
      </c>
    </row>
    <row r="92" spans="1:41" s="15" customFormat="1" ht="17" thickBot="1">
      <c r="A92" s="46"/>
      <c r="B92" s="12" t="s">
        <v>68</v>
      </c>
      <c r="C92" s="26"/>
      <c r="D92" s="26"/>
      <c r="E92" s="19"/>
      <c r="F92" s="19"/>
      <c r="G92" s="19"/>
      <c r="H92" s="19"/>
      <c r="I92" s="23"/>
      <c r="J92" s="19"/>
      <c r="K92" s="19"/>
      <c r="L92" s="19"/>
      <c r="M92" s="19"/>
      <c r="N92" s="23"/>
      <c r="O92" s="19"/>
      <c r="P92" s="19"/>
      <c r="Q92" s="19"/>
      <c r="R92" s="19"/>
      <c r="S92" s="19"/>
      <c r="T92" s="23"/>
      <c r="U92" s="24"/>
      <c r="V92" s="19"/>
      <c r="W92" s="19"/>
      <c r="X92" s="19"/>
      <c r="Y92" s="19"/>
      <c r="Z92" s="23"/>
      <c r="AA92" s="19"/>
      <c r="AB92" s="19"/>
      <c r="AC92" s="19"/>
      <c r="AD92" s="19"/>
      <c r="AE92" s="23"/>
      <c r="AF92" s="19"/>
      <c r="AG92" s="19"/>
      <c r="AH92" s="19"/>
      <c r="AI92" s="19"/>
      <c r="AJ92" s="19"/>
      <c r="AK92" s="23"/>
      <c r="AL92" s="24"/>
      <c r="AM92" s="54"/>
      <c r="AN92" s="13">
        <v>0</v>
      </c>
      <c r="AO92" s="13">
        <v>0</v>
      </c>
    </row>
    <row r="93" spans="1:41" s="15" customFormat="1">
      <c r="A93" s="133" t="s">
        <v>83</v>
      </c>
      <c r="B93" s="3" t="s">
        <v>64</v>
      </c>
      <c r="C93" s="26"/>
      <c r="D93" s="26"/>
      <c r="E93" s="27"/>
      <c r="F93" s="27">
        <v>1500</v>
      </c>
      <c r="G93" s="27">
        <v>0</v>
      </c>
      <c r="H93" s="27">
        <v>0</v>
      </c>
      <c r="I93" s="26">
        <v>1500</v>
      </c>
      <c r="J93" s="27">
        <v>0</v>
      </c>
      <c r="K93" s="27">
        <v>0</v>
      </c>
      <c r="L93" s="27">
        <v>4719</v>
      </c>
      <c r="M93" s="27">
        <v>31</v>
      </c>
      <c r="N93" s="26">
        <v>4750</v>
      </c>
      <c r="O93" s="27">
        <v>1</v>
      </c>
      <c r="P93" s="27">
        <v>2497</v>
      </c>
      <c r="Q93" s="27">
        <v>476</v>
      </c>
      <c r="R93" s="27">
        <v>30</v>
      </c>
      <c r="S93" s="27">
        <v>0</v>
      </c>
      <c r="T93" s="26">
        <v>3004</v>
      </c>
      <c r="U93" s="28">
        <v>16053</v>
      </c>
      <c r="V93" s="27">
        <v>26</v>
      </c>
      <c r="W93" s="27">
        <v>0</v>
      </c>
      <c r="X93" s="27">
        <v>0</v>
      </c>
      <c r="Y93" s="27">
        <v>0</v>
      </c>
      <c r="Z93" s="26">
        <v>26</v>
      </c>
      <c r="AA93" s="27">
        <v>0</v>
      </c>
      <c r="AB93" s="27">
        <v>23</v>
      </c>
      <c r="AC93" s="27">
        <v>0</v>
      </c>
      <c r="AD93" s="27">
        <v>0</v>
      </c>
      <c r="AE93" s="26">
        <v>23</v>
      </c>
      <c r="AF93" s="27">
        <v>0</v>
      </c>
      <c r="AG93" s="27">
        <v>0</v>
      </c>
      <c r="AH93" s="27">
        <v>0</v>
      </c>
      <c r="AI93" s="27">
        <v>0</v>
      </c>
      <c r="AJ93" s="27">
        <v>0</v>
      </c>
      <c r="AK93" s="26">
        <v>0</v>
      </c>
      <c r="AL93" s="28">
        <v>49</v>
      </c>
      <c r="AM93" s="54">
        <v>128</v>
      </c>
      <c r="AN93" s="13">
        <v>2054784</v>
      </c>
      <c r="AO93" s="13">
        <v>6272</v>
      </c>
    </row>
    <row r="94" spans="1:41" s="15" customFormat="1">
      <c r="A94" s="134"/>
      <c r="B94" s="12" t="s">
        <v>65</v>
      </c>
      <c r="C94" s="26"/>
      <c r="D94" s="26"/>
      <c r="E94" s="27"/>
      <c r="F94" s="27">
        <v>1500</v>
      </c>
      <c r="G94" s="27">
        <v>0</v>
      </c>
      <c r="H94" s="27">
        <v>0</v>
      </c>
      <c r="I94" s="26">
        <v>1500</v>
      </c>
      <c r="J94" s="27">
        <v>0</v>
      </c>
      <c r="K94" s="27">
        <v>0</v>
      </c>
      <c r="L94" s="27">
        <v>0</v>
      </c>
      <c r="M94" s="27">
        <v>3000</v>
      </c>
      <c r="N94" s="26">
        <v>3000</v>
      </c>
      <c r="O94" s="27">
        <v>2000</v>
      </c>
      <c r="P94" s="27">
        <v>0</v>
      </c>
      <c r="Q94" s="27">
        <v>0</v>
      </c>
      <c r="R94" s="27">
        <v>0</v>
      </c>
      <c r="S94" s="27">
        <v>3000</v>
      </c>
      <c r="T94" s="26">
        <v>5000</v>
      </c>
      <c r="U94" s="28">
        <v>0</v>
      </c>
      <c r="V94" s="27">
        <v>2000</v>
      </c>
      <c r="W94" s="27">
        <v>0</v>
      </c>
      <c r="X94" s="27">
        <v>0</v>
      </c>
      <c r="Y94" s="27">
        <v>0</v>
      </c>
      <c r="Z94" s="26">
        <v>2000</v>
      </c>
      <c r="AA94" s="27">
        <v>0</v>
      </c>
      <c r="AB94" s="27">
        <v>0</v>
      </c>
      <c r="AC94" s="27">
        <v>0</v>
      </c>
      <c r="AD94" s="27">
        <v>0</v>
      </c>
      <c r="AE94" s="26">
        <v>0</v>
      </c>
      <c r="AF94" s="27">
        <v>0</v>
      </c>
      <c r="AG94" s="27">
        <v>0</v>
      </c>
      <c r="AH94" s="27">
        <v>0</v>
      </c>
      <c r="AI94" s="27">
        <v>0</v>
      </c>
      <c r="AJ94" s="27">
        <v>0</v>
      </c>
      <c r="AK94" s="26">
        <v>0</v>
      </c>
      <c r="AL94" s="28">
        <v>0</v>
      </c>
      <c r="AM94" s="54"/>
      <c r="AN94" s="13">
        <v>0</v>
      </c>
      <c r="AO94" s="13">
        <v>0</v>
      </c>
    </row>
    <row r="95" spans="1:41" s="15" customFormat="1">
      <c r="A95" s="134"/>
      <c r="B95" s="12" t="s">
        <v>66</v>
      </c>
      <c r="C95" s="26">
        <v>0</v>
      </c>
      <c r="D95" s="26">
        <v>0</v>
      </c>
      <c r="E95" s="27"/>
      <c r="F95" s="27">
        <v>0</v>
      </c>
      <c r="G95" s="27">
        <v>0</v>
      </c>
      <c r="H95" s="27">
        <v>0</v>
      </c>
      <c r="I95" s="26">
        <v>0</v>
      </c>
      <c r="J95" s="27">
        <v>0</v>
      </c>
      <c r="K95" s="27">
        <v>0</v>
      </c>
      <c r="L95" s="27">
        <v>0</v>
      </c>
      <c r="M95" s="27">
        <v>0</v>
      </c>
      <c r="N95" s="26">
        <v>0</v>
      </c>
      <c r="O95" s="27">
        <v>0</v>
      </c>
      <c r="P95" s="27">
        <v>0</v>
      </c>
      <c r="Q95" s="27">
        <v>0</v>
      </c>
      <c r="R95" s="27">
        <v>0</v>
      </c>
      <c r="S95" s="27">
        <v>0</v>
      </c>
      <c r="T95" s="26">
        <v>0</v>
      </c>
      <c r="U95" s="28">
        <v>0</v>
      </c>
      <c r="V95" s="27">
        <v>0</v>
      </c>
      <c r="W95" s="27">
        <v>0</v>
      </c>
      <c r="X95" s="27">
        <v>0</v>
      </c>
      <c r="Y95" s="27">
        <v>0</v>
      </c>
      <c r="Z95" s="26">
        <v>0</v>
      </c>
      <c r="AA95" s="27">
        <v>0</v>
      </c>
      <c r="AB95" s="27">
        <v>0</v>
      </c>
      <c r="AC95" s="27">
        <v>0</v>
      </c>
      <c r="AD95" s="27">
        <v>0</v>
      </c>
      <c r="AE95" s="26">
        <v>0</v>
      </c>
      <c r="AF95" s="27">
        <v>0</v>
      </c>
      <c r="AG95" s="27">
        <v>0</v>
      </c>
      <c r="AH95" s="27">
        <v>0</v>
      </c>
      <c r="AI95" s="27">
        <v>0</v>
      </c>
      <c r="AJ95" s="27">
        <v>0</v>
      </c>
      <c r="AK95" s="26">
        <v>0</v>
      </c>
      <c r="AL95" s="28">
        <v>0</v>
      </c>
      <c r="AM95" s="54"/>
      <c r="AN95" s="13">
        <v>0</v>
      </c>
      <c r="AO95" s="13">
        <v>0</v>
      </c>
    </row>
    <row r="96" spans="1:41" s="15" customFormat="1">
      <c r="A96" s="134"/>
      <c r="B96" s="12" t="s">
        <v>7</v>
      </c>
      <c r="C96" s="26"/>
      <c r="D96" s="26"/>
      <c r="E96" s="32"/>
      <c r="F96" s="27">
        <v>1500</v>
      </c>
      <c r="G96" s="27">
        <v>0</v>
      </c>
      <c r="H96" s="27">
        <v>0</v>
      </c>
      <c r="I96" s="26">
        <v>1500</v>
      </c>
      <c r="J96" s="32">
        <v>0</v>
      </c>
      <c r="K96" s="27">
        <v>0</v>
      </c>
      <c r="L96" s="27">
        <v>0</v>
      </c>
      <c r="M96" s="27">
        <v>3000</v>
      </c>
      <c r="N96" s="26">
        <v>3000</v>
      </c>
      <c r="O96" s="32">
        <v>2000</v>
      </c>
      <c r="P96" s="27">
        <v>0</v>
      </c>
      <c r="Q96" s="27">
        <v>0</v>
      </c>
      <c r="R96" s="27">
        <v>0</v>
      </c>
      <c r="S96" s="27">
        <v>3000</v>
      </c>
      <c r="T96" s="26">
        <v>5000</v>
      </c>
      <c r="U96" s="28">
        <v>16299</v>
      </c>
      <c r="V96" s="32">
        <v>2000</v>
      </c>
      <c r="W96" s="27">
        <v>0</v>
      </c>
      <c r="X96" s="27">
        <v>0</v>
      </c>
      <c r="Y96" s="27">
        <v>0</v>
      </c>
      <c r="Z96" s="26">
        <v>2246</v>
      </c>
      <c r="AA96" s="32">
        <v>0</v>
      </c>
      <c r="AB96" s="27">
        <v>0</v>
      </c>
      <c r="AC96" s="27">
        <v>0</v>
      </c>
      <c r="AD96" s="27">
        <v>0</v>
      </c>
      <c r="AE96" s="26">
        <v>0</v>
      </c>
      <c r="AF96" s="32">
        <v>0</v>
      </c>
      <c r="AG96" s="27">
        <v>0</v>
      </c>
      <c r="AH96" s="27">
        <v>0</v>
      </c>
      <c r="AI96" s="27">
        <v>0</v>
      </c>
      <c r="AJ96" s="27">
        <v>0</v>
      </c>
      <c r="AK96" s="26">
        <v>0</v>
      </c>
      <c r="AL96" s="28">
        <v>2246</v>
      </c>
      <c r="AM96" s="54"/>
      <c r="AN96" s="13">
        <v>0</v>
      </c>
      <c r="AO96" s="13">
        <v>0</v>
      </c>
    </row>
    <row r="97" spans="1:41" s="15" customFormat="1" ht="17" thickBot="1">
      <c r="A97" s="135"/>
      <c r="B97" s="4" t="s">
        <v>67</v>
      </c>
      <c r="C97" s="26">
        <v>2129</v>
      </c>
      <c r="D97" s="37">
        <v>6799</v>
      </c>
      <c r="E97" s="21"/>
      <c r="F97" s="21">
        <v>0</v>
      </c>
      <c r="G97" s="21">
        <v>0</v>
      </c>
      <c r="H97" s="21">
        <v>0</v>
      </c>
      <c r="I97" s="20">
        <v>0</v>
      </c>
      <c r="J97" s="21">
        <v>0</v>
      </c>
      <c r="K97" s="21">
        <v>0</v>
      </c>
      <c r="L97" s="21">
        <v>-4719</v>
      </c>
      <c r="M97" s="21">
        <v>-1750</v>
      </c>
      <c r="N97" s="20">
        <v>-1750</v>
      </c>
      <c r="O97" s="21">
        <v>249</v>
      </c>
      <c r="P97" s="21">
        <v>-2248</v>
      </c>
      <c r="Q97" s="21">
        <v>-2724</v>
      </c>
      <c r="R97" s="21">
        <v>-2754</v>
      </c>
      <c r="S97" s="21">
        <v>246</v>
      </c>
      <c r="T97" s="20">
        <v>246</v>
      </c>
      <c r="U97" s="22">
        <v>246</v>
      </c>
      <c r="V97" s="21">
        <v>2220</v>
      </c>
      <c r="W97" s="21">
        <v>2220</v>
      </c>
      <c r="X97" s="21">
        <v>2220</v>
      </c>
      <c r="Y97" s="21">
        <v>2220</v>
      </c>
      <c r="Z97" s="20">
        <v>2220</v>
      </c>
      <c r="AA97" s="21">
        <v>2220</v>
      </c>
      <c r="AB97" s="21">
        <v>2197</v>
      </c>
      <c r="AC97" s="21">
        <v>2197</v>
      </c>
      <c r="AD97" s="21">
        <v>2197</v>
      </c>
      <c r="AE97" s="20">
        <v>2197</v>
      </c>
      <c r="AF97" s="21">
        <v>2197</v>
      </c>
      <c r="AG97" s="21">
        <v>2197</v>
      </c>
      <c r="AH97" s="21">
        <v>2197</v>
      </c>
      <c r="AI97" s="21">
        <v>2197</v>
      </c>
      <c r="AJ97" s="21">
        <v>2197</v>
      </c>
      <c r="AK97" s="20">
        <v>2197</v>
      </c>
      <c r="AL97" s="22">
        <v>2443</v>
      </c>
      <c r="AM97" s="54"/>
      <c r="AN97" s="13">
        <v>0</v>
      </c>
      <c r="AO97" s="13">
        <v>0</v>
      </c>
    </row>
    <row r="98" spans="1:41" s="15" customFormat="1" ht="17" thickBot="1">
      <c r="A98" s="46"/>
      <c r="B98" s="12" t="s">
        <v>68</v>
      </c>
      <c r="C98" s="26"/>
      <c r="D98" s="26"/>
      <c r="E98" s="19">
        <v>0</v>
      </c>
      <c r="F98" s="19"/>
      <c r="G98" s="19"/>
      <c r="H98" s="19"/>
      <c r="I98" s="23"/>
      <c r="J98" s="19"/>
      <c r="K98" s="19"/>
      <c r="L98" s="19"/>
      <c r="M98" s="19"/>
      <c r="N98" s="23"/>
      <c r="O98" s="19"/>
      <c r="P98" s="19"/>
      <c r="Q98" s="19"/>
      <c r="R98" s="19"/>
      <c r="S98" s="19"/>
      <c r="T98" s="23"/>
      <c r="U98" s="24"/>
      <c r="V98" s="19"/>
      <c r="W98" s="19"/>
      <c r="X98" s="19"/>
      <c r="Y98" s="19"/>
      <c r="Z98" s="23"/>
      <c r="AA98" s="19"/>
      <c r="AB98" s="19"/>
      <c r="AC98" s="19"/>
      <c r="AD98" s="19"/>
      <c r="AE98" s="23"/>
      <c r="AF98" s="19"/>
      <c r="AG98" s="19"/>
      <c r="AH98" s="19"/>
      <c r="AI98" s="19"/>
      <c r="AJ98" s="19"/>
      <c r="AK98" s="23"/>
      <c r="AL98" s="24"/>
      <c r="AM98" s="54"/>
      <c r="AN98" s="13">
        <v>0</v>
      </c>
      <c r="AO98" s="13">
        <v>0</v>
      </c>
    </row>
    <row r="99" spans="1:41" s="15" customFormat="1">
      <c r="A99" s="133" t="s">
        <v>84</v>
      </c>
      <c r="B99" s="3" t="s">
        <v>64</v>
      </c>
      <c r="C99" s="26"/>
      <c r="D99" s="26"/>
      <c r="E99" s="27"/>
      <c r="F99" s="27">
        <v>0</v>
      </c>
      <c r="G99" s="27">
        <v>600</v>
      </c>
      <c r="H99" s="27">
        <v>1125</v>
      </c>
      <c r="I99" s="26">
        <v>1725</v>
      </c>
      <c r="J99" s="27">
        <v>0</v>
      </c>
      <c r="K99" s="27">
        <v>3174</v>
      </c>
      <c r="L99" s="27">
        <v>2838</v>
      </c>
      <c r="M99" s="27">
        <v>330</v>
      </c>
      <c r="N99" s="26">
        <v>6342</v>
      </c>
      <c r="O99" s="27">
        <v>0</v>
      </c>
      <c r="P99" s="27">
        <v>2890</v>
      </c>
      <c r="Q99" s="27">
        <v>1955</v>
      </c>
      <c r="R99" s="27">
        <v>1198</v>
      </c>
      <c r="S99" s="27">
        <v>0</v>
      </c>
      <c r="T99" s="26">
        <v>6043</v>
      </c>
      <c r="U99" s="28">
        <v>17480</v>
      </c>
      <c r="V99" s="27">
        <v>32</v>
      </c>
      <c r="W99" s="27">
        <v>0</v>
      </c>
      <c r="X99" s="27">
        <v>1200</v>
      </c>
      <c r="Y99" s="27">
        <v>187</v>
      </c>
      <c r="Z99" s="26">
        <v>1419</v>
      </c>
      <c r="AA99" s="27">
        <v>0</v>
      </c>
      <c r="AB99" s="27">
        <v>445</v>
      </c>
      <c r="AC99" s="27">
        <v>0</v>
      </c>
      <c r="AD99" s="27">
        <v>300</v>
      </c>
      <c r="AE99" s="26">
        <v>745</v>
      </c>
      <c r="AF99" s="27">
        <v>0</v>
      </c>
      <c r="AG99" s="27">
        <v>0</v>
      </c>
      <c r="AH99" s="27">
        <v>0</v>
      </c>
      <c r="AI99" s="27">
        <v>0</v>
      </c>
      <c r="AJ99" s="27">
        <v>0</v>
      </c>
      <c r="AK99" s="26">
        <v>0</v>
      </c>
      <c r="AL99" s="28">
        <v>2164</v>
      </c>
      <c r="AM99" s="54">
        <v>128</v>
      </c>
      <c r="AN99" s="13">
        <v>2237440</v>
      </c>
      <c r="AO99" s="13">
        <v>276992</v>
      </c>
    </row>
    <row r="100" spans="1:41" s="15" customFormat="1">
      <c r="A100" s="134"/>
      <c r="B100" s="12" t="s">
        <v>65</v>
      </c>
      <c r="C100" s="26"/>
      <c r="D100" s="26"/>
      <c r="E100" s="27"/>
      <c r="F100" s="27">
        <v>0</v>
      </c>
      <c r="G100" s="27">
        <v>600</v>
      </c>
      <c r="H100" s="27">
        <v>1125</v>
      </c>
      <c r="I100" s="26">
        <v>1725</v>
      </c>
      <c r="J100" s="27">
        <v>0</v>
      </c>
      <c r="K100" s="27">
        <v>3174</v>
      </c>
      <c r="L100" s="27">
        <v>1106</v>
      </c>
      <c r="M100" s="27">
        <v>1000</v>
      </c>
      <c r="N100" s="26">
        <v>5280</v>
      </c>
      <c r="O100" s="27">
        <v>2000</v>
      </c>
      <c r="P100" s="27">
        <v>0</v>
      </c>
      <c r="Q100" s="27">
        <v>0</v>
      </c>
      <c r="R100" s="27">
        <v>0</v>
      </c>
      <c r="S100" s="27">
        <v>5000</v>
      </c>
      <c r="T100" s="26">
        <v>7000</v>
      </c>
      <c r="U100" s="28">
        <v>0</v>
      </c>
      <c r="V100" s="27">
        <v>2000</v>
      </c>
      <c r="W100" s="27">
        <v>0</v>
      </c>
      <c r="X100" s="27">
        <v>0</v>
      </c>
      <c r="Y100" s="27">
        <v>0</v>
      </c>
      <c r="Z100" s="26">
        <v>2000</v>
      </c>
      <c r="AA100" s="27">
        <v>0</v>
      </c>
      <c r="AB100" s="27">
        <v>0</v>
      </c>
      <c r="AC100" s="27">
        <v>0</v>
      </c>
      <c r="AD100" s="27">
        <v>0</v>
      </c>
      <c r="AE100" s="26">
        <v>0</v>
      </c>
      <c r="AF100" s="27">
        <v>0</v>
      </c>
      <c r="AG100" s="27">
        <v>0</v>
      </c>
      <c r="AH100" s="27">
        <v>0</v>
      </c>
      <c r="AI100" s="27">
        <v>0</v>
      </c>
      <c r="AJ100" s="27">
        <v>0</v>
      </c>
      <c r="AK100" s="26">
        <v>0</v>
      </c>
      <c r="AL100" s="28">
        <v>0</v>
      </c>
      <c r="AM100" s="54"/>
      <c r="AN100" s="13">
        <v>0</v>
      </c>
      <c r="AO100" s="13">
        <v>0</v>
      </c>
    </row>
    <row r="101" spans="1:41" s="15" customFormat="1">
      <c r="A101" s="134"/>
      <c r="B101" s="12" t="s">
        <v>66</v>
      </c>
      <c r="C101" s="26">
        <v>0</v>
      </c>
      <c r="D101" s="26">
        <v>0</v>
      </c>
      <c r="E101" s="27"/>
      <c r="F101" s="27">
        <v>0</v>
      </c>
      <c r="G101" s="27">
        <v>0</v>
      </c>
      <c r="H101" s="27">
        <v>0</v>
      </c>
      <c r="I101" s="26">
        <v>0</v>
      </c>
      <c r="J101" s="27">
        <v>0</v>
      </c>
      <c r="K101" s="27">
        <v>0</v>
      </c>
      <c r="L101" s="27">
        <v>0</v>
      </c>
      <c r="M101" s="27">
        <v>0</v>
      </c>
      <c r="N101" s="26">
        <v>0</v>
      </c>
      <c r="O101" s="27">
        <v>0</v>
      </c>
      <c r="P101" s="27">
        <v>0</v>
      </c>
      <c r="Q101" s="27">
        <v>0</v>
      </c>
      <c r="R101" s="27">
        <v>0</v>
      </c>
      <c r="S101" s="27">
        <v>0</v>
      </c>
      <c r="T101" s="26">
        <v>0</v>
      </c>
      <c r="U101" s="28">
        <v>0</v>
      </c>
      <c r="V101" s="27">
        <v>0</v>
      </c>
      <c r="W101" s="27">
        <v>0</v>
      </c>
      <c r="X101" s="27">
        <v>0</v>
      </c>
      <c r="Y101" s="27">
        <v>0</v>
      </c>
      <c r="Z101" s="26">
        <v>0</v>
      </c>
      <c r="AA101" s="27">
        <v>0</v>
      </c>
      <c r="AB101" s="27">
        <v>0</v>
      </c>
      <c r="AC101" s="27">
        <v>0</v>
      </c>
      <c r="AD101" s="27">
        <v>0</v>
      </c>
      <c r="AE101" s="26">
        <v>0</v>
      </c>
      <c r="AF101" s="27">
        <v>0</v>
      </c>
      <c r="AG101" s="27">
        <v>0</v>
      </c>
      <c r="AH101" s="27">
        <v>0</v>
      </c>
      <c r="AI101" s="27">
        <v>0</v>
      </c>
      <c r="AJ101" s="27">
        <v>0</v>
      </c>
      <c r="AK101" s="26">
        <v>0</v>
      </c>
      <c r="AL101" s="28">
        <v>0</v>
      </c>
      <c r="AM101" s="54"/>
      <c r="AN101" s="13">
        <v>0</v>
      </c>
      <c r="AO101" s="13">
        <v>0</v>
      </c>
    </row>
    <row r="102" spans="1:41" s="15" customFormat="1">
      <c r="A102" s="134"/>
      <c r="B102" s="12" t="s">
        <v>7</v>
      </c>
      <c r="C102" s="26"/>
      <c r="D102" s="26"/>
      <c r="E102" s="32"/>
      <c r="F102" s="27">
        <v>0</v>
      </c>
      <c r="G102" s="27">
        <v>600</v>
      </c>
      <c r="H102" s="27">
        <v>1125</v>
      </c>
      <c r="I102" s="26">
        <v>1725</v>
      </c>
      <c r="J102" s="32">
        <v>0</v>
      </c>
      <c r="K102" s="27">
        <v>3174</v>
      </c>
      <c r="L102" s="27">
        <v>1106</v>
      </c>
      <c r="M102" s="27">
        <v>1000</v>
      </c>
      <c r="N102" s="26">
        <v>5280</v>
      </c>
      <c r="O102" s="32">
        <v>2000</v>
      </c>
      <c r="P102" s="27">
        <v>0</v>
      </c>
      <c r="Q102" s="27">
        <v>0</v>
      </c>
      <c r="R102" s="27">
        <v>0</v>
      </c>
      <c r="S102" s="27">
        <v>5000</v>
      </c>
      <c r="T102" s="26">
        <v>7000</v>
      </c>
      <c r="U102" s="28">
        <v>17375</v>
      </c>
      <c r="V102" s="32">
        <v>2000</v>
      </c>
      <c r="W102" s="27">
        <v>0</v>
      </c>
      <c r="X102" s="27">
        <v>0</v>
      </c>
      <c r="Y102" s="27">
        <v>0</v>
      </c>
      <c r="Z102" s="26">
        <v>1895</v>
      </c>
      <c r="AA102" s="32">
        <v>0</v>
      </c>
      <c r="AB102" s="27">
        <v>0</v>
      </c>
      <c r="AC102" s="27">
        <v>0</v>
      </c>
      <c r="AD102" s="27">
        <v>0</v>
      </c>
      <c r="AE102" s="26">
        <v>0</v>
      </c>
      <c r="AF102" s="32">
        <v>0</v>
      </c>
      <c r="AG102" s="27">
        <v>0</v>
      </c>
      <c r="AH102" s="27">
        <v>0</v>
      </c>
      <c r="AI102" s="27">
        <v>0</v>
      </c>
      <c r="AJ102" s="27">
        <v>0</v>
      </c>
      <c r="AK102" s="26">
        <v>0</v>
      </c>
      <c r="AL102" s="28">
        <v>1895</v>
      </c>
      <c r="AM102" s="54"/>
      <c r="AN102" s="13">
        <v>0</v>
      </c>
      <c r="AO102" s="13">
        <v>0</v>
      </c>
    </row>
    <row r="103" spans="1:41" s="15" customFormat="1" ht="17" thickBot="1">
      <c r="A103" s="135"/>
      <c r="B103" s="4" t="s">
        <v>67</v>
      </c>
      <c r="C103" s="26">
        <v>5030</v>
      </c>
      <c r="D103" s="37">
        <v>3370</v>
      </c>
      <c r="E103" s="21"/>
      <c r="F103" s="21">
        <v>0</v>
      </c>
      <c r="G103" s="21">
        <v>0</v>
      </c>
      <c r="H103" s="21">
        <v>0</v>
      </c>
      <c r="I103" s="20">
        <v>0</v>
      </c>
      <c r="J103" s="21">
        <v>0</v>
      </c>
      <c r="K103" s="21">
        <v>0</v>
      </c>
      <c r="L103" s="21">
        <v>-1732</v>
      </c>
      <c r="M103" s="21">
        <v>-1062</v>
      </c>
      <c r="N103" s="20">
        <v>-1062</v>
      </c>
      <c r="O103" s="21">
        <v>938</v>
      </c>
      <c r="P103" s="21">
        <v>-1952</v>
      </c>
      <c r="Q103" s="21">
        <v>-3907</v>
      </c>
      <c r="R103" s="21">
        <v>-5105</v>
      </c>
      <c r="S103" s="21">
        <v>-105</v>
      </c>
      <c r="T103" s="20">
        <v>-105</v>
      </c>
      <c r="U103" s="22">
        <v>-105</v>
      </c>
      <c r="V103" s="21">
        <v>1863</v>
      </c>
      <c r="W103" s="21">
        <v>1863</v>
      </c>
      <c r="X103" s="21">
        <v>663</v>
      </c>
      <c r="Y103" s="21">
        <v>476</v>
      </c>
      <c r="Z103" s="20">
        <v>476</v>
      </c>
      <c r="AA103" s="21">
        <v>476</v>
      </c>
      <c r="AB103" s="21">
        <v>31</v>
      </c>
      <c r="AC103" s="21">
        <v>31</v>
      </c>
      <c r="AD103" s="21">
        <v>-269</v>
      </c>
      <c r="AE103" s="20">
        <v>-269</v>
      </c>
      <c r="AF103" s="21">
        <v>-269</v>
      </c>
      <c r="AG103" s="21">
        <v>-269</v>
      </c>
      <c r="AH103" s="21">
        <v>-269</v>
      </c>
      <c r="AI103" s="21">
        <v>-269</v>
      </c>
      <c r="AJ103" s="21">
        <v>-269</v>
      </c>
      <c r="AK103" s="20">
        <v>-269</v>
      </c>
      <c r="AL103" s="22">
        <v>-374</v>
      </c>
      <c r="AM103" s="54"/>
      <c r="AN103" s="13">
        <v>0</v>
      </c>
      <c r="AO103" s="13">
        <v>0</v>
      </c>
    </row>
    <row r="104" spans="1:41" s="15" customFormat="1" ht="17" thickBot="1">
      <c r="A104" s="46"/>
      <c r="B104" s="12" t="s">
        <v>68</v>
      </c>
      <c r="C104" s="26"/>
      <c r="D104" s="26"/>
      <c r="E104" s="19">
        <v>0</v>
      </c>
      <c r="F104" s="19"/>
      <c r="G104" s="19"/>
      <c r="H104" s="19"/>
      <c r="I104" s="23"/>
      <c r="J104" s="19"/>
      <c r="K104" s="19"/>
      <c r="L104" s="19"/>
      <c r="M104" s="19"/>
      <c r="N104" s="23"/>
      <c r="O104" s="19"/>
      <c r="P104" s="19"/>
      <c r="Q104" s="19"/>
      <c r="R104" s="19"/>
      <c r="S104" s="19"/>
      <c r="T104" s="23"/>
      <c r="U104" s="24"/>
      <c r="V104" s="19"/>
      <c r="W104" s="19"/>
      <c r="X104" s="19"/>
      <c r="Y104" s="19"/>
      <c r="Z104" s="23"/>
      <c r="AA104" s="19"/>
      <c r="AB104" s="19"/>
      <c r="AC104" s="19"/>
      <c r="AD104" s="19"/>
      <c r="AE104" s="23"/>
      <c r="AF104" s="19"/>
      <c r="AG104" s="19"/>
      <c r="AH104" s="19"/>
      <c r="AI104" s="19"/>
      <c r="AJ104" s="19"/>
      <c r="AK104" s="23"/>
      <c r="AL104" s="24"/>
      <c r="AM104" s="54"/>
      <c r="AN104" s="13">
        <v>0</v>
      </c>
      <c r="AO104" s="13">
        <v>0</v>
      </c>
    </row>
    <row r="105" spans="1:41" s="15" customFormat="1">
      <c r="A105" s="133" t="s">
        <v>85</v>
      </c>
      <c r="B105" s="3" t="s">
        <v>64</v>
      </c>
      <c r="C105" s="26"/>
      <c r="D105" s="26"/>
      <c r="E105" s="27"/>
      <c r="F105" s="27">
        <v>0</v>
      </c>
      <c r="G105" s="27">
        <v>0</v>
      </c>
      <c r="H105" s="27">
        <v>0</v>
      </c>
      <c r="I105" s="26">
        <v>0</v>
      </c>
      <c r="J105" s="27">
        <v>0</v>
      </c>
      <c r="K105" s="27">
        <v>0</v>
      </c>
      <c r="L105" s="27">
        <v>0</v>
      </c>
      <c r="M105" s="27">
        <v>0</v>
      </c>
      <c r="N105" s="26">
        <v>0</v>
      </c>
      <c r="O105" s="27">
        <v>0</v>
      </c>
      <c r="P105" s="27">
        <v>0</v>
      </c>
      <c r="Q105" s="27">
        <v>0</v>
      </c>
      <c r="R105" s="27">
        <v>0</v>
      </c>
      <c r="S105" s="27">
        <v>0</v>
      </c>
      <c r="T105" s="26">
        <v>0</v>
      </c>
      <c r="U105" s="28">
        <v>0</v>
      </c>
      <c r="V105" s="27">
        <v>0</v>
      </c>
      <c r="W105" s="27">
        <v>0</v>
      </c>
      <c r="X105" s="27">
        <v>0</v>
      </c>
      <c r="Y105" s="27">
        <v>0</v>
      </c>
      <c r="Z105" s="26">
        <v>0</v>
      </c>
      <c r="AA105" s="27">
        <v>0</v>
      </c>
      <c r="AB105" s="27">
        <v>0</v>
      </c>
      <c r="AC105" s="27">
        <v>0</v>
      </c>
      <c r="AD105" s="27">
        <v>0</v>
      </c>
      <c r="AE105" s="26">
        <v>0</v>
      </c>
      <c r="AF105" s="27">
        <v>0</v>
      </c>
      <c r="AG105" s="27">
        <v>0</v>
      </c>
      <c r="AH105" s="27">
        <v>0</v>
      </c>
      <c r="AI105" s="27">
        <v>0</v>
      </c>
      <c r="AJ105" s="27">
        <v>0</v>
      </c>
      <c r="AK105" s="26">
        <v>0</v>
      </c>
      <c r="AL105" s="28">
        <v>0</v>
      </c>
      <c r="AM105" s="54">
        <v>256</v>
      </c>
      <c r="AN105" s="13">
        <v>0</v>
      </c>
      <c r="AO105" s="13">
        <v>0</v>
      </c>
    </row>
    <row r="106" spans="1:41" s="15" customFormat="1">
      <c r="A106" s="134"/>
      <c r="B106" s="12" t="s">
        <v>65</v>
      </c>
      <c r="C106" s="26"/>
      <c r="D106" s="26"/>
      <c r="E106" s="27"/>
      <c r="F106" s="27">
        <v>0</v>
      </c>
      <c r="G106" s="27">
        <v>0</v>
      </c>
      <c r="H106" s="27">
        <v>0</v>
      </c>
      <c r="I106" s="26">
        <v>0</v>
      </c>
      <c r="J106" s="27">
        <v>0</v>
      </c>
      <c r="K106" s="27">
        <v>0</v>
      </c>
      <c r="L106" s="27">
        <v>0</v>
      </c>
      <c r="M106" s="27">
        <v>0</v>
      </c>
      <c r="N106" s="26">
        <v>0</v>
      </c>
      <c r="O106" s="27">
        <v>0</v>
      </c>
      <c r="P106" s="27">
        <v>0</v>
      </c>
      <c r="Q106" s="27">
        <v>0</v>
      </c>
      <c r="R106" s="27">
        <v>0</v>
      </c>
      <c r="S106" s="27">
        <v>0</v>
      </c>
      <c r="T106" s="26">
        <v>0</v>
      </c>
      <c r="U106" s="28">
        <v>0</v>
      </c>
      <c r="V106" s="27">
        <v>0</v>
      </c>
      <c r="W106" s="27">
        <v>0</v>
      </c>
      <c r="X106" s="27">
        <v>0</v>
      </c>
      <c r="Y106" s="27">
        <v>0</v>
      </c>
      <c r="Z106" s="26">
        <v>0</v>
      </c>
      <c r="AA106" s="27">
        <v>0</v>
      </c>
      <c r="AB106" s="27">
        <v>0</v>
      </c>
      <c r="AC106" s="27">
        <v>0</v>
      </c>
      <c r="AD106" s="27">
        <v>0</v>
      </c>
      <c r="AE106" s="26">
        <v>0</v>
      </c>
      <c r="AF106" s="27">
        <v>0</v>
      </c>
      <c r="AG106" s="27">
        <v>0</v>
      </c>
      <c r="AH106" s="27">
        <v>0</v>
      </c>
      <c r="AI106" s="27">
        <v>0</v>
      </c>
      <c r="AJ106" s="27">
        <v>0</v>
      </c>
      <c r="AK106" s="26">
        <v>0</v>
      </c>
      <c r="AL106" s="28">
        <v>0</v>
      </c>
      <c r="AM106" s="54"/>
      <c r="AN106" s="13">
        <v>0</v>
      </c>
      <c r="AO106" s="13">
        <v>0</v>
      </c>
    </row>
    <row r="107" spans="1:41" s="15" customFormat="1">
      <c r="A107" s="134"/>
      <c r="B107" s="12" t="s">
        <v>66</v>
      </c>
      <c r="C107" s="26">
        <v>0</v>
      </c>
      <c r="D107" s="26">
        <v>0</v>
      </c>
      <c r="E107" s="27"/>
      <c r="F107" s="27">
        <v>0</v>
      </c>
      <c r="G107" s="27">
        <v>0</v>
      </c>
      <c r="H107" s="27">
        <v>0</v>
      </c>
      <c r="I107" s="26">
        <v>0</v>
      </c>
      <c r="J107" s="27">
        <v>0</v>
      </c>
      <c r="K107" s="27">
        <v>0</v>
      </c>
      <c r="L107" s="27">
        <v>0</v>
      </c>
      <c r="M107" s="27">
        <v>0</v>
      </c>
      <c r="N107" s="26">
        <v>0</v>
      </c>
      <c r="O107" s="27">
        <v>0</v>
      </c>
      <c r="P107" s="27">
        <v>0</v>
      </c>
      <c r="Q107" s="27">
        <v>0</v>
      </c>
      <c r="R107" s="27">
        <v>0</v>
      </c>
      <c r="S107" s="27">
        <v>0</v>
      </c>
      <c r="T107" s="26">
        <v>0</v>
      </c>
      <c r="U107" s="28">
        <v>0</v>
      </c>
      <c r="V107" s="27">
        <v>0</v>
      </c>
      <c r="W107" s="27">
        <v>0</v>
      </c>
      <c r="X107" s="27">
        <v>0</v>
      </c>
      <c r="Y107" s="27">
        <v>0</v>
      </c>
      <c r="Z107" s="26">
        <v>0</v>
      </c>
      <c r="AA107" s="27">
        <v>0</v>
      </c>
      <c r="AB107" s="27">
        <v>0</v>
      </c>
      <c r="AC107" s="27">
        <v>0</v>
      </c>
      <c r="AD107" s="27">
        <v>0</v>
      </c>
      <c r="AE107" s="26">
        <v>0</v>
      </c>
      <c r="AF107" s="27">
        <v>0</v>
      </c>
      <c r="AG107" s="27">
        <v>0</v>
      </c>
      <c r="AH107" s="27">
        <v>0</v>
      </c>
      <c r="AI107" s="27">
        <v>0</v>
      </c>
      <c r="AJ107" s="27">
        <v>0</v>
      </c>
      <c r="AK107" s="26">
        <v>0</v>
      </c>
      <c r="AL107" s="28">
        <v>0</v>
      </c>
      <c r="AM107" s="54"/>
      <c r="AN107" s="13">
        <v>0</v>
      </c>
      <c r="AO107" s="13">
        <v>0</v>
      </c>
    </row>
    <row r="108" spans="1:41" s="15" customFormat="1">
      <c r="A108" s="134"/>
      <c r="B108" s="12" t="s">
        <v>7</v>
      </c>
      <c r="C108" s="26"/>
      <c r="D108" s="26"/>
      <c r="E108" s="32"/>
      <c r="F108" s="27">
        <v>0</v>
      </c>
      <c r="G108" s="27">
        <v>0</v>
      </c>
      <c r="H108" s="27">
        <v>0</v>
      </c>
      <c r="I108" s="26">
        <v>0</v>
      </c>
      <c r="J108" s="32">
        <v>0</v>
      </c>
      <c r="K108" s="27">
        <v>0</v>
      </c>
      <c r="L108" s="27">
        <v>0</v>
      </c>
      <c r="M108" s="27">
        <v>0</v>
      </c>
      <c r="N108" s="26">
        <v>0</v>
      </c>
      <c r="O108" s="32">
        <v>0</v>
      </c>
      <c r="P108" s="27">
        <v>0</v>
      </c>
      <c r="Q108" s="27">
        <v>0</v>
      </c>
      <c r="R108" s="27">
        <v>0</v>
      </c>
      <c r="S108" s="27">
        <v>0</v>
      </c>
      <c r="T108" s="26">
        <v>0</v>
      </c>
      <c r="U108" s="28">
        <v>0</v>
      </c>
      <c r="V108" s="32">
        <v>0</v>
      </c>
      <c r="W108" s="27">
        <v>0</v>
      </c>
      <c r="X108" s="27">
        <v>0</v>
      </c>
      <c r="Y108" s="27">
        <v>0</v>
      </c>
      <c r="Z108" s="26">
        <v>0</v>
      </c>
      <c r="AA108" s="32">
        <v>0</v>
      </c>
      <c r="AB108" s="27">
        <v>0</v>
      </c>
      <c r="AC108" s="27">
        <v>0</v>
      </c>
      <c r="AD108" s="27">
        <v>0</v>
      </c>
      <c r="AE108" s="26">
        <v>0</v>
      </c>
      <c r="AF108" s="32">
        <v>0</v>
      </c>
      <c r="AG108" s="27">
        <v>0</v>
      </c>
      <c r="AH108" s="27">
        <v>0</v>
      </c>
      <c r="AI108" s="27">
        <v>0</v>
      </c>
      <c r="AJ108" s="27">
        <v>0</v>
      </c>
      <c r="AK108" s="26">
        <v>0</v>
      </c>
      <c r="AL108" s="28">
        <v>0</v>
      </c>
      <c r="AM108" s="54"/>
      <c r="AN108" s="13">
        <v>0</v>
      </c>
      <c r="AO108" s="13">
        <v>0</v>
      </c>
    </row>
    <row r="109" spans="1:41" s="15" customFormat="1" ht="17" thickBot="1">
      <c r="A109" s="135"/>
      <c r="B109" s="4" t="s">
        <v>67</v>
      </c>
      <c r="C109" s="26">
        <v>0</v>
      </c>
      <c r="D109" s="37">
        <v>0</v>
      </c>
      <c r="E109" s="21"/>
      <c r="F109" s="21">
        <v>0</v>
      </c>
      <c r="G109" s="21">
        <v>0</v>
      </c>
      <c r="H109" s="21">
        <v>0</v>
      </c>
      <c r="I109" s="20">
        <v>0</v>
      </c>
      <c r="J109" s="21">
        <v>0</v>
      </c>
      <c r="K109" s="21">
        <v>0</v>
      </c>
      <c r="L109" s="21">
        <v>0</v>
      </c>
      <c r="M109" s="21">
        <v>0</v>
      </c>
      <c r="N109" s="20">
        <v>0</v>
      </c>
      <c r="O109" s="21">
        <v>0</v>
      </c>
      <c r="P109" s="21">
        <v>0</v>
      </c>
      <c r="Q109" s="21">
        <v>0</v>
      </c>
      <c r="R109" s="21">
        <v>0</v>
      </c>
      <c r="S109" s="21">
        <v>0</v>
      </c>
      <c r="T109" s="20">
        <v>0</v>
      </c>
      <c r="U109" s="22">
        <v>0</v>
      </c>
      <c r="V109" s="21">
        <v>0</v>
      </c>
      <c r="W109" s="21">
        <v>0</v>
      </c>
      <c r="X109" s="21">
        <v>0</v>
      </c>
      <c r="Y109" s="21">
        <v>0</v>
      </c>
      <c r="Z109" s="20">
        <v>0</v>
      </c>
      <c r="AA109" s="21">
        <v>0</v>
      </c>
      <c r="AB109" s="21">
        <v>0</v>
      </c>
      <c r="AC109" s="21">
        <v>0</v>
      </c>
      <c r="AD109" s="21">
        <v>0</v>
      </c>
      <c r="AE109" s="20">
        <v>0</v>
      </c>
      <c r="AF109" s="21">
        <v>0</v>
      </c>
      <c r="AG109" s="21">
        <v>0</v>
      </c>
      <c r="AH109" s="21">
        <v>0</v>
      </c>
      <c r="AI109" s="21">
        <v>0</v>
      </c>
      <c r="AJ109" s="21">
        <v>0</v>
      </c>
      <c r="AK109" s="20">
        <v>0</v>
      </c>
      <c r="AL109" s="22">
        <v>0</v>
      </c>
      <c r="AM109" s="54"/>
      <c r="AN109" s="13">
        <v>0</v>
      </c>
      <c r="AO109" s="13">
        <v>0</v>
      </c>
    </row>
    <row r="110" spans="1:41" s="15" customFormat="1" ht="17" thickBot="1">
      <c r="A110" s="46"/>
      <c r="B110" s="12" t="s">
        <v>68</v>
      </c>
      <c r="C110" s="26"/>
      <c r="D110" s="26"/>
      <c r="E110" s="19"/>
      <c r="F110" s="19"/>
      <c r="G110" s="19"/>
      <c r="H110" s="19"/>
      <c r="I110" s="23"/>
      <c r="J110" s="19"/>
      <c r="K110" s="19"/>
      <c r="L110" s="19"/>
      <c r="M110" s="19"/>
      <c r="N110" s="23"/>
      <c r="O110" s="19"/>
      <c r="P110" s="19"/>
      <c r="Q110" s="19"/>
      <c r="R110" s="19"/>
      <c r="S110" s="19"/>
      <c r="T110" s="23"/>
      <c r="U110" s="24"/>
      <c r="V110" s="19"/>
      <c r="W110" s="19"/>
      <c r="X110" s="19"/>
      <c r="Y110" s="19"/>
      <c r="Z110" s="23"/>
      <c r="AA110" s="19"/>
      <c r="AB110" s="19"/>
      <c r="AC110" s="19"/>
      <c r="AD110" s="19"/>
      <c r="AE110" s="23"/>
      <c r="AF110" s="19"/>
      <c r="AG110" s="19"/>
      <c r="AH110" s="19"/>
      <c r="AI110" s="19"/>
      <c r="AJ110" s="19"/>
      <c r="AK110" s="23"/>
      <c r="AL110" s="24"/>
      <c r="AM110" s="54"/>
      <c r="AN110" s="13">
        <v>0</v>
      </c>
      <c r="AO110" s="13">
        <v>0</v>
      </c>
    </row>
    <row r="111" spans="1:41" s="15" customFormat="1">
      <c r="A111" s="133" t="s">
        <v>86</v>
      </c>
      <c r="B111" s="3" t="s">
        <v>64</v>
      </c>
      <c r="C111" s="26"/>
      <c r="D111" s="26"/>
      <c r="E111" s="27"/>
      <c r="F111" s="27">
        <v>0</v>
      </c>
      <c r="G111" s="27">
        <v>0</v>
      </c>
      <c r="H111" s="27">
        <v>0</v>
      </c>
      <c r="I111" s="26">
        <v>0</v>
      </c>
      <c r="J111" s="27">
        <v>0</v>
      </c>
      <c r="K111" s="27">
        <v>0</v>
      </c>
      <c r="L111" s="27">
        <v>0</v>
      </c>
      <c r="M111" s="27">
        <v>0</v>
      </c>
      <c r="N111" s="26">
        <v>0</v>
      </c>
      <c r="O111" s="27">
        <v>0</v>
      </c>
      <c r="P111" s="27">
        <v>0</v>
      </c>
      <c r="Q111" s="27">
        <v>0</v>
      </c>
      <c r="R111" s="27">
        <v>0</v>
      </c>
      <c r="S111" s="27">
        <v>0</v>
      </c>
      <c r="T111" s="26">
        <v>0</v>
      </c>
      <c r="U111" s="28">
        <v>139</v>
      </c>
      <c r="V111" s="27">
        <v>0</v>
      </c>
      <c r="W111" s="27">
        <v>0</v>
      </c>
      <c r="X111" s="27">
        <v>0</v>
      </c>
      <c r="Y111" s="27">
        <v>0</v>
      </c>
      <c r="Z111" s="26">
        <v>0</v>
      </c>
      <c r="AA111" s="27">
        <v>0</v>
      </c>
      <c r="AB111" s="27">
        <v>0</v>
      </c>
      <c r="AC111" s="27">
        <v>0</v>
      </c>
      <c r="AD111" s="27">
        <v>0</v>
      </c>
      <c r="AE111" s="26">
        <v>0</v>
      </c>
      <c r="AF111" s="27">
        <v>0</v>
      </c>
      <c r="AG111" s="27">
        <v>0</v>
      </c>
      <c r="AH111" s="27">
        <v>0</v>
      </c>
      <c r="AI111" s="27">
        <v>0</v>
      </c>
      <c r="AJ111" s="27">
        <v>0</v>
      </c>
      <c r="AK111" s="26">
        <v>0</v>
      </c>
      <c r="AL111" s="28">
        <v>0</v>
      </c>
      <c r="AM111" s="54">
        <v>256</v>
      </c>
      <c r="AN111" s="13">
        <v>35584</v>
      </c>
      <c r="AO111" s="13">
        <v>0</v>
      </c>
    </row>
    <row r="112" spans="1:41" s="15" customFormat="1">
      <c r="A112" s="134"/>
      <c r="B112" s="12" t="s">
        <v>65</v>
      </c>
      <c r="C112" s="26"/>
      <c r="D112" s="26"/>
      <c r="E112" s="27"/>
      <c r="F112" s="27">
        <v>0</v>
      </c>
      <c r="G112" s="27">
        <v>0</v>
      </c>
      <c r="H112" s="27">
        <v>0</v>
      </c>
      <c r="I112" s="26">
        <v>0</v>
      </c>
      <c r="J112" s="27">
        <v>0</v>
      </c>
      <c r="K112" s="27">
        <v>0</v>
      </c>
      <c r="L112" s="27">
        <v>0</v>
      </c>
      <c r="M112" s="27">
        <v>0</v>
      </c>
      <c r="N112" s="26">
        <v>0</v>
      </c>
      <c r="O112" s="27">
        <v>0</v>
      </c>
      <c r="P112" s="27">
        <v>0</v>
      </c>
      <c r="Q112" s="27">
        <v>0</v>
      </c>
      <c r="R112" s="27">
        <v>0</v>
      </c>
      <c r="S112" s="27">
        <v>0</v>
      </c>
      <c r="T112" s="26">
        <v>0</v>
      </c>
      <c r="U112" s="28">
        <v>0</v>
      </c>
      <c r="V112" s="27">
        <v>0</v>
      </c>
      <c r="W112" s="27">
        <v>0</v>
      </c>
      <c r="X112" s="27">
        <v>0</v>
      </c>
      <c r="Y112" s="27">
        <v>0</v>
      </c>
      <c r="Z112" s="26">
        <v>0</v>
      </c>
      <c r="AA112" s="27">
        <v>0</v>
      </c>
      <c r="AB112" s="27">
        <v>0</v>
      </c>
      <c r="AC112" s="27">
        <v>0</v>
      </c>
      <c r="AD112" s="27">
        <v>0</v>
      </c>
      <c r="AE112" s="26">
        <v>0</v>
      </c>
      <c r="AF112" s="27">
        <v>0</v>
      </c>
      <c r="AG112" s="27">
        <v>0</v>
      </c>
      <c r="AH112" s="27">
        <v>0</v>
      </c>
      <c r="AI112" s="27">
        <v>0</v>
      </c>
      <c r="AJ112" s="27">
        <v>0</v>
      </c>
      <c r="AK112" s="26">
        <v>0</v>
      </c>
      <c r="AL112" s="28">
        <v>0</v>
      </c>
      <c r="AM112" s="54"/>
      <c r="AN112" s="13">
        <v>0</v>
      </c>
      <c r="AO112" s="13">
        <v>0</v>
      </c>
    </row>
    <row r="113" spans="1:41" s="15" customFormat="1">
      <c r="A113" s="134"/>
      <c r="B113" s="12" t="s">
        <v>66</v>
      </c>
      <c r="C113" s="26">
        <v>0</v>
      </c>
      <c r="D113" s="26">
        <v>0</v>
      </c>
      <c r="E113" s="27"/>
      <c r="F113" s="27">
        <v>0</v>
      </c>
      <c r="G113" s="27">
        <v>0</v>
      </c>
      <c r="H113" s="27">
        <v>0</v>
      </c>
      <c r="I113" s="26">
        <v>0</v>
      </c>
      <c r="J113" s="27">
        <v>0</v>
      </c>
      <c r="K113" s="27">
        <v>0</v>
      </c>
      <c r="L113" s="27">
        <v>0</v>
      </c>
      <c r="M113" s="27">
        <v>0</v>
      </c>
      <c r="N113" s="26">
        <v>0</v>
      </c>
      <c r="O113" s="27">
        <v>0</v>
      </c>
      <c r="P113" s="27">
        <v>0</v>
      </c>
      <c r="Q113" s="27">
        <v>0</v>
      </c>
      <c r="R113" s="27">
        <v>0</v>
      </c>
      <c r="S113" s="27">
        <v>0</v>
      </c>
      <c r="T113" s="26">
        <v>0</v>
      </c>
      <c r="U113" s="28">
        <v>0</v>
      </c>
      <c r="V113" s="27">
        <v>0</v>
      </c>
      <c r="W113" s="27">
        <v>0</v>
      </c>
      <c r="X113" s="27">
        <v>0</v>
      </c>
      <c r="Y113" s="27">
        <v>0</v>
      </c>
      <c r="Z113" s="26">
        <v>0</v>
      </c>
      <c r="AA113" s="27">
        <v>0</v>
      </c>
      <c r="AB113" s="27">
        <v>0</v>
      </c>
      <c r="AC113" s="27">
        <v>0</v>
      </c>
      <c r="AD113" s="27">
        <v>0</v>
      </c>
      <c r="AE113" s="26">
        <v>0</v>
      </c>
      <c r="AF113" s="27">
        <v>0</v>
      </c>
      <c r="AG113" s="27">
        <v>0</v>
      </c>
      <c r="AH113" s="27">
        <v>0</v>
      </c>
      <c r="AI113" s="27">
        <v>0</v>
      </c>
      <c r="AJ113" s="27">
        <v>0</v>
      </c>
      <c r="AK113" s="26">
        <v>0</v>
      </c>
      <c r="AL113" s="28">
        <v>0</v>
      </c>
      <c r="AM113" s="54"/>
      <c r="AN113" s="13">
        <v>0</v>
      </c>
      <c r="AO113" s="13">
        <v>0</v>
      </c>
    </row>
    <row r="114" spans="1:41" s="15" customFormat="1">
      <c r="A114" s="134"/>
      <c r="B114" s="12" t="s">
        <v>7</v>
      </c>
      <c r="C114" s="26"/>
      <c r="D114" s="26"/>
      <c r="E114" s="32"/>
      <c r="F114" s="27">
        <v>0</v>
      </c>
      <c r="G114" s="27">
        <v>0</v>
      </c>
      <c r="H114" s="27">
        <v>0</v>
      </c>
      <c r="I114" s="26">
        <v>0</v>
      </c>
      <c r="J114" s="32">
        <v>0</v>
      </c>
      <c r="K114" s="27">
        <v>0</v>
      </c>
      <c r="L114" s="27">
        <v>0</v>
      </c>
      <c r="M114" s="27">
        <v>0</v>
      </c>
      <c r="N114" s="26">
        <v>0</v>
      </c>
      <c r="O114" s="32">
        <v>0</v>
      </c>
      <c r="P114" s="27">
        <v>0</v>
      </c>
      <c r="Q114" s="27">
        <v>0</v>
      </c>
      <c r="R114" s="27">
        <v>0</v>
      </c>
      <c r="S114" s="27">
        <v>0</v>
      </c>
      <c r="T114" s="26">
        <v>0</v>
      </c>
      <c r="U114" s="28">
        <v>139</v>
      </c>
      <c r="V114" s="32">
        <v>0</v>
      </c>
      <c r="W114" s="27">
        <v>0</v>
      </c>
      <c r="X114" s="27">
        <v>0</v>
      </c>
      <c r="Y114" s="27">
        <v>0</v>
      </c>
      <c r="Z114" s="26">
        <v>0</v>
      </c>
      <c r="AA114" s="32">
        <v>0</v>
      </c>
      <c r="AB114" s="27">
        <v>0</v>
      </c>
      <c r="AC114" s="27">
        <v>0</v>
      </c>
      <c r="AD114" s="27">
        <v>0</v>
      </c>
      <c r="AE114" s="26">
        <v>0</v>
      </c>
      <c r="AF114" s="32">
        <v>0</v>
      </c>
      <c r="AG114" s="27">
        <v>0</v>
      </c>
      <c r="AH114" s="27">
        <v>0</v>
      </c>
      <c r="AI114" s="27">
        <v>0</v>
      </c>
      <c r="AJ114" s="27">
        <v>0</v>
      </c>
      <c r="AK114" s="26">
        <v>0</v>
      </c>
      <c r="AL114" s="28">
        <v>0</v>
      </c>
      <c r="AM114" s="54"/>
      <c r="AN114" s="13">
        <v>0</v>
      </c>
      <c r="AO114" s="13">
        <v>0</v>
      </c>
    </row>
    <row r="115" spans="1:41" s="15" customFormat="1" ht="17" thickBot="1">
      <c r="A115" s="135"/>
      <c r="B115" s="4" t="s">
        <v>67</v>
      </c>
      <c r="C115" s="26">
        <v>142</v>
      </c>
      <c r="D115" s="37">
        <v>139</v>
      </c>
      <c r="E115" s="21"/>
      <c r="F115" s="21">
        <v>0</v>
      </c>
      <c r="G115" s="21">
        <v>0</v>
      </c>
      <c r="H115" s="21">
        <v>0</v>
      </c>
      <c r="I115" s="20">
        <v>0</v>
      </c>
      <c r="J115" s="21">
        <v>0</v>
      </c>
      <c r="K115" s="21">
        <v>0</v>
      </c>
      <c r="L115" s="21">
        <v>0</v>
      </c>
      <c r="M115" s="21">
        <v>0</v>
      </c>
      <c r="N115" s="20">
        <v>0</v>
      </c>
      <c r="O115" s="21">
        <v>0</v>
      </c>
      <c r="P115" s="21">
        <v>0</v>
      </c>
      <c r="Q115" s="21">
        <v>0</v>
      </c>
      <c r="R115" s="21">
        <v>0</v>
      </c>
      <c r="S115" s="21">
        <v>0</v>
      </c>
      <c r="T115" s="20">
        <v>0</v>
      </c>
      <c r="U115" s="22">
        <v>0</v>
      </c>
      <c r="V115" s="21">
        <v>0</v>
      </c>
      <c r="W115" s="21">
        <v>0</v>
      </c>
      <c r="X115" s="21">
        <v>0</v>
      </c>
      <c r="Y115" s="21">
        <v>0</v>
      </c>
      <c r="Z115" s="20">
        <v>0</v>
      </c>
      <c r="AA115" s="21">
        <v>0</v>
      </c>
      <c r="AB115" s="21">
        <v>0</v>
      </c>
      <c r="AC115" s="21">
        <v>0</v>
      </c>
      <c r="AD115" s="21">
        <v>0</v>
      </c>
      <c r="AE115" s="20">
        <v>0</v>
      </c>
      <c r="AF115" s="21">
        <v>0</v>
      </c>
      <c r="AG115" s="21">
        <v>0</v>
      </c>
      <c r="AH115" s="21">
        <v>0</v>
      </c>
      <c r="AI115" s="21">
        <v>0</v>
      </c>
      <c r="AJ115" s="21">
        <v>0</v>
      </c>
      <c r="AK115" s="20">
        <v>0</v>
      </c>
      <c r="AL115" s="22">
        <v>0</v>
      </c>
      <c r="AM115" s="54"/>
      <c r="AN115" s="13">
        <v>0</v>
      </c>
      <c r="AO115" s="13">
        <v>0</v>
      </c>
    </row>
    <row r="116" spans="1:41" s="15" customFormat="1" ht="17" thickBot="1">
      <c r="A116" s="46"/>
      <c r="B116" s="12" t="s">
        <v>68</v>
      </c>
      <c r="C116" s="26"/>
      <c r="D116" s="26"/>
      <c r="E116" s="19"/>
      <c r="F116" s="19"/>
      <c r="G116" s="19"/>
      <c r="H116" s="19"/>
      <c r="I116" s="23"/>
      <c r="J116" s="19"/>
      <c r="K116" s="19"/>
      <c r="L116" s="19"/>
      <c r="M116" s="19"/>
      <c r="N116" s="23"/>
      <c r="O116" s="19"/>
      <c r="P116" s="19"/>
      <c r="Q116" s="19"/>
      <c r="R116" s="19"/>
      <c r="S116" s="19"/>
      <c r="T116" s="23"/>
      <c r="U116" s="24"/>
      <c r="V116" s="19"/>
      <c r="W116" s="19"/>
      <c r="X116" s="19"/>
      <c r="Y116" s="19"/>
      <c r="Z116" s="23"/>
      <c r="AA116" s="19"/>
      <c r="AB116" s="19"/>
      <c r="AC116" s="19"/>
      <c r="AD116" s="19"/>
      <c r="AE116" s="23"/>
      <c r="AF116" s="19"/>
      <c r="AG116" s="19"/>
      <c r="AH116" s="19"/>
      <c r="AI116" s="19"/>
      <c r="AJ116" s="19"/>
      <c r="AK116" s="23"/>
      <c r="AL116" s="24"/>
      <c r="AM116" s="54"/>
      <c r="AN116" s="13">
        <v>0</v>
      </c>
      <c r="AO116" s="13">
        <v>0</v>
      </c>
    </row>
    <row r="117" spans="1:41" s="15" customFormat="1">
      <c r="A117" s="117" t="s">
        <v>87</v>
      </c>
      <c r="B117" s="3" t="s">
        <v>64</v>
      </c>
      <c r="C117" s="26"/>
      <c r="D117" s="26"/>
      <c r="E117" s="27"/>
      <c r="F117" s="27">
        <v>60000</v>
      </c>
      <c r="G117" s="27">
        <v>66288</v>
      </c>
      <c r="H117" s="27">
        <v>0</v>
      </c>
      <c r="I117" s="26">
        <v>126288</v>
      </c>
      <c r="J117" s="27">
        <v>29392</v>
      </c>
      <c r="K117" s="27">
        <v>0</v>
      </c>
      <c r="L117" s="27">
        <v>53000</v>
      </c>
      <c r="M117" s="27">
        <v>0</v>
      </c>
      <c r="N117" s="26">
        <v>82392</v>
      </c>
      <c r="O117" s="27">
        <v>382588</v>
      </c>
      <c r="P117" s="27">
        <v>2249</v>
      </c>
      <c r="Q117" s="27">
        <v>8289</v>
      </c>
      <c r="R117" s="27">
        <v>0</v>
      </c>
      <c r="S117" s="27">
        <v>0</v>
      </c>
      <c r="T117" s="26">
        <v>393126</v>
      </c>
      <c r="U117" s="28">
        <v>779312</v>
      </c>
      <c r="V117" s="27">
        <v>76244</v>
      </c>
      <c r="W117" s="27">
        <v>204</v>
      </c>
      <c r="X117" s="27">
        <v>15783</v>
      </c>
      <c r="Y117" s="27">
        <v>0</v>
      </c>
      <c r="Z117" s="26">
        <v>92231</v>
      </c>
      <c r="AA117" s="27">
        <v>117254</v>
      </c>
      <c r="AB117" s="27">
        <v>0</v>
      </c>
      <c r="AC117" s="27">
        <v>13391</v>
      </c>
      <c r="AD117" s="27">
        <v>0</v>
      </c>
      <c r="AE117" s="26">
        <v>130645</v>
      </c>
      <c r="AF117" s="27">
        <v>356</v>
      </c>
      <c r="AG117" s="27">
        <v>0</v>
      </c>
      <c r="AH117" s="27">
        <v>0</v>
      </c>
      <c r="AI117" s="27">
        <v>0</v>
      </c>
      <c r="AJ117" s="27">
        <v>0</v>
      </c>
      <c r="AK117" s="26">
        <v>356</v>
      </c>
      <c r="AL117" s="28">
        <v>223232</v>
      </c>
      <c r="AM117" s="54">
        <v>16</v>
      </c>
      <c r="AN117" s="13">
        <v>12468992</v>
      </c>
      <c r="AO117" s="13">
        <v>3571712</v>
      </c>
    </row>
    <row r="118" spans="1:41" s="15" customFormat="1">
      <c r="A118" s="118"/>
      <c r="B118" s="12" t="s">
        <v>65</v>
      </c>
      <c r="C118" s="26"/>
      <c r="D118" s="26"/>
      <c r="E118" s="27"/>
      <c r="F118" s="27">
        <v>60000</v>
      </c>
      <c r="G118" s="27">
        <v>66288</v>
      </c>
      <c r="H118" s="27">
        <v>0</v>
      </c>
      <c r="I118" s="26">
        <v>126288</v>
      </c>
      <c r="J118" s="27">
        <v>29392</v>
      </c>
      <c r="K118" s="27">
        <v>0</v>
      </c>
      <c r="L118" s="27">
        <v>53000</v>
      </c>
      <c r="M118" s="27">
        <v>0</v>
      </c>
      <c r="N118" s="26">
        <v>82392</v>
      </c>
      <c r="O118" s="27">
        <v>150000</v>
      </c>
      <c r="P118" s="27">
        <v>0</v>
      </c>
      <c r="Q118" s="27">
        <v>0</v>
      </c>
      <c r="R118" s="27">
        <v>100000</v>
      </c>
      <c r="S118" s="27">
        <v>0</v>
      </c>
      <c r="T118" s="26">
        <v>250000</v>
      </c>
      <c r="U118" s="28">
        <v>0</v>
      </c>
      <c r="V118" s="27">
        <v>0</v>
      </c>
      <c r="W118" s="27">
        <v>0</v>
      </c>
      <c r="X118" s="27">
        <v>0</v>
      </c>
      <c r="Y118" s="27">
        <v>0</v>
      </c>
      <c r="Z118" s="26">
        <v>0</v>
      </c>
      <c r="AA118" s="27">
        <v>0</v>
      </c>
      <c r="AB118" s="27">
        <v>0</v>
      </c>
      <c r="AC118" s="27">
        <v>0</v>
      </c>
      <c r="AD118" s="27">
        <v>0</v>
      </c>
      <c r="AE118" s="26">
        <v>0</v>
      </c>
      <c r="AF118" s="27">
        <v>0</v>
      </c>
      <c r="AG118" s="27">
        <v>0</v>
      </c>
      <c r="AH118" s="27">
        <v>0</v>
      </c>
      <c r="AI118" s="27">
        <v>0</v>
      </c>
      <c r="AJ118" s="27">
        <v>0</v>
      </c>
      <c r="AK118" s="26">
        <v>0</v>
      </c>
      <c r="AL118" s="28">
        <v>0</v>
      </c>
      <c r="AM118" s="54"/>
      <c r="AN118" s="13">
        <v>0</v>
      </c>
      <c r="AO118" s="13">
        <v>0</v>
      </c>
    </row>
    <row r="119" spans="1:41" s="15" customFormat="1">
      <c r="A119" s="118"/>
      <c r="B119" s="12" t="s">
        <v>66</v>
      </c>
      <c r="C119" s="27">
        <v>0</v>
      </c>
      <c r="D119" s="26">
        <v>0</v>
      </c>
      <c r="E119" s="27"/>
      <c r="F119" s="27">
        <v>0</v>
      </c>
      <c r="G119" s="27">
        <v>0</v>
      </c>
      <c r="H119" s="27">
        <v>0</v>
      </c>
      <c r="I119" s="26">
        <v>0</v>
      </c>
      <c r="J119" s="27">
        <v>0</v>
      </c>
      <c r="K119" s="27">
        <v>0</v>
      </c>
      <c r="L119" s="27">
        <v>0</v>
      </c>
      <c r="M119" s="27">
        <v>0</v>
      </c>
      <c r="N119" s="26">
        <v>0</v>
      </c>
      <c r="O119" s="27">
        <v>0</v>
      </c>
      <c r="P119" s="27">
        <v>0</v>
      </c>
      <c r="Q119" s="27">
        <v>0</v>
      </c>
      <c r="R119" s="27">
        <v>0</v>
      </c>
      <c r="S119" s="27">
        <v>0</v>
      </c>
      <c r="T119" s="26">
        <v>0</v>
      </c>
      <c r="U119" s="28">
        <v>0</v>
      </c>
      <c r="V119" s="27">
        <v>0</v>
      </c>
      <c r="W119" s="27">
        <v>0</v>
      </c>
      <c r="X119" s="27">
        <v>0</v>
      </c>
      <c r="Y119" s="27">
        <v>0</v>
      </c>
      <c r="Z119" s="26">
        <v>0</v>
      </c>
      <c r="AA119" s="27">
        <v>0</v>
      </c>
      <c r="AB119" s="27">
        <v>0</v>
      </c>
      <c r="AC119" s="27">
        <v>0</v>
      </c>
      <c r="AD119" s="27">
        <v>0</v>
      </c>
      <c r="AE119" s="26">
        <v>0</v>
      </c>
      <c r="AF119" s="27">
        <v>0</v>
      </c>
      <c r="AG119" s="27">
        <v>0</v>
      </c>
      <c r="AH119" s="27">
        <v>0</v>
      </c>
      <c r="AI119" s="27">
        <v>0</v>
      </c>
      <c r="AJ119" s="27">
        <v>0</v>
      </c>
      <c r="AK119" s="26">
        <v>0</v>
      </c>
      <c r="AL119" s="28">
        <v>0</v>
      </c>
      <c r="AM119" s="54"/>
      <c r="AN119" s="13">
        <v>0</v>
      </c>
      <c r="AO119" s="13">
        <v>0</v>
      </c>
    </row>
    <row r="120" spans="1:41" s="15" customFormat="1">
      <c r="A120" s="118"/>
      <c r="B120" s="12" t="s">
        <v>7</v>
      </c>
      <c r="C120" s="26"/>
      <c r="D120" s="26"/>
      <c r="E120" s="32"/>
      <c r="F120" s="27">
        <v>60000</v>
      </c>
      <c r="G120" s="27">
        <v>66288</v>
      </c>
      <c r="H120" s="27">
        <v>0</v>
      </c>
      <c r="I120" s="26">
        <v>126288</v>
      </c>
      <c r="J120" s="32">
        <v>29392</v>
      </c>
      <c r="K120" s="27">
        <v>0</v>
      </c>
      <c r="L120" s="27">
        <v>53000</v>
      </c>
      <c r="M120" s="27">
        <v>0</v>
      </c>
      <c r="N120" s="26">
        <v>82392</v>
      </c>
      <c r="O120" s="32">
        <v>150000</v>
      </c>
      <c r="P120" s="27">
        <v>0</v>
      </c>
      <c r="Q120" s="27">
        <v>0</v>
      </c>
      <c r="R120" s="27">
        <v>100000</v>
      </c>
      <c r="S120" s="27">
        <v>0</v>
      </c>
      <c r="T120" s="26">
        <v>250000</v>
      </c>
      <c r="U120" s="28">
        <v>636186</v>
      </c>
      <c r="V120" s="32">
        <v>0</v>
      </c>
      <c r="W120" s="27">
        <v>0</v>
      </c>
      <c r="X120" s="27">
        <v>0</v>
      </c>
      <c r="Y120" s="27">
        <v>0</v>
      </c>
      <c r="Z120" s="26">
        <v>-143126</v>
      </c>
      <c r="AA120" s="32">
        <v>0</v>
      </c>
      <c r="AB120" s="27">
        <v>0</v>
      </c>
      <c r="AC120" s="27">
        <v>0</v>
      </c>
      <c r="AD120" s="27">
        <v>0</v>
      </c>
      <c r="AE120" s="26">
        <v>0</v>
      </c>
      <c r="AF120" s="32">
        <v>0</v>
      </c>
      <c r="AG120" s="27">
        <v>0</v>
      </c>
      <c r="AH120" s="27">
        <v>0</v>
      </c>
      <c r="AI120" s="27">
        <v>0</v>
      </c>
      <c r="AJ120" s="27">
        <v>0</v>
      </c>
      <c r="AK120" s="26">
        <v>0</v>
      </c>
      <c r="AL120" s="28">
        <v>-143126</v>
      </c>
      <c r="AM120" s="54"/>
      <c r="AN120" s="13">
        <v>0</v>
      </c>
      <c r="AO120" s="13">
        <v>0</v>
      </c>
    </row>
    <row r="121" spans="1:41" s="15" customFormat="1" ht="17" thickBot="1">
      <c r="A121" s="119"/>
      <c r="B121" s="4" t="s">
        <v>67</v>
      </c>
      <c r="C121" s="26">
        <v>94136</v>
      </c>
      <c r="D121" s="37">
        <v>177506</v>
      </c>
      <c r="E121" s="21"/>
      <c r="F121" s="21">
        <v>0</v>
      </c>
      <c r="G121" s="21">
        <v>0</v>
      </c>
      <c r="H121" s="21">
        <v>0</v>
      </c>
      <c r="I121" s="20">
        <v>0</v>
      </c>
      <c r="J121" s="21">
        <v>0</v>
      </c>
      <c r="K121" s="21">
        <v>0</v>
      </c>
      <c r="L121" s="21">
        <v>0</v>
      </c>
      <c r="M121" s="21">
        <v>0</v>
      </c>
      <c r="N121" s="20">
        <v>0</v>
      </c>
      <c r="O121" s="21">
        <v>-232588</v>
      </c>
      <c r="P121" s="21">
        <v>-234837</v>
      </c>
      <c r="Q121" s="21">
        <v>-243126</v>
      </c>
      <c r="R121" s="21">
        <v>-143126</v>
      </c>
      <c r="S121" s="21">
        <v>-143126</v>
      </c>
      <c r="T121" s="20">
        <v>-143126</v>
      </c>
      <c r="U121" s="22">
        <v>-143126</v>
      </c>
      <c r="V121" s="21">
        <v>-219370</v>
      </c>
      <c r="W121" s="21">
        <v>-219574</v>
      </c>
      <c r="X121" s="21">
        <v>-235357</v>
      </c>
      <c r="Y121" s="21">
        <v>-235357</v>
      </c>
      <c r="Z121" s="20">
        <v>-235357</v>
      </c>
      <c r="AA121" s="21">
        <v>-352611</v>
      </c>
      <c r="AB121" s="21">
        <v>-352611</v>
      </c>
      <c r="AC121" s="21">
        <v>-366002</v>
      </c>
      <c r="AD121" s="21">
        <v>-366002</v>
      </c>
      <c r="AE121" s="20">
        <v>-366002</v>
      </c>
      <c r="AF121" s="21">
        <v>-366358</v>
      </c>
      <c r="AG121" s="21">
        <v>-366358</v>
      </c>
      <c r="AH121" s="21">
        <v>-366358</v>
      </c>
      <c r="AI121" s="21">
        <v>-366358</v>
      </c>
      <c r="AJ121" s="21">
        <v>-366358</v>
      </c>
      <c r="AK121" s="20">
        <v>-366358</v>
      </c>
      <c r="AL121" s="22">
        <v>-509484</v>
      </c>
      <c r="AM121" s="54"/>
      <c r="AN121" s="13">
        <v>0</v>
      </c>
      <c r="AO121" s="13">
        <v>0</v>
      </c>
    </row>
    <row r="122" spans="1:41" s="15" customFormat="1" ht="17" thickBot="1">
      <c r="A122" s="46"/>
      <c r="B122" s="12" t="s">
        <v>68</v>
      </c>
      <c r="C122" s="26"/>
      <c r="D122" s="26"/>
      <c r="E122" s="19">
        <v>0</v>
      </c>
      <c r="F122" s="19"/>
      <c r="G122" s="19"/>
      <c r="H122" s="19"/>
      <c r="I122" s="23"/>
      <c r="J122" s="19"/>
      <c r="K122" s="19"/>
      <c r="L122" s="19"/>
      <c r="M122" s="19"/>
      <c r="N122" s="23"/>
      <c r="O122" s="19"/>
      <c r="P122" s="19"/>
      <c r="Q122" s="19"/>
      <c r="R122" s="19"/>
      <c r="S122" s="19"/>
      <c r="T122" s="23"/>
      <c r="U122" s="24"/>
      <c r="V122" s="19"/>
      <c r="W122" s="19"/>
      <c r="X122" s="19"/>
      <c r="Y122" s="19"/>
      <c r="Z122" s="23"/>
      <c r="AA122" s="19"/>
      <c r="AB122" s="19"/>
      <c r="AC122" s="19"/>
      <c r="AD122" s="19"/>
      <c r="AE122" s="23"/>
      <c r="AF122" s="19"/>
      <c r="AG122" s="19"/>
      <c r="AH122" s="19"/>
      <c r="AI122" s="19"/>
      <c r="AJ122" s="19"/>
      <c r="AK122" s="23"/>
      <c r="AL122" s="24"/>
      <c r="AM122" s="54"/>
      <c r="AN122" s="13">
        <v>0</v>
      </c>
      <c r="AO122" s="13">
        <v>0</v>
      </c>
    </row>
    <row r="123" spans="1:41" s="15" customFormat="1">
      <c r="A123" s="117" t="s">
        <v>88</v>
      </c>
      <c r="B123" s="3" t="s">
        <v>64</v>
      </c>
      <c r="C123" s="26"/>
      <c r="D123" s="26"/>
      <c r="E123" s="27"/>
      <c r="F123" s="27">
        <v>92948</v>
      </c>
      <c r="G123" s="27">
        <v>2000</v>
      </c>
      <c r="H123" s="27">
        <v>0</v>
      </c>
      <c r="I123" s="26">
        <v>94948</v>
      </c>
      <c r="J123" s="27">
        <v>15800</v>
      </c>
      <c r="K123" s="27">
        <v>39792</v>
      </c>
      <c r="L123" s="27">
        <v>70000</v>
      </c>
      <c r="M123" s="27">
        <v>0</v>
      </c>
      <c r="N123" s="26">
        <v>125592</v>
      </c>
      <c r="O123" s="27">
        <v>142731</v>
      </c>
      <c r="P123" s="27">
        <v>2338</v>
      </c>
      <c r="Q123" s="27">
        <v>82155</v>
      </c>
      <c r="R123" s="27">
        <v>95000</v>
      </c>
      <c r="S123" s="27">
        <v>0</v>
      </c>
      <c r="T123" s="26">
        <v>322224</v>
      </c>
      <c r="U123" s="28">
        <v>718096</v>
      </c>
      <c r="V123" s="27">
        <v>86251</v>
      </c>
      <c r="W123" s="27">
        <v>1364</v>
      </c>
      <c r="X123" s="27">
        <v>12629</v>
      </c>
      <c r="Y123" s="27">
        <v>0</v>
      </c>
      <c r="Z123" s="26">
        <v>100244</v>
      </c>
      <c r="AA123" s="27">
        <v>80859</v>
      </c>
      <c r="AB123" s="27">
        <v>1920</v>
      </c>
      <c r="AC123" s="27">
        <v>30466</v>
      </c>
      <c r="AD123" s="27">
        <v>0</v>
      </c>
      <c r="AE123" s="26">
        <v>113245</v>
      </c>
      <c r="AF123" s="27">
        <v>1419</v>
      </c>
      <c r="AG123" s="27">
        <v>0</v>
      </c>
      <c r="AH123" s="27">
        <v>4591</v>
      </c>
      <c r="AI123" s="27">
        <v>0</v>
      </c>
      <c r="AJ123" s="27">
        <v>0</v>
      </c>
      <c r="AK123" s="26">
        <v>6010</v>
      </c>
      <c r="AL123" s="28">
        <v>219499</v>
      </c>
      <c r="AM123" s="54">
        <v>16</v>
      </c>
      <c r="AN123" s="13">
        <v>11489536</v>
      </c>
      <c r="AO123" s="13">
        <v>3511984</v>
      </c>
    </row>
    <row r="124" spans="1:41" s="15" customFormat="1">
      <c r="A124" s="118"/>
      <c r="B124" s="12" t="s">
        <v>65</v>
      </c>
      <c r="C124" s="26"/>
      <c r="D124" s="26"/>
      <c r="E124" s="27"/>
      <c r="F124" s="27">
        <v>92948</v>
      </c>
      <c r="G124" s="27">
        <v>2000</v>
      </c>
      <c r="H124" s="27">
        <v>0</v>
      </c>
      <c r="I124" s="26">
        <v>94948</v>
      </c>
      <c r="J124" s="27">
        <v>15800</v>
      </c>
      <c r="K124" s="27">
        <v>39792</v>
      </c>
      <c r="L124" s="27">
        <v>70000</v>
      </c>
      <c r="M124" s="27">
        <v>0</v>
      </c>
      <c r="N124" s="26">
        <v>125592</v>
      </c>
      <c r="O124" s="27">
        <v>300000</v>
      </c>
      <c r="P124" s="27">
        <v>0</v>
      </c>
      <c r="Q124" s="27">
        <v>200000</v>
      </c>
      <c r="R124" s="27">
        <v>200000</v>
      </c>
      <c r="S124" s="27">
        <v>0</v>
      </c>
      <c r="T124" s="26">
        <v>700000</v>
      </c>
      <c r="U124" s="28">
        <v>0</v>
      </c>
      <c r="V124" s="27">
        <v>200000</v>
      </c>
      <c r="W124" s="27">
        <v>0</v>
      </c>
      <c r="X124" s="27">
        <v>0</v>
      </c>
      <c r="Y124" s="27">
        <v>0</v>
      </c>
      <c r="Z124" s="26">
        <v>200000</v>
      </c>
      <c r="AA124" s="27">
        <v>0</v>
      </c>
      <c r="AB124" s="27">
        <v>0</v>
      </c>
      <c r="AC124" s="27">
        <v>0</v>
      </c>
      <c r="AD124" s="27">
        <v>0</v>
      </c>
      <c r="AE124" s="26">
        <v>0</v>
      </c>
      <c r="AF124" s="27">
        <v>0</v>
      </c>
      <c r="AG124" s="27">
        <v>0</v>
      </c>
      <c r="AH124" s="27">
        <v>0</v>
      </c>
      <c r="AI124" s="27">
        <v>0</v>
      </c>
      <c r="AJ124" s="27">
        <v>0</v>
      </c>
      <c r="AK124" s="26">
        <v>0</v>
      </c>
      <c r="AL124" s="28">
        <v>0</v>
      </c>
      <c r="AM124" s="54"/>
      <c r="AN124" s="13">
        <v>0</v>
      </c>
      <c r="AO124" s="13">
        <v>0</v>
      </c>
    </row>
    <row r="125" spans="1:41" s="15" customFormat="1">
      <c r="A125" s="118"/>
      <c r="B125" s="12" t="s">
        <v>66</v>
      </c>
      <c r="C125" s="27">
        <v>220000</v>
      </c>
      <c r="D125" s="26">
        <v>220000</v>
      </c>
      <c r="E125" s="27"/>
      <c r="F125" s="27">
        <v>0</v>
      </c>
      <c r="G125" s="27">
        <v>0</v>
      </c>
      <c r="H125" s="27">
        <v>0</v>
      </c>
      <c r="I125" s="26">
        <v>0</v>
      </c>
      <c r="J125" s="27">
        <v>0</v>
      </c>
      <c r="K125" s="27">
        <v>0</v>
      </c>
      <c r="L125" s="27">
        <v>220000</v>
      </c>
      <c r="M125" s="27">
        <v>0</v>
      </c>
      <c r="N125" s="26">
        <v>220000</v>
      </c>
      <c r="O125" s="27">
        <v>0</v>
      </c>
      <c r="P125" s="27">
        <v>0</v>
      </c>
      <c r="Q125" s="27">
        <v>0</v>
      </c>
      <c r="R125" s="27">
        <v>0</v>
      </c>
      <c r="S125" s="27">
        <v>0</v>
      </c>
      <c r="T125" s="26">
        <v>0</v>
      </c>
      <c r="U125" s="28">
        <v>220000</v>
      </c>
      <c r="V125" s="27">
        <v>0</v>
      </c>
      <c r="W125" s="27">
        <v>0</v>
      </c>
      <c r="X125" s="27">
        <v>0</v>
      </c>
      <c r="Y125" s="27">
        <v>0</v>
      </c>
      <c r="Z125" s="26">
        <v>0</v>
      </c>
      <c r="AA125" s="27">
        <v>0</v>
      </c>
      <c r="AB125" s="27">
        <v>0</v>
      </c>
      <c r="AC125" s="27">
        <v>0</v>
      </c>
      <c r="AD125" s="27">
        <v>0</v>
      </c>
      <c r="AE125" s="26">
        <v>0</v>
      </c>
      <c r="AF125" s="27">
        <v>0</v>
      </c>
      <c r="AG125" s="27">
        <v>0</v>
      </c>
      <c r="AH125" s="27">
        <v>0</v>
      </c>
      <c r="AI125" s="27">
        <v>0</v>
      </c>
      <c r="AJ125" s="27">
        <v>0</v>
      </c>
      <c r="AK125" s="26">
        <v>0</v>
      </c>
      <c r="AL125" s="28">
        <v>0</v>
      </c>
      <c r="AM125" s="54"/>
      <c r="AN125" s="13">
        <v>0</v>
      </c>
      <c r="AO125" s="13">
        <v>0</v>
      </c>
    </row>
    <row r="126" spans="1:41" s="15" customFormat="1">
      <c r="A126" s="118"/>
      <c r="B126" s="12" t="s">
        <v>7</v>
      </c>
      <c r="C126" s="26"/>
      <c r="D126" s="26"/>
      <c r="E126" s="32"/>
      <c r="F126" s="27">
        <v>92948</v>
      </c>
      <c r="G126" s="27">
        <v>2000</v>
      </c>
      <c r="H126" s="27">
        <v>0</v>
      </c>
      <c r="I126" s="26">
        <v>94948</v>
      </c>
      <c r="J126" s="32">
        <v>15800</v>
      </c>
      <c r="K126" s="27">
        <v>39792</v>
      </c>
      <c r="L126" s="27">
        <v>290000</v>
      </c>
      <c r="M126" s="27">
        <v>0</v>
      </c>
      <c r="N126" s="26">
        <v>345592</v>
      </c>
      <c r="O126" s="32">
        <v>300000</v>
      </c>
      <c r="P126" s="27">
        <v>0</v>
      </c>
      <c r="Q126" s="27">
        <v>200000</v>
      </c>
      <c r="R126" s="27">
        <v>200000</v>
      </c>
      <c r="S126" s="27">
        <v>0</v>
      </c>
      <c r="T126" s="26">
        <v>700000</v>
      </c>
      <c r="U126" s="28">
        <v>1315872</v>
      </c>
      <c r="V126" s="32">
        <v>200000</v>
      </c>
      <c r="W126" s="27">
        <v>0</v>
      </c>
      <c r="X126" s="27">
        <v>0</v>
      </c>
      <c r="Y126" s="27">
        <v>0</v>
      </c>
      <c r="Z126" s="26">
        <v>797776</v>
      </c>
      <c r="AA126" s="32">
        <v>0</v>
      </c>
      <c r="AB126" s="27">
        <v>0</v>
      </c>
      <c r="AC126" s="27">
        <v>0</v>
      </c>
      <c r="AD126" s="27">
        <v>0</v>
      </c>
      <c r="AE126" s="26">
        <v>0</v>
      </c>
      <c r="AF126" s="32">
        <v>0</v>
      </c>
      <c r="AG126" s="27">
        <v>0</v>
      </c>
      <c r="AH126" s="27">
        <v>0</v>
      </c>
      <c r="AI126" s="27">
        <v>0</v>
      </c>
      <c r="AJ126" s="27">
        <v>0</v>
      </c>
      <c r="AK126" s="26">
        <v>0</v>
      </c>
      <c r="AL126" s="28">
        <v>797776</v>
      </c>
      <c r="AM126" s="54"/>
      <c r="AN126" s="13">
        <v>0</v>
      </c>
      <c r="AO126" s="13">
        <v>0</v>
      </c>
    </row>
    <row r="127" spans="1:41" s="15" customFormat="1" ht="17" thickBot="1">
      <c r="A127" s="119"/>
      <c r="B127" s="4" t="s">
        <v>67</v>
      </c>
      <c r="C127" s="26">
        <v>411248</v>
      </c>
      <c r="D127" s="37">
        <v>175332</v>
      </c>
      <c r="E127" s="21"/>
      <c r="F127" s="21">
        <v>0</v>
      </c>
      <c r="G127" s="21">
        <v>0</v>
      </c>
      <c r="H127" s="21">
        <v>0</v>
      </c>
      <c r="I127" s="20">
        <v>0</v>
      </c>
      <c r="J127" s="21">
        <v>0</v>
      </c>
      <c r="K127" s="21">
        <v>0</v>
      </c>
      <c r="L127" s="21">
        <v>220000</v>
      </c>
      <c r="M127" s="21">
        <v>220000</v>
      </c>
      <c r="N127" s="20">
        <v>220000</v>
      </c>
      <c r="O127" s="21">
        <v>377269</v>
      </c>
      <c r="P127" s="21">
        <v>374931</v>
      </c>
      <c r="Q127" s="21">
        <v>492776</v>
      </c>
      <c r="R127" s="21">
        <v>597776</v>
      </c>
      <c r="S127" s="21">
        <v>597776</v>
      </c>
      <c r="T127" s="20">
        <v>597776</v>
      </c>
      <c r="U127" s="22">
        <v>597776</v>
      </c>
      <c r="V127" s="21">
        <v>711525</v>
      </c>
      <c r="W127" s="21">
        <v>710161</v>
      </c>
      <c r="X127" s="21">
        <v>697532</v>
      </c>
      <c r="Y127" s="21">
        <v>697532</v>
      </c>
      <c r="Z127" s="20">
        <v>697532</v>
      </c>
      <c r="AA127" s="21">
        <v>616673</v>
      </c>
      <c r="AB127" s="21">
        <v>614753</v>
      </c>
      <c r="AC127" s="21">
        <v>584287</v>
      </c>
      <c r="AD127" s="21">
        <v>584287</v>
      </c>
      <c r="AE127" s="20">
        <v>584287</v>
      </c>
      <c r="AF127" s="21">
        <v>582868</v>
      </c>
      <c r="AG127" s="21">
        <v>582868</v>
      </c>
      <c r="AH127" s="21">
        <v>578277</v>
      </c>
      <c r="AI127" s="21">
        <v>578277</v>
      </c>
      <c r="AJ127" s="21">
        <v>578277</v>
      </c>
      <c r="AK127" s="20">
        <v>578277</v>
      </c>
      <c r="AL127" s="22">
        <v>1176053</v>
      </c>
      <c r="AM127" s="54"/>
      <c r="AN127" s="13">
        <v>0</v>
      </c>
      <c r="AO127" s="13">
        <v>0</v>
      </c>
    </row>
    <row r="128" spans="1:41" s="15" customFormat="1" ht="17" thickBot="1">
      <c r="A128" s="46"/>
      <c r="B128" s="12" t="s">
        <v>68</v>
      </c>
      <c r="C128" s="26"/>
      <c r="D128" s="26"/>
      <c r="E128" s="19">
        <v>0</v>
      </c>
      <c r="F128" s="19"/>
      <c r="G128" s="19"/>
      <c r="H128" s="19"/>
      <c r="I128" s="23"/>
      <c r="J128" s="19"/>
      <c r="K128" s="19"/>
      <c r="L128" s="19"/>
      <c r="M128" s="19"/>
      <c r="N128" s="23"/>
      <c r="O128" s="19"/>
      <c r="P128" s="19"/>
      <c r="Q128" s="19"/>
      <c r="R128" s="19"/>
      <c r="S128" s="19"/>
      <c r="T128" s="23"/>
      <c r="U128" s="24"/>
      <c r="V128" s="19"/>
      <c r="W128" s="19"/>
      <c r="X128" s="19"/>
      <c r="Y128" s="19"/>
      <c r="Z128" s="23"/>
      <c r="AA128" s="19"/>
      <c r="AB128" s="19"/>
      <c r="AC128" s="19"/>
      <c r="AD128" s="19"/>
      <c r="AE128" s="23"/>
      <c r="AF128" s="19"/>
      <c r="AG128" s="19"/>
      <c r="AH128" s="19"/>
      <c r="AI128" s="19"/>
      <c r="AJ128" s="19"/>
      <c r="AK128" s="23"/>
      <c r="AL128" s="24"/>
      <c r="AM128" s="54"/>
      <c r="AN128" s="13">
        <v>0</v>
      </c>
      <c r="AO128" s="13">
        <v>0</v>
      </c>
    </row>
    <row r="129" spans="1:41" s="15" customFormat="1">
      <c r="A129" s="117" t="s">
        <v>89</v>
      </c>
      <c r="B129" s="3" t="s">
        <v>64</v>
      </c>
      <c r="C129" s="26"/>
      <c r="D129" s="26"/>
      <c r="E129" s="27"/>
      <c r="F129" s="27">
        <v>50000</v>
      </c>
      <c r="G129" s="27">
        <v>150649</v>
      </c>
      <c r="H129" s="27">
        <v>0</v>
      </c>
      <c r="I129" s="26">
        <v>200649</v>
      </c>
      <c r="J129" s="27">
        <v>54471</v>
      </c>
      <c r="K129" s="27">
        <v>0</v>
      </c>
      <c r="L129" s="27">
        <v>71896</v>
      </c>
      <c r="M129" s="27">
        <v>0</v>
      </c>
      <c r="N129" s="26">
        <v>126367</v>
      </c>
      <c r="O129" s="27">
        <v>96298</v>
      </c>
      <c r="P129" s="27">
        <v>940</v>
      </c>
      <c r="Q129" s="27">
        <v>4309</v>
      </c>
      <c r="R129" s="27">
        <v>0</v>
      </c>
      <c r="S129" s="27">
        <v>0</v>
      </c>
      <c r="T129" s="26">
        <v>101547</v>
      </c>
      <c r="U129" s="28">
        <v>645794</v>
      </c>
      <c r="V129" s="27">
        <v>41896</v>
      </c>
      <c r="W129" s="27">
        <v>844</v>
      </c>
      <c r="X129" s="27">
        <v>17352</v>
      </c>
      <c r="Y129" s="27">
        <v>0</v>
      </c>
      <c r="Z129" s="26">
        <v>60092</v>
      </c>
      <c r="AA129" s="27">
        <v>63460</v>
      </c>
      <c r="AB129" s="27">
        <v>0</v>
      </c>
      <c r="AC129" s="27">
        <v>10758</v>
      </c>
      <c r="AD129" s="27">
        <v>0</v>
      </c>
      <c r="AE129" s="26">
        <v>74218</v>
      </c>
      <c r="AF129" s="27">
        <v>143</v>
      </c>
      <c r="AG129" s="27">
        <v>0</v>
      </c>
      <c r="AH129" s="27">
        <v>0</v>
      </c>
      <c r="AI129" s="27">
        <v>0</v>
      </c>
      <c r="AJ129" s="27">
        <v>0</v>
      </c>
      <c r="AK129" s="26">
        <v>143</v>
      </c>
      <c r="AL129" s="28">
        <v>134453</v>
      </c>
      <c r="AM129" s="54">
        <v>16</v>
      </c>
      <c r="AN129" s="13">
        <v>10332704</v>
      </c>
      <c r="AO129" s="13">
        <v>2151248</v>
      </c>
    </row>
    <row r="130" spans="1:41" s="15" customFormat="1">
      <c r="A130" s="118"/>
      <c r="B130" s="12" t="s">
        <v>65</v>
      </c>
      <c r="C130" s="26"/>
      <c r="D130" s="26"/>
      <c r="E130" s="27"/>
      <c r="F130" s="27">
        <v>50000</v>
      </c>
      <c r="G130" s="27">
        <v>150649</v>
      </c>
      <c r="H130" s="27">
        <v>0</v>
      </c>
      <c r="I130" s="26">
        <v>200649</v>
      </c>
      <c r="J130" s="27">
        <v>54471</v>
      </c>
      <c r="K130" s="27">
        <v>0</v>
      </c>
      <c r="L130" s="27">
        <v>71896</v>
      </c>
      <c r="M130" s="27">
        <v>0</v>
      </c>
      <c r="N130" s="26">
        <v>126367</v>
      </c>
      <c r="O130" s="27">
        <v>126000</v>
      </c>
      <c r="P130" s="27">
        <v>0</v>
      </c>
      <c r="Q130" s="27">
        <v>0</v>
      </c>
      <c r="R130" s="27">
        <v>100000</v>
      </c>
      <c r="S130" s="27">
        <v>0</v>
      </c>
      <c r="T130" s="26">
        <v>226000</v>
      </c>
      <c r="U130" s="28">
        <v>0</v>
      </c>
      <c r="V130" s="27">
        <v>0</v>
      </c>
      <c r="W130" s="27">
        <v>0</v>
      </c>
      <c r="X130" s="27">
        <v>0</v>
      </c>
      <c r="Y130" s="27">
        <v>0</v>
      </c>
      <c r="Z130" s="26">
        <v>0</v>
      </c>
      <c r="AA130" s="27">
        <v>0</v>
      </c>
      <c r="AB130" s="27">
        <v>0</v>
      </c>
      <c r="AC130" s="27">
        <v>0</v>
      </c>
      <c r="AD130" s="27">
        <v>0</v>
      </c>
      <c r="AE130" s="26">
        <v>0</v>
      </c>
      <c r="AF130" s="27">
        <v>0</v>
      </c>
      <c r="AG130" s="27">
        <v>0</v>
      </c>
      <c r="AH130" s="27">
        <v>0</v>
      </c>
      <c r="AI130" s="27">
        <v>0</v>
      </c>
      <c r="AJ130" s="27">
        <v>0</v>
      </c>
      <c r="AK130" s="26">
        <v>0</v>
      </c>
      <c r="AL130" s="28">
        <v>0</v>
      </c>
      <c r="AM130" s="54"/>
      <c r="AN130" s="13">
        <v>0</v>
      </c>
      <c r="AO130" s="13">
        <v>0</v>
      </c>
    </row>
    <row r="131" spans="1:41" s="15" customFormat="1">
      <c r="A131" s="118"/>
      <c r="B131" s="12" t="s">
        <v>66</v>
      </c>
      <c r="C131" s="27">
        <v>0</v>
      </c>
      <c r="D131" s="26">
        <v>0</v>
      </c>
      <c r="E131" s="27"/>
      <c r="F131" s="27">
        <v>0</v>
      </c>
      <c r="G131" s="27">
        <v>0</v>
      </c>
      <c r="H131" s="27">
        <v>0</v>
      </c>
      <c r="I131" s="26">
        <v>0</v>
      </c>
      <c r="J131" s="27">
        <v>0</v>
      </c>
      <c r="K131" s="27">
        <v>0</v>
      </c>
      <c r="L131" s="27">
        <v>0</v>
      </c>
      <c r="M131" s="27">
        <v>0</v>
      </c>
      <c r="N131" s="26">
        <v>0</v>
      </c>
      <c r="O131" s="27">
        <v>0</v>
      </c>
      <c r="P131" s="27">
        <v>0</v>
      </c>
      <c r="Q131" s="27">
        <v>0</v>
      </c>
      <c r="R131" s="27">
        <v>0</v>
      </c>
      <c r="S131" s="27">
        <v>0</v>
      </c>
      <c r="T131" s="26">
        <v>0</v>
      </c>
      <c r="U131" s="28">
        <v>0</v>
      </c>
      <c r="V131" s="27">
        <v>0</v>
      </c>
      <c r="W131" s="27">
        <v>0</v>
      </c>
      <c r="X131" s="27">
        <v>0</v>
      </c>
      <c r="Y131" s="27">
        <v>0</v>
      </c>
      <c r="Z131" s="26">
        <v>0</v>
      </c>
      <c r="AA131" s="27">
        <v>0</v>
      </c>
      <c r="AB131" s="27">
        <v>0</v>
      </c>
      <c r="AC131" s="27">
        <v>0</v>
      </c>
      <c r="AD131" s="27">
        <v>0</v>
      </c>
      <c r="AE131" s="26">
        <v>0</v>
      </c>
      <c r="AF131" s="27">
        <v>0</v>
      </c>
      <c r="AG131" s="27">
        <v>0</v>
      </c>
      <c r="AH131" s="27">
        <v>0</v>
      </c>
      <c r="AI131" s="27">
        <v>0</v>
      </c>
      <c r="AJ131" s="27">
        <v>0</v>
      </c>
      <c r="AK131" s="26">
        <v>0</v>
      </c>
      <c r="AL131" s="28">
        <v>0</v>
      </c>
      <c r="AM131" s="54"/>
      <c r="AN131" s="13">
        <v>0</v>
      </c>
      <c r="AO131" s="13">
        <v>0</v>
      </c>
    </row>
    <row r="132" spans="1:41" s="15" customFormat="1">
      <c r="A132" s="118"/>
      <c r="B132" s="12" t="s">
        <v>7</v>
      </c>
      <c r="C132" s="26"/>
      <c r="D132" s="26"/>
      <c r="E132" s="32"/>
      <c r="F132" s="27">
        <v>50000</v>
      </c>
      <c r="G132" s="27">
        <v>150649</v>
      </c>
      <c r="H132" s="27">
        <v>0</v>
      </c>
      <c r="I132" s="26">
        <v>200649</v>
      </c>
      <c r="J132" s="32">
        <v>54471</v>
      </c>
      <c r="K132" s="27">
        <v>0</v>
      </c>
      <c r="L132" s="27">
        <v>71896</v>
      </c>
      <c r="M132" s="27">
        <v>0</v>
      </c>
      <c r="N132" s="26">
        <v>126367</v>
      </c>
      <c r="O132" s="32">
        <v>126000</v>
      </c>
      <c r="P132" s="27">
        <v>0</v>
      </c>
      <c r="Q132" s="27">
        <v>0</v>
      </c>
      <c r="R132" s="27">
        <v>100000</v>
      </c>
      <c r="S132" s="27">
        <v>0</v>
      </c>
      <c r="T132" s="26">
        <v>226000</v>
      </c>
      <c r="U132" s="28">
        <v>770247</v>
      </c>
      <c r="V132" s="32">
        <v>0</v>
      </c>
      <c r="W132" s="27">
        <v>0</v>
      </c>
      <c r="X132" s="27">
        <v>0</v>
      </c>
      <c r="Y132" s="27">
        <v>0</v>
      </c>
      <c r="Z132" s="26">
        <v>124453</v>
      </c>
      <c r="AA132" s="32">
        <v>0</v>
      </c>
      <c r="AB132" s="27">
        <v>0</v>
      </c>
      <c r="AC132" s="27">
        <v>0</v>
      </c>
      <c r="AD132" s="27">
        <v>0</v>
      </c>
      <c r="AE132" s="26">
        <v>0</v>
      </c>
      <c r="AF132" s="32">
        <v>0</v>
      </c>
      <c r="AG132" s="27">
        <v>0</v>
      </c>
      <c r="AH132" s="27">
        <v>0</v>
      </c>
      <c r="AI132" s="27">
        <v>0</v>
      </c>
      <c r="AJ132" s="27">
        <v>0</v>
      </c>
      <c r="AK132" s="26">
        <v>0</v>
      </c>
      <c r="AL132" s="28">
        <v>124453</v>
      </c>
      <c r="AM132" s="54"/>
      <c r="AN132" s="13">
        <v>0</v>
      </c>
      <c r="AO132" s="13">
        <v>0</v>
      </c>
    </row>
    <row r="133" spans="1:41" s="15" customFormat="1" ht="17" thickBot="1">
      <c r="A133" s="119"/>
      <c r="B133" s="4" t="s">
        <v>67</v>
      </c>
      <c r="C133" s="26">
        <v>352378</v>
      </c>
      <c r="D133" s="37">
        <v>217231</v>
      </c>
      <c r="E133" s="21"/>
      <c r="F133" s="21">
        <v>0</v>
      </c>
      <c r="G133" s="21">
        <v>0</v>
      </c>
      <c r="H133" s="21">
        <v>0</v>
      </c>
      <c r="I133" s="20">
        <v>0</v>
      </c>
      <c r="J133" s="21">
        <v>0</v>
      </c>
      <c r="K133" s="21">
        <v>0</v>
      </c>
      <c r="L133" s="21">
        <v>0</v>
      </c>
      <c r="M133" s="21">
        <v>0</v>
      </c>
      <c r="N133" s="20">
        <v>0</v>
      </c>
      <c r="O133" s="21">
        <v>29702</v>
      </c>
      <c r="P133" s="21">
        <v>28762</v>
      </c>
      <c r="Q133" s="21">
        <v>24453</v>
      </c>
      <c r="R133" s="21">
        <v>124453</v>
      </c>
      <c r="S133" s="21">
        <v>124453</v>
      </c>
      <c r="T133" s="20">
        <v>124453</v>
      </c>
      <c r="U133" s="22">
        <v>124453</v>
      </c>
      <c r="V133" s="21">
        <v>82557</v>
      </c>
      <c r="W133" s="21">
        <v>81713</v>
      </c>
      <c r="X133" s="21">
        <v>64361</v>
      </c>
      <c r="Y133" s="21">
        <v>64361</v>
      </c>
      <c r="Z133" s="20">
        <v>64361</v>
      </c>
      <c r="AA133" s="21">
        <v>901</v>
      </c>
      <c r="AB133" s="21">
        <v>901</v>
      </c>
      <c r="AC133" s="21">
        <v>-9857</v>
      </c>
      <c r="AD133" s="21">
        <v>-9857</v>
      </c>
      <c r="AE133" s="20">
        <v>-9857</v>
      </c>
      <c r="AF133" s="21">
        <v>-10000</v>
      </c>
      <c r="AG133" s="21">
        <v>-10000</v>
      </c>
      <c r="AH133" s="21">
        <v>-10000</v>
      </c>
      <c r="AI133" s="21">
        <v>-10000</v>
      </c>
      <c r="AJ133" s="21">
        <v>-10000</v>
      </c>
      <c r="AK133" s="20">
        <v>-10000</v>
      </c>
      <c r="AL133" s="22">
        <v>114453</v>
      </c>
      <c r="AM133" s="54"/>
      <c r="AN133" s="13">
        <v>0</v>
      </c>
      <c r="AO133" s="13">
        <v>0</v>
      </c>
    </row>
    <row r="134" spans="1:41" s="15" customFormat="1" ht="17" thickBot="1">
      <c r="A134" s="46"/>
      <c r="B134" s="12" t="s">
        <v>68</v>
      </c>
      <c r="C134" s="26"/>
      <c r="D134" s="26"/>
      <c r="E134" s="19">
        <v>0</v>
      </c>
      <c r="F134" s="19"/>
      <c r="G134" s="19"/>
      <c r="H134" s="19"/>
      <c r="I134" s="23"/>
      <c r="J134" s="19"/>
      <c r="K134" s="19"/>
      <c r="L134" s="19"/>
      <c r="M134" s="19"/>
      <c r="N134" s="23"/>
      <c r="O134" s="19"/>
      <c r="P134" s="19"/>
      <c r="Q134" s="19"/>
      <c r="R134" s="19"/>
      <c r="S134" s="19"/>
      <c r="T134" s="23"/>
      <c r="U134" s="24"/>
      <c r="V134" s="19"/>
      <c r="W134" s="19"/>
      <c r="X134" s="19"/>
      <c r="Y134" s="19"/>
      <c r="Z134" s="23"/>
      <c r="AA134" s="19"/>
      <c r="AB134" s="19"/>
      <c r="AC134" s="19"/>
      <c r="AD134" s="19"/>
      <c r="AE134" s="23"/>
      <c r="AF134" s="19"/>
      <c r="AG134" s="19"/>
      <c r="AH134" s="19"/>
      <c r="AI134" s="19"/>
      <c r="AJ134" s="19"/>
      <c r="AK134" s="23"/>
      <c r="AL134" s="24"/>
      <c r="AM134" s="54"/>
      <c r="AN134" s="13">
        <v>0</v>
      </c>
      <c r="AO134" s="13">
        <v>0</v>
      </c>
    </row>
    <row r="135" spans="1:41" s="15" customFormat="1">
      <c r="A135" s="117" t="s">
        <v>90</v>
      </c>
      <c r="B135" s="3" t="s">
        <v>64</v>
      </c>
      <c r="C135" s="26"/>
      <c r="D135" s="26"/>
      <c r="E135" s="27"/>
      <c r="F135" s="27">
        <v>0</v>
      </c>
      <c r="G135" s="27">
        <v>0</v>
      </c>
      <c r="H135" s="27">
        <v>0</v>
      </c>
      <c r="I135" s="26">
        <v>0</v>
      </c>
      <c r="J135" s="27">
        <v>0</v>
      </c>
      <c r="K135" s="27">
        <v>0</v>
      </c>
      <c r="L135" s="27">
        <v>0</v>
      </c>
      <c r="M135" s="27">
        <v>0</v>
      </c>
      <c r="N135" s="26">
        <v>0</v>
      </c>
      <c r="O135" s="27">
        <v>0</v>
      </c>
      <c r="P135" s="27">
        <v>0</v>
      </c>
      <c r="Q135" s="27">
        <v>0</v>
      </c>
      <c r="R135" s="27">
        <v>0</v>
      </c>
      <c r="S135" s="27">
        <v>0</v>
      </c>
      <c r="T135" s="26">
        <v>0</v>
      </c>
      <c r="U135" s="28">
        <v>611</v>
      </c>
      <c r="V135" s="27">
        <v>0</v>
      </c>
      <c r="W135" s="27">
        <v>0</v>
      </c>
      <c r="X135" s="27">
        <v>0</v>
      </c>
      <c r="Y135" s="27">
        <v>0</v>
      </c>
      <c r="Z135" s="26">
        <v>0</v>
      </c>
      <c r="AA135" s="27">
        <v>0</v>
      </c>
      <c r="AB135" s="27">
        <v>0</v>
      </c>
      <c r="AC135" s="27">
        <v>0</v>
      </c>
      <c r="AD135" s="27">
        <v>0</v>
      </c>
      <c r="AE135" s="26">
        <v>0</v>
      </c>
      <c r="AF135" s="27">
        <v>0</v>
      </c>
      <c r="AG135" s="27">
        <v>0</v>
      </c>
      <c r="AH135" s="27">
        <v>0</v>
      </c>
      <c r="AI135" s="27">
        <v>0</v>
      </c>
      <c r="AJ135" s="27">
        <v>0</v>
      </c>
      <c r="AK135" s="26">
        <v>0</v>
      </c>
      <c r="AL135" s="28">
        <v>0</v>
      </c>
      <c r="AM135" s="54">
        <v>32</v>
      </c>
      <c r="AN135" s="13">
        <v>19552</v>
      </c>
      <c r="AO135" s="13">
        <v>0</v>
      </c>
    </row>
    <row r="136" spans="1:41" s="15" customFormat="1">
      <c r="A136" s="118"/>
      <c r="B136" s="12" t="s">
        <v>65</v>
      </c>
      <c r="C136" s="26"/>
      <c r="D136" s="26"/>
      <c r="E136" s="27"/>
      <c r="F136" s="27">
        <v>0</v>
      </c>
      <c r="G136" s="27">
        <v>0</v>
      </c>
      <c r="H136" s="27">
        <v>0</v>
      </c>
      <c r="I136" s="26">
        <v>0</v>
      </c>
      <c r="J136" s="27">
        <v>0</v>
      </c>
      <c r="K136" s="27">
        <v>0</v>
      </c>
      <c r="L136" s="27">
        <v>0</v>
      </c>
      <c r="M136" s="27">
        <v>0</v>
      </c>
      <c r="N136" s="26">
        <v>0</v>
      </c>
      <c r="O136" s="27">
        <v>0</v>
      </c>
      <c r="P136" s="27">
        <v>0</v>
      </c>
      <c r="Q136" s="27">
        <v>0</v>
      </c>
      <c r="R136" s="27">
        <v>0</v>
      </c>
      <c r="S136" s="27">
        <v>0</v>
      </c>
      <c r="T136" s="26">
        <v>0</v>
      </c>
      <c r="U136" s="28">
        <v>0</v>
      </c>
      <c r="V136" s="27">
        <v>0</v>
      </c>
      <c r="W136" s="27">
        <v>0</v>
      </c>
      <c r="X136" s="27">
        <v>0</v>
      </c>
      <c r="Y136" s="27">
        <v>0</v>
      </c>
      <c r="Z136" s="26">
        <v>0</v>
      </c>
      <c r="AA136" s="27">
        <v>0</v>
      </c>
      <c r="AB136" s="27">
        <v>0</v>
      </c>
      <c r="AC136" s="27">
        <v>0</v>
      </c>
      <c r="AD136" s="27">
        <v>0</v>
      </c>
      <c r="AE136" s="26">
        <v>0</v>
      </c>
      <c r="AF136" s="27">
        <v>0</v>
      </c>
      <c r="AG136" s="27">
        <v>0</v>
      </c>
      <c r="AH136" s="27">
        <v>0</v>
      </c>
      <c r="AI136" s="27">
        <v>0</v>
      </c>
      <c r="AJ136" s="27">
        <v>0</v>
      </c>
      <c r="AK136" s="26">
        <v>0</v>
      </c>
      <c r="AL136" s="28">
        <v>0</v>
      </c>
      <c r="AM136" s="54"/>
      <c r="AN136" s="13">
        <v>0</v>
      </c>
      <c r="AO136" s="13">
        <v>0</v>
      </c>
    </row>
    <row r="137" spans="1:41" s="15" customFormat="1">
      <c r="A137" s="118"/>
      <c r="B137" s="12" t="s">
        <v>66</v>
      </c>
      <c r="C137" s="27">
        <v>0</v>
      </c>
      <c r="D137" s="26">
        <v>0</v>
      </c>
      <c r="E137" s="27"/>
      <c r="F137" s="27">
        <v>0</v>
      </c>
      <c r="G137" s="27">
        <v>0</v>
      </c>
      <c r="H137" s="27">
        <v>0</v>
      </c>
      <c r="I137" s="26">
        <v>0</v>
      </c>
      <c r="J137" s="27">
        <v>0</v>
      </c>
      <c r="K137" s="27">
        <v>0</v>
      </c>
      <c r="L137" s="27">
        <v>0</v>
      </c>
      <c r="M137" s="27">
        <v>0</v>
      </c>
      <c r="N137" s="26">
        <v>0</v>
      </c>
      <c r="O137" s="27">
        <v>0</v>
      </c>
      <c r="P137" s="27">
        <v>0</v>
      </c>
      <c r="Q137" s="27">
        <v>0</v>
      </c>
      <c r="R137" s="27">
        <v>0</v>
      </c>
      <c r="S137" s="27">
        <v>0</v>
      </c>
      <c r="T137" s="26">
        <v>0</v>
      </c>
      <c r="U137" s="28">
        <v>0</v>
      </c>
      <c r="V137" s="27">
        <v>0</v>
      </c>
      <c r="W137" s="27">
        <v>0</v>
      </c>
      <c r="X137" s="27">
        <v>0</v>
      </c>
      <c r="Y137" s="27">
        <v>0</v>
      </c>
      <c r="Z137" s="26">
        <v>0</v>
      </c>
      <c r="AA137" s="27">
        <v>0</v>
      </c>
      <c r="AB137" s="27">
        <v>0</v>
      </c>
      <c r="AC137" s="27">
        <v>0</v>
      </c>
      <c r="AD137" s="27">
        <v>0</v>
      </c>
      <c r="AE137" s="26">
        <v>0</v>
      </c>
      <c r="AF137" s="27">
        <v>0</v>
      </c>
      <c r="AG137" s="27">
        <v>0</v>
      </c>
      <c r="AH137" s="27">
        <v>0</v>
      </c>
      <c r="AI137" s="27">
        <v>0</v>
      </c>
      <c r="AJ137" s="27">
        <v>0</v>
      </c>
      <c r="AK137" s="26">
        <v>0</v>
      </c>
      <c r="AL137" s="28">
        <v>0</v>
      </c>
      <c r="AM137" s="54"/>
      <c r="AN137" s="13">
        <v>0</v>
      </c>
      <c r="AO137" s="13">
        <v>0</v>
      </c>
    </row>
    <row r="138" spans="1:41" s="15" customFormat="1">
      <c r="A138" s="118"/>
      <c r="B138" s="12" t="s">
        <v>7</v>
      </c>
      <c r="C138" s="26"/>
      <c r="D138" s="26"/>
      <c r="E138" s="32"/>
      <c r="F138" s="27">
        <v>0</v>
      </c>
      <c r="G138" s="27">
        <v>0</v>
      </c>
      <c r="H138" s="27">
        <v>0</v>
      </c>
      <c r="I138" s="26">
        <v>0</v>
      </c>
      <c r="J138" s="32">
        <v>0</v>
      </c>
      <c r="K138" s="27">
        <v>0</v>
      </c>
      <c r="L138" s="27">
        <v>0</v>
      </c>
      <c r="M138" s="27">
        <v>0</v>
      </c>
      <c r="N138" s="26">
        <v>0</v>
      </c>
      <c r="O138" s="32">
        <v>0</v>
      </c>
      <c r="P138" s="27">
        <v>0</v>
      </c>
      <c r="Q138" s="27">
        <v>0</v>
      </c>
      <c r="R138" s="27">
        <v>0</v>
      </c>
      <c r="S138" s="27">
        <v>0</v>
      </c>
      <c r="T138" s="26">
        <v>0</v>
      </c>
      <c r="U138" s="28">
        <v>611</v>
      </c>
      <c r="V138" s="32">
        <v>0</v>
      </c>
      <c r="W138" s="27">
        <v>0</v>
      </c>
      <c r="X138" s="27">
        <v>0</v>
      </c>
      <c r="Y138" s="27">
        <v>0</v>
      </c>
      <c r="Z138" s="26">
        <v>0</v>
      </c>
      <c r="AA138" s="32">
        <v>0</v>
      </c>
      <c r="AB138" s="27">
        <v>0</v>
      </c>
      <c r="AC138" s="27">
        <v>0</v>
      </c>
      <c r="AD138" s="27">
        <v>0</v>
      </c>
      <c r="AE138" s="26">
        <v>0</v>
      </c>
      <c r="AF138" s="32">
        <v>0</v>
      </c>
      <c r="AG138" s="27">
        <v>0</v>
      </c>
      <c r="AH138" s="27">
        <v>0</v>
      </c>
      <c r="AI138" s="27">
        <v>0</v>
      </c>
      <c r="AJ138" s="27">
        <v>0</v>
      </c>
      <c r="AK138" s="26">
        <v>0</v>
      </c>
      <c r="AL138" s="28">
        <v>0</v>
      </c>
      <c r="AM138" s="54"/>
      <c r="AN138" s="13">
        <v>0</v>
      </c>
      <c r="AO138" s="13">
        <v>0</v>
      </c>
    </row>
    <row r="139" spans="1:41" s="15" customFormat="1" ht="17" thickBot="1">
      <c r="A139" s="119"/>
      <c r="B139" s="4" t="s">
        <v>67</v>
      </c>
      <c r="C139" s="26">
        <v>6597</v>
      </c>
      <c r="D139" s="37">
        <v>611</v>
      </c>
      <c r="E139" s="21"/>
      <c r="F139" s="21">
        <v>0</v>
      </c>
      <c r="G139" s="21">
        <v>0</v>
      </c>
      <c r="H139" s="21">
        <v>0</v>
      </c>
      <c r="I139" s="20">
        <v>0</v>
      </c>
      <c r="J139" s="21">
        <v>0</v>
      </c>
      <c r="K139" s="21">
        <v>0</v>
      </c>
      <c r="L139" s="21">
        <v>0</v>
      </c>
      <c r="M139" s="21">
        <v>0</v>
      </c>
      <c r="N139" s="20">
        <v>0</v>
      </c>
      <c r="O139" s="21">
        <v>0</v>
      </c>
      <c r="P139" s="21">
        <v>0</v>
      </c>
      <c r="Q139" s="21">
        <v>0</v>
      </c>
      <c r="R139" s="21">
        <v>0</v>
      </c>
      <c r="S139" s="21">
        <v>0</v>
      </c>
      <c r="T139" s="20">
        <v>0</v>
      </c>
      <c r="U139" s="22">
        <v>0</v>
      </c>
      <c r="V139" s="21">
        <v>0</v>
      </c>
      <c r="W139" s="21">
        <v>0</v>
      </c>
      <c r="X139" s="21">
        <v>0</v>
      </c>
      <c r="Y139" s="21">
        <v>0</v>
      </c>
      <c r="Z139" s="20">
        <v>0</v>
      </c>
      <c r="AA139" s="21">
        <v>0</v>
      </c>
      <c r="AB139" s="21">
        <v>0</v>
      </c>
      <c r="AC139" s="21">
        <v>0</v>
      </c>
      <c r="AD139" s="21">
        <v>0</v>
      </c>
      <c r="AE139" s="20">
        <v>0</v>
      </c>
      <c r="AF139" s="21">
        <v>0</v>
      </c>
      <c r="AG139" s="21">
        <v>0</v>
      </c>
      <c r="AH139" s="21">
        <v>0</v>
      </c>
      <c r="AI139" s="21">
        <v>0</v>
      </c>
      <c r="AJ139" s="21">
        <v>0</v>
      </c>
      <c r="AK139" s="20">
        <v>0</v>
      </c>
      <c r="AL139" s="22">
        <v>0</v>
      </c>
      <c r="AM139" s="54"/>
      <c r="AN139" s="13">
        <v>0</v>
      </c>
      <c r="AO139" s="13">
        <v>0</v>
      </c>
    </row>
    <row r="140" spans="1:41" s="15" customFormat="1" ht="17" thickBot="1">
      <c r="A140" s="46"/>
      <c r="B140" s="12" t="s">
        <v>68</v>
      </c>
      <c r="C140" s="26"/>
      <c r="D140" s="26"/>
      <c r="E140" s="19"/>
      <c r="F140" s="19"/>
      <c r="G140" s="19"/>
      <c r="H140" s="19"/>
      <c r="I140" s="23"/>
      <c r="J140" s="19"/>
      <c r="K140" s="19"/>
      <c r="L140" s="19"/>
      <c r="M140" s="19"/>
      <c r="N140" s="23"/>
      <c r="O140" s="19"/>
      <c r="P140" s="19"/>
      <c r="Q140" s="19"/>
      <c r="R140" s="19"/>
      <c r="S140" s="19"/>
      <c r="T140" s="23"/>
      <c r="U140" s="24"/>
      <c r="V140" s="19"/>
      <c r="W140" s="19"/>
      <c r="X140" s="19"/>
      <c r="Y140" s="19"/>
      <c r="Z140" s="23"/>
      <c r="AA140" s="19"/>
      <c r="AB140" s="19"/>
      <c r="AC140" s="19"/>
      <c r="AD140" s="19"/>
      <c r="AE140" s="23"/>
      <c r="AF140" s="19"/>
      <c r="AG140" s="19"/>
      <c r="AH140" s="19"/>
      <c r="AI140" s="19"/>
      <c r="AJ140" s="19"/>
      <c r="AK140" s="23"/>
      <c r="AL140" s="24"/>
      <c r="AM140" s="54"/>
      <c r="AN140" s="13">
        <v>0</v>
      </c>
      <c r="AO140" s="13">
        <v>0</v>
      </c>
    </row>
    <row r="141" spans="1:41" s="15" customFormat="1">
      <c r="A141" s="117" t="s">
        <v>91</v>
      </c>
      <c r="B141" s="3" t="s">
        <v>64</v>
      </c>
      <c r="C141" s="26"/>
      <c r="D141" s="26"/>
      <c r="E141" s="27"/>
      <c r="F141" s="27">
        <v>0</v>
      </c>
      <c r="G141" s="27">
        <v>4000</v>
      </c>
      <c r="H141" s="27">
        <v>0</v>
      </c>
      <c r="I141" s="26">
        <v>4000</v>
      </c>
      <c r="J141" s="27">
        <v>0</v>
      </c>
      <c r="K141" s="27">
        <v>8000</v>
      </c>
      <c r="L141" s="27">
        <v>25600</v>
      </c>
      <c r="M141" s="27">
        <v>0</v>
      </c>
      <c r="N141" s="26">
        <v>33600</v>
      </c>
      <c r="O141" s="27">
        <v>29302</v>
      </c>
      <c r="P141" s="27">
        <v>4192</v>
      </c>
      <c r="Q141" s="27">
        <v>8750</v>
      </c>
      <c r="R141" s="27">
        <v>0</v>
      </c>
      <c r="S141" s="27">
        <v>0</v>
      </c>
      <c r="T141" s="26">
        <v>42244</v>
      </c>
      <c r="U141" s="28">
        <v>201751</v>
      </c>
      <c r="V141" s="27">
        <v>10907</v>
      </c>
      <c r="W141" s="27">
        <v>3277</v>
      </c>
      <c r="X141" s="27">
        <v>188</v>
      </c>
      <c r="Y141" s="27">
        <v>0</v>
      </c>
      <c r="Z141" s="26">
        <v>14372</v>
      </c>
      <c r="AA141" s="27">
        <v>8675</v>
      </c>
      <c r="AB141" s="27">
        <v>0</v>
      </c>
      <c r="AC141" s="27">
        <v>1326</v>
      </c>
      <c r="AD141" s="27">
        <v>0</v>
      </c>
      <c r="AE141" s="26">
        <v>10001</v>
      </c>
      <c r="AF141" s="27">
        <v>0</v>
      </c>
      <c r="AG141" s="27">
        <v>0</v>
      </c>
      <c r="AH141" s="27">
        <v>0</v>
      </c>
      <c r="AI141" s="27">
        <v>0</v>
      </c>
      <c r="AJ141" s="27">
        <v>0</v>
      </c>
      <c r="AK141" s="26">
        <v>0</v>
      </c>
      <c r="AL141" s="28">
        <v>24373</v>
      </c>
      <c r="AM141" s="54">
        <v>32</v>
      </c>
      <c r="AN141" s="13">
        <v>6456032</v>
      </c>
      <c r="AO141" s="13">
        <v>779936</v>
      </c>
    </row>
    <row r="142" spans="1:41" s="15" customFormat="1">
      <c r="A142" s="118"/>
      <c r="B142" s="12" t="s">
        <v>65</v>
      </c>
      <c r="C142" s="26"/>
      <c r="D142" s="26"/>
      <c r="E142" s="27"/>
      <c r="F142" s="27">
        <v>0</v>
      </c>
      <c r="G142" s="27">
        <v>4000</v>
      </c>
      <c r="H142" s="27">
        <v>0</v>
      </c>
      <c r="I142" s="26">
        <v>4000</v>
      </c>
      <c r="J142" s="27">
        <v>0</v>
      </c>
      <c r="K142" s="27">
        <v>8000</v>
      </c>
      <c r="L142" s="27">
        <v>25600</v>
      </c>
      <c r="M142" s="27">
        <v>0</v>
      </c>
      <c r="N142" s="26">
        <v>33600</v>
      </c>
      <c r="O142" s="27">
        <v>20000</v>
      </c>
      <c r="P142" s="27">
        <v>0</v>
      </c>
      <c r="Q142" s="27">
        <v>0</v>
      </c>
      <c r="R142" s="27">
        <v>40000</v>
      </c>
      <c r="S142" s="27">
        <v>0</v>
      </c>
      <c r="T142" s="26">
        <v>60000</v>
      </c>
      <c r="U142" s="28">
        <v>0</v>
      </c>
      <c r="V142" s="27">
        <v>0</v>
      </c>
      <c r="W142" s="27">
        <v>0</v>
      </c>
      <c r="X142" s="27">
        <v>0</v>
      </c>
      <c r="Y142" s="27">
        <v>0</v>
      </c>
      <c r="Z142" s="26">
        <v>0</v>
      </c>
      <c r="AA142" s="27">
        <v>0</v>
      </c>
      <c r="AB142" s="27">
        <v>0</v>
      </c>
      <c r="AC142" s="27">
        <v>0</v>
      </c>
      <c r="AD142" s="27">
        <v>0</v>
      </c>
      <c r="AE142" s="26">
        <v>0</v>
      </c>
      <c r="AF142" s="27">
        <v>0</v>
      </c>
      <c r="AG142" s="27">
        <v>0</v>
      </c>
      <c r="AH142" s="27">
        <v>0</v>
      </c>
      <c r="AI142" s="27">
        <v>0</v>
      </c>
      <c r="AJ142" s="27">
        <v>0</v>
      </c>
      <c r="AK142" s="26">
        <v>0</v>
      </c>
      <c r="AL142" s="28">
        <v>0</v>
      </c>
      <c r="AM142" s="54"/>
      <c r="AN142" s="13">
        <v>0</v>
      </c>
      <c r="AO142" s="13">
        <v>0</v>
      </c>
    </row>
    <row r="143" spans="1:41" s="15" customFormat="1">
      <c r="A143" s="118"/>
      <c r="B143" s="12" t="s">
        <v>66</v>
      </c>
      <c r="C143" s="27">
        <v>0</v>
      </c>
      <c r="D143" s="26">
        <v>0</v>
      </c>
      <c r="E143" s="27"/>
      <c r="F143" s="27">
        <v>0</v>
      </c>
      <c r="G143" s="27">
        <v>0</v>
      </c>
      <c r="H143" s="27">
        <v>0</v>
      </c>
      <c r="I143" s="26">
        <v>0</v>
      </c>
      <c r="J143" s="27">
        <v>0</v>
      </c>
      <c r="K143" s="27">
        <v>0</v>
      </c>
      <c r="L143" s="27">
        <v>0</v>
      </c>
      <c r="M143" s="27">
        <v>0</v>
      </c>
      <c r="N143" s="26">
        <v>0</v>
      </c>
      <c r="O143" s="27">
        <v>0</v>
      </c>
      <c r="P143" s="27">
        <v>0</v>
      </c>
      <c r="Q143" s="27">
        <v>0</v>
      </c>
      <c r="R143" s="27">
        <v>0</v>
      </c>
      <c r="S143" s="27">
        <v>0</v>
      </c>
      <c r="T143" s="26">
        <v>0</v>
      </c>
      <c r="U143" s="28">
        <v>0</v>
      </c>
      <c r="V143" s="27">
        <v>0</v>
      </c>
      <c r="W143" s="27">
        <v>0</v>
      </c>
      <c r="X143" s="27">
        <v>0</v>
      </c>
      <c r="Y143" s="27">
        <v>0</v>
      </c>
      <c r="Z143" s="26">
        <v>0</v>
      </c>
      <c r="AA143" s="27">
        <v>0</v>
      </c>
      <c r="AB143" s="27">
        <v>0</v>
      </c>
      <c r="AC143" s="27">
        <v>0</v>
      </c>
      <c r="AD143" s="27">
        <v>0</v>
      </c>
      <c r="AE143" s="26">
        <v>0</v>
      </c>
      <c r="AF143" s="27">
        <v>0</v>
      </c>
      <c r="AG143" s="27">
        <v>0</v>
      </c>
      <c r="AH143" s="27">
        <v>0</v>
      </c>
      <c r="AI143" s="27">
        <v>0</v>
      </c>
      <c r="AJ143" s="27">
        <v>0</v>
      </c>
      <c r="AK143" s="26">
        <v>0</v>
      </c>
      <c r="AL143" s="28">
        <v>0</v>
      </c>
      <c r="AM143" s="54"/>
      <c r="AN143" s="13">
        <v>0</v>
      </c>
      <c r="AO143" s="13">
        <v>0</v>
      </c>
    </row>
    <row r="144" spans="1:41" s="15" customFormat="1">
      <c r="A144" s="118"/>
      <c r="B144" s="12" t="s">
        <v>7</v>
      </c>
      <c r="C144" s="26"/>
      <c r="D144" s="26"/>
      <c r="E144" s="32"/>
      <c r="F144" s="27">
        <v>0</v>
      </c>
      <c r="G144" s="27">
        <v>4000</v>
      </c>
      <c r="H144" s="27">
        <v>0</v>
      </c>
      <c r="I144" s="26">
        <v>4000</v>
      </c>
      <c r="J144" s="32">
        <v>0</v>
      </c>
      <c r="K144" s="27">
        <v>8000</v>
      </c>
      <c r="L144" s="27">
        <v>25600</v>
      </c>
      <c r="M144" s="27">
        <v>0</v>
      </c>
      <c r="N144" s="26">
        <v>33600</v>
      </c>
      <c r="O144" s="32">
        <v>20000</v>
      </c>
      <c r="P144" s="27">
        <v>0</v>
      </c>
      <c r="Q144" s="27">
        <v>0</v>
      </c>
      <c r="R144" s="27">
        <v>40000</v>
      </c>
      <c r="S144" s="27">
        <v>0</v>
      </c>
      <c r="T144" s="26">
        <v>60000</v>
      </c>
      <c r="U144" s="28">
        <v>219507</v>
      </c>
      <c r="V144" s="32">
        <v>0</v>
      </c>
      <c r="W144" s="27">
        <v>0</v>
      </c>
      <c r="X144" s="27">
        <v>0</v>
      </c>
      <c r="Y144" s="27">
        <v>0</v>
      </c>
      <c r="Z144" s="26">
        <v>17756</v>
      </c>
      <c r="AA144" s="32">
        <v>0</v>
      </c>
      <c r="AB144" s="27">
        <v>0</v>
      </c>
      <c r="AC144" s="27">
        <v>0</v>
      </c>
      <c r="AD144" s="27">
        <v>0</v>
      </c>
      <c r="AE144" s="26">
        <v>0</v>
      </c>
      <c r="AF144" s="32">
        <v>0</v>
      </c>
      <c r="AG144" s="27">
        <v>0</v>
      </c>
      <c r="AH144" s="27">
        <v>0</v>
      </c>
      <c r="AI144" s="27">
        <v>0</v>
      </c>
      <c r="AJ144" s="27">
        <v>0</v>
      </c>
      <c r="AK144" s="26">
        <v>0</v>
      </c>
      <c r="AL144" s="28">
        <v>17756</v>
      </c>
      <c r="AM144" s="54"/>
      <c r="AN144" s="13">
        <v>0</v>
      </c>
      <c r="AO144" s="13">
        <v>0</v>
      </c>
    </row>
    <row r="145" spans="1:41" s="15" customFormat="1" ht="17" thickBot="1">
      <c r="A145" s="119"/>
      <c r="B145" s="4" t="s">
        <v>67</v>
      </c>
      <c r="C145" s="26">
        <v>80266</v>
      </c>
      <c r="D145" s="37">
        <v>121907</v>
      </c>
      <c r="E145" s="21"/>
      <c r="F145" s="21">
        <v>0</v>
      </c>
      <c r="G145" s="21">
        <v>0</v>
      </c>
      <c r="H145" s="21">
        <v>0</v>
      </c>
      <c r="I145" s="20">
        <v>0</v>
      </c>
      <c r="J145" s="21">
        <v>0</v>
      </c>
      <c r="K145" s="21">
        <v>0</v>
      </c>
      <c r="L145" s="21">
        <v>0</v>
      </c>
      <c r="M145" s="21">
        <v>0</v>
      </c>
      <c r="N145" s="20">
        <v>0</v>
      </c>
      <c r="O145" s="21">
        <v>-9302</v>
      </c>
      <c r="P145" s="21">
        <v>-13494</v>
      </c>
      <c r="Q145" s="21">
        <v>-22244</v>
      </c>
      <c r="R145" s="21">
        <v>17756</v>
      </c>
      <c r="S145" s="21">
        <v>17756</v>
      </c>
      <c r="T145" s="20">
        <v>17756</v>
      </c>
      <c r="U145" s="22">
        <v>17756</v>
      </c>
      <c r="V145" s="21">
        <v>6849</v>
      </c>
      <c r="W145" s="21">
        <v>3572</v>
      </c>
      <c r="X145" s="21">
        <v>3384</v>
      </c>
      <c r="Y145" s="21">
        <v>3384</v>
      </c>
      <c r="Z145" s="20">
        <v>3384</v>
      </c>
      <c r="AA145" s="21">
        <v>-5291</v>
      </c>
      <c r="AB145" s="21">
        <v>-5291</v>
      </c>
      <c r="AC145" s="21">
        <v>-6617</v>
      </c>
      <c r="AD145" s="21">
        <v>-6617</v>
      </c>
      <c r="AE145" s="20">
        <v>-6617</v>
      </c>
      <c r="AF145" s="21">
        <v>-6617</v>
      </c>
      <c r="AG145" s="21">
        <v>-6617</v>
      </c>
      <c r="AH145" s="21">
        <v>-6617</v>
      </c>
      <c r="AI145" s="21">
        <v>-6617</v>
      </c>
      <c r="AJ145" s="21">
        <v>-6617</v>
      </c>
      <c r="AK145" s="20">
        <v>-6617</v>
      </c>
      <c r="AL145" s="22">
        <v>11139</v>
      </c>
      <c r="AM145" s="54"/>
      <c r="AN145" s="13">
        <v>0</v>
      </c>
      <c r="AO145" s="13">
        <v>0</v>
      </c>
    </row>
    <row r="146" spans="1:41" s="15" customFormat="1" ht="17" thickBot="1">
      <c r="A146" s="46"/>
      <c r="B146" s="12" t="s">
        <v>68</v>
      </c>
      <c r="C146" s="26"/>
      <c r="D146" s="26"/>
      <c r="E146" s="19">
        <v>0</v>
      </c>
      <c r="F146" s="19"/>
      <c r="G146" s="19"/>
      <c r="H146" s="19"/>
      <c r="I146" s="23"/>
      <c r="J146" s="19"/>
      <c r="K146" s="19"/>
      <c r="L146" s="19"/>
      <c r="M146" s="19"/>
      <c r="N146" s="23"/>
      <c r="O146" s="19"/>
      <c r="P146" s="19"/>
      <c r="Q146" s="19"/>
      <c r="R146" s="19"/>
      <c r="S146" s="19"/>
      <c r="T146" s="23"/>
      <c r="U146" s="24"/>
      <c r="V146" s="19"/>
      <c r="W146" s="19"/>
      <c r="X146" s="19"/>
      <c r="Y146" s="19"/>
      <c r="Z146" s="23"/>
      <c r="AA146" s="19"/>
      <c r="AB146" s="19"/>
      <c r="AC146" s="19"/>
      <c r="AD146" s="19"/>
      <c r="AE146" s="23"/>
      <c r="AF146" s="19"/>
      <c r="AG146" s="19"/>
      <c r="AH146" s="19"/>
      <c r="AI146" s="19"/>
      <c r="AJ146" s="19"/>
      <c r="AK146" s="23"/>
      <c r="AL146" s="24"/>
      <c r="AM146" s="54"/>
      <c r="AN146" s="13">
        <v>0</v>
      </c>
      <c r="AO146" s="13">
        <v>0</v>
      </c>
    </row>
    <row r="147" spans="1:41" s="15" customFormat="1">
      <c r="A147" s="117" t="s">
        <v>92</v>
      </c>
      <c r="B147" s="3" t="s">
        <v>64</v>
      </c>
      <c r="C147" s="26"/>
      <c r="D147" s="26"/>
      <c r="E147" s="27"/>
      <c r="F147" s="27">
        <v>0</v>
      </c>
      <c r="G147" s="27">
        <v>0</v>
      </c>
      <c r="H147" s="27">
        <v>0</v>
      </c>
      <c r="I147" s="26">
        <v>0</v>
      </c>
      <c r="J147" s="27">
        <v>0</v>
      </c>
      <c r="K147" s="27">
        <v>0</v>
      </c>
      <c r="L147" s="27">
        <v>0</v>
      </c>
      <c r="M147" s="27">
        <v>0</v>
      </c>
      <c r="N147" s="26">
        <v>0</v>
      </c>
      <c r="O147" s="27">
        <v>16</v>
      </c>
      <c r="P147" s="27">
        <v>0</v>
      </c>
      <c r="Q147" s="27">
        <v>0</v>
      </c>
      <c r="R147" s="27">
        <v>0</v>
      </c>
      <c r="S147" s="27">
        <v>0</v>
      </c>
      <c r="T147" s="26">
        <v>16</v>
      </c>
      <c r="U147" s="28">
        <v>82</v>
      </c>
      <c r="V147" s="27">
        <v>0</v>
      </c>
      <c r="W147" s="27">
        <v>0</v>
      </c>
      <c r="X147" s="27">
        <v>0</v>
      </c>
      <c r="Y147" s="27">
        <v>0</v>
      </c>
      <c r="Z147" s="26">
        <v>0</v>
      </c>
      <c r="AA147" s="27">
        <v>0</v>
      </c>
      <c r="AB147" s="27">
        <v>0</v>
      </c>
      <c r="AC147" s="27">
        <v>0</v>
      </c>
      <c r="AD147" s="27">
        <v>0</v>
      </c>
      <c r="AE147" s="26">
        <v>0</v>
      </c>
      <c r="AF147" s="27">
        <v>0</v>
      </c>
      <c r="AG147" s="27">
        <v>0</v>
      </c>
      <c r="AH147" s="27">
        <v>0</v>
      </c>
      <c r="AI147" s="27">
        <v>0</v>
      </c>
      <c r="AJ147" s="27">
        <v>0</v>
      </c>
      <c r="AK147" s="26">
        <v>0</v>
      </c>
      <c r="AL147" s="28">
        <v>0</v>
      </c>
      <c r="AM147" s="54">
        <v>32</v>
      </c>
      <c r="AN147" s="13">
        <v>2624</v>
      </c>
      <c r="AO147" s="13">
        <v>0</v>
      </c>
    </row>
    <row r="148" spans="1:41" s="15" customFormat="1">
      <c r="A148" s="118"/>
      <c r="B148" s="12" t="s">
        <v>65</v>
      </c>
      <c r="C148" s="26"/>
      <c r="D148" s="26"/>
      <c r="E148" s="27"/>
      <c r="F148" s="27">
        <v>0</v>
      </c>
      <c r="G148" s="27">
        <v>0</v>
      </c>
      <c r="H148" s="27">
        <v>0</v>
      </c>
      <c r="I148" s="26">
        <v>0</v>
      </c>
      <c r="J148" s="27">
        <v>0</v>
      </c>
      <c r="K148" s="27">
        <v>0</v>
      </c>
      <c r="L148" s="27">
        <v>0</v>
      </c>
      <c r="M148" s="27">
        <v>0</v>
      </c>
      <c r="N148" s="26">
        <v>0</v>
      </c>
      <c r="O148" s="27">
        <v>0</v>
      </c>
      <c r="P148" s="27">
        <v>0</v>
      </c>
      <c r="Q148" s="27">
        <v>0</v>
      </c>
      <c r="R148" s="27">
        <v>0</v>
      </c>
      <c r="S148" s="27">
        <v>0</v>
      </c>
      <c r="T148" s="26">
        <v>0</v>
      </c>
      <c r="U148" s="28">
        <v>0</v>
      </c>
      <c r="V148" s="27">
        <v>0</v>
      </c>
      <c r="W148" s="27">
        <v>0</v>
      </c>
      <c r="X148" s="27">
        <v>0</v>
      </c>
      <c r="Y148" s="27">
        <v>0</v>
      </c>
      <c r="Z148" s="26">
        <v>0</v>
      </c>
      <c r="AA148" s="27">
        <v>0</v>
      </c>
      <c r="AB148" s="27">
        <v>0</v>
      </c>
      <c r="AC148" s="27">
        <v>0</v>
      </c>
      <c r="AD148" s="27">
        <v>0</v>
      </c>
      <c r="AE148" s="26">
        <v>0</v>
      </c>
      <c r="AF148" s="27">
        <v>0</v>
      </c>
      <c r="AG148" s="27">
        <v>0</v>
      </c>
      <c r="AH148" s="27">
        <v>0</v>
      </c>
      <c r="AI148" s="27">
        <v>0</v>
      </c>
      <c r="AJ148" s="27">
        <v>0</v>
      </c>
      <c r="AK148" s="26">
        <v>0</v>
      </c>
      <c r="AL148" s="28">
        <v>0</v>
      </c>
      <c r="AM148" s="54"/>
      <c r="AN148" s="13">
        <v>0</v>
      </c>
      <c r="AO148" s="13">
        <v>0</v>
      </c>
    </row>
    <row r="149" spans="1:41" s="15" customFormat="1">
      <c r="A149" s="118"/>
      <c r="B149" s="12" t="s">
        <v>66</v>
      </c>
      <c r="C149" s="27">
        <v>0</v>
      </c>
      <c r="D149" s="26">
        <v>0</v>
      </c>
      <c r="E149" s="27"/>
      <c r="F149" s="27">
        <v>0</v>
      </c>
      <c r="G149" s="27">
        <v>0</v>
      </c>
      <c r="H149" s="27">
        <v>0</v>
      </c>
      <c r="I149" s="26">
        <v>0</v>
      </c>
      <c r="J149" s="27">
        <v>0</v>
      </c>
      <c r="K149" s="27">
        <v>0</v>
      </c>
      <c r="L149" s="27">
        <v>0</v>
      </c>
      <c r="M149" s="27">
        <v>0</v>
      </c>
      <c r="N149" s="26">
        <v>0</v>
      </c>
      <c r="O149" s="27">
        <v>0</v>
      </c>
      <c r="P149" s="27">
        <v>0</v>
      </c>
      <c r="Q149" s="27">
        <v>0</v>
      </c>
      <c r="R149" s="27">
        <v>0</v>
      </c>
      <c r="S149" s="27">
        <v>0</v>
      </c>
      <c r="T149" s="26">
        <v>0</v>
      </c>
      <c r="U149" s="28">
        <v>0</v>
      </c>
      <c r="V149" s="27">
        <v>0</v>
      </c>
      <c r="W149" s="27">
        <v>0</v>
      </c>
      <c r="X149" s="27">
        <v>0</v>
      </c>
      <c r="Y149" s="27">
        <v>0</v>
      </c>
      <c r="Z149" s="26">
        <v>0</v>
      </c>
      <c r="AA149" s="27">
        <v>0</v>
      </c>
      <c r="AB149" s="27">
        <v>0</v>
      </c>
      <c r="AC149" s="27">
        <v>0</v>
      </c>
      <c r="AD149" s="27">
        <v>0</v>
      </c>
      <c r="AE149" s="26">
        <v>0</v>
      </c>
      <c r="AF149" s="27">
        <v>0</v>
      </c>
      <c r="AG149" s="27">
        <v>0</v>
      </c>
      <c r="AH149" s="27">
        <v>0</v>
      </c>
      <c r="AI149" s="27">
        <v>0</v>
      </c>
      <c r="AJ149" s="27">
        <v>0</v>
      </c>
      <c r="AK149" s="26">
        <v>0</v>
      </c>
      <c r="AL149" s="28">
        <v>0</v>
      </c>
      <c r="AM149" s="54"/>
      <c r="AN149" s="13">
        <v>0</v>
      </c>
      <c r="AO149" s="13">
        <v>0</v>
      </c>
    </row>
    <row r="150" spans="1:41" s="15" customFormat="1">
      <c r="A150" s="118"/>
      <c r="B150" s="12" t="s">
        <v>7</v>
      </c>
      <c r="C150" s="26"/>
      <c r="D150" s="26"/>
      <c r="E150" s="32"/>
      <c r="F150" s="27">
        <v>0</v>
      </c>
      <c r="G150" s="27">
        <v>0</v>
      </c>
      <c r="H150" s="27">
        <v>0</v>
      </c>
      <c r="I150" s="26">
        <v>0</v>
      </c>
      <c r="J150" s="32">
        <v>0</v>
      </c>
      <c r="K150" s="27">
        <v>0</v>
      </c>
      <c r="L150" s="27">
        <v>0</v>
      </c>
      <c r="M150" s="27">
        <v>0</v>
      </c>
      <c r="N150" s="26">
        <v>0</v>
      </c>
      <c r="O150" s="32">
        <v>0</v>
      </c>
      <c r="P150" s="27">
        <v>0</v>
      </c>
      <c r="Q150" s="27">
        <v>0</v>
      </c>
      <c r="R150" s="27">
        <v>0</v>
      </c>
      <c r="S150" s="27">
        <v>0</v>
      </c>
      <c r="T150" s="26">
        <v>0</v>
      </c>
      <c r="U150" s="28">
        <v>66</v>
      </c>
      <c r="V150" s="32">
        <v>0</v>
      </c>
      <c r="W150" s="27">
        <v>0</v>
      </c>
      <c r="X150" s="27">
        <v>0</v>
      </c>
      <c r="Y150" s="27">
        <v>0</v>
      </c>
      <c r="Z150" s="26">
        <v>-16</v>
      </c>
      <c r="AA150" s="32">
        <v>0</v>
      </c>
      <c r="AB150" s="27">
        <v>0</v>
      </c>
      <c r="AC150" s="27">
        <v>0</v>
      </c>
      <c r="AD150" s="27">
        <v>0</v>
      </c>
      <c r="AE150" s="26">
        <v>0</v>
      </c>
      <c r="AF150" s="32">
        <v>0</v>
      </c>
      <c r="AG150" s="27">
        <v>0</v>
      </c>
      <c r="AH150" s="27">
        <v>0</v>
      </c>
      <c r="AI150" s="27">
        <v>0</v>
      </c>
      <c r="AJ150" s="27">
        <v>0</v>
      </c>
      <c r="AK150" s="26">
        <v>0</v>
      </c>
      <c r="AL150" s="28">
        <v>-16</v>
      </c>
      <c r="AM150" s="54"/>
      <c r="AN150" s="13">
        <v>0</v>
      </c>
      <c r="AO150" s="13">
        <v>0</v>
      </c>
    </row>
    <row r="151" spans="1:41" s="15" customFormat="1" ht="17" thickBot="1">
      <c r="A151" s="119"/>
      <c r="B151" s="4" t="s">
        <v>67</v>
      </c>
      <c r="C151" s="26">
        <v>0</v>
      </c>
      <c r="D151" s="37">
        <v>66</v>
      </c>
      <c r="E151" s="21"/>
      <c r="F151" s="21">
        <v>0</v>
      </c>
      <c r="G151" s="21">
        <v>0</v>
      </c>
      <c r="H151" s="21">
        <v>0</v>
      </c>
      <c r="I151" s="20">
        <v>0</v>
      </c>
      <c r="J151" s="21">
        <v>0</v>
      </c>
      <c r="K151" s="21">
        <v>0</v>
      </c>
      <c r="L151" s="21">
        <v>0</v>
      </c>
      <c r="M151" s="21">
        <v>0</v>
      </c>
      <c r="N151" s="20">
        <v>0</v>
      </c>
      <c r="O151" s="21">
        <v>-16</v>
      </c>
      <c r="P151" s="21">
        <v>-16</v>
      </c>
      <c r="Q151" s="21">
        <v>-16</v>
      </c>
      <c r="R151" s="21">
        <v>-16</v>
      </c>
      <c r="S151" s="21">
        <v>-16</v>
      </c>
      <c r="T151" s="20">
        <v>-16</v>
      </c>
      <c r="U151" s="22">
        <v>-16</v>
      </c>
      <c r="V151" s="21">
        <v>-16</v>
      </c>
      <c r="W151" s="21">
        <v>-16</v>
      </c>
      <c r="X151" s="21">
        <v>-16</v>
      </c>
      <c r="Y151" s="21">
        <v>-16</v>
      </c>
      <c r="Z151" s="20">
        <v>-16</v>
      </c>
      <c r="AA151" s="21">
        <v>-16</v>
      </c>
      <c r="AB151" s="21">
        <v>-16</v>
      </c>
      <c r="AC151" s="21">
        <v>-16</v>
      </c>
      <c r="AD151" s="21">
        <v>-16</v>
      </c>
      <c r="AE151" s="20">
        <v>-16</v>
      </c>
      <c r="AF151" s="21">
        <v>-16</v>
      </c>
      <c r="AG151" s="21">
        <v>-16</v>
      </c>
      <c r="AH151" s="21">
        <v>-16</v>
      </c>
      <c r="AI151" s="21">
        <v>-16</v>
      </c>
      <c r="AJ151" s="21">
        <v>-16</v>
      </c>
      <c r="AK151" s="20">
        <v>-16</v>
      </c>
      <c r="AL151" s="22">
        <v>-32</v>
      </c>
      <c r="AM151" s="54"/>
      <c r="AN151" s="13">
        <v>0</v>
      </c>
      <c r="AO151" s="13">
        <v>0</v>
      </c>
    </row>
    <row r="152" spans="1:41" s="15" customFormat="1" ht="17" thickBot="1">
      <c r="A152" s="46"/>
      <c r="B152" s="12" t="s">
        <v>68</v>
      </c>
      <c r="C152" s="26"/>
      <c r="D152" s="26"/>
      <c r="E152" s="19"/>
      <c r="F152" s="19"/>
      <c r="G152" s="19"/>
      <c r="H152" s="19"/>
      <c r="I152" s="23"/>
      <c r="J152" s="19"/>
      <c r="K152" s="19"/>
      <c r="L152" s="19"/>
      <c r="M152" s="19"/>
      <c r="N152" s="23"/>
      <c r="O152" s="19"/>
      <c r="P152" s="19"/>
      <c r="Q152" s="19"/>
      <c r="R152" s="19"/>
      <c r="S152" s="19"/>
      <c r="T152" s="23"/>
      <c r="U152" s="24"/>
      <c r="V152" s="19"/>
      <c r="W152" s="19"/>
      <c r="X152" s="19"/>
      <c r="Y152" s="19"/>
      <c r="Z152" s="23"/>
      <c r="AA152" s="19"/>
      <c r="AB152" s="19"/>
      <c r="AC152" s="19"/>
      <c r="AD152" s="19"/>
      <c r="AE152" s="23"/>
      <c r="AF152" s="19"/>
      <c r="AG152" s="19"/>
      <c r="AH152" s="19"/>
      <c r="AI152" s="19"/>
      <c r="AJ152" s="19"/>
      <c r="AK152" s="23"/>
      <c r="AL152" s="24"/>
      <c r="AM152" s="54"/>
      <c r="AN152" s="13">
        <v>0</v>
      </c>
      <c r="AO152" s="13">
        <v>0</v>
      </c>
    </row>
    <row r="153" spans="1:41" s="15" customFormat="1">
      <c r="A153" s="117" t="s">
        <v>93</v>
      </c>
      <c r="B153" s="3" t="s">
        <v>64</v>
      </c>
      <c r="C153" s="26"/>
      <c r="D153" s="26"/>
      <c r="E153" s="27"/>
      <c r="F153" s="27">
        <v>0</v>
      </c>
      <c r="G153" s="27">
        <v>0</v>
      </c>
      <c r="H153" s="27">
        <v>0</v>
      </c>
      <c r="I153" s="26">
        <v>0</v>
      </c>
      <c r="J153" s="27">
        <v>0</v>
      </c>
      <c r="K153" s="27">
        <v>0</v>
      </c>
      <c r="L153" s="27">
        <v>0</v>
      </c>
      <c r="M153" s="27">
        <v>0</v>
      </c>
      <c r="N153" s="26">
        <v>0</v>
      </c>
      <c r="O153" s="27">
        <v>776</v>
      </c>
      <c r="P153" s="27">
        <v>0</v>
      </c>
      <c r="Q153" s="27">
        <v>0</v>
      </c>
      <c r="R153" s="27">
        <v>0</v>
      </c>
      <c r="S153" s="27">
        <v>0</v>
      </c>
      <c r="T153" s="26">
        <v>776</v>
      </c>
      <c r="U153" s="28">
        <v>8671</v>
      </c>
      <c r="V153" s="27">
        <v>0</v>
      </c>
      <c r="W153" s="27">
        <v>0</v>
      </c>
      <c r="X153" s="27">
        <v>0</v>
      </c>
      <c r="Y153" s="27">
        <v>0</v>
      </c>
      <c r="Z153" s="26">
        <v>0</v>
      </c>
      <c r="AA153" s="27">
        <v>0</v>
      </c>
      <c r="AB153" s="27">
        <v>0</v>
      </c>
      <c r="AC153" s="27">
        <v>0</v>
      </c>
      <c r="AD153" s="27">
        <v>0</v>
      </c>
      <c r="AE153" s="26">
        <v>0</v>
      </c>
      <c r="AF153" s="27">
        <v>0</v>
      </c>
      <c r="AG153" s="27">
        <v>0</v>
      </c>
      <c r="AH153" s="27">
        <v>0</v>
      </c>
      <c r="AI153" s="27">
        <v>0</v>
      </c>
      <c r="AJ153" s="27">
        <v>0</v>
      </c>
      <c r="AK153" s="26">
        <v>0</v>
      </c>
      <c r="AL153" s="28">
        <v>0</v>
      </c>
      <c r="AM153" s="54">
        <v>64</v>
      </c>
      <c r="AN153" s="13">
        <v>554944</v>
      </c>
      <c r="AO153" s="13">
        <v>0</v>
      </c>
    </row>
    <row r="154" spans="1:41" s="15" customFormat="1">
      <c r="A154" s="118"/>
      <c r="B154" s="12" t="s">
        <v>65</v>
      </c>
      <c r="C154" s="26"/>
      <c r="D154" s="26"/>
      <c r="E154" s="27"/>
      <c r="F154" s="27">
        <v>0</v>
      </c>
      <c r="G154" s="27">
        <v>0</v>
      </c>
      <c r="H154" s="27">
        <v>0</v>
      </c>
      <c r="I154" s="26">
        <v>0</v>
      </c>
      <c r="J154" s="27">
        <v>0</v>
      </c>
      <c r="K154" s="27">
        <v>0</v>
      </c>
      <c r="L154" s="27">
        <v>0</v>
      </c>
      <c r="M154" s="27">
        <v>0</v>
      </c>
      <c r="N154" s="26">
        <v>0</v>
      </c>
      <c r="O154" s="27">
        <v>2000</v>
      </c>
      <c r="P154" s="27">
        <v>0</v>
      </c>
      <c r="Q154" s="27">
        <v>0</v>
      </c>
      <c r="R154" s="27">
        <v>0</v>
      </c>
      <c r="S154" s="27">
        <v>0</v>
      </c>
      <c r="T154" s="26">
        <v>2000</v>
      </c>
      <c r="U154" s="28">
        <v>0</v>
      </c>
      <c r="V154" s="27">
        <v>0</v>
      </c>
      <c r="W154" s="27">
        <v>0</v>
      </c>
      <c r="X154" s="27">
        <v>0</v>
      </c>
      <c r="Y154" s="27">
        <v>0</v>
      </c>
      <c r="Z154" s="26">
        <v>0</v>
      </c>
      <c r="AA154" s="27">
        <v>0</v>
      </c>
      <c r="AB154" s="27">
        <v>0</v>
      </c>
      <c r="AC154" s="27">
        <v>0</v>
      </c>
      <c r="AD154" s="27">
        <v>0</v>
      </c>
      <c r="AE154" s="26">
        <v>0</v>
      </c>
      <c r="AF154" s="27">
        <v>0</v>
      </c>
      <c r="AG154" s="27">
        <v>0</v>
      </c>
      <c r="AH154" s="27">
        <v>0</v>
      </c>
      <c r="AI154" s="27">
        <v>0</v>
      </c>
      <c r="AJ154" s="27">
        <v>0</v>
      </c>
      <c r="AK154" s="26">
        <v>0</v>
      </c>
      <c r="AL154" s="28">
        <v>0</v>
      </c>
      <c r="AM154" s="54"/>
      <c r="AN154" s="13">
        <v>0</v>
      </c>
      <c r="AO154" s="13">
        <v>0</v>
      </c>
    </row>
    <row r="155" spans="1:41" s="15" customFormat="1">
      <c r="A155" s="118"/>
      <c r="B155" s="12" t="s">
        <v>66</v>
      </c>
      <c r="C155" s="27">
        <v>0</v>
      </c>
      <c r="D155" s="26">
        <v>0</v>
      </c>
      <c r="E155" s="27"/>
      <c r="F155" s="27">
        <v>0</v>
      </c>
      <c r="G155" s="27">
        <v>0</v>
      </c>
      <c r="H155" s="27">
        <v>0</v>
      </c>
      <c r="I155" s="26">
        <v>0</v>
      </c>
      <c r="J155" s="27">
        <v>0</v>
      </c>
      <c r="K155" s="27">
        <v>0</v>
      </c>
      <c r="L155" s="27">
        <v>0</v>
      </c>
      <c r="M155" s="27">
        <v>0</v>
      </c>
      <c r="N155" s="26">
        <v>0</v>
      </c>
      <c r="O155" s="27">
        <v>0</v>
      </c>
      <c r="P155" s="27">
        <v>0</v>
      </c>
      <c r="Q155" s="27">
        <v>0</v>
      </c>
      <c r="R155" s="27">
        <v>0</v>
      </c>
      <c r="S155" s="27">
        <v>0</v>
      </c>
      <c r="T155" s="26">
        <v>0</v>
      </c>
      <c r="U155" s="28">
        <v>0</v>
      </c>
      <c r="V155" s="27">
        <v>0</v>
      </c>
      <c r="W155" s="27">
        <v>0</v>
      </c>
      <c r="X155" s="27">
        <v>0</v>
      </c>
      <c r="Y155" s="27">
        <v>0</v>
      </c>
      <c r="Z155" s="26">
        <v>0</v>
      </c>
      <c r="AA155" s="27">
        <v>0</v>
      </c>
      <c r="AB155" s="27">
        <v>0</v>
      </c>
      <c r="AC155" s="27">
        <v>0</v>
      </c>
      <c r="AD155" s="27">
        <v>0</v>
      </c>
      <c r="AE155" s="26">
        <v>0</v>
      </c>
      <c r="AF155" s="27">
        <v>0</v>
      </c>
      <c r="AG155" s="27">
        <v>0</v>
      </c>
      <c r="AH155" s="27">
        <v>0</v>
      </c>
      <c r="AI155" s="27">
        <v>0</v>
      </c>
      <c r="AJ155" s="27">
        <v>0</v>
      </c>
      <c r="AK155" s="26">
        <v>0</v>
      </c>
      <c r="AL155" s="28">
        <v>0</v>
      </c>
      <c r="AM155" s="54"/>
      <c r="AN155" s="13">
        <v>0</v>
      </c>
      <c r="AO155" s="13">
        <v>0</v>
      </c>
    </row>
    <row r="156" spans="1:41" s="15" customFormat="1">
      <c r="A156" s="118"/>
      <c r="B156" s="12" t="s">
        <v>7</v>
      </c>
      <c r="C156" s="26"/>
      <c r="D156" s="26"/>
      <c r="E156" s="32"/>
      <c r="F156" s="27">
        <v>0</v>
      </c>
      <c r="G156" s="27">
        <v>0</v>
      </c>
      <c r="H156" s="27">
        <v>0</v>
      </c>
      <c r="I156" s="26">
        <v>0</v>
      </c>
      <c r="J156" s="32">
        <v>0</v>
      </c>
      <c r="K156" s="27">
        <v>0</v>
      </c>
      <c r="L156" s="27">
        <v>0</v>
      </c>
      <c r="M156" s="27">
        <v>0</v>
      </c>
      <c r="N156" s="26">
        <v>0</v>
      </c>
      <c r="O156" s="32">
        <v>2000</v>
      </c>
      <c r="P156" s="27">
        <v>0</v>
      </c>
      <c r="Q156" s="27">
        <v>0</v>
      </c>
      <c r="R156" s="27">
        <v>0</v>
      </c>
      <c r="S156" s="27">
        <v>0</v>
      </c>
      <c r="T156" s="26">
        <v>2000</v>
      </c>
      <c r="U156" s="28">
        <v>9895</v>
      </c>
      <c r="V156" s="32">
        <v>0</v>
      </c>
      <c r="W156" s="27">
        <v>0</v>
      </c>
      <c r="X156" s="27">
        <v>0</v>
      </c>
      <c r="Y156" s="27">
        <v>0</v>
      </c>
      <c r="Z156" s="26">
        <v>1224</v>
      </c>
      <c r="AA156" s="32">
        <v>0</v>
      </c>
      <c r="AB156" s="27">
        <v>0</v>
      </c>
      <c r="AC156" s="27">
        <v>0</v>
      </c>
      <c r="AD156" s="27">
        <v>0</v>
      </c>
      <c r="AE156" s="26">
        <v>0</v>
      </c>
      <c r="AF156" s="32">
        <v>0</v>
      </c>
      <c r="AG156" s="27">
        <v>0</v>
      </c>
      <c r="AH156" s="27">
        <v>0</v>
      </c>
      <c r="AI156" s="27">
        <v>0</v>
      </c>
      <c r="AJ156" s="27">
        <v>0</v>
      </c>
      <c r="AK156" s="26">
        <v>0</v>
      </c>
      <c r="AL156" s="28">
        <v>1224</v>
      </c>
      <c r="AM156" s="54"/>
      <c r="AN156" s="13">
        <v>0</v>
      </c>
      <c r="AO156" s="13">
        <v>0</v>
      </c>
    </row>
    <row r="157" spans="1:41" s="15" customFormat="1" ht="17" thickBot="1">
      <c r="A157" s="119"/>
      <c r="B157" s="4" t="s">
        <v>67</v>
      </c>
      <c r="C157" s="26">
        <v>6766</v>
      </c>
      <c r="D157" s="37">
        <v>7895</v>
      </c>
      <c r="E157" s="21"/>
      <c r="F157" s="21">
        <v>0</v>
      </c>
      <c r="G157" s="21">
        <v>0</v>
      </c>
      <c r="H157" s="21">
        <v>0</v>
      </c>
      <c r="I157" s="20">
        <v>0</v>
      </c>
      <c r="J157" s="21">
        <v>0</v>
      </c>
      <c r="K157" s="21">
        <v>0</v>
      </c>
      <c r="L157" s="21">
        <v>0</v>
      </c>
      <c r="M157" s="21">
        <v>0</v>
      </c>
      <c r="N157" s="20">
        <v>0</v>
      </c>
      <c r="O157" s="21">
        <v>1224</v>
      </c>
      <c r="P157" s="21">
        <v>1224</v>
      </c>
      <c r="Q157" s="21">
        <v>1224</v>
      </c>
      <c r="R157" s="21">
        <v>1224</v>
      </c>
      <c r="S157" s="21">
        <v>1224</v>
      </c>
      <c r="T157" s="20">
        <v>1224</v>
      </c>
      <c r="U157" s="22">
        <v>1224</v>
      </c>
      <c r="V157" s="21">
        <v>1224</v>
      </c>
      <c r="W157" s="21">
        <v>1224</v>
      </c>
      <c r="X157" s="21">
        <v>1224</v>
      </c>
      <c r="Y157" s="21">
        <v>1224</v>
      </c>
      <c r="Z157" s="20">
        <v>1224</v>
      </c>
      <c r="AA157" s="21">
        <v>1224</v>
      </c>
      <c r="AB157" s="21">
        <v>1224</v>
      </c>
      <c r="AC157" s="21">
        <v>1224</v>
      </c>
      <c r="AD157" s="21">
        <v>1224</v>
      </c>
      <c r="AE157" s="20">
        <v>1224</v>
      </c>
      <c r="AF157" s="21">
        <v>1224</v>
      </c>
      <c r="AG157" s="21">
        <v>1224</v>
      </c>
      <c r="AH157" s="21">
        <v>1224</v>
      </c>
      <c r="AI157" s="21">
        <v>1224</v>
      </c>
      <c r="AJ157" s="21">
        <v>1224</v>
      </c>
      <c r="AK157" s="20">
        <v>1224</v>
      </c>
      <c r="AL157" s="22">
        <v>2448</v>
      </c>
      <c r="AM157" s="54"/>
      <c r="AN157" s="13">
        <v>0</v>
      </c>
      <c r="AO157" s="13">
        <v>0</v>
      </c>
    </row>
    <row r="158" spans="1:41" s="15" customFormat="1" ht="17" thickBot="1">
      <c r="A158" s="46"/>
      <c r="B158" s="12" t="s">
        <v>68</v>
      </c>
      <c r="C158" s="26"/>
      <c r="D158" s="26"/>
      <c r="E158" s="19"/>
      <c r="F158" s="19"/>
      <c r="G158" s="19"/>
      <c r="H158" s="19"/>
      <c r="I158" s="23"/>
      <c r="J158" s="19"/>
      <c r="K158" s="19"/>
      <c r="L158" s="19"/>
      <c r="M158" s="19"/>
      <c r="N158" s="23"/>
      <c r="O158" s="19"/>
      <c r="P158" s="19"/>
      <c r="Q158" s="19"/>
      <c r="R158" s="19"/>
      <c r="S158" s="19"/>
      <c r="T158" s="23"/>
      <c r="U158" s="24"/>
      <c r="V158" s="19"/>
      <c r="W158" s="19"/>
      <c r="X158" s="19"/>
      <c r="Y158" s="19"/>
      <c r="Z158" s="23"/>
      <c r="AA158" s="19"/>
      <c r="AB158" s="19"/>
      <c r="AC158" s="19"/>
      <c r="AD158" s="19"/>
      <c r="AE158" s="23"/>
      <c r="AF158" s="19"/>
      <c r="AG158" s="19"/>
      <c r="AH158" s="19"/>
      <c r="AI158" s="19"/>
      <c r="AJ158" s="19"/>
      <c r="AK158" s="23"/>
      <c r="AL158" s="24"/>
      <c r="AM158" s="54"/>
      <c r="AN158" s="13">
        <v>0</v>
      </c>
      <c r="AO158" s="13">
        <v>0</v>
      </c>
    </row>
    <row r="159" spans="1:41" s="15" customFormat="1">
      <c r="A159" s="127" t="s">
        <v>94</v>
      </c>
      <c r="B159" s="3" t="s">
        <v>64</v>
      </c>
      <c r="C159" s="26"/>
      <c r="D159" s="26"/>
      <c r="E159" s="27"/>
      <c r="F159" s="27">
        <v>6000</v>
      </c>
      <c r="G159" s="27">
        <v>40000</v>
      </c>
      <c r="H159" s="27">
        <v>0</v>
      </c>
      <c r="I159" s="26">
        <v>46000</v>
      </c>
      <c r="J159" s="27">
        <v>30880</v>
      </c>
      <c r="K159" s="27">
        <v>48002</v>
      </c>
      <c r="L159" s="27">
        <v>5540</v>
      </c>
      <c r="M159" s="27">
        <v>0</v>
      </c>
      <c r="N159" s="26">
        <v>84422</v>
      </c>
      <c r="O159" s="27">
        <v>50315</v>
      </c>
      <c r="P159" s="27">
        <v>450</v>
      </c>
      <c r="Q159" s="27">
        <v>68062</v>
      </c>
      <c r="R159" s="27">
        <v>0</v>
      </c>
      <c r="S159" s="27">
        <v>0</v>
      </c>
      <c r="T159" s="26">
        <v>118827</v>
      </c>
      <c r="U159" s="28">
        <v>321864</v>
      </c>
      <c r="V159" s="27">
        <v>58011</v>
      </c>
      <c r="W159" s="27">
        <v>1399</v>
      </c>
      <c r="X159" s="27">
        <v>8655</v>
      </c>
      <c r="Y159" s="27">
        <v>0</v>
      </c>
      <c r="Z159" s="26">
        <v>68065</v>
      </c>
      <c r="AA159" s="27">
        <v>77685</v>
      </c>
      <c r="AB159" s="27">
        <v>7520</v>
      </c>
      <c r="AC159" s="27">
        <v>26088</v>
      </c>
      <c r="AD159" s="27">
        <v>0</v>
      </c>
      <c r="AE159" s="26">
        <v>111293</v>
      </c>
      <c r="AF159" s="27">
        <v>32680</v>
      </c>
      <c r="AG159" s="27">
        <v>0</v>
      </c>
      <c r="AH159" s="27">
        <v>700</v>
      </c>
      <c r="AI159" s="27">
        <v>0</v>
      </c>
      <c r="AJ159" s="27">
        <v>0</v>
      </c>
      <c r="AK159" s="26">
        <v>33380</v>
      </c>
      <c r="AL159" s="28">
        <v>212738</v>
      </c>
      <c r="AM159" s="54">
        <v>32</v>
      </c>
      <c r="AN159" s="13">
        <v>10299648</v>
      </c>
      <c r="AO159" s="13">
        <v>6807616</v>
      </c>
    </row>
    <row r="160" spans="1:41" s="15" customFormat="1">
      <c r="A160" s="128"/>
      <c r="B160" s="12" t="s">
        <v>65</v>
      </c>
      <c r="C160" s="26"/>
      <c r="D160" s="26"/>
      <c r="E160" s="27"/>
      <c r="F160" s="27">
        <v>6000</v>
      </c>
      <c r="G160" s="27">
        <v>40000</v>
      </c>
      <c r="H160" s="27">
        <v>0</v>
      </c>
      <c r="I160" s="26">
        <v>46000</v>
      </c>
      <c r="J160" s="27">
        <v>30880</v>
      </c>
      <c r="K160" s="27">
        <v>48002</v>
      </c>
      <c r="L160" s="27">
        <v>5540</v>
      </c>
      <c r="M160" s="27">
        <v>0</v>
      </c>
      <c r="N160" s="26">
        <v>84422</v>
      </c>
      <c r="O160" s="27">
        <v>100000</v>
      </c>
      <c r="P160" s="27">
        <v>0</v>
      </c>
      <c r="Q160" s="27">
        <v>0</v>
      </c>
      <c r="R160" s="27">
        <v>120000</v>
      </c>
      <c r="S160" s="27">
        <v>0</v>
      </c>
      <c r="T160" s="26">
        <v>220000</v>
      </c>
      <c r="U160" s="28">
        <v>0</v>
      </c>
      <c r="V160" s="27">
        <v>0</v>
      </c>
      <c r="W160" s="27">
        <v>0</v>
      </c>
      <c r="X160" s="27">
        <v>0</v>
      </c>
      <c r="Y160" s="27">
        <v>0</v>
      </c>
      <c r="Z160" s="26">
        <v>0</v>
      </c>
      <c r="AA160" s="27">
        <v>0</v>
      </c>
      <c r="AB160" s="27">
        <v>100000</v>
      </c>
      <c r="AC160" s="27">
        <v>0</v>
      </c>
      <c r="AD160" s="27">
        <v>0</v>
      </c>
      <c r="AE160" s="26">
        <v>100000</v>
      </c>
      <c r="AF160" s="27">
        <v>0</v>
      </c>
      <c r="AG160" s="27">
        <v>0</v>
      </c>
      <c r="AH160" s="27">
        <v>0</v>
      </c>
      <c r="AI160" s="27">
        <v>0</v>
      </c>
      <c r="AJ160" s="27">
        <v>0</v>
      </c>
      <c r="AK160" s="26">
        <v>0</v>
      </c>
      <c r="AL160" s="28">
        <v>0</v>
      </c>
      <c r="AM160" s="54"/>
      <c r="AN160" s="13">
        <v>0</v>
      </c>
      <c r="AO160" s="13">
        <v>0</v>
      </c>
    </row>
    <row r="161" spans="1:41" s="15" customFormat="1">
      <c r="A161" s="128"/>
      <c r="B161" s="12" t="s">
        <v>66</v>
      </c>
      <c r="C161" s="27">
        <v>44460</v>
      </c>
      <c r="D161" s="26">
        <v>44460</v>
      </c>
      <c r="E161" s="27"/>
      <c r="F161" s="27">
        <v>0</v>
      </c>
      <c r="G161" s="27">
        <v>0</v>
      </c>
      <c r="H161" s="27">
        <v>0</v>
      </c>
      <c r="I161" s="26">
        <v>0</v>
      </c>
      <c r="J161" s="27">
        <v>0</v>
      </c>
      <c r="K161" s="27">
        <v>0</v>
      </c>
      <c r="L161" s="27">
        <v>44460</v>
      </c>
      <c r="M161" s="27">
        <v>0</v>
      </c>
      <c r="N161" s="26">
        <v>44460</v>
      </c>
      <c r="O161" s="27">
        <v>0</v>
      </c>
      <c r="P161" s="27">
        <v>0</v>
      </c>
      <c r="Q161" s="27">
        <v>0</v>
      </c>
      <c r="R161" s="27">
        <v>0</v>
      </c>
      <c r="S161" s="27">
        <v>0</v>
      </c>
      <c r="T161" s="26">
        <v>0</v>
      </c>
      <c r="U161" s="28">
        <v>44460</v>
      </c>
      <c r="V161" s="27">
        <v>0</v>
      </c>
      <c r="W161" s="27">
        <v>0</v>
      </c>
      <c r="X161" s="27">
        <v>0</v>
      </c>
      <c r="Y161" s="27">
        <v>0</v>
      </c>
      <c r="Z161" s="26">
        <v>0</v>
      </c>
      <c r="AA161" s="27">
        <v>0</v>
      </c>
      <c r="AB161" s="27">
        <v>0</v>
      </c>
      <c r="AC161" s="27">
        <v>0</v>
      </c>
      <c r="AD161" s="27">
        <v>0</v>
      </c>
      <c r="AE161" s="26">
        <v>0</v>
      </c>
      <c r="AF161" s="27">
        <v>0</v>
      </c>
      <c r="AG161" s="27">
        <v>0</v>
      </c>
      <c r="AH161" s="27">
        <v>0</v>
      </c>
      <c r="AI161" s="27">
        <v>0</v>
      </c>
      <c r="AJ161" s="27">
        <v>0</v>
      </c>
      <c r="AK161" s="26">
        <v>0</v>
      </c>
      <c r="AL161" s="28">
        <v>0</v>
      </c>
      <c r="AM161" s="54"/>
      <c r="AN161" s="13">
        <v>0</v>
      </c>
      <c r="AO161" s="13">
        <v>0</v>
      </c>
    </row>
    <row r="162" spans="1:41" s="15" customFormat="1">
      <c r="A162" s="128"/>
      <c r="B162" s="12" t="s">
        <v>7</v>
      </c>
      <c r="C162" s="26"/>
      <c r="D162" s="26"/>
      <c r="E162" s="32"/>
      <c r="F162" s="27">
        <v>6000</v>
      </c>
      <c r="G162" s="27">
        <v>40000</v>
      </c>
      <c r="H162" s="27">
        <v>0</v>
      </c>
      <c r="I162" s="26">
        <v>46000</v>
      </c>
      <c r="J162" s="32">
        <v>30880</v>
      </c>
      <c r="K162" s="27">
        <v>48002</v>
      </c>
      <c r="L162" s="27">
        <v>50000</v>
      </c>
      <c r="M162" s="27">
        <v>0</v>
      </c>
      <c r="N162" s="26">
        <v>128882</v>
      </c>
      <c r="O162" s="32">
        <v>100000</v>
      </c>
      <c r="P162" s="27">
        <v>0</v>
      </c>
      <c r="Q162" s="27">
        <v>0</v>
      </c>
      <c r="R162" s="27">
        <v>120000</v>
      </c>
      <c r="S162" s="27">
        <v>0</v>
      </c>
      <c r="T162" s="26">
        <v>220000</v>
      </c>
      <c r="U162" s="28">
        <v>467497</v>
      </c>
      <c r="V162" s="32">
        <v>0</v>
      </c>
      <c r="W162" s="27">
        <v>0</v>
      </c>
      <c r="X162" s="27">
        <v>0</v>
      </c>
      <c r="Y162" s="27">
        <v>0</v>
      </c>
      <c r="Z162" s="26">
        <v>145633</v>
      </c>
      <c r="AA162" s="32">
        <v>0</v>
      </c>
      <c r="AB162" s="27">
        <v>100000</v>
      </c>
      <c r="AC162" s="27">
        <v>0</v>
      </c>
      <c r="AD162" s="27">
        <v>0</v>
      </c>
      <c r="AE162" s="26">
        <v>100000</v>
      </c>
      <c r="AF162" s="32">
        <v>0</v>
      </c>
      <c r="AG162" s="27">
        <v>0</v>
      </c>
      <c r="AH162" s="27">
        <v>0</v>
      </c>
      <c r="AI162" s="27">
        <v>0</v>
      </c>
      <c r="AJ162" s="27">
        <v>0</v>
      </c>
      <c r="AK162" s="26">
        <v>0</v>
      </c>
      <c r="AL162" s="28">
        <v>245633</v>
      </c>
      <c r="AM162" s="54"/>
      <c r="AN162" s="13">
        <v>0</v>
      </c>
      <c r="AO162" s="13">
        <v>0</v>
      </c>
    </row>
    <row r="163" spans="1:41" s="15" customFormat="1" ht="17" thickBot="1">
      <c r="A163" s="129"/>
      <c r="B163" s="4" t="s">
        <v>67</v>
      </c>
      <c r="C163" s="26">
        <v>118334</v>
      </c>
      <c r="D163" s="37">
        <v>72615</v>
      </c>
      <c r="E163" s="21"/>
      <c r="F163" s="21">
        <v>0</v>
      </c>
      <c r="G163" s="21">
        <v>0</v>
      </c>
      <c r="H163" s="21">
        <v>0</v>
      </c>
      <c r="I163" s="20">
        <v>0</v>
      </c>
      <c r="J163" s="21">
        <v>0</v>
      </c>
      <c r="K163" s="21">
        <v>0</v>
      </c>
      <c r="L163" s="21">
        <v>44460</v>
      </c>
      <c r="M163" s="21">
        <v>44460</v>
      </c>
      <c r="N163" s="20">
        <v>44460</v>
      </c>
      <c r="O163" s="21">
        <v>94145</v>
      </c>
      <c r="P163" s="21">
        <v>93695</v>
      </c>
      <c r="Q163" s="21">
        <v>25633</v>
      </c>
      <c r="R163" s="21">
        <v>145633</v>
      </c>
      <c r="S163" s="21">
        <v>145633</v>
      </c>
      <c r="T163" s="20">
        <v>145633</v>
      </c>
      <c r="U163" s="22">
        <v>145633</v>
      </c>
      <c r="V163" s="21">
        <v>87622</v>
      </c>
      <c r="W163" s="21">
        <v>86223</v>
      </c>
      <c r="X163" s="21">
        <v>77568</v>
      </c>
      <c r="Y163" s="21">
        <v>77568</v>
      </c>
      <c r="Z163" s="20">
        <v>77568</v>
      </c>
      <c r="AA163" s="21">
        <v>-117</v>
      </c>
      <c r="AB163" s="21">
        <v>92363</v>
      </c>
      <c r="AC163" s="21">
        <v>66275</v>
      </c>
      <c r="AD163" s="21">
        <v>66275</v>
      </c>
      <c r="AE163" s="20">
        <v>66275</v>
      </c>
      <c r="AF163" s="21">
        <v>33595</v>
      </c>
      <c r="AG163" s="21">
        <v>33595</v>
      </c>
      <c r="AH163" s="21">
        <v>32895</v>
      </c>
      <c r="AI163" s="21">
        <v>32895</v>
      </c>
      <c r="AJ163" s="21">
        <v>32895</v>
      </c>
      <c r="AK163" s="20">
        <v>32895</v>
      </c>
      <c r="AL163" s="22">
        <v>178528</v>
      </c>
      <c r="AM163" s="54"/>
      <c r="AN163" s="13">
        <v>0</v>
      </c>
      <c r="AO163" s="13">
        <v>0</v>
      </c>
    </row>
    <row r="164" spans="1:41" s="15" customFormat="1" ht="17" thickBot="1">
      <c r="A164" s="46"/>
      <c r="B164" s="12" t="s">
        <v>68</v>
      </c>
      <c r="C164" s="26"/>
      <c r="D164" s="26"/>
      <c r="E164" s="19">
        <v>0</v>
      </c>
      <c r="F164" s="19"/>
      <c r="G164" s="19"/>
      <c r="H164" s="19"/>
      <c r="I164" s="23"/>
      <c r="J164" s="19"/>
      <c r="K164" s="19"/>
      <c r="L164" s="19"/>
      <c r="M164" s="19"/>
      <c r="N164" s="23"/>
      <c r="O164" s="19"/>
      <c r="P164" s="19"/>
      <c r="Q164" s="19"/>
      <c r="R164" s="19"/>
      <c r="S164" s="19"/>
      <c r="T164" s="23"/>
      <c r="U164" s="24"/>
      <c r="V164" s="19"/>
      <c r="W164" s="19"/>
      <c r="X164" s="19"/>
      <c r="Y164" s="19"/>
      <c r="Z164" s="23"/>
      <c r="AA164" s="19"/>
      <c r="AB164" s="19"/>
      <c r="AC164" s="19"/>
      <c r="AD164" s="19"/>
      <c r="AE164" s="23"/>
      <c r="AF164" s="19"/>
      <c r="AG164" s="19"/>
      <c r="AH164" s="19"/>
      <c r="AI164" s="19"/>
      <c r="AJ164" s="19"/>
      <c r="AK164" s="23"/>
      <c r="AL164" s="24"/>
      <c r="AM164" s="54"/>
      <c r="AN164" s="13">
        <v>0</v>
      </c>
      <c r="AO164" s="13">
        <v>0</v>
      </c>
    </row>
    <row r="165" spans="1:41" s="15" customFormat="1">
      <c r="A165" s="117" t="s">
        <v>95</v>
      </c>
      <c r="B165" s="3" t="s">
        <v>64</v>
      </c>
      <c r="C165" s="26"/>
      <c r="D165" s="26"/>
      <c r="E165" s="27"/>
      <c r="F165" s="27">
        <v>4000</v>
      </c>
      <c r="G165" s="27">
        <v>0</v>
      </c>
      <c r="H165" s="27">
        <v>0</v>
      </c>
      <c r="I165" s="26">
        <v>4000</v>
      </c>
      <c r="J165" s="27">
        <v>0</v>
      </c>
      <c r="K165" s="27">
        <v>0</v>
      </c>
      <c r="L165" s="27">
        <v>0</v>
      </c>
      <c r="M165" s="27">
        <v>0</v>
      </c>
      <c r="N165" s="26">
        <v>0</v>
      </c>
      <c r="O165" s="27">
        <v>4264</v>
      </c>
      <c r="P165" s="27">
        <v>0</v>
      </c>
      <c r="Q165" s="27">
        <v>1974</v>
      </c>
      <c r="R165" s="27">
        <v>0</v>
      </c>
      <c r="S165" s="27">
        <v>0</v>
      </c>
      <c r="T165" s="26">
        <v>6238</v>
      </c>
      <c r="U165" s="28">
        <v>18831</v>
      </c>
      <c r="V165" s="27">
        <v>3159</v>
      </c>
      <c r="W165" s="27">
        <v>0</v>
      </c>
      <c r="X165" s="27">
        <v>235</v>
      </c>
      <c r="Y165" s="27">
        <v>0</v>
      </c>
      <c r="Z165" s="26">
        <v>3394</v>
      </c>
      <c r="AA165" s="27">
        <v>3457</v>
      </c>
      <c r="AB165" s="27">
        <v>0</v>
      </c>
      <c r="AC165" s="27">
        <v>551</v>
      </c>
      <c r="AD165" s="27">
        <v>0</v>
      </c>
      <c r="AE165" s="26">
        <v>4008</v>
      </c>
      <c r="AF165" s="27">
        <v>0</v>
      </c>
      <c r="AG165" s="27">
        <v>0</v>
      </c>
      <c r="AH165" s="27">
        <v>0</v>
      </c>
      <c r="AI165" s="27">
        <v>0</v>
      </c>
      <c r="AJ165" s="27">
        <v>0</v>
      </c>
      <c r="AK165" s="26">
        <v>0</v>
      </c>
      <c r="AL165" s="28">
        <v>7402</v>
      </c>
      <c r="AM165" s="54">
        <v>64</v>
      </c>
      <c r="AN165" s="13">
        <v>1205184</v>
      </c>
      <c r="AO165" s="13">
        <v>473728</v>
      </c>
    </row>
    <row r="166" spans="1:41" s="15" customFormat="1">
      <c r="A166" s="118"/>
      <c r="B166" s="12" t="s">
        <v>65</v>
      </c>
      <c r="C166" s="26"/>
      <c r="D166" s="26"/>
      <c r="E166" s="27"/>
      <c r="F166" s="27">
        <v>4000</v>
      </c>
      <c r="G166" s="27">
        <v>0</v>
      </c>
      <c r="H166" s="27">
        <v>0</v>
      </c>
      <c r="I166" s="26">
        <v>4000</v>
      </c>
      <c r="J166" s="27">
        <v>0</v>
      </c>
      <c r="K166" s="27">
        <v>0</v>
      </c>
      <c r="L166" s="27">
        <v>0</v>
      </c>
      <c r="M166" s="27">
        <v>0</v>
      </c>
      <c r="N166" s="26">
        <v>0</v>
      </c>
      <c r="O166" s="27">
        <v>0</v>
      </c>
      <c r="P166" s="27">
        <v>0</v>
      </c>
      <c r="Q166" s="27">
        <v>0</v>
      </c>
      <c r="R166" s="27">
        <v>0</v>
      </c>
      <c r="S166" s="27">
        <v>0</v>
      </c>
      <c r="T166" s="26">
        <v>0</v>
      </c>
      <c r="U166" s="28">
        <v>0</v>
      </c>
      <c r="V166" s="27">
        <v>0</v>
      </c>
      <c r="W166" s="27">
        <v>0</v>
      </c>
      <c r="X166" s="27">
        <v>0</v>
      </c>
      <c r="Y166" s="27">
        <v>0</v>
      </c>
      <c r="Z166" s="26">
        <v>0</v>
      </c>
      <c r="AA166" s="27">
        <v>0</v>
      </c>
      <c r="AB166" s="27">
        <v>0</v>
      </c>
      <c r="AC166" s="27">
        <v>0</v>
      </c>
      <c r="AD166" s="27">
        <v>0</v>
      </c>
      <c r="AE166" s="26">
        <v>0</v>
      </c>
      <c r="AF166" s="27">
        <v>0</v>
      </c>
      <c r="AG166" s="27">
        <v>0</v>
      </c>
      <c r="AH166" s="27">
        <v>0</v>
      </c>
      <c r="AI166" s="27">
        <v>0</v>
      </c>
      <c r="AJ166" s="27">
        <v>0</v>
      </c>
      <c r="AK166" s="26">
        <v>0</v>
      </c>
      <c r="AL166" s="28">
        <v>0</v>
      </c>
      <c r="AM166" s="54"/>
      <c r="AN166" s="13">
        <v>0</v>
      </c>
      <c r="AO166" s="13">
        <v>0</v>
      </c>
    </row>
    <row r="167" spans="1:41" s="15" customFormat="1">
      <c r="A167" s="118"/>
      <c r="B167" s="12" t="s">
        <v>66</v>
      </c>
      <c r="C167" s="27">
        <v>0</v>
      </c>
      <c r="D167" s="26">
        <v>0</v>
      </c>
      <c r="E167" s="27"/>
      <c r="F167" s="27">
        <v>0</v>
      </c>
      <c r="G167" s="27">
        <v>0</v>
      </c>
      <c r="H167" s="27">
        <v>0</v>
      </c>
      <c r="I167" s="26">
        <v>0</v>
      </c>
      <c r="J167" s="27">
        <v>0</v>
      </c>
      <c r="K167" s="27">
        <v>0</v>
      </c>
      <c r="L167" s="27">
        <v>0</v>
      </c>
      <c r="M167" s="27">
        <v>0</v>
      </c>
      <c r="N167" s="26">
        <v>0</v>
      </c>
      <c r="O167" s="27">
        <v>0</v>
      </c>
      <c r="P167" s="27">
        <v>0</v>
      </c>
      <c r="Q167" s="27">
        <v>0</v>
      </c>
      <c r="R167" s="27">
        <v>0</v>
      </c>
      <c r="S167" s="27">
        <v>0</v>
      </c>
      <c r="T167" s="26">
        <v>0</v>
      </c>
      <c r="U167" s="28">
        <v>0</v>
      </c>
      <c r="V167" s="27">
        <v>0</v>
      </c>
      <c r="W167" s="27">
        <v>0</v>
      </c>
      <c r="X167" s="27">
        <v>0</v>
      </c>
      <c r="Y167" s="27">
        <v>0</v>
      </c>
      <c r="Z167" s="26">
        <v>0</v>
      </c>
      <c r="AA167" s="27">
        <v>0</v>
      </c>
      <c r="AB167" s="27">
        <v>0</v>
      </c>
      <c r="AC167" s="27">
        <v>0</v>
      </c>
      <c r="AD167" s="27">
        <v>0</v>
      </c>
      <c r="AE167" s="26">
        <v>0</v>
      </c>
      <c r="AF167" s="27">
        <v>0</v>
      </c>
      <c r="AG167" s="27">
        <v>0</v>
      </c>
      <c r="AH167" s="27">
        <v>0</v>
      </c>
      <c r="AI167" s="27">
        <v>0</v>
      </c>
      <c r="AJ167" s="27">
        <v>0</v>
      </c>
      <c r="AK167" s="26">
        <v>0</v>
      </c>
      <c r="AL167" s="28">
        <v>0</v>
      </c>
      <c r="AM167" s="54"/>
      <c r="AN167" s="13">
        <v>0</v>
      </c>
      <c r="AO167" s="13">
        <v>0</v>
      </c>
    </row>
    <row r="168" spans="1:41" s="15" customFormat="1">
      <c r="A168" s="118"/>
      <c r="B168" s="12" t="s">
        <v>7</v>
      </c>
      <c r="C168" s="26"/>
      <c r="D168" s="26"/>
      <c r="E168" s="32"/>
      <c r="F168" s="27">
        <v>4000</v>
      </c>
      <c r="G168" s="27">
        <v>0</v>
      </c>
      <c r="H168" s="27">
        <v>0</v>
      </c>
      <c r="I168" s="26">
        <v>4000</v>
      </c>
      <c r="J168" s="32">
        <v>0</v>
      </c>
      <c r="K168" s="27">
        <v>0</v>
      </c>
      <c r="L168" s="27">
        <v>0</v>
      </c>
      <c r="M168" s="27">
        <v>0</v>
      </c>
      <c r="N168" s="26">
        <v>0</v>
      </c>
      <c r="O168" s="32">
        <v>0</v>
      </c>
      <c r="P168" s="27">
        <v>0</v>
      </c>
      <c r="Q168" s="27">
        <v>0</v>
      </c>
      <c r="R168" s="27">
        <v>0</v>
      </c>
      <c r="S168" s="27">
        <v>0</v>
      </c>
      <c r="T168" s="26">
        <v>0</v>
      </c>
      <c r="U168" s="28">
        <v>12593</v>
      </c>
      <c r="V168" s="32">
        <v>0</v>
      </c>
      <c r="W168" s="27">
        <v>0</v>
      </c>
      <c r="X168" s="27">
        <v>0</v>
      </c>
      <c r="Y168" s="27">
        <v>0</v>
      </c>
      <c r="Z168" s="26">
        <v>-6238</v>
      </c>
      <c r="AA168" s="32">
        <v>0</v>
      </c>
      <c r="AB168" s="27">
        <v>0</v>
      </c>
      <c r="AC168" s="27">
        <v>0</v>
      </c>
      <c r="AD168" s="27">
        <v>0</v>
      </c>
      <c r="AE168" s="26">
        <v>0</v>
      </c>
      <c r="AF168" s="32">
        <v>0</v>
      </c>
      <c r="AG168" s="27">
        <v>0</v>
      </c>
      <c r="AH168" s="27">
        <v>0</v>
      </c>
      <c r="AI168" s="27">
        <v>0</v>
      </c>
      <c r="AJ168" s="27">
        <v>0</v>
      </c>
      <c r="AK168" s="26">
        <v>0</v>
      </c>
      <c r="AL168" s="28">
        <v>-6238</v>
      </c>
      <c r="AM168" s="54"/>
      <c r="AN168" s="13">
        <v>0</v>
      </c>
      <c r="AO168" s="13">
        <v>0</v>
      </c>
    </row>
    <row r="169" spans="1:41" s="15" customFormat="1" ht="17" thickBot="1">
      <c r="A169" s="119"/>
      <c r="B169" s="4" t="s">
        <v>67</v>
      </c>
      <c r="C169" s="26">
        <v>6872</v>
      </c>
      <c r="D169" s="37">
        <v>8593</v>
      </c>
      <c r="E169" s="21"/>
      <c r="F169" s="21">
        <v>0</v>
      </c>
      <c r="G169" s="21">
        <v>0</v>
      </c>
      <c r="H169" s="21">
        <v>0</v>
      </c>
      <c r="I169" s="20">
        <v>0</v>
      </c>
      <c r="J169" s="21">
        <v>0</v>
      </c>
      <c r="K169" s="21">
        <v>0</v>
      </c>
      <c r="L169" s="21">
        <v>0</v>
      </c>
      <c r="M169" s="21">
        <v>0</v>
      </c>
      <c r="N169" s="20">
        <v>0</v>
      </c>
      <c r="O169" s="21">
        <v>-4264</v>
      </c>
      <c r="P169" s="21">
        <v>-4264</v>
      </c>
      <c r="Q169" s="21">
        <v>-6238</v>
      </c>
      <c r="R169" s="21">
        <v>-6238</v>
      </c>
      <c r="S169" s="21">
        <v>-6238</v>
      </c>
      <c r="T169" s="20">
        <v>-6238</v>
      </c>
      <c r="U169" s="22">
        <v>-6238</v>
      </c>
      <c r="V169" s="21">
        <v>-9397</v>
      </c>
      <c r="W169" s="21">
        <v>-9397</v>
      </c>
      <c r="X169" s="21">
        <v>-9632</v>
      </c>
      <c r="Y169" s="21">
        <v>-9632</v>
      </c>
      <c r="Z169" s="20">
        <v>-9632</v>
      </c>
      <c r="AA169" s="21">
        <v>-13089</v>
      </c>
      <c r="AB169" s="21">
        <v>-13089</v>
      </c>
      <c r="AC169" s="21">
        <v>-13640</v>
      </c>
      <c r="AD169" s="21">
        <v>-13640</v>
      </c>
      <c r="AE169" s="20">
        <v>-13640</v>
      </c>
      <c r="AF169" s="21">
        <v>-13640</v>
      </c>
      <c r="AG169" s="21">
        <v>-13640</v>
      </c>
      <c r="AH169" s="21">
        <v>-13640</v>
      </c>
      <c r="AI169" s="21">
        <v>-13640</v>
      </c>
      <c r="AJ169" s="21">
        <v>-13640</v>
      </c>
      <c r="AK169" s="20">
        <v>-13640</v>
      </c>
      <c r="AL169" s="22">
        <v>-19878</v>
      </c>
      <c r="AM169" s="54"/>
      <c r="AN169" s="13">
        <v>0</v>
      </c>
      <c r="AO169" s="13">
        <v>0</v>
      </c>
    </row>
    <row r="170" spans="1:41" s="15" customFormat="1" ht="17" thickBot="1">
      <c r="A170" s="46"/>
      <c r="B170" s="12" t="s">
        <v>68</v>
      </c>
      <c r="C170" s="26"/>
      <c r="D170" s="26"/>
      <c r="E170" s="19">
        <v>0</v>
      </c>
      <c r="F170" s="19"/>
      <c r="G170" s="19"/>
      <c r="H170" s="19"/>
      <c r="I170" s="23"/>
      <c r="J170" s="19"/>
      <c r="K170" s="19"/>
      <c r="L170" s="19"/>
      <c r="M170" s="19"/>
      <c r="N170" s="23"/>
      <c r="O170" s="19"/>
      <c r="P170" s="19"/>
      <c r="Q170" s="19"/>
      <c r="R170" s="19"/>
      <c r="S170" s="19"/>
      <c r="T170" s="23"/>
      <c r="U170" s="24"/>
      <c r="V170" s="19"/>
      <c r="W170" s="19"/>
      <c r="X170" s="19"/>
      <c r="Y170" s="19"/>
      <c r="Z170" s="23"/>
      <c r="AA170" s="19"/>
      <c r="AB170" s="19"/>
      <c r="AC170" s="19"/>
      <c r="AD170" s="19"/>
      <c r="AE170" s="23"/>
      <c r="AF170" s="19"/>
      <c r="AG170" s="19"/>
      <c r="AH170" s="19"/>
      <c r="AI170" s="19"/>
      <c r="AJ170" s="19"/>
      <c r="AK170" s="23"/>
      <c r="AL170" s="24"/>
      <c r="AM170" s="54"/>
      <c r="AN170" s="13">
        <v>0</v>
      </c>
      <c r="AO170" s="13">
        <v>0</v>
      </c>
    </row>
    <row r="171" spans="1:41" s="15" customFormat="1">
      <c r="A171" s="117" t="s">
        <v>96</v>
      </c>
      <c r="B171" s="3" t="s">
        <v>64</v>
      </c>
      <c r="C171" s="26"/>
      <c r="D171" s="26"/>
      <c r="E171" s="27"/>
      <c r="F171" s="27">
        <v>3600</v>
      </c>
      <c r="G171" s="27">
        <v>4400</v>
      </c>
      <c r="H171" s="27">
        <v>0</v>
      </c>
      <c r="I171" s="26">
        <v>8000</v>
      </c>
      <c r="J171" s="27">
        <v>0</v>
      </c>
      <c r="K171" s="27">
        <v>0</v>
      </c>
      <c r="L171" s="27">
        <v>0</v>
      </c>
      <c r="M171" s="27">
        <v>0</v>
      </c>
      <c r="N171" s="26">
        <v>0</v>
      </c>
      <c r="O171" s="27">
        <v>0</v>
      </c>
      <c r="P171" s="27">
        <v>0</v>
      </c>
      <c r="Q171" s="27">
        <v>600</v>
      </c>
      <c r="R171" s="27">
        <v>0</v>
      </c>
      <c r="S171" s="27">
        <v>0</v>
      </c>
      <c r="T171" s="26">
        <v>600</v>
      </c>
      <c r="U171" s="28">
        <v>9343</v>
      </c>
      <c r="V171" s="27">
        <v>7300</v>
      </c>
      <c r="W171" s="27">
        <v>0</v>
      </c>
      <c r="X171" s="27">
        <v>0</v>
      </c>
      <c r="Y171" s="27">
        <v>0</v>
      </c>
      <c r="Z171" s="26">
        <v>7300</v>
      </c>
      <c r="AA171" s="27">
        <v>1000</v>
      </c>
      <c r="AB171" s="27">
        <v>0</v>
      </c>
      <c r="AC171" s="27">
        <v>0</v>
      </c>
      <c r="AD171" s="27">
        <v>0</v>
      </c>
      <c r="AE171" s="26">
        <v>1000</v>
      </c>
      <c r="AF171" s="27">
        <v>0</v>
      </c>
      <c r="AG171" s="27">
        <v>0</v>
      </c>
      <c r="AH171" s="27">
        <v>0</v>
      </c>
      <c r="AI171" s="27">
        <v>0</v>
      </c>
      <c r="AJ171" s="27">
        <v>0</v>
      </c>
      <c r="AK171" s="26">
        <v>0</v>
      </c>
      <c r="AL171" s="28">
        <v>8300</v>
      </c>
      <c r="AM171" s="54">
        <v>64</v>
      </c>
      <c r="AN171" s="13">
        <v>597952</v>
      </c>
      <c r="AO171" s="13">
        <v>531200</v>
      </c>
    </row>
    <row r="172" spans="1:41" s="15" customFormat="1">
      <c r="A172" s="118"/>
      <c r="B172" s="12" t="s">
        <v>65</v>
      </c>
      <c r="C172" s="26"/>
      <c r="D172" s="26"/>
      <c r="E172" s="27"/>
      <c r="F172" s="27">
        <v>3600</v>
      </c>
      <c r="G172" s="27">
        <v>4400</v>
      </c>
      <c r="H172" s="27">
        <v>0</v>
      </c>
      <c r="I172" s="26">
        <v>8000</v>
      </c>
      <c r="J172" s="27">
        <v>0</v>
      </c>
      <c r="K172" s="27">
        <v>0</v>
      </c>
      <c r="L172" s="27">
        <v>0</v>
      </c>
      <c r="M172" s="27">
        <v>0</v>
      </c>
      <c r="N172" s="26">
        <v>0</v>
      </c>
      <c r="O172" s="27">
        <v>6000</v>
      </c>
      <c r="P172" s="27">
        <v>0</v>
      </c>
      <c r="Q172" s="27">
        <v>0</v>
      </c>
      <c r="R172" s="27">
        <v>2000</v>
      </c>
      <c r="S172" s="27">
        <v>0</v>
      </c>
      <c r="T172" s="26">
        <v>8000</v>
      </c>
      <c r="U172" s="28">
        <v>0</v>
      </c>
      <c r="V172" s="27">
        <v>13000</v>
      </c>
      <c r="W172" s="27">
        <v>0</v>
      </c>
      <c r="X172" s="27">
        <v>5000</v>
      </c>
      <c r="Y172" s="27">
        <v>0</v>
      </c>
      <c r="Z172" s="26">
        <v>18000</v>
      </c>
      <c r="AA172" s="27">
        <v>0</v>
      </c>
      <c r="AB172" s="27">
        <v>0</v>
      </c>
      <c r="AC172" s="27">
        <v>0</v>
      </c>
      <c r="AD172" s="27">
        <v>0</v>
      </c>
      <c r="AE172" s="26">
        <v>0</v>
      </c>
      <c r="AF172" s="27">
        <v>0</v>
      </c>
      <c r="AG172" s="27">
        <v>0</v>
      </c>
      <c r="AH172" s="27">
        <v>0</v>
      </c>
      <c r="AI172" s="27">
        <v>0</v>
      </c>
      <c r="AJ172" s="27">
        <v>0</v>
      </c>
      <c r="AK172" s="26">
        <v>0</v>
      </c>
      <c r="AL172" s="28">
        <v>0</v>
      </c>
      <c r="AM172" s="54"/>
      <c r="AN172" s="13">
        <v>0</v>
      </c>
      <c r="AO172" s="13">
        <v>0</v>
      </c>
    </row>
    <row r="173" spans="1:41" s="15" customFormat="1">
      <c r="A173" s="118"/>
      <c r="B173" s="12" t="s">
        <v>66</v>
      </c>
      <c r="C173" s="27">
        <v>0</v>
      </c>
      <c r="D173" s="26">
        <v>0</v>
      </c>
      <c r="E173" s="27"/>
      <c r="F173" s="27">
        <v>0</v>
      </c>
      <c r="G173" s="27">
        <v>0</v>
      </c>
      <c r="H173" s="27">
        <v>0</v>
      </c>
      <c r="I173" s="26">
        <v>0</v>
      </c>
      <c r="J173" s="27">
        <v>0</v>
      </c>
      <c r="K173" s="27">
        <v>0</v>
      </c>
      <c r="L173" s="27">
        <v>0</v>
      </c>
      <c r="M173" s="27">
        <v>0</v>
      </c>
      <c r="N173" s="26">
        <v>0</v>
      </c>
      <c r="O173" s="27">
        <v>0</v>
      </c>
      <c r="P173" s="27">
        <v>0</v>
      </c>
      <c r="Q173" s="27">
        <v>0</v>
      </c>
      <c r="R173" s="27">
        <v>0</v>
      </c>
      <c r="S173" s="27">
        <v>0</v>
      </c>
      <c r="T173" s="26">
        <v>0</v>
      </c>
      <c r="U173" s="28">
        <v>0</v>
      </c>
      <c r="V173" s="27">
        <v>0</v>
      </c>
      <c r="W173" s="27">
        <v>0</v>
      </c>
      <c r="X173" s="27">
        <v>0</v>
      </c>
      <c r="Y173" s="27">
        <v>0</v>
      </c>
      <c r="Z173" s="26">
        <v>0</v>
      </c>
      <c r="AA173" s="27">
        <v>0</v>
      </c>
      <c r="AB173" s="27">
        <v>0</v>
      </c>
      <c r="AC173" s="27">
        <v>0</v>
      </c>
      <c r="AD173" s="27">
        <v>0</v>
      </c>
      <c r="AE173" s="26">
        <v>0</v>
      </c>
      <c r="AF173" s="27">
        <v>0</v>
      </c>
      <c r="AG173" s="27">
        <v>0</v>
      </c>
      <c r="AH173" s="27">
        <v>0</v>
      </c>
      <c r="AI173" s="27">
        <v>0</v>
      </c>
      <c r="AJ173" s="27">
        <v>0</v>
      </c>
      <c r="AK173" s="26">
        <v>0</v>
      </c>
      <c r="AL173" s="28">
        <v>0</v>
      </c>
      <c r="AM173" s="54"/>
      <c r="AN173" s="13">
        <v>0</v>
      </c>
      <c r="AO173" s="13">
        <v>0</v>
      </c>
    </row>
    <row r="174" spans="1:41" s="15" customFormat="1">
      <c r="A174" s="118"/>
      <c r="B174" s="12" t="s">
        <v>7</v>
      </c>
      <c r="C174" s="26"/>
      <c r="D174" s="26"/>
      <c r="E174" s="32"/>
      <c r="F174" s="27">
        <v>3600</v>
      </c>
      <c r="G174" s="27">
        <v>4400</v>
      </c>
      <c r="H174" s="27">
        <v>0</v>
      </c>
      <c r="I174" s="26">
        <v>8000</v>
      </c>
      <c r="J174" s="32">
        <v>0</v>
      </c>
      <c r="K174" s="27">
        <v>0</v>
      </c>
      <c r="L174" s="27">
        <v>0</v>
      </c>
      <c r="M174" s="27">
        <v>0</v>
      </c>
      <c r="N174" s="26">
        <v>0</v>
      </c>
      <c r="O174" s="32">
        <v>6000</v>
      </c>
      <c r="P174" s="27">
        <v>0</v>
      </c>
      <c r="Q174" s="27">
        <v>0</v>
      </c>
      <c r="R174" s="27">
        <v>2000</v>
      </c>
      <c r="S174" s="27">
        <v>0</v>
      </c>
      <c r="T174" s="26">
        <v>8000</v>
      </c>
      <c r="U174" s="28">
        <v>16743</v>
      </c>
      <c r="V174" s="32">
        <v>13000</v>
      </c>
      <c r="W174" s="27">
        <v>0</v>
      </c>
      <c r="X174" s="27">
        <v>5000</v>
      </c>
      <c r="Y174" s="27">
        <v>0</v>
      </c>
      <c r="Z174" s="26">
        <v>25400</v>
      </c>
      <c r="AA174" s="32">
        <v>0</v>
      </c>
      <c r="AB174" s="27">
        <v>0</v>
      </c>
      <c r="AC174" s="27">
        <v>0</v>
      </c>
      <c r="AD174" s="27">
        <v>0</v>
      </c>
      <c r="AE174" s="26">
        <v>0</v>
      </c>
      <c r="AF174" s="32">
        <v>0</v>
      </c>
      <c r="AG174" s="27">
        <v>0</v>
      </c>
      <c r="AH174" s="27">
        <v>0</v>
      </c>
      <c r="AI174" s="27">
        <v>0</v>
      </c>
      <c r="AJ174" s="27">
        <v>0</v>
      </c>
      <c r="AK174" s="26">
        <v>0</v>
      </c>
      <c r="AL174" s="28">
        <v>25400</v>
      </c>
      <c r="AM174" s="54"/>
      <c r="AN174" s="13">
        <v>0</v>
      </c>
      <c r="AO174" s="13">
        <v>0</v>
      </c>
    </row>
    <row r="175" spans="1:41" s="15" customFormat="1" ht="17" thickBot="1">
      <c r="A175" s="119"/>
      <c r="B175" s="4" t="s">
        <v>67</v>
      </c>
      <c r="C175" s="26">
        <v>7876</v>
      </c>
      <c r="D175" s="37">
        <v>743</v>
      </c>
      <c r="E175" s="21"/>
      <c r="F175" s="21">
        <v>0</v>
      </c>
      <c r="G175" s="21">
        <v>0</v>
      </c>
      <c r="H175" s="21">
        <v>0</v>
      </c>
      <c r="I175" s="20">
        <v>0</v>
      </c>
      <c r="J175" s="21">
        <v>0</v>
      </c>
      <c r="K175" s="21">
        <v>0</v>
      </c>
      <c r="L175" s="21">
        <v>0</v>
      </c>
      <c r="M175" s="21">
        <v>0</v>
      </c>
      <c r="N175" s="20">
        <v>0</v>
      </c>
      <c r="O175" s="21">
        <v>6000</v>
      </c>
      <c r="P175" s="21">
        <v>6000</v>
      </c>
      <c r="Q175" s="21">
        <v>5400</v>
      </c>
      <c r="R175" s="21">
        <v>7400</v>
      </c>
      <c r="S175" s="21">
        <v>7400</v>
      </c>
      <c r="T175" s="20">
        <v>7400</v>
      </c>
      <c r="U175" s="22">
        <v>7400</v>
      </c>
      <c r="V175" s="21">
        <v>13100</v>
      </c>
      <c r="W175" s="21">
        <v>13100</v>
      </c>
      <c r="X175" s="21">
        <v>18100</v>
      </c>
      <c r="Y175" s="21">
        <v>18100</v>
      </c>
      <c r="Z175" s="20">
        <v>18100</v>
      </c>
      <c r="AA175" s="21">
        <v>17100</v>
      </c>
      <c r="AB175" s="21">
        <v>17100</v>
      </c>
      <c r="AC175" s="21">
        <v>17100</v>
      </c>
      <c r="AD175" s="21">
        <v>17100</v>
      </c>
      <c r="AE175" s="20">
        <v>17100</v>
      </c>
      <c r="AF175" s="21">
        <v>17100</v>
      </c>
      <c r="AG175" s="21">
        <v>17100</v>
      </c>
      <c r="AH175" s="21">
        <v>17100</v>
      </c>
      <c r="AI175" s="21">
        <v>17100</v>
      </c>
      <c r="AJ175" s="21">
        <v>17100</v>
      </c>
      <c r="AK175" s="20">
        <v>17100</v>
      </c>
      <c r="AL175" s="22">
        <v>24500</v>
      </c>
      <c r="AM175" s="54"/>
      <c r="AN175" s="13">
        <v>0</v>
      </c>
      <c r="AO175" s="13">
        <v>0</v>
      </c>
    </row>
    <row r="176" spans="1:41" s="15" customFormat="1" ht="17" thickBot="1">
      <c r="A176" s="5"/>
      <c r="B176" s="12" t="s">
        <v>68</v>
      </c>
      <c r="C176" s="26"/>
      <c r="D176" s="26"/>
      <c r="E176" s="19">
        <v>0</v>
      </c>
      <c r="F176" s="19"/>
      <c r="G176" s="19"/>
      <c r="H176" s="19"/>
      <c r="I176" s="23"/>
      <c r="J176" s="19"/>
      <c r="K176" s="19"/>
      <c r="L176" s="19"/>
      <c r="M176" s="19"/>
      <c r="N176" s="23"/>
      <c r="O176" s="19"/>
      <c r="P176" s="19"/>
      <c r="Q176" s="19"/>
      <c r="R176" s="19"/>
      <c r="S176" s="19"/>
      <c r="T176" s="23"/>
      <c r="U176" s="24"/>
      <c r="V176" s="19"/>
      <c r="W176" s="19"/>
      <c r="X176" s="19"/>
      <c r="Y176" s="19"/>
      <c r="Z176" s="23"/>
      <c r="AA176" s="19"/>
      <c r="AB176" s="19"/>
      <c r="AC176" s="19"/>
      <c r="AD176" s="19"/>
      <c r="AE176" s="23"/>
      <c r="AF176" s="19"/>
      <c r="AG176" s="19"/>
      <c r="AH176" s="19"/>
      <c r="AI176" s="19"/>
      <c r="AJ176" s="19"/>
      <c r="AK176" s="23"/>
      <c r="AL176" s="24"/>
      <c r="AM176" s="54"/>
      <c r="AN176" s="13">
        <v>0</v>
      </c>
      <c r="AO176" s="13">
        <v>0</v>
      </c>
    </row>
    <row r="177" spans="1:41" s="15" customFormat="1">
      <c r="A177" s="133" t="s">
        <v>97</v>
      </c>
      <c r="B177" s="3" t="s">
        <v>64</v>
      </c>
      <c r="C177" s="26"/>
      <c r="D177" s="26"/>
      <c r="E177" s="27"/>
      <c r="F177" s="27">
        <v>538511</v>
      </c>
      <c r="G177" s="27">
        <v>69986</v>
      </c>
      <c r="H177" s="27">
        <v>0</v>
      </c>
      <c r="I177" s="26">
        <v>608497</v>
      </c>
      <c r="J177" s="27">
        <v>51375</v>
      </c>
      <c r="K177" s="27">
        <v>4500</v>
      </c>
      <c r="L177" s="27">
        <v>36382</v>
      </c>
      <c r="M177" s="27">
        <v>102907</v>
      </c>
      <c r="N177" s="26">
        <v>195164</v>
      </c>
      <c r="O177" s="27">
        <v>148230</v>
      </c>
      <c r="P177" s="27">
        <v>12941</v>
      </c>
      <c r="Q177" s="27">
        <v>301</v>
      </c>
      <c r="R177" s="27">
        <v>24524</v>
      </c>
      <c r="S177" s="27">
        <v>120000</v>
      </c>
      <c r="T177" s="26">
        <v>305996</v>
      </c>
      <c r="U177" s="28">
        <v>1335704</v>
      </c>
      <c r="V177" s="27">
        <v>155785</v>
      </c>
      <c r="W177" s="27">
        <v>188</v>
      </c>
      <c r="X177" s="27">
        <v>2420</v>
      </c>
      <c r="Y177" s="27">
        <v>913</v>
      </c>
      <c r="Z177" s="26">
        <v>159306</v>
      </c>
      <c r="AA177" s="27">
        <v>3766</v>
      </c>
      <c r="AB177" s="27">
        <v>878</v>
      </c>
      <c r="AC177" s="27">
        <v>2676</v>
      </c>
      <c r="AD177" s="27">
        <v>927</v>
      </c>
      <c r="AE177" s="26">
        <v>8247</v>
      </c>
      <c r="AF177" s="27">
        <v>74</v>
      </c>
      <c r="AG177" s="27">
        <v>79</v>
      </c>
      <c r="AH177" s="27">
        <v>70</v>
      </c>
      <c r="AI177" s="27">
        <v>70</v>
      </c>
      <c r="AJ177" s="27">
        <v>52</v>
      </c>
      <c r="AK177" s="26">
        <v>345</v>
      </c>
      <c r="AL177" s="28">
        <v>167898</v>
      </c>
      <c r="AM177" s="54">
        <v>64</v>
      </c>
      <c r="AN177" s="13">
        <v>85485056</v>
      </c>
      <c r="AO177" s="13">
        <v>10745472</v>
      </c>
    </row>
    <row r="178" spans="1:41" s="15" customFormat="1">
      <c r="A178" s="134"/>
      <c r="B178" s="12" t="s">
        <v>65</v>
      </c>
      <c r="C178" s="26"/>
      <c r="D178" s="26"/>
      <c r="E178" s="27"/>
      <c r="F178" s="27">
        <v>538511</v>
      </c>
      <c r="G178" s="27">
        <v>69986</v>
      </c>
      <c r="H178" s="27">
        <v>0</v>
      </c>
      <c r="I178" s="26">
        <v>608497</v>
      </c>
      <c r="J178" s="27">
        <v>51375</v>
      </c>
      <c r="K178" s="27">
        <v>4500</v>
      </c>
      <c r="L178" s="27">
        <v>0</v>
      </c>
      <c r="M178" s="27">
        <v>40000</v>
      </c>
      <c r="N178" s="26">
        <v>95875</v>
      </c>
      <c r="O178" s="27">
        <v>250000</v>
      </c>
      <c r="P178" s="27">
        <v>70000</v>
      </c>
      <c r="Q178" s="27">
        <v>100000</v>
      </c>
      <c r="R178" s="27">
        <v>90000</v>
      </c>
      <c r="S178" s="27">
        <v>120000</v>
      </c>
      <c r="T178" s="26">
        <v>630000</v>
      </c>
      <c r="U178" s="28">
        <v>0</v>
      </c>
      <c r="V178" s="27">
        <v>190000</v>
      </c>
      <c r="W178" s="27">
        <v>0</v>
      </c>
      <c r="X178" s="27">
        <v>0</v>
      </c>
      <c r="Y178" s="27">
        <v>0</v>
      </c>
      <c r="Z178" s="26">
        <v>190000</v>
      </c>
      <c r="AA178" s="27">
        <v>0</v>
      </c>
      <c r="AB178" s="27">
        <v>0</v>
      </c>
      <c r="AC178" s="27">
        <v>0</v>
      </c>
      <c r="AD178" s="27">
        <v>0</v>
      </c>
      <c r="AE178" s="26">
        <v>0</v>
      </c>
      <c r="AF178" s="27">
        <v>0</v>
      </c>
      <c r="AG178" s="27">
        <v>0</v>
      </c>
      <c r="AH178" s="27">
        <v>0</v>
      </c>
      <c r="AI178" s="27">
        <v>0</v>
      </c>
      <c r="AJ178" s="27">
        <v>0</v>
      </c>
      <c r="AK178" s="26">
        <v>0</v>
      </c>
      <c r="AL178" s="28">
        <v>0</v>
      </c>
      <c r="AM178" s="54"/>
      <c r="AN178" s="13">
        <v>0</v>
      </c>
      <c r="AO178" s="13">
        <v>0</v>
      </c>
    </row>
    <row r="179" spans="1:41" s="15" customFormat="1">
      <c r="A179" s="134"/>
      <c r="B179" s="12" t="s">
        <v>66</v>
      </c>
      <c r="C179" s="26">
        <v>5000</v>
      </c>
      <c r="D179" s="26">
        <v>5000</v>
      </c>
      <c r="E179" s="27"/>
      <c r="F179" s="27">
        <v>0</v>
      </c>
      <c r="G179" s="27">
        <v>0</v>
      </c>
      <c r="H179" s="27">
        <v>0</v>
      </c>
      <c r="I179" s="26">
        <v>0</v>
      </c>
      <c r="J179" s="27">
        <v>0</v>
      </c>
      <c r="K179" s="27">
        <v>0</v>
      </c>
      <c r="L179" s="27">
        <v>0</v>
      </c>
      <c r="M179" s="27">
        <v>5000</v>
      </c>
      <c r="N179" s="26">
        <v>5000</v>
      </c>
      <c r="O179" s="27">
        <v>0</v>
      </c>
      <c r="P179" s="27">
        <v>0</v>
      </c>
      <c r="Q179" s="27">
        <v>0</v>
      </c>
      <c r="R179" s="27">
        <v>0</v>
      </c>
      <c r="S179" s="27">
        <v>0</v>
      </c>
      <c r="T179" s="26">
        <v>0</v>
      </c>
      <c r="U179" s="28">
        <v>5000</v>
      </c>
      <c r="V179" s="27">
        <v>0</v>
      </c>
      <c r="W179" s="27">
        <v>0</v>
      </c>
      <c r="X179" s="27">
        <v>0</v>
      </c>
      <c r="Y179" s="27">
        <v>0</v>
      </c>
      <c r="Z179" s="26">
        <v>0</v>
      </c>
      <c r="AA179" s="27">
        <v>0</v>
      </c>
      <c r="AB179" s="27">
        <v>0</v>
      </c>
      <c r="AC179" s="27">
        <v>0</v>
      </c>
      <c r="AD179" s="27">
        <v>0</v>
      </c>
      <c r="AE179" s="26">
        <v>0</v>
      </c>
      <c r="AF179" s="27">
        <v>0</v>
      </c>
      <c r="AG179" s="27">
        <v>0</v>
      </c>
      <c r="AH179" s="27">
        <v>0</v>
      </c>
      <c r="AI179" s="27">
        <v>0</v>
      </c>
      <c r="AJ179" s="27">
        <v>0</v>
      </c>
      <c r="AK179" s="26">
        <v>0</v>
      </c>
      <c r="AL179" s="28">
        <v>0</v>
      </c>
      <c r="AM179" s="54"/>
      <c r="AN179" s="13">
        <v>0</v>
      </c>
      <c r="AO179" s="13">
        <v>0</v>
      </c>
    </row>
    <row r="180" spans="1:41" s="15" customFormat="1">
      <c r="A180" s="134"/>
      <c r="B180" s="12" t="s">
        <v>7</v>
      </c>
      <c r="C180" s="26"/>
      <c r="D180" s="26"/>
      <c r="E180" s="32"/>
      <c r="F180" s="27">
        <v>538511</v>
      </c>
      <c r="G180" s="27">
        <v>69986</v>
      </c>
      <c r="H180" s="27">
        <v>0</v>
      </c>
      <c r="I180" s="26">
        <v>608497</v>
      </c>
      <c r="J180" s="32">
        <v>51375</v>
      </c>
      <c r="K180" s="27">
        <v>4500</v>
      </c>
      <c r="L180" s="27">
        <v>0</v>
      </c>
      <c r="M180" s="27">
        <v>45000</v>
      </c>
      <c r="N180" s="26">
        <v>100875</v>
      </c>
      <c r="O180" s="32">
        <v>250000</v>
      </c>
      <c r="P180" s="27">
        <v>70000</v>
      </c>
      <c r="Q180" s="27">
        <v>100000</v>
      </c>
      <c r="R180" s="27">
        <v>90000</v>
      </c>
      <c r="S180" s="27">
        <v>120000</v>
      </c>
      <c r="T180" s="26">
        <v>630000</v>
      </c>
      <c r="U180" s="28">
        <v>1565419</v>
      </c>
      <c r="V180" s="32">
        <v>190000</v>
      </c>
      <c r="W180" s="27">
        <v>0</v>
      </c>
      <c r="X180" s="27">
        <v>0</v>
      </c>
      <c r="Y180" s="27">
        <v>0</v>
      </c>
      <c r="Z180" s="26">
        <v>419715</v>
      </c>
      <c r="AA180" s="32">
        <v>0</v>
      </c>
      <c r="AB180" s="27">
        <v>0</v>
      </c>
      <c r="AC180" s="27">
        <v>0</v>
      </c>
      <c r="AD180" s="27">
        <v>0</v>
      </c>
      <c r="AE180" s="26">
        <v>0</v>
      </c>
      <c r="AF180" s="32">
        <v>0</v>
      </c>
      <c r="AG180" s="27">
        <v>0</v>
      </c>
      <c r="AH180" s="27">
        <v>0</v>
      </c>
      <c r="AI180" s="27">
        <v>0</v>
      </c>
      <c r="AJ180" s="27">
        <v>0</v>
      </c>
      <c r="AK180" s="26">
        <v>0</v>
      </c>
      <c r="AL180" s="28">
        <v>419715</v>
      </c>
      <c r="AM180" s="54"/>
      <c r="AN180" s="13">
        <v>0</v>
      </c>
      <c r="AO180" s="13">
        <v>0</v>
      </c>
    </row>
    <row r="181" spans="1:41" s="15" customFormat="1" ht="17" thickBot="1">
      <c r="A181" s="135"/>
      <c r="B181" s="4" t="s">
        <v>67</v>
      </c>
      <c r="C181" s="26">
        <v>107336</v>
      </c>
      <c r="D181" s="37">
        <v>226047</v>
      </c>
      <c r="E181" s="21"/>
      <c r="F181" s="21">
        <v>0</v>
      </c>
      <c r="G181" s="21">
        <v>0</v>
      </c>
      <c r="H181" s="21">
        <v>0</v>
      </c>
      <c r="I181" s="20">
        <v>0</v>
      </c>
      <c r="J181" s="21">
        <v>0</v>
      </c>
      <c r="K181" s="21">
        <v>0</v>
      </c>
      <c r="L181" s="21">
        <v>-36382</v>
      </c>
      <c r="M181" s="21">
        <v>-94289</v>
      </c>
      <c r="N181" s="20">
        <v>-94289</v>
      </c>
      <c r="O181" s="21">
        <v>7481</v>
      </c>
      <c r="P181" s="21">
        <v>64540</v>
      </c>
      <c r="Q181" s="21">
        <v>164239</v>
      </c>
      <c r="R181" s="21">
        <v>229715</v>
      </c>
      <c r="S181" s="21">
        <v>229715</v>
      </c>
      <c r="T181" s="20">
        <v>229715</v>
      </c>
      <c r="U181" s="22">
        <v>229715</v>
      </c>
      <c r="V181" s="21">
        <v>263930</v>
      </c>
      <c r="W181" s="21">
        <v>263742</v>
      </c>
      <c r="X181" s="21">
        <v>261322</v>
      </c>
      <c r="Y181" s="21">
        <v>260409</v>
      </c>
      <c r="Z181" s="20">
        <v>260409</v>
      </c>
      <c r="AA181" s="21">
        <v>256643</v>
      </c>
      <c r="AB181" s="21">
        <v>255765</v>
      </c>
      <c r="AC181" s="21">
        <v>253089</v>
      </c>
      <c r="AD181" s="21">
        <v>252162</v>
      </c>
      <c r="AE181" s="20">
        <v>252162</v>
      </c>
      <c r="AF181" s="21">
        <v>252088</v>
      </c>
      <c r="AG181" s="21">
        <v>252009</v>
      </c>
      <c r="AH181" s="21">
        <v>251939</v>
      </c>
      <c r="AI181" s="21">
        <v>251869</v>
      </c>
      <c r="AJ181" s="21">
        <v>251817</v>
      </c>
      <c r="AK181" s="20">
        <v>251817</v>
      </c>
      <c r="AL181" s="22">
        <v>481532</v>
      </c>
      <c r="AM181" s="54"/>
      <c r="AN181" s="13">
        <v>0</v>
      </c>
      <c r="AO181" s="13">
        <v>0</v>
      </c>
    </row>
    <row r="182" spans="1:41" s="15" customFormat="1" ht="17" thickBot="1">
      <c r="A182" s="46"/>
      <c r="B182" s="12" t="s">
        <v>68</v>
      </c>
      <c r="C182" s="26"/>
      <c r="D182" s="26"/>
      <c r="E182" s="19">
        <v>0</v>
      </c>
      <c r="F182" s="19"/>
      <c r="G182" s="19"/>
      <c r="H182" s="19"/>
      <c r="I182" s="23"/>
      <c r="J182" s="19"/>
      <c r="K182" s="19"/>
      <c r="L182" s="19"/>
      <c r="M182" s="19"/>
      <c r="N182" s="23"/>
      <c r="O182" s="19"/>
      <c r="P182" s="19"/>
      <c r="Q182" s="19"/>
      <c r="R182" s="19"/>
      <c r="S182" s="19"/>
      <c r="T182" s="23"/>
      <c r="U182" s="24"/>
      <c r="V182" s="19"/>
      <c r="W182" s="19"/>
      <c r="X182" s="19"/>
      <c r="Y182" s="19"/>
      <c r="Z182" s="23"/>
      <c r="AA182" s="19"/>
      <c r="AB182" s="19"/>
      <c r="AC182" s="19"/>
      <c r="AD182" s="19"/>
      <c r="AE182" s="23"/>
      <c r="AF182" s="19"/>
      <c r="AG182" s="19"/>
      <c r="AH182" s="19"/>
      <c r="AI182" s="19"/>
      <c r="AJ182" s="19"/>
      <c r="AK182" s="23"/>
      <c r="AL182" s="24"/>
      <c r="AM182" s="54"/>
      <c r="AN182" s="13">
        <v>0</v>
      </c>
      <c r="AO182" s="13">
        <v>0</v>
      </c>
    </row>
    <row r="183" spans="1:41" s="15" customFormat="1">
      <c r="A183" s="133" t="s">
        <v>98</v>
      </c>
      <c r="B183" s="3" t="s">
        <v>64</v>
      </c>
      <c r="C183" s="26"/>
      <c r="D183" s="26"/>
      <c r="E183" s="27"/>
      <c r="F183" s="27">
        <v>1250</v>
      </c>
      <c r="G183" s="27">
        <v>0</v>
      </c>
      <c r="H183" s="27">
        <v>7000</v>
      </c>
      <c r="I183" s="26">
        <v>8250</v>
      </c>
      <c r="J183" s="27">
        <v>0</v>
      </c>
      <c r="K183" s="27">
        <v>0</v>
      </c>
      <c r="L183" s="27">
        <v>9536</v>
      </c>
      <c r="M183" s="27">
        <v>2691</v>
      </c>
      <c r="N183" s="26">
        <v>12227</v>
      </c>
      <c r="O183" s="27">
        <v>212</v>
      </c>
      <c r="P183" s="27">
        <v>1865</v>
      </c>
      <c r="Q183" s="27">
        <v>585</v>
      </c>
      <c r="R183" s="27">
        <v>3279</v>
      </c>
      <c r="S183" s="27">
        <v>0</v>
      </c>
      <c r="T183" s="26">
        <v>5941</v>
      </c>
      <c r="U183" s="28">
        <v>44467</v>
      </c>
      <c r="V183" s="27">
        <v>4140</v>
      </c>
      <c r="W183" s="27">
        <v>237</v>
      </c>
      <c r="X183" s="27">
        <v>1388</v>
      </c>
      <c r="Y183" s="27">
        <v>516</v>
      </c>
      <c r="Z183" s="26">
        <v>6281</v>
      </c>
      <c r="AA183" s="27">
        <v>144</v>
      </c>
      <c r="AB183" s="27">
        <v>377</v>
      </c>
      <c r="AC183" s="27">
        <v>1261</v>
      </c>
      <c r="AD183" s="27">
        <v>309</v>
      </c>
      <c r="AE183" s="26">
        <v>2091</v>
      </c>
      <c r="AF183" s="27">
        <v>63</v>
      </c>
      <c r="AG183" s="27">
        <v>70</v>
      </c>
      <c r="AH183" s="27">
        <v>67</v>
      </c>
      <c r="AI183" s="27">
        <v>67</v>
      </c>
      <c r="AJ183" s="27">
        <v>52</v>
      </c>
      <c r="AK183" s="26">
        <v>319</v>
      </c>
      <c r="AL183" s="28">
        <v>8691</v>
      </c>
      <c r="AM183" s="54">
        <v>128</v>
      </c>
      <c r="AN183" s="13">
        <v>5691776</v>
      </c>
      <c r="AO183" s="13">
        <v>1112448</v>
      </c>
    </row>
    <row r="184" spans="1:41" s="15" customFormat="1">
      <c r="A184" s="134"/>
      <c r="B184" s="12" t="s">
        <v>65</v>
      </c>
      <c r="C184" s="26"/>
      <c r="D184" s="26"/>
      <c r="E184" s="27"/>
      <c r="F184" s="27">
        <v>1250</v>
      </c>
      <c r="G184" s="27">
        <v>0</v>
      </c>
      <c r="H184" s="27">
        <v>7000</v>
      </c>
      <c r="I184" s="26">
        <v>8250</v>
      </c>
      <c r="J184" s="27">
        <v>0</v>
      </c>
      <c r="K184" s="27">
        <v>0</v>
      </c>
      <c r="L184" s="27">
        <v>2000</v>
      </c>
      <c r="M184" s="27">
        <v>16000</v>
      </c>
      <c r="N184" s="26">
        <v>18000</v>
      </c>
      <c r="O184" s="27">
        <v>0</v>
      </c>
      <c r="P184" s="27">
        <v>4000</v>
      </c>
      <c r="Q184" s="27">
        <v>4000</v>
      </c>
      <c r="R184" s="27">
        <v>5000</v>
      </c>
      <c r="S184" s="27">
        <v>5000</v>
      </c>
      <c r="T184" s="26">
        <v>18000</v>
      </c>
      <c r="U184" s="28">
        <v>0</v>
      </c>
      <c r="V184" s="27">
        <v>6000</v>
      </c>
      <c r="W184" s="27">
        <v>2000</v>
      </c>
      <c r="X184" s="27">
        <v>3000</v>
      </c>
      <c r="Y184" s="27">
        <v>0</v>
      </c>
      <c r="Z184" s="26">
        <v>11000</v>
      </c>
      <c r="AA184" s="27">
        <v>0</v>
      </c>
      <c r="AB184" s="27">
        <v>0</v>
      </c>
      <c r="AC184" s="27">
        <v>0</v>
      </c>
      <c r="AD184" s="27">
        <v>0</v>
      </c>
      <c r="AE184" s="26">
        <v>0</v>
      </c>
      <c r="AF184" s="27">
        <v>0</v>
      </c>
      <c r="AG184" s="27">
        <v>0</v>
      </c>
      <c r="AH184" s="27">
        <v>0</v>
      </c>
      <c r="AI184" s="27">
        <v>0</v>
      </c>
      <c r="AJ184" s="27">
        <v>0</v>
      </c>
      <c r="AK184" s="26">
        <v>0</v>
      </c>
      <c r="AL184" s="28">
        <v>0</v>
      </c>
      <c r="AM184" s="54"/>
      <c r="AN184" s="13">
        <v>0</v>
      </c>
      <c r="AO184" s="13">
        <v>0</v>
      </c>
    </row>
    <row r="185" spans="1:41" s="15" customFormat="1">
      <c r="A185" s="134"/>
      <c r="B185" s="12" t="s">
        <v>66</v>
      </c>
      <c r="C185" s="26">
        <v>0</v>
      </c>
      <c r="D185" s="26">
        <v>0</v>
      </c>
      <c r="E185" s="27"/>
      <c r="F185" s="27">
        <v>0</v>
      </c>
      <c r="G185" s="27">
        <v>0</v>
      </c>
      <c r="H185" s="27">
        <v>0</v>
      </c>
      <c r="I185" s="26">
        <v>0</v>
      </c>
      <c r="J185" s="27">
        <v>0</v>
      </c>
      <c r="K185" s="27">
        <v>0</v>
      </c>
      <c r="L185" s="27">
        <v>0</v>
      </c>
      <c r="M185" s="27">
        <v>0</v>
      </c>
      <c r="N185" s="26">
        <v>0</v>
      </c>
      <c r="O185" s="27">
        <v>0</v>
      </c>
      <c r="P185" s="27">
        <v>0</v>
      </c>
      <c r="Q185" s="27">
        <v>0</v>
      </c>
      <c r="R185" s="27">
        <v>0</v>
      </c>
      <c r="S185" s="27">
        <v>0</v>
      </c>
      <c r="T185" s="26">
        <v>0</v>
      </c>
      <c r="U185" s="28">
        <v>0</v>
      </c>
      <c r="V185" s="27">
        <v>0</v>
      </c>
      <c r="W185" s="27">
        <v>0</v>
      </c>
      <c r="X185" s="27">
        <v>0</v>
      </c>
      <c r="Y185" s="27">
        <v>0</v>
      </c>
      <c r="Z185" s="26">
        <v>0</v>
      </c>
      <c r="AA185" s="27">
        <v>0</v>
      </c>
      <c r="AB185" s="27">
        <v>0</v>
      </c>
      <c r="AC185" s="27">
        <v>0</v>
      </c>
      <c r="AD185" s="27">
        <v>0</v>
      </c>
      <c r="AE185" s="26">
        <v>0</v>
      </c>
      <c r="AF185" s="27">
        <v>0</v>
      </c>
      <c r="AG185" s="27">
        <v>0</v>
      </c>
      <c r="AH185" s="27">
        <v>0</v>
      </c>
      <c r="AI185" s="27">
        <v>0</v>
      </c>
      <c r="AJ185" s="27">
        <v>0</v>
      </c>
      <c r="AK185" s="26">
        <v>0</v>
      </c>
      <c r="AL185" s="28">
        <v>0</v>
      </c>
      <c r="AM185" s="54"/>
      <c r="AN185" s="13">
        <v>0</v>
      </c>
      <c r="AO185" s="13">
        <v>0</v>
      </c>
    </row>
    <row r="186" spans="1:41" s="15" customFormat="1">
      <c r="A186" s="134"/>
      <c r="B186" s="12" t="s">
        <v>7</v>
      </c>
      <c r="C186" s="26"/>
      <c r="D186" s="26"/>
      <c r="E186" s="32"/>
      <c r="F186" s="27">
        <v>1250</v>
      </c>
      <c r="G186" s="27">
        <v>0</v>
      </c>
      <c r="H186" s="27">
        <v>7000</v>
      </c>
      <c r="I186" s="26">
        <v>8250</v>
      </c>
      <c r="J186" s="32">
        <v>0</v>
      </c>
      <c r="K186" s="27">
        <v>0</v>
      </c>
      <c r="L186" s="27">
        <v>2000</v>
      </c>
      <c r="M186" s="27">
        <v>16000</v>
      </c>
      <c r="N186" s="26">
        <v>18000</v>
      </c>
      <c r="O186" s="32">
        <v>0</v>
      </c>
      <c r="P186" s="27">
        <v>4000</v>
      </c>
      <c r="Q186" s="27">
        <v>4000</v>
      </c>
      <c r="R186" s="27">
        <v>5000</v>
      </c>
      <c r="S186" s="27">
        <v>5000</v>
      </c>
      <c r="T186" s="26">
        <v>18000</v>
      </c>
      <c r="U186" s="28">
        <v>62299</v>
      </c>
      <c r="V186" s="32">
        <v>6000</v>
      </c>
      <c r="W186" s="27">
        <v>2000</v>
      </c>
      <c r="X186" s="27">
        <v>3000</v>
      </c>
      <c r="Y186" s="27">
        <v>0</v>
      </c>
      <c r="Z186" s="26">
        <v>28832</v>
      </c>
      <c r="AA186" s="32">
        <v>0</v>
      </c>
      <c r="AB186" s="27">
        <v>0</v>
      </c>
      <c r="AC186" s="27">
        <v>0</v>
      </c>
      <c r="AD186" s="27">
        <v>0</v>
      </c>
      <c r="AE186" s="26">
        <v>0</v>
      </c>
      <c r="AF186" s="32">
        <v>0</v>
      </c>
      <c r="AG186" s="27">
        <v>0</v>
      </c>
      <c r="AH186" s="27">
        <v>0</v>
      </c>
      <c r="AI186" s="27">
        <v>0</v>
      </c>
      <c r="AJ186" s="27">
        <v>0</v>
      </c>
      <c r="AK186" s="26">
        <v>0</v>
      </c>
      <c r="AL186" s="28">
        <v>28832</v>
      </c>
      <c r="AM186" s="54"/>
      <c r="AN186" s="13">
        <v>0</v>
      </c>
      <c r="AO186" s="13">
        <v>0</v>
      </c>
    </row>
    <row r="187" spans="1:41" s="15" customFormat="1" ht="17" thickBot="1">
      <c r="A187" s="135"/>
      <c r="B187" s="4" t="s">
        <v>67</v>
      </c>
      <c r="C187" s="26">
        <v>1633</v>
      </c>
      <c r="D187" s="37">
        <v>18049</v>
      </c>
      <c r="E187" s="21"/>
      <c r="F187" s="21">
        <v>0</v>
      </c>
      <c r="G187" s="21">
        <v>0</v>
      </c>
      <c r="H187" s="21">
        <v>0</v>
      </c>
      <c r="I187" s="20">
        <v>0</v>
      </c>
      <c r="J187" s="21">
        <v>0</v>
      </c>
      <c r="K187" s="21">
        <v>0</v>
      </c>
      <c r="L187" s="21">
        <v>-7536</v>
      </c>
      <c r="M187" s="21">
        <v>5773</v>
      </c>
      <c r="N187" s="20">
        <v>5773</v>
      </c>
      <c r="O187" s="21">
        <v>5561</v>
      </c>
      <c r="P187" s="21">
        <v>7696</v>
      </c>
      <c r="Q187" s="21">
        <v>11111</v>
      </c>
      <c r="R187" s="21">
        <v>12832</v>
      </c>
      <c r="S187" s="21">
        <v>17832</v>
      </c>
      <c r="T187" s="20">
        <v>17832</v>
      </c>
      <c r="U187" s="22">
        <v>17832</v>
      </c>
      <c r="V187" s="21">
        <v>19692</v>
      </c>
      <c r="W187" s="21">
        <v>21455</v>
      </c>
      <c r="X187" s="21">
        <v>23067</v>
      </c>
      <c r="Y187" s="21">
        <v>22551</v>
      </c>
      <c r="Z187" s="20">
        <v>22551</v>
      </c>
      <c r="AA187" s="21">
        <v>22407</v>
      </c>
      <c r="AB187" s="21">
        <v>22030</v>
      </c>
      <c r="AC187" s="21">
        <v>20769</v>
      </c>
      <c r="AD187" s="21">
        <v>20460</v>
      </c>
      <c r="AE187" s="20">
        <v>20460</v>
      </c>
      <c r="AF187" s="21">
        <v>20397</v>
      </c>
      <c r="AG187" s="21">
        <v>20327</v>
      </c>
      <c r="AH187" s="21">
        <v>20260</v>
      </c>
      <c r="AI187" s="21">
        <v>20193</v>
      </c>
      <c r="AJ187" s="21">
        <v>20141</v>
      </c>
      <c r="AK187" s="20">
        <v>20141</v>
      </c>
      <c r="AL187" s="22">
        <v>37973</v>
      </c>
      <c r="AM187" s="54"/>
      <c r="AN187" s="13">
        <v>0</v>
      </c>
      <c r="AO187" s="13">
        <v>0</v>
      </c>
    </row>
    <row r="188" spans="1:41" s="15" customFormat="1" ht="17" thickBot="1">
      <c r="A188" s="46"/>
      <c r="B188" s="12" t="s">
        <v>68</v>
      </c>
      <c r="C188" s="26"/>
      <c r="D188" s="26"/>
      <c r="E188" s="19">
        <v>0</v>
      </c>
      <c r="F188" s="19"/>
      <c r="G188" s="19"/>
      <c r="H188" s="19"/>
      <c r="I188" s="23"/>
      <c r="J188" s="19"/>
      <c r="K188" s="19"/>
      <c r="L188" s="19"/>
      <c r="M188" s="19"/>
      <c r="N188" s="23"/>
      <c r="O188" s="19"/>
      <c r="P188" s="19"/>
      <c r="Q188" s="19"/>
      <c r="R188" s="19"/>
      <c r="S188" s="19"/>
      <c r="T188" s="23"/>
      <c r="U188" s="24"/>
      <c r="V188" s="19"/>
      <c r="W188" s="19"/>
      <c r="X188" s="19"/>
      <c r="Y188" s="19"/>
      <c r="Z188" s="23"/>
      <c r="AA188" s="19"/>
      <c r="AB188" s="19"/>
      <c r="AC188" s="19"/>
      <c r="AD188" s="19"/>
      <c r="AE188" s="23"/>
      <c r="AF188" s="19"/>
      <c r="AG188" s="19"/>
      <c r="AH188" s="19"/>
      <c r="AI188" s="19"/>
      <c r="AJ188" s="19"/>
      <c r="AK188" s="23"/>
      <c r="AL188" s="24"/>
      <c r="AM188" s="54"/>
      <c r="AN188" s="13">
        <v>0</v>
      </c>
      <c r="AO188" s="13">
        <v>0</v>
      </c>
    </row>
    <row r="189" spans="1:41" s="15" customFormat="1">
      <c r="A189" s="117" t="s">
        <v>99</v>
      </c>
      <c r="B189" s="3" t="s">
        <v>64</v>
      </c>
      <c r="C189" s="26"/>
      <c r="D189" s="26"/>
      <c r="E189" s="27"/>
      <c r="F189" s="27">
        <v>0</v>
      </c>
      <c r="G189" s="27">
        <v>0</v>
      </c>
      <c r="H189" s="27">
        <v>0</v>
      </c>
      <c r="I189" s="26">
        <v>0</v>
      </c>
      <c r="J189" s="27">
        <v>76000</v>
      </c>
      <c r="K189" s="27">
        <v>0</v>
      </c>
      <c r="L189" s="27">
        <v>69120</v>
      </c>
      <c r="M189" s="27">
        <v>0</v>
      </c>
      <c r="N189" s="26">
        <v>145120</v>
      </c>
      <c r="O189" s="27">
        <v>22424</v>
      </c>
      <c r="P189" s="27">
        <v>2114</v>
      </c>
      <c r="Q189" s="27">
        <v>4690</v>
      </c>
      <c r="R189" s="27">
        <v>0</v>
      </c>
      <c r="S189" s="27">
        <v>0</v>
      </c>
      <c r="T189" s="26">
        <v>29228</v>
      </c>
      <c r="U189" s="28">
        <v>295333</v>
      </c>
      <c r="V189" s="27">
        <v>24077</v>
      </c>
      <c r="W189" s="27">
        <v>1544</v>
      </c>
      <c r="X189" s="27">
        <v>2144</v>
      </c>
      <c r="Y189" s="27">
        <v>0</v>
      </c>
      <c r="Z189" s="26">
        <v>27765</v>
      </c>
      <c r="AA189" s="27">
        <v>31964</v>
      </c>
      <c r="AB189" s="27">
        <v>9490</v>
      </c>
      <c r="AC189" s="27">
        <v>20336</v>
      </c>
      <c r="AD189" s="27">
        <v>0</v>
      </c>
      <c r="AE189" s="26">
        <v>61790</v>
      </c>
      <c r="AF189" s="27">
        <v>8004</v>
      </c>
      <c r="AG189" s="27">
        <v>0</v>
      </c>
      <c r="AH189" s="27">
        <v>0</v>
      </c>
      <c r="AI189" s="27">
        <v>0</v>
      </c>
      <c r="AJ189" s="27">
        <v>0</v>
      </c>
      <c r="AK189" s="26">
        <v>8004</v>
      </c>
      <c r="AL189" s="28">
        <v>97559</v>
      </c>
      <c r="AM189" s="54">
        <v>16</v>
      </c>
      <c r="AN189" s="13">
        <v>4725328</v>
      </c>
      <c r="AO189" s="13">
        <v>1560944</v>
      </c>
    </row>
    <row r="190" spans="1:41" s="15" customFormat="1">
      <c r="A190" s="118"/>
      <c r="B190" s="12" t="s">
        <v>65</v>
      </c>
      <c r="C190" s="26"/>
      <c r="D190" s="26"/>
      <c r="E190" s="27"/>
      <c r="F190" s="27">
        <v>0</v>
      </c>
      <c r="G190" s="27">
        <v>0</v>
      </c>
      <c r="H190" s="27">
        <v>0</v>
      </c>
      <c r="I190" s="26">
        <v>0</v>
      </c>
      <c r="J190" s="27">
        <v>76000</v>
      </c>
      <c r="K190" s="27">
        <v>0</v>
      </c>
      <c r="L190" s="27">
        <v>69120</v>
      </c>
      <c r="M190" s="27">
        <v>0</v>
      </c>
      <c r="N190" s="26">
        <v>145120</v>
      </c>
      <c r="O190" s="27">
        <v>30000</v>
      </c>
      <c r="P190" s="27">
        <v>0</v>
      </c>
      <c r="Q190" s="27">
        <v>0</v>
      </c>
      <c r="R190" s="27">
        <v>20000</v>
      </c>
      <c r="S190" s="27">
        <v>0</v>
      </c>
      <c r="T190" s="26">
        <v>50000</v>
      </c>
      <c r="U190" s="28">
        <v>0</v>
      </c>
      <c r="V190" s="27">
        <v>0</v>
      </c>
      <c r="W190" s="27">
        <v>0</v>
      </c>
      <c r="X190" s="27">
        <v>50000</v>
      </c>
      <c r="Y190" s="27">
        <v>0</v>
      </c>
      <c r="Z190" s="26">
        <v>50000</v>
      </c>
      <c r="AA190" s="27">
        <v>0</v>
      </c>
      <c r="AB190" s="27">
        <v>0</v>
      </c>
      <c r="AC190" s="27">
        <v>0</v>
      </c>
      <c r="AD190" s="27">
        <v>0</v>
      </c>
      <c r="AE190" s="26">
        <v>0</v>
      </c>
      <c r="AF190" s="27">
        <v>0</v>
      </c>
      <c r="AG190" s="27">
        <v>0</v>
      </c>
      <c r="AH190" s="27">
        <v>0</v>
      </c>
      <c r="AI190" s="27">
        <v>50000</v>
      </c>
      <c r="AJ190" s="27">
        <v>0</v>
      </c>
      <c r="AK190" s="26">
        <v>50000</v>
      </c>
      <c r="AL190" s="28">
        <v>0</v>
      </c>
      <c r="AM190" s="54"/>
      <c r="AN190" s="13">
        <v>0</v>
      </c>
      <c r="AO190" s="13">
        <v>0</v>
      </c>
    </row>
    <row r="191" spans="1:41" s="15" customFormat="1">
      <c r="A191" s="118"/>
      <c r="B191" s="12" t="s">
        <v>66</v>
      </c>
      <c r="C191" s="26">
        <v>30880</v>
      </c>
      <c r="D191" s="26">
        <v>30880</v>
      </c>
      <c r="E191" s="27"/>
      <c r="F191" s="27">
        <v>0</v>
      </c>
      <c r="G191" s="27">
        <v>0</v>
      </c>
      <c r="H191" s="27">
        <v>0</v>
      </c>
      <c r="I191" s="26">
        <v>0</v>
      </c>
      <c r="J191" s="27">
        <v>0</v>
      </c>
      <c r="K191" s="27">
        <v>0</v>
      </c>
      <c r="L191" s="27">
        <v>30880</v>
      </c>
      <c r="M191" s="27">
        <v>0</v>
      </c>
      <c r="N191" s="26">
        <v>30880</v>
      </c>
      <c r="O191" s="27">
        <v>0</v>
      </c>
      <c r="P191" s="27">
        <v>0</v>
      </c>
      <c r="Q191" s="27">
        <v>0</v>
      </c>
      <c r="R191" s="27">
        <v>0</v>
      </c>
      <c r="S191" s="27">
        <v>0</v>
      </c>
      <c r="T191" s="26">
        <v>0</v>
      </c>
      <c r="U191" s="28">
        <v>30880</v>
      </c>
      <c r="V191" s="27">
        <v>0</v>
      </c>
      <c r="W191" s="27">
        <v>0</v>
      </c>
      <c r="X191" s="27">
        <v>0</v>
      </c>
      <c r="Y191" s="27">
        <v>0</v>
      </c>
      <c r="Z191" s="26">
        <v>0</v>
      </c>
      <c r="AA191" s="27">
        <v>0</v>
      </c>
      <c r="AB191" s="27">
        <v>0</v>
      </c>
      <c r="AC191" s="27">
        <v>0</v>
      </c>
      <c r="AD191" s="27">
        <v>0</v>
      </c>
      <c r="AE191" s="26">
        <v>0</v>
      </c>
      <c r="AF191" s="27">
        <v>0</v>
      </c>
      <c r="AG191" s="27">
        <v>0</v>
      </c>
      <c r="AH191" s="27">
        <v>0</v>
      </c>
      <c r="AI191" s="27">
        <v>0</v>
      </c>
      <c r="AJ191" s="27">
        <v>0</v>
      </c>
      <c r="AK191" s="26">
        <v>0</v>
      </c>
      <c r="AL191" s="28">
        <v>0</v>
      </c>
      <c r="AM191" s="54"/>
      <c r="AN191" s="13">
        <v>0</v>
      </c>
      <c r="AO191" s="13">
        <v>0</v>
      </c>
    </row>
    <row r="192" spans="1:41" s="15" customFormat="1">
      <c r="A192" s="118"/>
      <c r="B192" s="12" t="s">
        <v>7</v>
      </c>
      <c r="C192" s="26"/>
      <c r="D192" s="26"/>
      <c r="E192" s="27"/>
      <c r="F192" s="27">
        <v>0</v>
      </c>
      <c r="G192" s="27">
        <v>0</v>
      </c>
      <c r="H192" s="27">
        <v>0</v>
      </c>
      <c r="I192" s="26">
        <v>0</v>
      </c>
      <c r="J192" s="27">
        <v>76000</v>
      </c>
      <c r="K192" s="27">
        <v>0</v>
      </c>
      <c r="L192" s="27">
        <v>100000</v>
      </c>
      <c r="M192" s="27">
        <v>0</v>
      </c>
      <c r="N192" s="26">
        <v>176000</v>
      </c>
      <c r="O192" s="27">
        <v>30000</v>
      </c>
      <c r="P192" s="27">
        <v>0</v>
      </c>
      <c r="Q192" s="27">
        <v>0</v>
      </c>
      <c r="R192" s="27">
        <v>20000</v>
      </c>
      <c r="S192" s="27">
        <v>0</v>
      </c>
      <c r="T192" s="26">
        <v>50000</v>
      </c>
      <c r="U192" s="28">
        <v>346985</v>
      </c>
      <c r="V192" s="27">
        <v>0</v>
      </c>
      <c r="W192" s="27">
        <v>0</v>
      </c>
      <c r="X192" s="27">
        <v>50000</v>
      </c>
      <c r="Y192" s="27">
        <v>0</v>
      </c>
      <c r="Z192" s="26">
        <v>101652</v>
      </c>
      <c r="AA192" s="27">
        <v>0</v>
      </c>
      <c r="AB192" s="27">
        <v>0</v>
      </c>
      <c r="AC192" s="27">
        <v>0</v>
      </c>
      <c r="AD192" s="27">
        <v>0</v>
      </c>
      <c r="AE192" s="26">
        <v>0</v>
      </c>
      <c r="AF192" s="27">
        <v>0</v>
      </c>
      <c r="AG192" s="27">
        <v>0</v>
      </c>
      <c r="AH192" s="27">
        <v>0</v>
      </c>
      <c r="AI192" s="27">
        <v>50000</v>
      </c>
      <c r="AJ192" s="27">
        <v>0</v>
      </c>
      <c r="AK192" s="26">
        <v>50000</v>
      </c>
      <c r="AL192" s="28">
        <v>151652</v>
      </c>
      <c r="AM192" s="54"/>
      <c r="AN192" s="13">
        <v>0</v>
      </c>
      <c r="AO192" s="13">
        <v>0</v>
      </c>
    </row>
    <row r="193" spans="1:41" s="15" customFormat="1" ht="17" thickBot="1">
      <c r="A193" s="119"/>
      <c r="B193" s="4" t="s">
        <v>67</v>
      </c>
      <c r="C193" s="26">
        <v>158045</v>
      </c>
      <c r="D193" s="37">
        <v>120985</v>
      </c>
      <c r="E193" s="21"/>
      <c r="F193" s="21">
        <v>0</v>
      </c>
      <c r="G193" s="21">
        <v>0</v>
      </c>
      <c r="H193" s="21">
        <v>0</v>
      </c>
      <c r="I193" s="20">
        <v>0</v>
      </c>
      <c r="J193" s="21">
        <v>0</v>
      </c>
      <c r="K193" s="21">
        <v>0</v>
      </c>
      <c r="L193" s="21">
        <v>30880</v>
      </c>
      <c r="M193" s="21">
        <v>30880</v>
      </c>
      <c r="N193" s="20">
        <v>30880</v>
      </c>
      <c r="O193" s="21">
        <v>38456</v>
      </c>
      <c r="P193" s="21">
        <v>36342</v>
      </c>
      <c r="Q193" s="21">
        <v>31652</v>
      </c>
      <c r="R193" s="21">
        <v>51652</v>
      </c>
      <c r="S193" s="21">
        <v>51652</v>
      </c>
      <c r="T193" s="20">
        <v>51652</v>
      </c>
      <c r="U193" s="22">
        <v>51652</v>
      </c>
      <c r="V193" s="21">
        <v>27575</v>
      </c>
      <c r="W193" s="21">
        <v>26031</v>
      </c>
      <c r="X193" s="21">
        <v>73887</v>
      </c>
      <c r="Y193" s="21">
        <v>73887</v>
      </c>
      <c r="Z193" s="20">
        <v>73887</v>
      </c>
      <c r="AA193" s="21">
        <v>41923</v>
      </c>
      <c r="AB193" s="21">
        <v>32433</v>
      </c>
      <c r="AC193" s="21">
        <v>12097</v>
      </c>
      <c r="AD193" s="21">
        <v>12097</v>
      </c>
      <c r="AE193" s="20">
        <v>12097</v>
      </c>
      <c r="AF193" s="21">
        <v>4093</v>
      </c>
      <c r="AG193" s="21">
        <v>4093</v>
      </c>
      <c r="AH193" s="21">
        <v>4093</v>
      </c>
      <c r="AI193" s="21">
        <v>54093</v>
      </c>
      <c r="AJ193" s="21">
        <v>54093</v>
      </c>
      <c r="AK193" s="20">
        <v>54093</v>
      </c>
      <c r="AL193" s="22">
        <v>105745</v>
      </c>
      <c r="AM193" s="54"/>
      <c r="AN193" s="13">
        <v>0</v>
      </c>
      <c r="AO193" s="13">
        <v>0</v>
      </c>
    </row>
    <row r="194" spans="1:41" s="15" customFormat="1" ht="17" thickBot="1">
      <c r="A194" s="46"/>
      <c r="B194" s="12" t="s">
        <v>68</v>
      </c>
      <c r="C194" s="26"/>
      <c r="D194" s="26"/>
      <c r="E194" s="19">
        <v>0</v>
      </c>
      <c r="F194" s="19"/>
      <c r="G194" s="19"/>
      <c r="H194" s="19"/>
      <c r="I194" s="23"/>
      <c r="J194" s="19"/>
      <c r="K194" s="19"/>
      <c r="L194" s="19"/>
      <c r="M194" s="19"/>
      <c r="N194" s="23"/>
      <c r="O194" s="19"/>
      <c r="P194" s="19"/>
      <c r="Q194" s="19"/>
      <c r="R194" s="19"/>
      <c r="S194" s="19"/>
      <c r="T194" s="23"/>
      <c r="U194" s="24"/>
      <c r="V194" s="19"/>
      <c r="W194" s="19"/>
      <c r="X194" s="19"/>
      <c r="Y194" s="19"/>
      <c r="Z194" s="23"/>
      <c r="AA194" s="19"/>
      <c r="AB194" s="19"/>
      <c r="AC194" s="19"/>
      <c r="AD194" s="19"/>
      <c r="AE194" s="23"/>
      <c r="AF194" s="19"/>
      <c r="AG194" s="19"/>
      <c r="AH194" s="19"/>
      <c r="AI194" s="19"/>
      <c r="AJ194" s="19"/>
      <c r="AK194" s="23"/>
      <c r="AL194" s="24"/>
      <c r="AM194" s="54"/>
      <c r="AN194" s="13">
        <v>0</v>
      </c>
      <c r="AO194" s="13">
        <v>0</v>
      </c>
    </row>
    <row r="195" spans="1:41" s="15" customFormat="1">
      <c r="A195" s="117" t="s">
        <v>100</v>
      </c>
      <c r="B195" s="3" t="s">
        <v>64</v>
      </c>
      <c r="C195" s="26"/>
      <c r="D195" s="26"/>
      <c r="E195" s="27"/>
      <c r="F195" s="27">
        <v>294000</v>
      </c>
      <c r="G195" s="27">
        <v>0</v>
      </c>
      <c r="H195" s="27">
        <v>0</v>
      </c>
      <c r="I195" s="26">
        <v>294000</v>
      </c>
      <c r="J195" s="27">
        <v>449848</v>
      </c>
      <c r="K195" s="27">
        <v>192632</v>
      </c>
      <c r="L195" s="27">
        <v>112320</v>
      </c>
      <c r="M195" s="27">
        <v>0</v>
      </c>
      <c r="N195" s="26">
        <v>754800</v>
      </c>
      <c r="O195" s="27">
        <v>270340</v>
      </c>
      <c r="P195" s="27">
        <v>28832</v>
      </c>
      <c r="Q195" s="27">
        <v>147132</v>
      </c>
      <c r="R195" s="27">
        <v>103870</v>
      </c>
      <c r="S195" s="27">
        <v>0</v>
      </c>
      <c r="T195" s="26">
        <v>550174</v>
      </c>
      <c r="U195" s="28">
        <v>2185070</v>
      </c>
      <c r="V195" s="27">
        <v>448156</v>
      </c>
      <c r="W195" s="27">
        <v>17294</v>
      </c>
      <c r="X195" s="27">
        <v>17246</v>
      </c>
      <c r="Y195" s="27">
        <v>0</v>
      </c>
      <c r="Z195" s="26">
        <v>482696</v>
      </c>
      <c r="AA195" s="27">
        <v>819202</v>
      </c>
      <c r="AB195" s="27">
        <v>24236</v>
      </c>
      <c r="AC195" s="27">
        <v>74382</v>
      </c>
      <c r="AD195" s="27">
        <v>0</v>
      </c>
      <c r="AE195" s="26">
        <v>917820</v>
      </c>
      <c r="AF195" s="27">
        <v>66744</v>
      </c>
      <c r="AG195" s="27">
        <v>526</v>
      </c>
      <c r="AH195" s="27">
        <v>4976</v>
      </c>
      <c r="AI195" s="27">
        <v>426</v>
      </c>
      <c r="AJ195" s="27">
        <v>0</v>
      </c>
      <c r="AK195" s="26">
        <v>72672</v>
      </c>
      <c r="AL195" s="28">
        <v>1473188</v>
      </c>
      <c r="AM195" s="54">
        <v>32</v>
      </c>
      <c r="AN195" s="13">
        <v>69922240</v>
      </c>
      <c r="AO195" s="13">
        <v>47142016</v>
      </c>
    </row>
    <row r="196" spans="1:41" s="15" customFormat="1">
      <c r="A196" s="118"/>
      <c r="B196" s="12" t="s">
        <v>65</v>
      </c>
      <c r="C196" s="26"/>
      <c r="D196" s="26"/>
      <c r="E196" s="27"/>
      <c r="F196" s="27">
        <v>294000</v>
      </c>
      <c r="G196" s="27">
        <v>0</v>
      </c>
      <c r="H196" s="27">
        <v>0</v>
      </c>
      <c r="I196" s="26">
        <v>294000</v>
      </c>
      <c r="J196" s="27">
        <v>449848</v>
      </c>
      <c r="K196" s="27">
        <v>192632</v>
      </c>
      <c r="L196" s="27">
        <v>112320</v>
      </c>
      <c r="M196" s="27">
        <v>0</v>
      </c>
      <c r="N196" s="26">
        <v>754800</v>
      </c>
      <c r="O196" s="27">
        <v>320000</v>
      </c>
      <c r="P196" s="27">
        <v>0</v>
      </c>
      <c r="Q196" s="27">
        <v>0</v>
      </c>
      <c r="R196" s="27">
        <v>100000</v>
      </c>
      <c r="S196" s="27">
        <v>0</v>
      </c>
      <c r="T196" s="26">
        <v>420000</v>
      </c>
      <c r="U196" s="28">
        <v>0</v>
      </c>
      <c r="V196" s="27">
        <v>350000</v>
      </c>
      <c r="W196" s="27">
        <v>0</v>
      </c>
      <c r="X196" s="27">
        <v>300000</v>
      </c>
      <c r="Y196" s="27">
        <v>0</v>
      </c>
      <c r="Z196" s="26">
        <v>650000</v>
      </c>
      <c r="AA196" s="27">
        <v>500000</v>
      </c>
      <c r="AB196" s="27">
        <v>0</v>
      </c>
      <c r="AC196" s="27">
        <v>100000</v>
      </c>
      <c r="AD196" s="27">
        <v>0</v>
      </c>
      <c r="AE196" s="26">
        <v>600000</v>
      </c>
      <c r="AF196" s="27">
        <v>0</v>
      </c>
      <c r="AG196" s="27">
        <v>0</v>
      </c>
      <c r="AH196" s="27">
        <v>0</v>
      </c>
      <c r="AI196" s="27">
        <v>0</v>
      </c>
      <c r="AJ196" s="27">
        <v>0</v>
      </c>
      <c r="AK196" s="26">
        <v>0</v>
      </c>
      <c r="AL196" s="28">
        <v>0</v>
      </c>
      <c r="AM196" s="54"/>
      <c r="AN196" s="13">
        <v>0</v>
      </c>
      <c r="AO196" s="13">
        <v>0</v>
      </c>
    </row>
    <row r="197" spans="1:41" s="15" customFormat="1">
      <c r="A197" s="118"/>
      <c r="B197" s="12" t="s">
        <v>66</v>
      </c>
      <c r="C197" s="26">
        <v>301200</v>
      </c>
      <c r="D197" s="26">
        <v>301200</v>
      </c>
      <c r="E197" s="27"/>
      <c r="F197" s="27">
        <v>0</v>
      </c>
      <c r="G197" s="27">
        <v>0</v>
      </c>
      <c r="H197" s="27">
        <v>0</v>
      </c>
      <c r="I197" s="26">
        <v>0</v>
      </c>
      <c r="J197" s="27">
        <v>0</v>
      </c>
      <c r="K197" s="27">
        <v>0</v>
      </c>
      <c r="L197" s="27">
        <v>42198</v>
      </c>
      <c r="M197" s="27">
        <v>0</v>
      </c>
      <c r="N197" s="26">
        <v>42198</v>
      </c>
      <c r="O197" s="27">
        <v>0</v>
      </c>
      <c r="P197" s="27">
        <v>0</v>
      </c>
      <c r="Q197" s="27">
        <v>0</v>
      </c>
      <c r="R197" s="27">
        <v>0</v>
      </c>
      <c r="S197" s="27">
        <v>0</v>
      </c>
      <c r="T197" s="26">
        <v>0</v>
      </c>
      <c r="U197" s="28">
        <v>42198</v>
      </c>
      <c r="V197" s="27">
        <v>0</v>
      </c>
      <c r="W197" s="27">
        <v>0</v>
      </c>
      <c r="X197" s="27">
        <v>0</v>
      </c>
      <c r="Y197" s="27">
        <v>0</v>
      </c>
      <c r="Z197" s="26">
        <v>0</v>
      </c>
      <c r="AA197" s="27">
        <v>0</v>
      </c>
      <c r="AB197" s="27">
        <v>0</v>
      </c>
      <c r="AC197" s="27">
        <v>0</v>
      </c>
      <c r="AD197" s="27">
        <v>0</v>
      </c>
      <c r="AE197" s="26">
        <v>0</v>
      </c>
      <c r="AF197" s="27">
        <v>0</v>
      </c>
      <c r="AG197" s="27">
        <v>0</v>
      </c>
      <c r="AH197" s="27">
        <v>0</v>
      </c>
      <c r="AI197" s="27">
        <v>0</v>
      </c>
      <c r="AJ197" s="27">
        <v>0</v>
      </c>
      <c r="AK197" s="26">
        <v>0</v>
      </c>
      <c r="AL197" s="28">
        <v>0</v>
      </c>
      <c r="AM197" s="54"/>
      <c r="AN197" s="13">
        <v>0</v>
      </c>
      <c r="AO197" s="13">
        <v>0</v>
      </c>
    </row>
    <row r="198" spans="1:41" s="15" customFormat="1">
      <c r="A198" s="118"/>
      <c r="B198" s="12" t="s">
        <v>7</v>
      </c>
      <c r="C198" s="26"/>
      <c r="D198" s="26"/>
      <c r="E198" s="32"/>
      <c r="F198" s="27">
        <v>294000</v>
      </c>
      <c r="G198" s="27">
        <v>0</v>
      </c>
      <c r="H198" s="27">
        <v>0</v>
      </c>
      <c r="I198" s="26">
        <v>294000</v>
      </c>
      <c r="J198" s="32">
        <v>449848</v>
      </c>
      <c r="K198" s="27">
        <v>192632</v>
      </c>
      <c r="L198" s="27">
        <v>154518</v>
      </c>
      <c r="M198" s="27">
        <v>0</v>
      </c>
      <c r="N198" s="26">
        <v>796998</v>
      </c>
      <c r="O198" s="32">
        <v>320000</v>
      </c>
      <c r="P198" s="27">
        <v>0</v>
      </c>
      <c r="Q198" s="27">
        <v>0</v>
      </c>
      <c r="R198" s="27">
        <v>100000</v>
      </c>
      <c r="S198" s="27">
        <v>0</v>
      </c>
      <c r="T198" s="26">
        <v>420000</v>
      </c>
      <c r="U198" s="28">
        <v>2097094</v>
      </c>
      <c r="V198" s="32">
        <v>350000</v>
      </c>
      <c r="W198" s="27">
        <v>0</v>
      </c>
      <c r="X198" s="27">
        <v>300000</v>
      </c>
      <c r="Y198" s="27">
        <v>0</v>
      </c>
      <c r="Z198" s="26">
        <v>562024</v>
      </c>
      <c r="AA198" s="32">
        <v>500000</v>
      </c>
      <c r="AB198" s="27">
        <v>0</v>
      </c>
      <c r="AC198" s="27">
        <v>100000</v>
      </c>
      <c r="AD198" s="27">
        <v>0</v>
      </c>
      <c r="AE198" s="26">
        <v>600000</v>
      </c>
      <c r="AF198" s="32">
        <v>0</v>
      </c>
      <c r="AG198" s="27">
        <v>0</v>
      </c>
      <c r="AH198" s="27">
        <v>0</v>
      </c>
      <c r="AI198" s="27">
        <v>0</v>
      </c>
      <c r="AJ198" s="27">
        <v>0</v>
      </c>
      <c r="AK198" s="26">
        <v>0</v>
      </c>
      <c r="AL198" s="28">
        <v>1162024</v>
      </c>
      <c r="AM198" s="54"/>
      <c r="AN198" s="13">
        <v>0</v>
      </c>
      <c r="AO198" s="13">
        <v>0</v>
      </c>
    </row>
    <row r="199" spans="1:41" s="15" customFormat="1" ht="17" thickBot="1">
      <c r="A199" s="119"/>
      <c r="B199" s="4" t="s">
        <v>67</v>
      </c>
      <c r="C199" s="26">
        <v>656360</v>
      </c>
      <c r="D199" s="37">
        <v>586096</v>
      </c>
      <c r="E199" s="21"/>
      <c r="F199" s="21">
        <v>0</v>
      </c>
      <c r="G199" s="21">
        <v>0</v>
      </c>
      <c r="H199" s="21">
        <v>0</v>
      </c>
      <c r="I199" s="20">
        <v>0</v>
      </c>
      <c r="J199" s="21">
        <v>0</v>
      </c>
      <c r="K199" s="21">
        <v>0</v>
      </c>
      <c r="L199" s="21">
        <v>42198</v>
      </c>
      <c r="M199" s="21">
        <v>42198</v>
      </c>
      <c r="N199" s="20">
        <v>42198</v>
      </c>
      <c r="O199" s="21">
        <v>91858</v>
      </c>
      <c r="P199" s="21">
        <v>63026</v>
      </c>
      <c r="Q199" s="21">
        <v>-84106</v>
      </c>
      <c r="R199" s="21">
        <v>-87976</v>
      </c>
      <c r="S199" s="21">
        <v>-87976</v>
      </c>
      <c r="T199" s="20">
        <v>-87976</v>
      </c>
      <c r="U199" s="22">
        <v>-87976</v>
      </c>
      <c r="V199" s="21">
        <v>-186132</v>
      </c>
      <c r="W199" s="21">
        <v>-203426</v>
      </c>
      <c r="X199" s="21">
        <v>79328</v>
      </c>
      <c r="Y199" s="21">
        <v>79328</v>
      </c>
      <c r="Z199" s="20">
        <v>79328</v>
      </c>
      <c r="AA199" s="21">
        <v>-239874</v>
      </c>
      <c r="AB199" s="21">
        <v>-264110</v>
      </c>
      <c r="AC199" s="21">
        <v>-238492</v>
      </c>
      <c r="AD199" s="21">
        <v>-238492</v>
      </c>
      <c r="AE199" s="20">
        <v>-238492</v>
      </c>
      <c r="AF199" s="21">
        <v>-305236</v>
      </c>
      <c r="AG199" s="21">
        <v>-305762</v>
      </c>
      <c r="AH199" s="21">
        <v>-310738</v>
      </c>
      <c r="AI199" s="21">
        <v>-311164</v>
      </c>
      <c r="AJ199" s="21">
        <v>-311164</v>
      </c>
      <c r="AK199" s="20">
        <v>-311164</v>
      </c>
      <c r="AL199" s="22">
        <v>-399140</v>
      </c>
      <c r="AM199" s="54"/>
      <c r="AN199" s="13">
        <v>0</v>
      </c>
      <c r="AO199" s="13">
        <v>0</v>
      </c>
    </row>
    <row r="200" spans="1:41" s="15" customFormat="1" ht="17" thickBot="1">
      <c r="A200" s="5"/>
      <c r="B200" s="12" t="s">
        <v>68</v>
      </c>
      <c r="C200" s="26"/>
      <c r="D200" s="26"/>
      <c r="E200" s="19">
        <v>0</v>
      </c>
      <c r="F200" s="19"/>
      <c r="G200" s="19"/>
      <c r="H200" s="19"/>
      <c r="I200" s="23"/>
      <c r="J200" s="19"/>
      <c r="K200" s="19"/>
      <c r="L200" s="19"/>
      <c r="M200" s="19"/>
      <c r="N200" s="23"/>
      <c r="O200" s="19"/>
      <c r="P200" s="19"/>
      <c r="Q200" s="19"/>
      <c r="R200" s="19"/>
      <c r="S200" s="19"/>
      <c r="T200" s="23"/>
      <c r="U200" s="24"/>
      <c r="V200" s="19"/>
      <c r="W200" s="19"/>
      <c r="X200" s="19"/>
      <c r="Y200" s="19"/>
      <c r="Z200" s="23"/>
      <c r="AA200" s="19"/>
      <c r="AB200" s="19"/>
      <c r="AC200" s="19"/>
      <c r="AD200" s="19"/>
      <c r="AE200" s="23"/>
      <c r="AF200" s="19"/>
      <c r="AG200" s="19"/>
      <c r="AH200" s="19"/>
      <c r="AI200" s="19"/>
      <c r="AJ200" s="19"/>
      <c r="AK200" s="23"/>
      <c r="AL200" s="24"/>
      <c r="AM200" s="54"/>
      <c r="AN200" s="13">
        <v>0</v>
      </c>
      <c r="AO200" s="13">
        <v>0</v>
      </c>
    </row>
    <row r="201" spans="1:41" s="15" customFormat="1">
      <c r="A201" s="117" t="s">
        <v>101</v>
      </c>
      <c r="B201" s="3" t="s">
        <v>64</v>
      </c>
      <c r="C201" s="26"/>
      <c r="D201" s="26"/>
      <c r="E201" s="27"/>
      <c r="F201" s="27">
        <v>24000</v>
      </c>
      <c r="G201" s="27">
        <v>0</v>
      </c>
      <c r="H201" s="27">
        <v>0</v>
      </c>
      <c r="I201" s="26">
        <v>24000</v>
      </c>
      <c r="J201" s="27">
        <v>10000</v>
      </c>
      <c r="K201" s="27">
        <v>0</v>
      </c>
      <c r="L201" s="27">
        <v>15973</v>
      </c>
      <c r="M201" s="27">
        <v>0</v>
      </c>
      <c r="N201" s="26">
        <v>25973</v>
      </c>
      <c r="O201" s="27">
        <v>6082</v>
      </c>
      <c r="P201" s="27">
        <v>2096</v>
      </c>
      <c r="Q201" s="27">
        <v>3826</v>
      </c>
      <c r="R201" s="27">
        <v>0</v>
      </c>
      <c r="S201" s="27">
        <v>0</v>
      </c>
      <c r="T201" s="26">
        <v>12004</v>
      </c>
      <c r="U201" s="28">
        <v>124174</v>
      </c>
      <c r="V201" s="27">
        <v>4882</v>
      </c>
      <c r="W201" s="27">
        <v>352</v>
      </c>
      <c r="X201" s="27">
        <v>510</v>
      </c>
      <c r="Y201" s="27">
        <v>0</v>
      </c>
      <c r="Z201" s="26">
        <v>5744</v>
      </c>
      <c r="AA201" s="27">
        <v>23260</v>
      </c>
      <c r="AB201" s="27">
        <v>614</v>
      </c>
      <c r="AC201" s="27">
        <v>2490</v>
      </c>
      <c r="AD201" s="27">
        <v>0</v>
      </c>
      <c r="AE201" s="26">
        <v>26364</v>
      </c>
      <c r="AF201" s="27">
        <v>60</v>
      </c>
      <c r="AG201" s="27">
        <v>32</v>
      </c>
      <c r="AH201" s="27">
        <v>32</v>
      </c>
      <c r="AI201" s="27">
        <v>28</v>
      </c>
      <c r="AJ201" s="27">
        <v>0</v>
      </c>
      <c r="AK201" s="26">
        <v>152</v>
      </c>
      <c r="AL201" s="28">
        <v>32260</v>
      </c>
      <c r="AM201" s="54">
        <v>64</v>
      </c>
      <c r="AN201" s="13">
        <v>7947136</v>
      </c>
      <c r="AO201" s="13">
        <v>2064640</v>
      </c>
    </row>
    <row r="202" spans="1:41" s="15" customFormat="1">
      <c r="A202" s="118"/>
      <c r="B202" s="12" t="s">
        <v>65</v>
      </c>
      <c r="C202" s="26"/>
      <c r="D202" s="26"/>
      <c r="E202" s="27"/>
      <c r="F202" s="27">
        <v>24000</v>
      </c>
      <c r="G202" s="27">
        <v>0</v>
      </c>
      <c r="H202" s="27">
        <v>0</v>
      </c>
      <c r="I202" s="26">
        <v>24000</v>
      </c>
      <c r="J202" s="27">
        <v>10000</v>
      </c>
      <c r="K202" s="27">
        <v>0</v>
      </c>
      <c r="L202" s="27">
        <v>15973</v>
      </c>
      <c r="M202" s="27">
        <v>0</v>
      </c>
      <c r="N202" s="26">
        <v>25973</v>
      </c>
      <c r="O202" s="27">
        <v>40000</v>
      </c>
      <c r="P202" s="27">
        <v>0</v>
      </c>
      <c r="Q202" s="27">
        <v>0</v>
      </c>
      <c r="R202" s="27">
        <v>0</v>
      </c>
      <c r="S202" s="27">
        <v>0</v>
      </c>
      <c r="T202" s="26">
        <v>40000</v>
      </c>
      <c r="U202" s="28">
        <v>0</v>
      </c>
      <c r="V202" s="27">
        <v>0</v>
      </c>
      <c r="W202" s="27">
        <v>0</v>
      </c>
      <c r="X202" s="27">
        <v>0</v>
      </c>
      <c r="Y202" s="27">
        <v>0</v>
      </c>
      <c r="Z202" s="26">
        <v>0</v>
      </c>
      <c r="AA202" s="27">
        <v>0</v>
      </c>
      <c r="AB202" s="27">
        <v>0</v>
      </c>
      <c r="AC202" s="27">
        <v>0</v>
      </c>
      <c r="AD202" s="27">
        <v>0</v>
      </c>
      <c r="AE202" s="26">
        <v>0</v>
      </c>
      <c r="AF202" s="27">
        <v>0</v>
      </c>
      <c r="AG202" s="27">
        <v>0</v>
      </c>
      <c r="AH202" s="27">
        <v>0</v>
      </c>
      <c r="AI202" s="27">
        <v>0</v>
      </c>
      <c r="AJ202" s="27">
        <v>0</v>
      </c>
      <c r="AK202" s="26">
        <v>0</v>
      </c>
      <c r="AL202" s="28">
        <v>0</v>
      </c>
      <c r="AM202" s="54"/>
      <c r="AN202" s="13">
        <v>0</v>
      </c>
      <c r="AO202" s="13">
        <v>0</v>
      </c>
    </row>
    <row r="203" spans="1:41" s="15" customFormat="1">
      <c r="A203" s="118"/>
      <c r="B203" s="12" t="s">
        <v>66</v>
      </c>
      <c r="C203" s="26">
        <v>42198</v>
      </c>
      <c r="D203" s="26">
        <v>42198</v>
      </c>
      <c r="E203" s="27"/>
      <c r="F203" s="27">
        <v>0</v>
      </c>
      <c r="G203" s="27">
        <v>0</v>
      </c>
      <c r="H203" s="27">
        <v>0</v>
      </c>
      <c r="I203" s="26">
        <v>0</v>
      </c>
      <c r="J203" s="27">
        <v>0</v>
      </c>
      <c r="K203" s="27">
        <v>0</v>
      </c>
      <c r="L203" s="27">
        <v>0</v>
      </c>
      <c r="M203" s="27">
        <v>0</v>
      </c>
      <c r="N203" s="26">
        <v>0</v>
      </c>
      <c r="O203" s="27">
        <v>0</v>
      </c>
      <c r="P203" s="27">
        <v>0</v>
      </c>
      <c r="Q203" s="27">
        <v>0</v>
      </c>
      <c r="R203" s="27">
        <v>0</v>
      </c>
      <c r="S203" s="27">
        <v>0</v>
      </c>
      <c r="T203" s="26">
        <v>0</v>
      </c>
      <c r="U203" s="28">
        <v>0</v>
      </c>
      <c r="V203" s="27">
        <v>0</v>
      </c>
      <c r="W203" s="27">
        <v>0</v>
      </c>
      <c r="X203" s="27">
        <v>0</v>
      </c>
      <c r="Y203" s="27">
        <v>0</v>
      </c>
      <c r="Z203" s="26">
        <v>0</v>
      </c>
      <c r="AA203" s="27">
        <v>0</v>
      </c>
      <c r="AB203" s="27">
        <v>0</v>
      </c>
      <c r="AC203" s="27">
        <v>0</v>
      </c>
      <c r="AD203" s="27">
        <v>0</v>
      </c>
      <c r="AE203" s="26">
        <v>0</v>
      </c>
      <c r="AF203" s="27">
        <v>0</v>
      </c>
      <c r="AG203" s="27">
        <v>0</v>
      </c>
      <c r="AH203" s="27">
        <v>0</v>
      </c>
      <c r="AI203" s="27">
        <v>0</v>
      </c>
      <c r="AJ203" s="27">
        <v>0</v>
      </c>
      <c r="AK203" s="26">
        <v>0</v>
      </c>
      <c r="AL203" s="28">
        <v>0</v>
      </c>
      <c r="AM203" s="54"/>
      <c r="AN203" s="13">
        <v>0</v>
      </c>
      <c r="AO203" s="13">
        <v>0</v>
      </c>
    </row>
    <row r="204" spans="1:41" s="15" customFormat="1">
      <c r="A204" s="118"/>
      <c r="B204" s="12" t="s">
        <v>7</v>
      </c>
      <c r="C204" s="26"/>
      <c r="D204" s="26"/>
      <c r="E204" s="32"/>
      <c r="F204" s="27">
        <v>24000</v>
      </c>
      <c r="G204" s="27">
        <v>0</v>
      </c>
      <c r="H204" s="27">
        <v>0</v>
      </c>
      <c r="I204" s="26">
        <v>24000</v>
      </c>
      <c r="J204" s="32">
        <v>10000</v>
      </c>
      <c r="K204" s="27">
        <v>0</v>
      </c>
      <c r="L204" s="27">
        <v>15973</v>
      </c>
      <c r="M204" s="27">
        <v>0</v>
      </c>
      <c r="N204" s="26">
        <v>25973</v>
      </c>
      <c r="O204" s="32">
        <v>40000</v>
      </c>
      <c r="P204" s="27">
        <v>0</v>
      </c>
      <c r="Q204" s="27">
        <v>0</v>
      </c>
      <c r="R204" s="27">
        <v>0</v>
      </c>
      <c r="S204" s="27">
        <v>0</v>
      </c>
      <c r="T204" s="26">
        <v>40000</v>
      </c>
      <c r="U204" s="28">
        <v>152170</v>
      </c>
      <c r="V204" s="32">
        <v>0</v>
      </c>
      <c r="W204" s="27">
        <v>0</v>
      </c>
      <c r="X204" s="27">
        <v>0</v>
      </c>
      <c r="Y204" s="27">
        <v>0</v>
      </c>
      <c r="Z204" s="26">
        <v>27996</v>
      </c>
      <c r="AA204" s="32">
        <v>0</v>
      </c>
      <c r="AB204" s="27">
        <v>0</v>
      </c>
      <c r="AC204" s="27">
        <v>0</v>
      </c>
      <c r="AD204" s="27">
        <v>0</v>
      </c>
      <c r="AE204" s="26">
        <v>0</v>
      </c>
      <c r="AF204" s="32">
        <v>0</v>
      </c>
      <c r="AG204" s="27">
        <v>0</v>
      </c>
      <c r="AH204" s="27">
        <v>0</v>
      </c>
      <c r="AI204" s="27">
        <v>0</v>
      </c>
      <c r="AJ204" s="27">
        <v>0</v>
      </c>
      <c r="AK204" s="26">
        <v>0</v>
      </c>
      <c r="AL204" s="28">
        <v>27996</v>
      </c>
      <c r="AM204" s="54"/>
      <c r="AN204" s="13">
        <v>0</v>
      </c>
      <c r="AO204" s="13">
        <v>0</v>
      </c>
    </row>
    <row r="205" spans="1:41" s="15" customFormat="1" ht="17" thickBot="1">
      <c r="A205" s="119"/>
      <c r="B205" s="4" t="s">
        <v>67</v>
      </c>
      <c r="C205" s="26">
        <v>93987</v>
      </c>
      <c r="D205" s="37">
        <v>62197</v>
      </c>
      <c r="E205" s="21"/>
      <c r="F205" s="21">
        <v>0</v>
      </c>
      <c r="G205" s="21">
        <v>0</v>
      </c>
      <c r="H205" s="21">
        <v>0</v>
      </c>
      <c r="I205" s="20">
        <v>0</v>
      </c>
      <c r="J205" s="21">
        <v>0</v>
      </c>
      <c r="K205" s="21">
        <v>0</v>
      </c>
      <c r="L205" s="21">
        <v>0</v>
      </c>
      <c r="M205" s="21">
        <v>0</v>
      </c>
      <c r="N205" s="20">
        <v>0</v>
      </c>
      <c r="O205" s="21">
        <v>33918</v>
      </c>
      <c r="P205" s="21">
        <v>31822</v>
      </c>
      <c r="Q205" s="21">
        <v>27996</v>
      </c>
      <c r="R205" s="21">
        <v>27996</v>
      </c>
      <c r="S205" s="21">
        <v>27996</v>
      </c>
      <c r="T205" s="20">
        <v>27996</v>
      </c>
      <c r="U205" s="22">
        <v>27996</v>
      </c>
      <c r="V205" s="21">
        <v>23114</v>
      </c>
      <c r="W205" s="21">
        <v>22762</v>
      </c>
      <c r="X205" s="21">
        <v>22252</v>
      </c>
      <c r="Y205" s="21">
        <v>22252</v>
      </c>
      <c r="Z205" s="20">
        <v>22252</v>
      </c>
      <c r="AA205" s="21">
        <v>-1008</v>
      </c>
      <c r="AB205" s="21">
        <v>-1622</v>
      </c>
      <c r="AC205" s="21">
        <v>-4112</v>
      </c>
      <c r="AD205" s="21">
        <v>-4112</v>
      </c>
      <c r="AE205" s="20">
        <v>-4112</v>
      </c>
      <c r="AF205" s="21">
        <v>-4172</v>
      </c>
      <c r="AG205" s="21">
        <v>-4204</v>
      </c>
      <c r="AH205" s="21">
        <v>-4236</v>
      </c>
      <c r="AI205" s="21">
        <v>-4264</v>
      </c>
      <c r="AJ205" s="21">
        <v>-4264</v>
      </c>
      <c r="AK205" s="20">
        <v>-4264</v>
      </c>
      <c r="AL205" s="22">
        <v>23732</v>
      </c>
      <c r="AM205" s="54"/>
      <c r="AN205" s="13">
        <v>0</v>
      </c>
      <c r="AO205" s="13">
        <v>0</v>
      </c>
    </row>
    <row r="206" spans="1:41" s="15" customFormat="1" ht="17" thickBot="1">
      <c r="A206" s="46"/>
      <c r="B206" s="12" t="s">
        <v>68</v>
      </c>
      <c r="C206" s="26"/>
      <c r="D206" s="26"/>
      <c r="E206" s="19">
        <v>0</v>
      </c>
      <c r="F206" s="19"/>
      <c r="G206" s="19"/>
      <c r="H206" s="19"/>
      <c r="I206" s="23"/>
      <c r="J206" s="19"/>
      <c r="K206" s="19"/>
      <c r="L206" s="19"/>
      <c r="M206" s="19"/>
      <c r="N206" s="23"/>
      <c r="O206" s="19"/>
      <c r="P206" s="19"/>
      <c r="Q206" s="19"/>
      <c r="R206" s="19"/>
      <c r="S206" s="19"/>
      <c r="T206" s="23"/>
      <c r="U206" s="24"/>
      <c r="V206" s="19"/>
      <c r="W206" s="19"/>
      <c r="X206" s="19"/>
      <c r="Y206" s="19"/>
      <c r="Z206" s="23"/>
      <c r="AA206" s="19"/>
      <c r="AB206" s="19"/>
      <c r="AC206" s="19"/>
      <c r="AD206" s="19"/>
      <c r="AE206" s="23"/>
      <c r="AF206" s="19"/>
      <c r="AG206" s="19"/>
      <c r="AH206" s="19"/>
      <c r="AI206" s="19"/>
      <c r="AJ206" s="19"/>
      <c r="AK206" s="23"/>
      <c r="AL206" s="24"/>
      <c r="AM206" s="54"/>
      <c r="AN206" s="13">
        <v>0</v>
      </c>
      <c r="AO206" s="13">
        <v>0</v>
      </c>
    </row>
    <row r="207" spans="1:41" s="15" customFormat="1">
      <c r="A207" s="117" t="s">
        <v>102</v>
      </c>
      <c r="B207" s="3" t="s">
        <v>64</v>
      </c>
      <c r="C207" s="26"/>
      <c r="D207" s="26"/>
      <c r="E207" s="27"/>
      <c r="F207" s="27">
        <v>0</v>
      </c>
      <c r="G207" s="27">
        <v>0</v>
      </c>
      <c r="H207" s="27">
        <v>0</v>
      </c>
      <c r="I207" s="26">
        <v>0</v>
      </c>
      <c r="J207" s="27">
        <v>0</v>
      </c>
      <c r="K207" s="27">
        <v>0</v>
      </c>
      <c r="L207" s="27">
        <v>20000</v>
      </c>
      <c r="M207" s="27">
        <v>0</v>
      </c>
      <c r="N207" s="26">
        <v>20000</v>
      </c>
      <c r="O207" s="27">
        <v>0</v>
      </c>
      <c r="P207" s="27">
        <v>0</v>
      </c>
      <c r="Q207" s="27">
        <v>0</v>
      </c>
      <c r="R207" s="27">
        <v>0</v>
      </c>
      <c r="S207" s="27">
        <v>0</v>
      </c>
      <c r="T207" s="26">
        <v>0</v>
      </c>
      <c r="U207" s="28">
        <v>123960</v>
      </c>
      <c r="V207" s="27">
        <v>0</v>
      </c>
      <c r="W207" s="27">
        <v>0</v>
      </c>
      <c r="X207" s="27">
        <v>0</v>
      </c>
      <c r="Y207" s="27">
        <v>0</v>
      </c>
      <c r="Z207" s="26">
        <v>0</v>
      </c>
      <c r="AA207" s="27">
        <v>0</v>
      </c>
      <c r="AB207" s="27">
        <v>0</v>
      </c>
      <c r="AC207" s="27">
        <v>0</v>
      </c>
      <c r="AD207" s="27">
        <v>0</v>
      </c>
      <c r="AE207" s="26">
        <v>0</v>
      </c>
      <c r="AF207" s="27">
        <v>0</v>
      </c>
      <c r="AG207" s="27">
        <v>0</v>
      </c>
      <c r="AH207" s="27">
        <v>0</v>
      </c>
      <c r="AI207" s="27">
        <v>0</v>
      </c>
      <c r="AJ207" s="27">
        <v>0</v>
      </c>
      <c r="AK207" s="26">
        <v>0</v>
      </c>
      <c r="AL207" s="28">
        <v>0</v>
      </c>
      <c r="AM207" s="54">
        <v>16</v>
      </c>
      <c r="AN207" s="13">
        <v>1983360</v>
      </c>
      <c r="AO207" s="13">
        <v>0</v>
      </c>
    </row>
    <row r="208" spans="1:41" s="15" customFormat="1">
      <c r="A208" s="118"/>
      <c r="B208" s="12" t="s">
        <v>65</v>
      </c>
      <c r="C208" s="26"/>
      <c r="D208" s="26"/>
      <c r="E208" s="27"/>
      <c r="F208" s="27">
        <v>0</v>
      </c>
      <c r="G208" s="27">
        <v>0</v>
      </c>
      <c r="H208" s="27">
        <v>0</v>
      </c>
      <c r="I208" s="26">
        <v>0</v>
      </c>
      <c r="J208" s="27">
        <v>0</v>
      </c>
      <c r="K208" s="27">
        <v>0</v>
      </c>
      <c r="L208" s="27">
        <v>20000</v>
      </c>
      <c r="M208" s="27">
        <v>0</v>
      </c>
      <c r="N208" s="26">
        <v>20000</v>
      </c>
      <c r="O208" s="27">
        <v>0</v>
      </c>
      <c r="P208" s="27">
        <v>0</v>
      </c>
      <c r="Q208" s="27">
        <v>0</v>
      </c>
      <c r="R208" s="27">
        <v>0</v>
      </c>
      <c r="S208" s="27">
        <v>0</v>
      </c>
      <c r="T208" s="26">
        <v>0</v>
      </c>
      <c r="U208" s="28">
        <v>0</v>
      </c>
      <c r="V208" s="27">
        <v>0</v>
      </c>
      <c r="W208" s="27">
        <v>0</v>
      </c>
      <c r="X208" s="27">
        <v>0</v>
      </c>
      <c r="Y208" s="27">
        <v>0</v>
      </c>
      <c r="Z208" s="26">
        <v>0</v>
      </c>
      <c r="AA208" s="27">
        <v>0</v>
      </c>
      <c r="AB208" s="27">
        <v>0</v>
      </c>
      <c r="AC208" s="27">
        <v>0</v>
      </c>
      <c r="AD208" s="27">
        <v>0</v>
      </c>
      <c r="AE208" s="26">
        <v>0</v>
      </c>
      <c r="AF208" s="27">
        <v>0</v>
      </c>
      <c r="AG208" s="27">
        <v>0</v>
      </c>
      <c r="AH208" s="27">
        <v>0</v>
      </c>
      <c r="AI208" s="27">
        <v>0</v>
      </c>
      <c r="AJ208" s="27">
        <v>0</v>
      </c>
      <c r="AK208" s="26">
        <v>0</v>
      </c>
      <c r="AL208" s="28">
        <v>0</v>
      </c>
      <c r="AM208" s="54"/>
      <c r="AN208" s="13">
        <v>0</v>
      </c>
      <c r="AO208" s="13">
        <v>0</v>
      </c>
    </row>
    <row r="209" spans="1:41" s="15" customFormat="1">
      <c r="A209" s="118"/>
      <c r="B209" s="12" t="s">
        <v>66</v>
      </c>
      <c r="C209" s="26">
        <v>0</v>
      </c>
      <c r="D209" s="26">
        <v>0</v>
      </c>
      <c r="E209" s="27"/>
      <c r="F209" s="27">
        <v>0</v>
      </c>
      <c r="G209" s="27">
        <v>0</v>
      </c>
      <c r="H209" s="27">
        <v>0</v>
      </c>
      <c r="I209" s="26">
        <v>0</v>
      </c>
      <c r="J209" s="27">
        <v>0</v>
      </c>
      <c r="K209" s="27">
        <v>0</v>
      </c>
      <c r="L209" s="27">
        <v>0</v>
      </c>
      <c r="M209" s="27">
        <v>0</v>
      </c>
      <c r="N209" s="26">
        <v>0</v>
      </c>
      <c r="O209" s="27">
        <v>0</v>
      </c>
      <c r="P209" s="27">
        <v>0</v>
      </c>
      <c r="Q209" s="27">
        <v>0</v>
      </c>
      <c r="R209" s="27">
        <v>0</v>
      </c>
      <c r="S209" s="27">
        <v>0</v>
      </c>
      <c r="T209" s="26">
        <v>0</v>
      </c>
      <c r="U209" s="28">
        <v>0</v>
      </c>
      <c r="V209" s="27">
        <v>0</v>
      </c>
      <c r="W209" s="27">
        <v>0</v>
      </c>
      <c r="X209" s="27">
        <v>0</v>
      </c>
      <c r="Y209" s="27">
        <v>0</v>
      </c>
      <c r="Z209" s="26">
        <v>0</v>
      </c>
      <c r="AA209" s="27">
        <v>0</v>
      </c>
      <c r="AB209" s="27">
        <v>0</v>
      </c>
      <c r="AC209" s="27">
        <v>0</v>
      </c>
      <c r="AD209" s="27">
        <v>0</v>
      </c>
      <c r="AE209" s="26">
        <v>0</v>
      </c>
      <c r="AF209" s="27">
        <v>0</v>
      </c>
      <c r="AG209" s="27">
        <v>0</v>
      </c>
      <c r="AH209" s="27">
        <v>0</v>
      </c>
      <c r="AI209" s="27">
        <v>0</v>
      </c>
      <c r="AJ209" s="27">
        <v>0</v>
      </c>
      <c r="AK209" s="26">
        <v>0</v>
      </c>
      <c r="AL209" s="28">
        <v>0</v>
      </c>
      <c r="AM209" s="54"/>
      <c r="AN209" s="13">
        <v>0</v>
      </c>
      <c r="AO209" s="13">
        <v>0</v>
      </c>
    </row>
    <row r="210" spans="1:41" s="15" customFormat="1">
      <c r="A210" s="118"/>
      <c r="B210" s="12" t="s">
        <v>7</v>
      </c>
      <c r="C210" s="26"/>
      <c r="D210" s="26"/>
      <c r="E210" s="32"/>
      <c r="F210" s="27">
        <v>0</v>
      </c>
      <c r="G210" s="27">
        <v>0</v>
      </c>
      <c r="H210" s="27">
        <v>0</v>
      </c>
      <c r="I210" s="26">
        <v>0</v>
      </c>
      <c r="J210" s="32">
        <v>0</v>
      </c>
      <c r="K210" s="27">
        <v>0</v>
      </c>
      <c r="L210" s="27">
        <v>20000</v>
      </c>
      <c r="M210" s="27">
        <v>0</v>
      </c>
      <c r="N210" s="26">
        <v>20000</v>
      </c>
      <c r="O210" s="32">
        <v>0</v>
      </c>
      <c r="P210" s="27">
        <v>0</v>
      </c>
      <c r="Q210" s="27">
        <v>0</v>
      </c>
      <c r="R210" s="27">
        <v>0</v>
      </c>
      <c r="S210" s="27">
        <v>0</v>
      </c>
      <c r="T210" s="26">
        <v>0</v>
      </c>
      <c r="U210" s="28">
        <v>123960</v>
      </c>
      <c r="V210" s="32">
        <v>0</v>
      </c>
      <c r="W210" s="27">
        <v>0</v>
      </c>
      <c r="X210" s="27">
        <v>0</v>
      </c>
      <c r="Y210" s="27">
        <v>0</v>
      </c>
      <c r="Z210" s="26">
        <v>0</v>
      </c>
      <c r="AA210" s="32">
        <v>0</v>
      </c>
      <c r="AB210" s="27">
        <v>0</v>
      </c>
      <c r="AC210" s="27">
        <v>0</v>
      </c>
      <c r="AD210" s="27">
        <v>0</v>
      </c>
      <c r="AE210" s="26">
        <v>0</v>
      </c>
      <c r="AF210" s="32">
        <v>0</v>
      </c>
      <c r="AG210" s="27">
        <v>0</v>
      </c>
      <c r="AH210" s="27">
        <v>0</v>
      </c>
      <c r="AI210" s="27">
        <v>0</v>
      </c>
      <c r="AJ210" s="27">
        <v>0</v>
      </c>
      <c r="AK210" s="26">
        <v>0</v>
      </c>
      <c r="AL210" s="28">
        <v>0</v>
      </c>
      <c r="AM210" s="54"/>
      <c r="AN210" s="13">
        <v>0</v>
      </c>
      <c r="AO210" s="13">
        <v>0</v>
      </c>
    </row>
    <row r="211" spans="1:41" s="15" customFormat="1" ht="17" thickBot="1">
      <c r="A211" s="119"/>
      <c r="B211" s="4" t="s">
        <v>67</v>
      </c>
      <c r="C211" s="34">
        <v>38545</v>
      </c>
      <c r="D211" s="35">
        <v>103960</v>
      </c>
      <c r="E211" s="21"/>
      <c r="F211" s="21">
        <v>0</v>
      </c>
      <c r="G211" s="21">
        <v>0</v>
      </c>
      <c r="H211" s="21">
        <v>0</v>
      </c>
      <c r="I211" s="20">
        <v>0</v>
      </c>
      <c r="J211" s="21">
        <v>0</v>
      </c>
      <c r="K211" s="21">
        <v>0</v>
      </c>
      <c r="L211" s="21">
        <v>0</v>
      </c>
      <c r="M211" s="21">
        <v>0</v>
      </c>
      <c r="N211" s="20">
        <v>0</v>
      </c>
      <c r="O211" s="21">
        <v>0</v>
      </c>
      <c r="P211" s="21">
        <v>0</v>
      </c>
      <c r="Q211" s="21">
        <v>0</v>
      </c>
      <c r="R211" s="21">
        <v>0</v>
      </c>
      <c r="S211" s="21">
        <v>0</v>
      </c>
      <c r="T211" s="20">
        <v>0</v>
      </c>
      <c r="U211" s="22">
        <v>0</v>
      </c>
      <c r="V211" s="21">
        <v>0</v>
      </c>
      <c r="W211" s="21">
        <v>0</v>
      </c>
      <c r="X211" s="21">
        <v>0</v>
      </c>
      <c r="Y211" s="21">
        <v>0</v>
      </c>
      <c r="Z211" s="20">
        <v>0</v>
      </c>
      <c r="AA211" s="21">
        <v>0</v>
      </c>
      <c r="AB211" s="21">
        <v>0</v>
      </c>
      <c r="AC211" s="21">
        <v>0</v>
      </c>
      <c r="AD211" s="21">
        <v>0</v>
      </c>
      <c r="AE211" s="20">
        <v>0</v>
      </c>
      <c r="AF211" s="21">
        <v>0</v>
      </c>
      <c r="AG211" s="21">
        <v>0</v>
      </c>
      <c r="AH211" s="21">
        <v>0</v>
      </c>
      <c r="AI211" s="21">
        <v>0</v>
      </c>
      <c r="AJ211" s="21">
        <v>0</v>
      </c>
      <c r="AK211" s="20">
        <v>0</v>
      </c>
      <c r="AL211" s="22">
        <v>0</v>
      </c>
      <c r="AM211" s="54"/>
      <c r="AN211" s="13">
        <v>0</v>
      </c>
      <c r="AO211" s="13">
        <v>0</v>
      </c>
    </row>
    <row r="212" spans="1:41" s="15" customFormat="1" ht="17" thickBot="1">
      <c r="A212" s="46" t="s">
        <v>102</v>
      </c>
      <c r="B212" s="12"/>
      <c r="C212" s="26"/>
      <c r="D212" s="26"/>
      <c r="E212" s="19"/>
      <c r="F212" s="19">
        <v>0</v>
      </c>
      <c r="G212" s="19">
        <v>0</v>
      </c>
      <c r="H212" s="19">
        <v>0</v>
      </c>
      <c r="I212" s="23">
        <v>0</v>
      </c>
      <c r="J212" s="19">
        <v>0</v>
      </c>
      <c r="K212" s="19">
        <v>0</v>
      </c>
      <c r="L212" s="19">
        <v>0</v>
      </c>
      <c r="M212" s="19">
        <v>0</v>
      </c>
      <c r="N212" s="23">
        <v>0</v>
      </c>
      <c r="O212" s="19">
        <v>0</v>
      </c>
      <c r="P212" s="19">
        <v>0</v>
      </c>
      <c r="Q212" s="19">
        <v>0</v>
      </c>
      <c r="R212" s="19">
        <v>0</v>
      </c>
      <c r="S212" s="19">
        <v>0</v>
      </c>
      <c r="T212" s="23">
        <v>0</v>
      </c>
      <c r="U212" s="24">
        <v>0</v>
      </c>
      <c r="V212" s="19">
        <v>0</v>
      </c>
      <c r="W212" s="19">
        <v>0</v>
      </c>
      <c r="X212" s="19">
        <v>0</v>
      </c>
      <c r="Y212" s="19">
        <v>0</v>
      </c>
      <c r="Z212" s="23">
        <v>0</v>
      </c>
      <c r="AA212" s="19">
        <v>0</v>
      </c>
      <c r="AB212" s="19">
        <v>0</v>
      </c>
      <c r="AC212" s="19">
        <v>0</v>
      </c>
      <c r="AD212" s="19">
        <v>0</v>
      </c>
      <c r="AE212" s="23">
        <v>0</v>
      </c>
      <c r="AF212" s="19">
        <v>0</v>
      </c>
      <c r="AG212" s="19">
        <v>0</v>
      </c>
      <c r="AH212" s="19">
        <v>0</v>
      </c>
      <c r="AI212" s="19">
        <v>0</v>
      </c>
      <c r="AJ212" s="19">
        <v>0</v>
      </c>
      <c r="AK212" s="23">
        <v>0</v>
      </c>
      <c r="AL212" s="24">
        <v>0</v>
      </c>
      <c r="AM212" s="54"/>
      <c r="AN212" s="13">
        <v>0</v>
      </c>
      <c r="AO212" s="13">
        <v>0</v>
      </c>
    </row>
    <row r="213" spans="1:41" s="29" customFormat="1">
      <c r="A213" s="114" t="s">
        <v>103</v>
      </c>
      <c r="B213" s="25" t="s">
        <v>64</v>
      </c>
      <c r="C213" s="26"/>
      <c r="D213" s="26"/>
      <c r="E213" s="27"/>
      <c r="F213" s="27">
        <v>0</v>
      </c>
      <c r="G213" s="27">
        <v>0</v>
      </c>
      <c r="H213" s="27">
        <v>0</v>
      </c>
      <c r="I213" s="26">
        <v>0</v>
      </c>
      <c r="J213" s="27">
        <v>0</v>
      </c>
      <c r="K213" s="27">
        <v>0</v>
      </c>
      <c r="L213" s="27">
        <v>0</v>
      </c>
      <c r="M213" s="27">
        <v>0</v>
      </c>
      <c r="N213" s="26">
        <v>0</v>
      </c>
      <c r="O213" s="27">
        <v>0</v>
      </c>
      <c r="P213" s="27">
        <v>84</v>
      </c>
      <c r="Q213" s="27">
        <v>0</v>
      </c>
      <c r="R213" s="27">
        <v>0</v>
      </c>
      <c r="S213" s="27">
        <v>0</v>
      </c>
      <c r="T213" s="26">
        <v>84</v>
      </c>
      <c r="U213" s="28">
        <v>84</v>
      </c>
      <c r="V213" s="27">
        <v>0</v>
      </c>
      <c r="W213" s="27">
        <v>0</v>
      </c>
      <c r="X213" s="27">
        <v>0</v>
      </c>
      <c r="Y213" s="27">
        <v>0</v>
      </c>
      <c r="Z213" s="26">
        <v>0</v>
      </c>
      <c r="AA213" s="27">
        <v>0</v>
      </c>
      <c r="AB213" s="27">
        <v>0</v>
      </c>
      <c r="AC213" s="27">
        <v>0</v>
      </c>
      <c r="AD213" s="27">
        <v>0</v>
      </c>
      <c r="AE213" s="26">
        <v>0</v>
      </c>
      <c r="AF213" s="27">
        <v>0</v>
      </c>
      <c r="AG213" s="27">
        <v>0</v>
      </c>
      <c r="AH213" s="27">
        <v>0</v>
      </c>
      <c r="AI213" s="27">
        <v>0</v>
      </c>
      <c r="AJ213" s="27">
        <v>0</v>
      </c>
      <c r="AK213" s="26">
        <v>0</v>
      </c>
      <c r="AL213" s="28">
        <v>0</v>
      </c>
      <c r="AM213" s="54">
        <v>128</v>
      </c>
      <c r="AN213" s="13">
        <v>10752</v>
      </c>
      <c r="AO213" s="13">
        <v>0</v>
      </c>
    </row>
    <row r="214" spans="1:41" s="29" customFormat="1">
      <c r="A214" s="115"/>
      <c r="B214" s="31" t="s">
        <v>65</v>
      </c>
      <c r="C214" s="26"/>
      <c r="D214" s="26"/>
      <c r="E214" s="27"/>
      <c r="F214" s="27">
        <v>0</v>
      </c>
      <c r="G214" s="27">
        <v>0</v>
      </c>
      <c r="H214" s="27">
        <v>0</v>
      </c>
      <c r="I214" s="26">
        <v>0</v>
      </c>
      <c r="J214" s="27">
        <v>0</v>
      </c>
      <c r="K214" s="27">
        <v>0</v>
      </c>
      <c r="L214" s="27">
        <v>0</v>
      </c>
      <c r="M214" s="27">
        <v>0</v>
      </c>
      <c r="N214" s="26">
        <v>0</v>
      </c>
      <c r="O214" s="27">
        <v>0</v>
      </c>
      <c r="P214" s="27">
        <v>0</v>
      </c>
      <c r="Q214" s="27">
        <v>0</v>
      </c>
      <c r="R214" s="27">
        <v>0</v>
      </c>
      <c r="S214" s="27">
        <v>0</v>
      </c>
      <c r="T214" s="26">
        <v>0</v>
      </c>
      <c r="U214" s="28">
        <v>0</v>
      </c>
      <c r="V214" s="27">
        <v>0</v>
      </c>
      <c r="W214" s="27">
        <v>0</v>
      </c>
      <c r="X214" s="27">
        <v>0</v>
      </c>
      <c r="Y214" s="27">
        <v>0</v>
      </c>
      <c r="Z214" s="26">
        <v>0</v>
      </c>
      <c r="AA214" s="27">
        <v>0</v>
      </c>
      <c r="AB214" s="27">
        <v>0</v>
      </c>
      <c r="AC214" s="27">
        <v>0</v>
      </c>
      <c r="AD214" s="27">
        <v>0</v>
      </c>
      <c r="AE214" s="26">
        <v>0</v>
      </c>
      <c r="AF214" s="27">
        <v>0</v>
      </c>
      <c r="AG214" s="27">
        <v>0</v>
      </c>
      <c r="AH214" s="27">
        <v>0</v>
      </c>
      <c r="AI214" s="27">
        <v>0</v>
      </c>
      <c r="AJ214" s="27">
        <v>0</v>
      </c>
      <c r="AK214" s="26">
        <v>0</v>
      </c>
      <c r="AL214" s="28">
        <v>0</v>
      </c>
      <c r="AM214" s="54"/>
      <c r="AN214" s="13">
        <v>0</v>
      </c>
      <c r="AO214" s="13">
        <v>0</v>
      </c>
    </row>
    <row r="215" spans="1:41" s="29" customFormat="1">
      <c r="A215" s="115"/>
      <c r="B215" s="31" t="s">
        <v>66</v>
      </c>
      <c r="C215" s="26">
        <v>0</v>
      </c>
      <c r="D215" s="26">
        <v>0</v>
      </c>
      <c r="E215" s="27"/>
      <c r="F215" s="27">
        <v>0</v>
      </c>
      <c r="G215" s="27">
        <v>0</v>
      </c>
      <c r="H215" s="27">
        <v>0</v>
      </c>
      <c r="I215" s="26">
        <v>0</v>
      </c>
      <c r="J215" s="27">
        <v>0</v>
      </c>
      <c r="K215" s="27">
        <v>0</v>
      </c>
      <c r="L215" s="27">
        <v>0</v>
      </c>
      <c r="M215" s="27">
        <v>0</v>
      </c>
      <c r="N215" s="26">
        <v>0</v>
      </c>
      <c r="O215" s="27">
        <v>0</v>
      </c>
      <c r="P215" s="27">
        <v>0</v>
      </c>
      <c r="Q215" s="27">
        <v>0</v>
      </c>
      <c r="R215" s="27">
        <v>0</v>
      </c>
      <c r="S215" s="27">
        <v>0</v>
      </c>
      <c r="T215" s="26">
        <v>0</v>
      </c>
      <c r="U215" s="28">
        <v>0</v>
      </c>
      <c r="V215" s="27">
        <v>0</v>
      </c>
      <c r="W215" s="27">
        <v>0</v>
      </c>
      <c r="X215" s="27">
        <v>0</v>
      </c>
      <c r="Y215" s="27">
        <v>0</v>
      </c>
      <c r="Z215" s="26">
        <v>0</v>
      </c>
      <c r="AA215" s="27">
        <v>0</v>
      </c>
      <c r="AB215" s="27">
        <v>0</v>
      </c>
      <c r="AC215" s="27">
        <v>0</v>
      </c>
      <c r="AD215" s="27">
        <v>0</v>
      </c>
      <c r="AE215" s="26">
        <v>0</v>
      </c>
      <c r="AF215" s="27">
        <v>0</v>
      </c>
      <c r="AG215" s="27">
        <v>0</v>
      </c>
      <c r="AH215" s="27">
        <v>0</v>
      </c>
      <c r="AI215" s="27">
        <v>0</v>
      </c>
      <c r="AJ215" s="27">
        <v>0</v>
      </c>
      <c r="AK215" s="26">
        <v>0</v>
      </c>
      <c r="AL215" s="28">
        <v>0</v>
      </c>
      <c r="AM215" s="54"/>
      <c r="AN215" s="13">
        <v>0</v>
      </c>
      <c r="AO215" s="13">
        <v>0</v>
      </c>
    </row>
    <row r="216" spans="1:41" s="29" customFormat="1">
      <c r="A216" s="115"/>
      <c r="B216" s="31" t="s">
        <v>7</v>
      </c>
      <c r="C216" s="26"/>
      <c r="D216" s="26"/>
      <c r="E216" s="27"/>
      <c r="F216" s="27">
        <v>0</v>
      </c>
      <c r="G216" s="27">
        <v>0</v>
      </c>
      <c r="H216" s="27">
        <v>0</v>
      </c>
      <c r="I216" s="26">
        <v>0</v>
      </c>
      <c r="J216" s="27">
        <v>0</v>
      </c>
      <c r="K216" s="27">
        <v>0</v>
      </c>
      <c r="L216" s="27">
        <v>0</v>
      </c>
      <c r="M216" s="27">
        <v>0</v>
      </c>
      <c r="N216" s="26">
        <v>0</v>
      </c>
      <c r="O216" s="27">
        <v>0</v>
      </c>
      <c r="P216" s="27">
        <v>0</v>
      </c>
      <c r="Q216" s="27">
        <v>0</v>
      </c>
      <c r="R216" s="27">
        <v>0</v>
      </c>
      <c r="S216" s="27">
        <v>0</v>
      </c>
      <c r="T216" s="26">
        <v>0</v>
      </c>
      <c r="U216" s="28">
        <v>0</v>
      </c>
      <c r="V216" s="27">
        <v>0</v>
      </c>
      <c r="W216" s="27">
        <v>0</v>
      </c>
      <c r="X216" s="27">
        <v>0</v>
      </c>
      <c r="Y216" s="27">
        <v>0</v>
      </c>
      <c r="Z216" s="26">
        <v>-84</v>
      </c>
      <c r="AA216" s="27">
        <v>0</v>
      </c>
      <c r="AB216" s="27">
        <v>0</v>
      </c>
      <c r="AC216" s="27">
        <v>0</v>
      </c>
      <c r="AD216" s="27">
        <v>0</v>
      </c>
      <c r="AE216" s="26">
        <v>0</v>
      </c>
      <c r="AF216" s="27">
        <v>0</v>
      </c>
      <c r="AG216" s="27">
        <v>0</v>
      </c>
      <c r="AH216" s="27">
        <v>0</v>
      </c>
      <c r="AI216" s="27">
        <v>0</v>
      </c>
      <c r="AJ216" s="27">
        <v>0</v>
      </c>
      <c r="AK216" s="26">
        <v>0</v>
      </c>
      <c r="AL216" s="28">
        <v>-84</v>
      </c>
      <c r="AM216" s="54"/>
      <c r="AN216" s="13">
        <v>0</v>
      </c>
      <c r="AO216" s="13">
        <v>0</v>
      </c>
    </row>
    <row r="217" spans="1:41" s="29" customFormat="1" ht="17" thickBot="1">
      <c r="A217" s="116"/>
      <c r="B217" s="33" t="s">
        <v>67</v>
      </c>
      <c r="C217" s="34">
        <v>0</v>
      </c>
      <c r="D217" s="35">
        <v>0</v>
      </c>
      <c r="E217" s="21"/>
      <c r="F217" s="21">
        <v>0</v>
      </c>
      <c r="G217" s="21">
        <v>0</v>
      </c>
      <c r="H217" s="21">
        <v>0</v>
      </c>
      <c r="I217" s="20">
        <v>0</v>
      </c>
      <c r="J217" s="21">
        <v>0</v>
      </c>
      <c r="K217" s="21">
        <v>0</v>
      </c>
      <c r="L217" s="21">
        <v>0</v>
      </c>
      <c r="M217" s="21">
        <v>0</v>
      </c>
      <c r="N217" s="20">
        <v>0</v>
      </c>
      <c r="O217" s="21">
        <v>0</v>
      </c>
      <c r="P217" s="21">
        <v>-84</v>
      </c>
      <c r="Q217" s="21">
        <v>-84</v>
      </c>
      <c r="R217" s="21">
        <v>-84</v>
      </c>
      <c r="S217" s="21">
        <v>-84</v>
      </c>
      <c r="T217" s="20">
        <v>-84</v>
      </c>
      <c r="U217" s="22">
        <v>-84</v>
      </c>
      <c r="V217" s="21">
        <v>-84</v>
      </c>
      <c r="W217" s="21">
        <v>-84</v>
      </c>
      <c r="X217" s="21">
        <v>-84</v>
      </c>
      <c r="Y217" s="21">
        <v>-84</v>
      </c>
      <c r="Z217" s="20">
        <v>-84</v>
      </c>
      <c r="AA217" s="21">
        <v>-84</v>
      </c>
      <c r="AB217" s="21">
        <v>-84</v>
      </c>
      <c r="AC217" s="21">
        <v>-84</v>
      </c>
      <c r="AD217" s="21">
        <v>-84</v>
      </c>
      <c r="AE217" s="20">
        <v>-84</v>
      </c>
      <c r="AF217" s="21">
        <v>-84</v>
      </c>
      <c r="AG217" s="21">
        <v>-84</v>
      </c>
      <c r="AH217" s="21">
        <v>-84</v>
      </c>
      <c r="AI217" s="21">
        <v>-84</v>
      </c>
      <c r="AJ217" s="21">
        <v>-84</v>
      </c>
      <c r="AK217" s="20">
        <v>-84</v>
      </c>
      <c r="AL217" s="22">
        <v>-168</v>
      </c>
      <c r="AM217" s="54"/>
      <c r="AN217" s="13">
        <v>0</v>
      </c>
      <c r="AO217" s="13">
        <v>0</v>
      </c>
    </row>
    <row r="218" spans="1:41" s="29" customFormat="1" ht="17" thickBot="1">
      <c r="A218" s="36"/>
      <c r="B218" s="31" t="s">
        <v>68</v>
      </c>
      <c r="C218" s="26"/>
      <c r="D218" s="26"/>
      <c r="E218" s="19"/>
      <c r="F218" s="19"/>
      <c r="G218" s="19"/>
      <c r="H218" s="19"/>
      <c r="I218" s="23"/>
      <c r="J218" s="19"/>
      <c r="K218" s="19"/>
      <c r="L218" s="19"/>
      <c r="M218" s="19"/>
      <c r="N218" s="23"/>
      <c r="O218" s="19"/>
      <c r="P218" s="19"/>
      <c r="Q218" s="19"/>
      <c r="R218" s="19"/>
      <c r="S218" s="19"/>
      <c r="T218" s="23"/>
      <c r="U218" s="24"/>
      <c r="V218" s="19"/>
      <c r="W218" s="19"/>
      <c r="X218" s="19"/>
      <c r="Y218" s="19"/>
      <c r="Z218" s="23"/>
      <c r="AA218" s="19"/>
      <c r="AB218" s="19"/>
      <c r="AC218" s="19"/>
      <c r="AD218" s="19"/>
      <c r="AE218" s="23"/>
      <c r="AF218" s="19"/>
      <c r="AG218" s="19"/>
      <c r="AH218" s="19"/>
      <c r="AI218" s="19"/>
      <c r="AJ218" s="19"/>
      <c r="AK218" s="23"/>
      <c r="AL218" s="24"/>
      <c r="AM218" s="54"/>
      <c r="AN218" s="13">
        <v>0</v>
      </c>
      <c r="AO218" s="13">
        <v>0</v>
      </c>
    </row>
    <row r="219" spans="1:41" s="29" customFormat="1">
      <c r="A219" s="114" t="s">
        <v>104</v>
      </c>
      <c r="B219" s="25" t="s">
        <v>64</v>
      </c>
      <c r="C219" s="26"/>
      <c r="D219" s="26"/>
      <c r="E219" s="27"/>
      <c r="F219" s="27">
        <v>734500</v>
      </c>
      <c r="G219" s="27">
        <v>743909</v>
      </c>
      <c r="H219" s="27">
        <v>0</v>
      </c>
      <c r="I219" s="26">
        <v>1478409</v>
      </c>
      <c r="J219" s="27">
        <v>20211</v>
      </c>
      <c r="K219" s="27">
        <v>167901</v>
      </c>
      <c r="L219" s="27">
        <v>61440</v>
      </c>
      <c r="M219" s="27">
        <v>0</v>
      </c>
      <c r="N219" s="26">
        <v>249552</v>
      </c>
      <c r="O219" s="27">
        <v>333189</v>
      </c>
      <c r="P219" s="27">
        <v>104604</v>
      </c>
      <c r="Q219" s="27">
        <v>89164</v>
      </c>
      <c r="R219" s="27">
        <v>174097</v>
      </c>
      <c r="S219" s="27">
        <v>0</v>
      </c>
      <c r="T219" s="26">
        <v>701054</v>
      </c>
      <c r="U219" s="28">
        <v>3308963</v>
      </c>
      <c r="V219" s="27">
        <v>109872</v>
      </c>
      <c r="W219" s="27">
        <v>7628</v>
      </c>
      <c r="X219" s="27">
        <v>3896</v>
      </c>
      <c r="Y219" s="27">
        <v>0</v>
      </c>
      <c r="Z219" s="26">
        <v>121396</v>
      </c>
      <c r="AA219" s="27">
        <v>50096</v>
      </c>
      <c r="AB219" s="27">
        <v>11916</v>
      </c>
      <c r="AC219" s="27">
        <v>19660</v>
      </c>
      <c r="AD219" s="27">
        <v>0</v>
      </c>
      <c r="AE219" s="26">
        <v>81672</v>
      </c>
      <c r="AF219" s="27">
        <v>504</v>
      </c>
      <c r="AG219" s="27">
        <v>76</v>
      </c>
      <c r="AH219" s="27">
        <v>876</v>
      </c>
      <c r="AI219" s="27">
        <v>88</v>
      </c>
      <c r="AJ219" s="27">
        <v>0</v>
      </c>
      <c r="AK219" s="26">
        <v>1544</v>
      </c>
      <c r="AL219" s="28">
        <v>204612</v>
      </c>
      <c r="AM219" s="54">
        <v>32</v>
      </c>
      <c r="AN219" s="13">
        <v>105886816</v>
      </c>
      <c r="AO219" s="13">
        <v>6547584</v>
      </c>
    </row>
    <row r="220" spans="1:41" s="29" customFormat="1">
      <c r="A220" s="115"/>
      <c r="B220" s="31" t="s">
        <v>65</v>
      </c>
      <c r="C220" s="26"/>
      <c r="D220" s="26"/>
      <c r="E220" s="27"/>
      <c r="F220" s="27">
        <v>734500</v>
      </c>
      <c r="G220" s="27">
        <v>743909</v>
      </c>
      <c r="H220" s="27">
        <v>0</v>
      </c>
      <c r="I220" s="26">
        <v>1478409</v>
      </c>
      <c r="J220" s="27">
        <v>20211</v>
      </c>
      <c r="K220" s="27">
        <v>167901</v>
      </c>
      <c r="L220" s="27">
        <v>61440</v>
      </c>
      <c r="M220" s="27">
        <v>0</v>
      </c>
      <c r="N220" s="26">
        <v>249552</v>
      </c>
      <c r="O220" s="27">
        <v>400000</v>
      </c>
      <c r="P220" s="27">
        <v>0</v>
      </c>
      <c r="Q220" s="27">
        <v>0</v>
      </c>
      <c r="R220" s="27">
        <v>400000</v>
      </c>
      <c r="S220" s="27">
        <v>0</v>
      </c>
      <c r="T220" s="26">
        <v>800000</v>
      </c>
      <c r="U220" s="28">
        <v>0</v>
      </c>
      <c r="V220" s="27">
        <v>300000</v>
      </c>
      <c r="W220" s="27">
        <v>0</v>
      </c>
      <c r="X220" s="27">
        <v>0</v>
      </c>
      <c r="Y220" s="27">
        <v>0</v>
      </c>
      <c r="Z220" s="26">
        <v>300000</v>
      </c>
      <c r="AA220" s="27">
        <v>0</v>
      </c>
      <c r="AB220" s="27">
        <v>0</v>
      </c>
      <c r="AC220" s="27">
        <v>0</v>
      </c>
      <c r="AD220" s="27">
        <v>0</v>
      </c>
      <c r="AE220" s="26">
        <v>0</v>
      </c>
      <c r="AF220" s="27">
        <v>0</v>
      </c>
      <c r="AG220" s="27">
        <v>0</v>
      </c>
      <c r="AH220" s="27">
        <v>0</v>
      </c>
      <c r="AI220" s="27">
        <v>0</v>
      </c>
      <c r="AJ220" s="27">
        <v>0</v>
      </c>
      <c r="AK220" s="26">
        <v>0</v>
      </c>
      <c r="AL220" s="28">
        <v>0</v>
      </c>
      <c r="AM220" s="54"/>
      <c r="AN220" s="13">
        <v>0</v>
      </c>
      <c r="AO220" s="13">
        <v>0</v>
      </c>
    </row>
    <row r="221" spans="1:41" s="29" customFormat="1">
      <c r="A221" s="115"/>
      <c r="B221" s="31" t="s">
        <v>66</v>
      </c>
      <c r="C221" s="26">
        <v>0</v>
      </c>
      <c r="D221" s="26">
        <v>0</v>
      </c>
      <c r="E221" s="27"/>
      <c r="F221" s="27">
        <v>0</v>
      </c>
      <c r="G221" s="27">
        <v>0</v>
      </c>
      <c r="H221" s="27">
        <v>0</v>
      </c>
      <c r="I221" s="26">
        <v>0</v>
      </c>
      <c r="J221" s="27">
        <v>0</v>
      </c>
      <c r="K221" s="27">
        <v>0</v>
      </c>
      <c r="L221" s="27">
        <v>0</v>
      </c>
      <c r="M221" s="27">
        <v>0</v>
      </c>
      <c r="N221" s="26">
        <v>0</v>
      </c>
      <c r="O221" s="27">
        <v>0</v>
      </c>
      <c r="P221" s="27">
        <v>0</v>
      </c>
      <c r="Q221" s="27">
        <v>0</v>
      </c>
      <c r="R221" s="27">
        <v>0</v>
      </c>
      <c r="S221" s="27">
        <v>0</v>
      </c>
      <c r="T221" s="26">
        <v>0</v>
      </c>
      <c r="U221" s="28">
        <v>0</v>
      </c>
      <c r="V221" s="27">
        <v>0</v>
      </c>
      <c r="W221" s="27">
        <v>0</v>
      </c>
      <c r="X221" s="27">
        <v>0</v>
      </c>
      <c r="Y221" s="27">
        <v>0</v>
      </c>
      <c r="Z221" s="26">
        <v>0</v>
      </c>
      <c r="AA221" s="27">
        <v>0</v>
      </c>
      <c r="AB221" s="27">
        <v>0</v>
      </c>
      <c r="AC221" s="27">
        <v>0</v>
      </c>
      <c r="AD221" s="27">
        <v>0</v>
      </c>
      <c r="AE221" s="26">
        <v>0</v>
      </c>
      <c r="AF221" s="27">
        <v>0</v>
      </c>
      <c r="AG221" s="27">
        <v>0</v>
      </c>
      <c r="AH221" s="27">
        <v>0</v>
      </c>
      <c r="AI221" s="27">
        <v>0</v>
      </c>
      <c r="AJ221" s="27">
        <v>0</v>
      </c>
      <c r="AK221" s="26">
        <v>0</v>
      </c>
      <c r="AL221" s="28">
        <v>0</v>
      </c>
      <c r="AM221" s="54"/>
      <c r="AN221" s="13">
        <v>0</v>
      </c>
      <c r="AO221" s="13">
        <v>0</v>
      </c>
    </row>
    <row r="222" spans="1:41" s="29" customFormat="1">
      <c r="A222" s="115"/>
      <c r="B222" s="31" t="s">
        <v>7</v>
      </c>
      <c r="C222" s="26"/>
      <c r="D222" s="26"/>
      <c r="E222" s="32"/>
      <c r="F222" s="27">
        <v>734500</v>
      </c>
      <c r="G222" s="27">
        <v>743909</v>
      </c>
      <c r="H222" s="27">
        <v>0</v>
      </c>
      <c r="I222" s="26">
        <v>1478409</v>
      </c>
      <c r="J222" s="32">
        <v>20211</v>
      </c>
      <c r="K222" s="27">
        <v>167901</v>
      </c>
      <c r="L222" s="27">
        <v>61440</v>
      </c>
      <c r="M222" s="27">
        <v>0</v>
      </c>
      <c r="N222" s="26">
        <v>249552</v>
      </c>
      <c r="O222" s="32">
        <v>400000</v>
      </c>
      <c r="P222" s="27">
        <v>0</v>
      </c>
      <c r="Q222" s="27">
        <v>0</v>
      </c>
      <c r="R222" s="27">
        <v>400000</v>
      </c>
      <c r="S222" s="27">
        <v>0</v>
      </c>
      <c r="T222" s="26">
        <v>800000</v>
      </c>
      <c r="U222" s="28">
        <v>3407909</v>
      </c>
      <c r="V222" s="32">
        <v>300000</v>
      </c>
      <c r="W222" s="27">
        <v>0</v>
      </c>
      <c r="X222" s="27">
        <v>0</v>
      </c>
      <c r="Y222" s="27">
        <v>0</v>
      </c>
      <c r="Z222" s="26">
        <v>398946</v>
      </c>
      <c r="AA222" s="32">
        <v>0</v>
      </c>
      <c r="AB222" s="27">
        <v>0</v>
      </c>
      <c r="AC222" s="27">
        <v>0</v>
      </c>
      <c r="AD222" s="27">
        <v>0</v>
      </c>
      <c r="AE222" s="26">
        <v>0</v>
      </c>
      <c r="AF222" s="32">
        <v>0</v>
      </c>
      <c r="AG222" s="27">
        <v>0</v>
      </c>
      <c r="AH222" s="27">
        <v>0</v>
      </c>
      <c r="AI222" s="27">
        <v>0</v>
      </c>
      <c r="AJ222" s="27">
        <v>0</v>
      </c>
      <c r="AK222" s="26">
        <v>0</v>
      </c>
      <c r="AL222" s="28">
        <v>398946</v>
      </c>
      <c r="AM222" s="54"/>
      <c r="AN222" s="13">
        <v>0</v>
      </c>
      <c r="AO222" s="13">
        <v>0</v>
      </c>
    </row>
    <row r="223" spans="1:41" s="29" customFormat="1" ht="17" thickBot="1">
      <c r="A223" s="116"/>
      <c r="B223" s="33" t="s">
        <v>67</v>
      </c>
      <c r="C223" s="34">
        <v>509707</v>
      </c>
      <c r="D223" s="35">
        <v>879948</v>
      </c>
      <c r="E223" s="21"/>
      <c r="F223" s="21">
        <v>0</v>
      </c>
      <c r="G223" s="21">
        <v>0</v>
      </c>
      <c r="H223" s="21">
        <v>0</v>
      </c>
      <c r="I223" s="20">
        <v>0</v>
      </c>
      <c r="J223" s="21">
        <v>0</v>
      </c>
      <c r="K223" s="21">
        <v>0</v>
      </c>
      <c r="L223" s="21">
        <v>0</v>
      </c>
      <c r="M223" s="21">
        <v>0</v>
      </c>
      <c r="N223" s="20">
        <v>0</v>
      </c>
      <c r="O223" s="21">
        <v>66811</v>
      </c>
      <c r="P223" s="21">
        <v>-37793</v>
      </c>
      <c r="Q223" s="21">
        <v>-126957</v>
      </c>
      <c r="R223" s="21">
        <v>98946</v>
      </c>
      <c r="S223" s="21">
        <v>98946</v>
      </c>
      <c r="T223" s="20">
        <v>98946</v>
      </c>
      <c r="U223" s="22">
        <v>98946</v>
      </c>
      <c r="V223" s="21">
        <v>289074</v>
      </c>
      <c r="W223" s="21">
        <v>281446</v>
      </c>
      <c r="X223" s="21">
        <v>277550</v>
      </c>
      <c r="Y223" s="21">
        <v>277550</v>
      </c>
      <c r="Z223" s="20">
        <v>277550</v>
      </c>
      <c r="AA223" s="21">
        <v>227454</v>
      </c>
      <c r="AB223" s="21">
        <v>215538</v>
      </c>
      <c r="AC223" s="21">
        <v>195878</v>
      </c>
      <c r="AD223" s="21">
        <v>195878</v>
      </c>
      <c r="AE223" s="20">
        <v>195878</v>
      </c>
      <c r="AF223" s="21">
        <v>195374</v>
      </c>
      <c r="AG223" s="21">
        <v>195298</v>
      </c>
      <c r="AH223" s="21">
        <v>194422</v>
      </c>
      <c r="AI223" s="21">
        <v>194334</v>
      </c>
      <c r="AJ223" s="21">
        <v>194334</v>
      </c>
      <c r="AK223" s="20">
        <v>194334</v>
      </c>
      <c r="AL223" s="22">
        <v>293280</v>
      </c>
      <c r="AM223" s="54"/>
      <c r="AN223" s="13">
        <v>0</v>
      </c>
      <c r="AO223" s="13">
        <v>0</v>
      </c>
    </row>
    <row r="224" spans="1:41" s="29" customFormat="1" ht="17" thickBot="1">
      <c r="A224" s="36"/>
      <c r="B224" s="31" t="s">
        <v>68</v>
      </c>
      <c r="C224" s="26"/>
      <c r="D224" s="26"/>
      <c r="E224" s="19">
        <v>0</v>
      </c>
      <c r="F224" s="19"/>
      <c r="G224" s="19"/>
      <c r="H224" s="19"/>
      <c r="I224" s="23"/>
      <c r="J224" s="19"/>
      <c r="K224" s="19"/>
      <c r="L224" s="19"/>
      <c r="M224" s="19"/>
      <c r="N224" s="23"/>
      <c r="O224" s="19"/>
      <c r="P224" s="19"/>
      <c r="Q224" s="19"/>
      <c r="R224" s="19"/>
      <c r="S224" s="19"/>
      <c r="T224" s="23"/>
      <c r="U224" s="24"/>
      <c r="V224" s="19"/>
      <c r="W224" s="19"/>
      <c r="X224" s="19"/>
      <c r="Y224" s="19"/>
      <c r="Z224" s="23"/>
      <c r="AA224" s="19"/>
      <c r="AB224" s="19"/>
      <c r="AC224" s="19"/>
      <c r="AD224" s="19"/>
      <c r="AE224" s="23"/>
      <c r="AF224" s="19"/>
      <c r="AG224" s="19"/>
      <c r="AH224" s="19"/>
      <c r="AI224" s="19"/>
      <c r="AJ224" s="19"/>
      <c r="AK224" s="23"/>
      <c r="AL224" s="24"/>
      <c r="AM224" s="54"/>
      <c r="AN224" s="13">
        <v>0</v>
      </c>
      <c r="AO224" s="13">
        <v>0</v>
      </c>
    </row>
    <row r="225" spans="1:41" s="29" customFormat="1">
      <c r="A225" s="114" t="s">
        <v>105</v>
      </c>
      <c r="B225" s="25" t="s">
        <v>64</v>
      </c>
      <c r="C225" s="26"/>
      <c r="D225" s="26"/>
      <c r="E225" s="27"/>
      <c r="F225" s="27">
        <v>16000</v>
      </c>
      <c r="G225" s="27">
        <v>11000</v>
      </c>
      <c r="H225" s="27">
        <v>0</v>
      </c>
      <c r="I225" s="26">
        <v>27000</v>
      </c>
      <c r="J225" s="27">
        <v>0</v>
      </c>
      <c r="K225" s="27">
        <v>38000</v>
      </c>
      <c r="L225" s="27">
        <v>0</v>
      </c>
      <c r="M225" s="27">
        <v>0</v>
      </c>
      <c r="N225" s="26">
        <v>38000</v>
      </c>
      <c r="O225" s="27">
        <v>17993</v>
      </c>
      <c r="P225" s="27">
        <v>6716</v>
      </c>
      <c r="Q225" s="27">
        <v>2210</v>
      </c>
      <c r="R225" s="27">
        <v>0</v>
      </c>
      <c r="S225" s="27">
        <v>0</v>
      </c>
      <c r="T225" s="26">
        <v>26919</v>
      </c>
      <c r="U225" s="28">
        <v>165410</v>
      </c>
      <c r="V225" s="27">
        <v>4050</v>
      </c>
      <c r="W225" s="27">
        <v>520</v>
      </c>
      <c r="X225" s="27">
        <v>598</v>
      </c>
      <c r="Y225" s="27">
        <v>0</v>
      </c>
      <c r="Z225" s="26">
        <v>5168</v>
      </c>
      <c r="AA225" s="27">
        <v>1182</v>
      </c>
      <c r="AB225" s="27">
        <v>658</v>
      </c>
      <c r="AC225" s="27">
        <v>906</v>
      </c>
      <c r="AD225" s="27">
        <v>0</v>
      </c>
      <c r="AE225" s="26">
        <v>2746</v>
      </c>
      <c r="AF225" s="27">
        <v>52</v>
      </c>
      <c r="AG225" s="27">
        <v>24</v>
      </c>
      <c r="AH225" s="27">
        <v>24</v>
      </c>
      <c r="AI225" s="27">
        <v>24</v>
      </c>
      <c r="AJ225" s="27">
        <v>0</v>
      </c>
      <c r="AK225" s="26">
        <v>124</v>
      </c>
      <c r="AL225" s="28">
        <v>8038</v>
      </c>
      <c r="AM225" s="54">
        <v>64</v>
      </c>
      <c r="AN225" s="13">
        <v>10586240</v>
      </c>
      <c r="AO225" s="13">
        <v>514432</v>
      </c>
    </row>
    <row r="226" spans="1:41" s="29" customFormat="1">
      <c r="A226" s="115"/>
      <c r="B226" s="31" t="s">
        <v>65</v>
      </c>
      <c r="C226" s="26"/>
      <c r="D226" s="26"/>
      <c r="E226" s="27"/>
      <c r="F226" s="27">
        <v>16000</v>
      </c>
      <c r="G226" s="27">
        <v>11000</v>
      </c>
      <c r="H226" s="27">
        <v>0</v>
      </c>
      <c r="I226" s="26">
        <v>27000</v>
      </c>
      <c r="J226" s="27">
        <v>0</v>
      </c>
      <c r="K226" s="27">
        <v>38000</v>
      </c>
      <c r="L226" s="27">
        <v>0</v>
      </c>
      <c r="M226" s="27">
        <v>0</v>
      </c>
      <c r="N226" s="26">
        <v>38000</v>
      </c>
      <c r="O226" s="27">
        <v>22000</v>
      </c>
      <c r="P226" s="27">
        <v>0</v>
      </c>
      <c r="Q226" s="27">
        <v>0</v>
      </c>
      <c r="R226" s="27">
        <v>10000</v>
      </c>
      <c r="S226" s="27">
        <v>0</v>
      </c>
      <c r="T226" s="26">
        <v>32000</v>
      </c>
      <c r="U226" s="28">
        <v>0</v>
      </c>
      <c r="V226" s="27">
        <v>20000</v>
      </c>
      <c r="W226" s="27">
        <v>0</v>
      </c>
      <c r="X226" s="27">
        <v>0</v>
      </c>
      <c r="Y226" s="27">
        <v>0</v>
      </c>
      <c r="Z226" s="26">
        <v>20000</v>
      </c>
      <c r="AA226" s="27">
        <v>0</v>
      </c>
      <c r="AB226" s="27">
        <v>0</v>
      </c>
      <c r="AC226" s="27">
        <v>0</v>
      </c>
      <c r="AD226" s="27">
        <v>0</v>
      </c>
      <c r="AE226" s="26">
        <v>0</v>
      </c>
      <c r="AF226" s="27">
        <v>0</v>
      </c>
      <c r="AG226" s="27">
        <v>0</v>
      </c>
      <c r="AH226" s="27">
        <v>0</v>
      </c>
      <c r="AI226" s="27">
        <v>0</v>
      </c>
      <c r="AJ226" s="27">
        <v>0</v>
      </c>
      <c r="AK226" s="26">
        <v>0</v>
      </c>
      <c r="AL226" s="28">
        <v>0</v>
      </c>
      <c r="AM226" s="54"/>
      <c r="AN226" s="13">
        <v>0</v>
      </c>
      <c r="AO226" s="13">
        <v>0</v>
      </c>
    </row>
    <row r="227" spans="1:41" s="29" customFormat="1">
      <c r="A227" s="115"/>
      <c r="B227" s="31" t="s">
        <v>66</v>
      </c>
      <c r="C227" s="26">
        <v>0</v>
      </c>
      <c r="D227" s="26">
        <v>0</v>
      </c>
      <c r="E227" s="27"/>
      <c r="F227" s="27">
        <v>0</v>
      </c>
      <c r="G227" s="27">
        <v>0</v>
      </c>
      <c r="H227" s="27">
        <v>0</v>
      </c>
      <c r="I227" s="26">
        <v>0</v>
      </c>
      <c r="J227" s="27">
        <v>0</v>
      </c>
      <c r="K227" s="27">
        <v>0</v>
      </c>
      <c r="L227" s="27">
        <v>1000338</v>
      </c>
      <c r="M227" s="27">
        <v>0</v>
      </c>
      <c r="N227" s="26">
        <v>1000338</v>
      </c>
      <c r="O227" s="27">
        <v>0</v>
      </c>
      <c r="P227" s="27">
        <v>0</v>
      </c>
      <c r="Q227" s="27">
        <v>0</v>
      </c>
      <c r="R227" s="27">
        <v>0</v>
      </c>
      <c r="S227" s="27">
        <v>0</v>
      </c>
      <c r="T227" s="26">
        <v>0</v>
      </c>
      <c r="U227" s="28">
        <v>1000338</v>
      </c>
      <c r="V227" s="27">
        <v>0</v>
      </c>
      <c r="W227" s="27">
        <v>0</v>
      </c>
      <c r="X227" s="27">
        <v>0</v>
      </c>
      <c r="Y227" s="27">
        <v>0</v>
      </c>
      <c r="Z227" s="26">
        <v>0</v>
      </c>
      <c r="AA227" s="27">
        <v>0</v>
      </c>
      <c r="AB227" s="27">
        <v>0</v>
      </c>
      <c r="AC227" s="27">
        <v>0</v>
      </c>
      <c r="AD227" s="27">
        <v>0</v>
      </c>
      <c r="AE227" s="26">
        <v>0</v>
      </c>
      <c r="AF227" s="27">
        <v>0</v>
      </c>
      <c r="AG227" s="27">
        <v>0</v>
      </c>
      <c r="AH227" s="27">
        <v>0</v>
      </c>
      <c r="AI227" s="27">
        <v>0</v>
      </c>
      <c r="AJ227" s="27">
        <v>0</v>
      </c>
      <c r="AK227" s="26">
        <v>0</v>
      </c>
      <c r="AL227" s="28">
        <v>0</v>
      </c>
      <c r="AM227" s="54"/>
      <c r="AN227" s="13">
        <v>0</v>
      </c>
      <c r="AO227" s="13">
        <v>0</v>
      </c>
    </row>
    <row r="228" spans="1:41" s="29" customFormat="1">
      <c r="A228" s="115"/>
      <c r="B228" s="31" t="s">
        <v>7</v>
      </c>
      <c r="C228" s="26"/>
      <c r="D228" s="26"/>
      <c r="E228" s="32"/>
      <c r="F228" s="27">
        <v>16000</v>
      </c>
      <c r="G228" s="27">
        <v>11000</v>
      </c>
      <c r="H228" s="27">
        <v>0</v>
      </c>
      <c r="I228" s="26">
        <v>27000</v>
      </c>
      <c r="J228" s="32">
        <v>0</v>
      </c>
      <c r="K228" s="27">
        <v>38000</v>
      </c>
      <c r="L228" s="27">
        <v>1000338</v>
      </c>
      <c r="M228" s="27">
        <v>0</v>
      </c>
      <c r="N228" s="26">
        <v>1038338</v>
      </c>
      <c r="O228" s="32">
        <v>22000</v>
      </c>
      <c r="P228" s="27">
        <v>0</v>
      </c>
      <c r="Q228" s="27">
        <v>0</v>
      </c>
      <c r="R228" s="27">
        <v>10000</v>
      </c>
      <c r="S228" s="27">
        <v>0</v>
      </c>
      <c r="T228" s="26">
        <v>32000</v>
      </c>
      <c r="U228" s="28">
        <v>1170829</v>
      </c>
      <c r="V228" s="32">
        <v>20000</v>
      </c>
      <c r="W228" s="27">
        <v>0</v>
      </c>
      <c r="X228" s="27">
        <v>0</v>
      </c>
      <c r="Y228" s="27">
        <v>0</v>
      </c>
      <c r="Z228" s="26">
        <v>1025419</v>
      </c>
      <c r="AA228" s="32">
        <v>0</v>
      </c>
      <c r="AB228" s="27">
        <v>0</v>
      </c>
      <c r="AC228" s="27">
        <v>0</v>
      </c>
      <c r="AD228" s="27">
        <v>0</v>
      </c>
      <c r="AE228" s="26">
        <v>0</v>
      </c>
      <c r="AF228" s="32">
        <v>0</v>
      </c>
      <c r="AG228" s="27">
        <v>0</v>
      </c>
      <c r="AH228" s="27">
        <v>0</v>
      </c>
      <c r="AI228" s="27">
        <v>0</v>
      </c>
      <c r="AJ228" s="27">
        <v>0</v>
      </c>
      <c r="AK228" s="26">
        <v>0</v>
      </c>
      <c r="AL228" s="28">
        <v>1025419</v>
      </c>
      <c r="AM228" s="54"/>
      <c r="AN228" s="13">
        <v>0</v>
      </c>
      <c r="AO228" s="13">
        <v>0</v>
      </c>
    </row>
    <row r="229" spans="1:41" s="29" customFormat="1" ht="17" thickBot="1">
      <c r="A229" s="116"/>
      <c r="B229" s="33" t="s">
        <v>67</v>
      </c>
      <c r="C229" s="34">
        <v>54795</v>
      </c>
      <c r="D229" s="35">
        <v>73491</v>
      </c>
      <c r="E229" s="21"/>
      <c r="F229" s="21">
        <v>0</v>
      </c>
      <c r="G229" s="21">
        <v>0</v>
      </c>
      <c r="H229" s="21">
        <v>0</v>
      </c>
      <c r="I229" s="20">
        <v>0</v>
      </c>
      <c r="J229" s="21">
        <v>0</v>
      </c>
      <c r="K229" s="21">
        <v>0</v>
      </c>
      <c r="L229" s="21">
        <v>1000338</v>
      </c>
      <c r="M229" s="21">
        <v>1000338</v>
      </c>
      <c r="N229" s="20">
        <v>1000338</v>
      </c>
      <c r="O229" s="21">
        <v>1004345</v>
      </c>
      <c r="P229" s="21">
        <v>997629</v>
      </c>
      <c r="Q229" s="21">
        <v>995419</v>
      </c>
      <c r="R229" s="21">
        <v>1005419</v>
      </c>
      <c r="S229" s="21">
        <v>1005419</v>
      </c>
      <c r="T229" s="20">
        <v>1005419</v>
      </c>
      <c r="U229" s="22">
        <v>1005419</v>
      </c>
      <c r="V229" s="21">
        <v>1021369</v>
      </c>
      <c r="W229" s="21">
        <v>1020849</v>
      </c>
      <c r="X229" s="21">
        <v>1020251</v>
      </c>
      <c r="Y229" s="21">
        <v>1020251</v>
      </c>
      <c r="Z229" s="20">
        <v>1020251</v>
      </c>
      <c r="AA229" s="21">
        <v>1019069</v>
      </c>
      <c r="AB229" s="21">
        <v>1018411</v>
      </c>
      <c r="AC229" s="21">
        <v>1017505</v>
      </c>
      <c r="AD229" s="21">
        <v>1017505</v>
      </c>
      <c r="AE229" s="20">
        <v>1017505</v>
      </c>
      <c r="AF229" s="21">
        <v>1017453</v>
      </c>
      <c r="AG229" s="21">
        <v>1017429</v>
      </c>
      <c r="AH229" s="21">
        <v>1017405</v>
      </c>
      <c r="AI229" s="21">
        <v>1017381</v>
      </c>
      <c r="AJ229" s="21">
        <v>1017381</v>
      </c>
      <c r="AK229" s="20">
        <v>1017381</v>
      </c>
      <c r="AL229" s="22">
        <v>2022800</v>
      </c>
      <c r="AM229" s="54"/>
      <c r="AN229" s="13">
        <v>0</v>
      </c>
      <c r="AO229" s="13">
        <v>0</v>
      </c>
    </row>
    <row r="230" spans="1:41" s="29" customFormat="1" ht="17" thickBot="1">
      <c r="A230" s="36"/>
      <c r="B230" s="31" t="s">
        <v>68</v>
      </c>
      <c r="C230" s="26"/>
      <c r="D230" s="26"/>
      <c r="E230" s="19">
        <v>0</v>
      </c>
      <c r="F230" s="19"/>
      <c r="G230" s="19"/>
      <c r="H230" s="19"/>
      <c r="I230" s="23"/>
      <c r="J230" s="19"/>
      <c r="K230" s="19"/>
      <c r="L230" s="19"/>
      <c r="M230" s="19"/>
      <c r="N230" s="23"/>
      <c r="O230" s="19"/>
      <c r="P230" s="19"/>
      <c r="Q230" s="19"/>
      <c r="R230" s="19"/>
      <c r="S230" s="19"/>
      <c r="T230" s="23"/>
      <c r="U230" s="24"/>
      <c r="V230" s="19"/>
      <c r="W230" s="19"/>
      <c r="X230" s="19"/>
      <c r="Y230" s="19"/>
      <c r="Z230" s="23"/>
      <c r="AA230" s="19"/>
      <c r="AB230" s="19"/>
      <c r="AC230" s="19"/>
      <c r="AD230" s="19"/>
      <c r="AE230" s="23"/>
      <c r="AF230" s="19"/>
      <c r="AG230" s="19"/>
      <c r="AH230" s="19"/>
      <c r="AI230" s="19"/>
      <c r="AJ230" s="19"/>
      <c r="AK230" s="23"/>
      <c r="AL230" s="24"/>
      <c r="AM230" s="54"/>
      <c r="AN230" s="13">
        <v>0</v>
      </c>
      <c r="AO230" s="13">
        <v>0</v>
      </c>
    </row>
    <row r="231" spans="1:41" s="29" customFormat="1">
      <c r="A231" s="114" t="s">
        <v>106</v>
      </c>
      <c r="B231" s="25" t="s">
        <v>64</v>
      </c>
      <c r="C231" s="26"/>
      <c r="D231" s="26"/>
      <c r="E231" s="27"/>
      <c r="F231" s="27">
        <v>0</v>
      </c>
      <c r="G231" s="27">
        <v>0</v>
      </c>
      <c r="H231" s="27">
        <v>0</v>
      </c>
      <c r="I231" s="26">
        <v>0</v>
      </c>
      <c r="J231" s="27">
        <v>0</v>
      </c>
      <c r="K231" s="27">
        <v>0</v>
      </c>
      <c r="L231" s="27">
        <v>0</v>
      </c>
      <c r="M231" s="27">
        <v>0</v>
      </c>
      <c r="N231" s="26">
        <v>0</v>
      </c>
      <c r="O231" s="27">
        <v>0</v>
      </c>
      <c r="P231" s="27">
        <v>0</v>
      </c>
      <c r="Q231" s="27">
        <v>0</v>
      </c>
      <c r="R231" s="27">
        <v>0</v>
      </c>
      <c r="S231" s="27">
        <v>0</v>
      </c>
      <c r="T231" s="26">
        <v>0</v>
      </c>
      <c r="U231" s="28">
        <v>702</v>
      </c>
      <c r="V231" s="27">
        <v>8024</v>
      </c>
      <c r="W231" s="27">
        <v>2</v>
      </c>
      <c r="X231" s="27">
        <v>2</v>
      </c>
      <c r="Y231" s="27">
        <v>7</v>
      </c>
      <c r="Z231" s="26">
        <v>8035</v>
      </c>
      <c r="AA231" s="27">
        <v>158270</v>
      </c>
      <c r="AB231" s="27">
        <v>136939</v>
      </c>
      <c r="AC231" s="27">
        <v>377</v>
      </c>
      <c r="AD231" s="27">
        <v>11715</v>
      </c>
      <c r="AE231" s="26">
        <v>307301</v>
      </c>
      <c r="AF231" s="27">
        <v>44</v>
      </c>
      <c r="AG231" s="27">
        <v>21695</v>
      </c>
      <c r="AH231" s="27">
        <v>36</v>
      </c>
      <c r="AI231" s="27">
        <v>36</v>
      </c>
      <c r="AJ231" s="27">
        <v>36</v>
      </c>
      <c r="AK231" s="26">
        <v>21847</v>
      </c>
      <c r="AL231" s="28">
        <v>337183</v>
      </c>
      <c r="AM231" s="54">
        <v>64</v>
      </c>
      <c r="AN231" s="13">
        <v>44928</v>
      </c>
      <c r="AO231" s="13">
        <v>21579712</v>
      </c>
    </row>
    <row r="232" spans="1:41" s="29" customFormat="1">
      <c r="A232" s="115"/>
      <c r="B232" s="31" t="s">
        <v>65</v>
      </c>
      <c r="C232" s="26"/>
      <c r="D232" s="26"/>
      <c r="E232" s="27"/>
      <c r="F232" s="27">
        <v>0</v>
      </c>
      <c r="G232" s="27">
        <v>0</v>
      </c>
      <c r="H232" s="27">
        <v>0</v>
      </c>
      <c r="I232" s="26">
        <v>0</v>
      </c>
      <c r="J232" s="27">
        <v>0</v>
      </c>
      <c r="K232" s="27">
        <v>0</v>
      </c>
      <c r="L232" s="27">
        <v>0</v>
      </c>
      <c r="M232" s="27">
        <v>0</v>
      </c>
      <c r="N232" s="26">
        <v>0</v>
      </c>
      <c r="O232" s="27">
        <v>0</v>
      </c>
      <c r="P232" s="27">
        <v>0</v>
      </c>
      <c r="Q232" s="27">
        <v>0</v>
      </c>
      <c r="R232" s="27">
        <v>0</v>
      </c>
      <c r="S232" s="27">
        <v>2500</v>
      </c>
      <c r="T232" s="26">
        <v>2500</v>
      </c>
      <c r="U232" s="28">
        <v>0</v>
      </c>
      <c r="V232" s="27">
        <v>0</v>
      </c>
      <c r="W232" s="27">
        <v>0</v>
      </c>
      <c r="X232" s="27">
        <v>0</v>
      </c>
      <c r="Y232" s="27">
        <v>10000</v>
      </c>
      <c r="Z232" s="26">
        <v>10000</v>
      </c>
      <c r="AA232" s="27">
        <v>50000</v>
      </c>
      <c r="AB232" s="27">
        <v>75000</v>
      </c>
      <c r="AC232" s="27">
        <v>75000</v>
      </c>
      <c r="AD232" s="27">
        <v>100000</v>
      </c>
      <c r="AE232" s="26">
        <v>300000</v>
      </c>
      <c r="AF232" s="27">
        <v>0</v>
      </c>
      <c r="AG232" s="27">
        <v>10000</v>
      </c>
      <c r="AH232" s="27">
        <v>10000</v>
      </c>
      <c r="AI232" s="27">
        <v>10000</v>
      </c>
      <c r="AJ232" s="27">
        <v>10000</v>
      </c>
      <c r="AK232" s="26">
        <v>40000</v>
      </c>
      <c r="AL232" s="28">
        <v>0</v>
      </c>
      <c r="AM232" s="54"/>
      <c r="AN232" s="13">
        <v>0</v>
      </c>
      <c r="AO232" s="13">
        <v>0</v>
      </c>
    </row>
    <row r="233" spans="1:41" s="29" customFormat="1">
      <c r="A233" s="115"/>
      <c r="B233" s="31" t="s">
        <v>66</v>
      </c>
      <c r="C233" s="26">
        <v>0</v>
      </c>
      <c r="D233" s="26">
        <v>0</v>
      </c>
      <c r="E233" s="27"/>
      <c r="F233" s="27">
        <v>0</v>
      </c>
      <c r="G233" s="27">
        <v>0</v>
      </c>
      <c r="H233" s="27">
        <v>0</v>
      </c>
      <c r="I233" s="26">
        <v>0</v>
      </c>
      <c r="J233" s="27">
        <v>0</v>
      </c>
      <c r="K233" s="27">
        <v>0</v>
      </c>
      <c r="L233" s="27">
        <v>0</v>
      </c>
      <c r="M233" s="27">
        <v>0</v>
      </c>
      <c r="N233" s="26">
        <v>0</v>
      </c>
      <c r="O233" s="27">
        <v>0</v>
      </c>
      <c r="P233" s="27">
        <v>0</v>
      </c>
      <c r="Q233" s="27">
        <v>0</v>
      </c>
      <c r="R233" s="27">
        <v>0</v>
      </c>
      <c r="S233" s="27">
        <v>0</v>
      </c>
      <c r="T233" s="26">
        <v>0</v>
      </c>
      <c r="U233" s="28">
        <v>0</v>
      </c>
      <c r="V233" s="27">
        <v>0</v>
      </c>
      <c r="W233" s="27">
        <v>0</v>
      </c>
      <c r="X233" s="27">
        <v>0</v>
      </c>
      <c r="Y233" s="27">
        <v>0</v>
      </c>
      <c r="Z233" s="26">
        <v>0</v>
      </c>
      <c r="AA233" s="27">
        <v>0</v>
      </c>
      <c r="AB233" s="27">
        <v>0</v>
      </c>
      <c r="AC233" s="27">
        <v>0</v>
      </c>
      <c r="AD233" s="27">
        <v>0</v>
      </c>
      <c r="AE233" s="26">
        <v>0</v>
      </c>
      <c r="AF233" s="27">
        <v>0</v>
      </c>
      <c r="AG233" s="27">
        <v>0</v>
      </c>
      <c r="AH233" s="27">
        <v>0</v>
      </c>
      <c r="AI233" s="27">
        <v>0</v>
      </c>
      <c r="AJ233" s="27">
        <v>0</v>
      </c>
      <c r="AK233" s="26">
        <v>0</v>
      </c>
      <c r="AL233" s="28">
        <v>0</v>
      </c>
      <c r="AM233" s="54"/>
      <c r="AN233" s="13">
        <v>0</v>
      </c>
      <c r="AO233" s="13">
        <v>0</v>
      </c>
    </row>
    <row r="234" spans="1:41" s="29" customFormat="1">
      <c r="A234" s="115"/>
      <c r="B234" s="31" t="s">
        <v>7</v>
      </c>
      <c r="C234" s="26"/>
      <c r="D234" s="26"/>
      <c r="E234" s="32"/>
      <c r="F234" s="27">
        <v>0</v>
      </c>
      <c r="G234" s="27">
        <v>0</v>
      </c>
      <c r="H234" s="27">
        <v>0</v>
      </c>
      <c r="I234" s="26">
        <v>0</v>
      </c>
      <c r="J234" s="32">
        <v>0</v>
      </c>
      <c r="K234" s="27">
        <v>0</v>
      </c>
      <c r="L234" s="27">
        <v>0</v>
      </c>
      <c r="M234" s="27">
        <v>0</v>
      </c>
      <c r="N234" s="26">
        <v>0</v>
      </c>
      <c r="O234" s="32">
        <v>0</v>
      </c>
      <c r="P234" s="27">
        <v>0</v>
      </c>
      <c r="Q234" s="27">
        <v>0</v>
      </c>
      <c r="R234" s="27">
        <v>0</v>
      </c>
      <c r="S234" s="27">
        <v>2500</v>
      </c>
      <c r="T234" s="26">
        <v>2500</v>
      </c>
      <c r="U234" s="28">
        <v>3202</v>
      </c>
      <c r="V234" s="32">
        <v>0</v>
      </c>
      <c r="W234" s="27">
        <v>0</v>
      </c>
      <c r="X234" s="27">
        <v>0</v>
      </c>
      <c r="Y234" s="27">
        <v>10000</v>
      </c>
      <c r="Z234" s="26">
        <v>12500</v>
      </c>
      <c r="AA234" s="32">
        <v>50000</v>
      </c>
      <c r="AB234" s="27">
        <v>75000</v>
      </c>
      <c r="AC234" s="27">
        <v>75000</v>
      </c>
      <c r="AD234" s="27">
        <v>100000</v>
      </c>
      <c r="AE234" s="26">
        <v>300000</v>
      </c>
      <c r="AF234" s="32">
        <v>0</v>
      </c>
      <c r="AG234" s="27">
        <v>10000</v>
      </c>
      <c r="AH234" s="27">
        <v>10000</v>
      </c>
      <c r="AI234" s="27">
        <v>10000</v>
      </c>
      <c r="AJ234" s="27">
        <v>10000</v>
      </c>
      <c r="AK234" s="26">
        <v>40000</v>
      </c>
      <c r="AL234" s="28">
        <v>352500</v>
      </c>
      <c r="AM234" s="54"/>
      <c r="AN234" s="13">
        <v>0</v>
      </c>
      <c r="AO234" s="13">
        <v>0</v>
      </c>
    </row>
    <row r="235" spans="1:41" s="29" customFormat="1" ht="17" thickBot="1">
      <c r="A235" s="116"/>
      <c r="B235" s="33" t="s">
        <v>67</v>
      </c>
      <c r="C235" s="34">
        <v>0</v>
      </c>
      <c r="D235" s="35">
        <v>702</v>
      </c>
      <c r="E235" s="21"/>
      <c r="F235" s="21">
        <v>0</v>
      </c>
      <c r="G235" s="21">
        <v>0</v>
      </c>
      <c r="H235" s="21">
        <v>0</v>
      </c>
      <c r="I235" s="20">
        <v>0</v>
      </c>
      <c r="J235" s="21">
        <v>0</v>
      </c>
      <c r="K235" s="21">
        <v>0</v>
      </c>
      <c r="L235" s="21">
        <v>0</v>
      </c>
      <c r="M235" s="21">
        <v>0</v>
      </c>
      <c r="N235" s="20">
        <v>0</v>
      </c>
      <c r="O235" s="21">
        <v>0</v>
      </c>
      <c r="P235" s="21">
        <v>0</v>
      </c>
      <c r="Q235" s="21">
        <v>0</v>
      </c>
      <c r="R235" s="21">
        <v>0</v>
      </c>
      <c r="S235" s="21">
        <v>2500</v>
      </c>
      <c r="T235" s="20">
        <v>2500</v>
      </c>
      <c r="U235" s="22">
        <v>2500</v>
      </c>
      <c r="V235" s="21">
        <v>-5524</v>
      </c>
      <c r="W235" s="21">
        <v>-5526</v>
      </c>
      <c r="X235" s="21">
        <v>-5528</v>
      </c>
      <c r="Y235" s="21">
        <v>4465</v>
      </c>
      <c r="Z235" s="20">
        <v>4465</v>
      </c>
      <c r="AA235" s="21">
        <v>-103805</v>
      </c>
      <c r="AB235" s="21">
        <v>-165744</v>
      </c>
      <c r="AC235" s="21">
        <v>-91121</v>
      </c>
      <c r="AD235" s="21">
        <v>-2836</v>
      </c>
      <c r="AE235" s="20">
        <v>-2836</v>
      </c>
      <c r="AF235" s="21">
        <v>-2880</v>
      </c>
      <c r="AG235" s="21">
        <v>-14575</v>
      </c>
      <c r="AH235" s="21">
        <v>-4611</v>
      </c>
      <c r="AI235" s="21">
        <v>5353</v>
      </c>
      <c r="AJ235" s="21">
        <v>15317</v>
      </c>
      <c r="AK235" s="20">
        <v>15317</v>
      </c>
      <c r="AL235" s="22">
        <v>17817</v>
      </c>
      <c r="AM235" s="54"/>
      <c r="AN235" s="13">
        <v>0</v>
      </c>
      <c r="AO235" s="13">
        <v>0</v>
      </c>
    </row>
    <row r="236" spans="1:41" s="29" customFormat="1" ht="17" thickBot="1">
      <c r="A236" s="36"/>
      <c r="B236" s="31" t="s">
        <v>68</v>
      </c>
      <c r="C236" s="26"/>
      <c r="D236" s="26"/>
      <c r="E236" s="19"/>
      <c r="F236" s="19"/>
      <c r="G236" s="19"/>
      <c r="H236" s="19"/>
      <c r="I236" s="23"/>
      <c r="J236" s="19"/>
      <c r="K236" s="19"/>
      <c r="L236" s="19"/>
      <c r="M236" s="19"/>
      <c r="N236" s="23"/>
      <c r="O236" s="19"/>
      <c r="P236" s="19"/>
      <c r="Q236" s="19"/>
      <c r="R236" s="19"/>
      <c r="S236" s="19"/>
      <c r="T236" s="23"/>
      <c r="U236" s="24"/>
      <c r="V236" s="19"/>
      <c r="W236" s="19"/>
      <c r="X236" s="19"/>
      <c r="Y236" s="19"/>
      <c r="Z236" s="23"/>
      <c r="AA236" s="19"/>
      <c r="AB236" s="19"/>
      <c r="AC236" s="19"/>
      <c r="AD236" s="19"/>
      <c r="AE236" s="23"/>
      <c r="AF236" s="19"/>
      <c r="AG236" s="19"/>
      <c r="AH236" s="19"/>
      <c r="AI236" s="19"/>
      <c r="AJ236" s="19"/>
      <c r="AK236" s="23"/>
      <c r="AL236" s="24"/>
      <c r="AM236" s="54"/>
      <c r="AN236" s="13">
        <v>0</v>
      </c>
      <c r="AO236" s="13">
        <v>0</v>
      </c>
    </row>
    <row r="237" spans="1:41" s="29" customFormat="1">
      <c r="A237" s="114" t="s">
        <v>107</v>
      </c>
      <c r="B237" s="25" t="s">
        <v>64</v>
      </c>
      <c r="C237" s="26"/>
      <c r="D237" s="26"/>
      <c r="E237" s="27"/>
      <c r="F237" s="27">
        <v>0</v>
      </c>
      <c r="G237" s="27">
        <v>0</v>
      </c>
      <c r="H237" s="27">
        <v>0</v>
      </c>
      <c r="I237" s="26">
        <v>0</v>
      </c>
      <c r="J237" s="27">
        <v>0</v>
      </c>
      <c r="K237" s="27">
        <v>0</v>
      </c>
      <c r="L237" s="27">
        <v>0</v>
      </c>
      <c r="M237" s="27">
        <v>0</v>
      </c>
      <c r="N237" s="26">
        <v>0</v>
      </c>
      <c r="O237" s="27">
        <v>0</v>
      </c>
      <c r="P237" s="27">
        <v>0</v>
      </c>
      <c r="Q237" s="27">
        <v>8000</v>
      </c>
      <c r="R237" s="27">
        <v>0</v>
      </c>
      <c r="S237" s="27">
        <v>0</v>
      </c>
      <c r="T237" s="26">
        <v>8000</v>
      </c>
      <c r="U237" s="28">
        <v>9034</v>
      </c>
      <c r="V237" s="27">
        <v>8109</v>
      </c>
      <c r="W237" s="27">
        <v>2</v>
      </c>
      <c r="X237" s="27">
        <v>479</v>
      </c>
      <c r="Y237" s="27">
        <v>838</v>
      </c>
      <c r="Z237" s="26">
        <v>9428</v>
      </c>
      <c r="AA237" s="27">
        <v>5413</v>
      </c>
      <c r="AB237" s="27">
        <v>360</v>
      </c>
      <c r="AC237" s="27">
        <v>911</v>
      </c>
      <c r="AD237" s="27">
        <v>5403</v>
      </c>
      <c r="AE237" s="26">
        <v>12087</v>
      </c>
      <c r="AF237" s="27">
        <v>82</v>
      </c>
      <c r="AG237" s="27">
        <v>5146</v>
      </c>
      <c r="AH237" s="27">
        <v>105</v>
      </c>
      <c r="AI237" s="27">
        <v>105</v>
      </c>
      <c r="AJ237" s="27">
        <v>80</v>
      </c>
      <c r="AK237" s="26">
        <v>5518</v>
      </c>
      <c r="AL237" s="28">
        <v>27033</v>
      </c>
      <c r="AM237" s="54">
        <v>128</v>
      </c>
      <c r="AN237" s="13">
        <v>1156352</v>
      </c>
      <c r="AO237" s="13">
        <v>3460224</v>
      </c>
    </row>
    <row r="238" spans="1:41" s="29" customFormat="1">
      <c r="A238" s="115"/>
      <c r="B238" s="31" t="s">
        <v>65</v>
      </c>
      <c r="C238" s="26"/>
      <c r="D238" s="26"/>
      <c r="E238" s="27"/>
      <c r="F238" s="27">
        <v>0</v>
      </c>
      <c r="G238" s="27">
        <v>0</v>
      </c>
      <c r="H238" s="27">
        <v>0</v>
      </c>
      <c r="I238" s="26">
        <v>0</v>
      </c>
      <c r="J238" s="27">
        <v>0</v>
      </c>
      <c r="K238" s="27">
        <v>0</v>
      </c>
      <c r="L238" s="27">
        <v>0</v>
      </c>
      <c r="M238" s="27">
        <v>0</v>
      </c>
      <c r="N238" s="26">
        <v>0</v>
      </c>
      <c r="O238" s="27">
        <v>0</v>
      </c>
      <c r="P238" s="27">
        <v>0</v>
      </c>
      <c r="Q238" s="27">
        <v>0</v>
      </c>
      <c r="R238" s="27">
        <v>0</v>
      </c>
      <c r="S238" s="27">
        <v>10000</v>
      </c>
      <c r="T238" s="26">
        <v>10000</v>
      </c>
      <c r="U238" s="28">
        <v>0</v>
      </c>
      <c r="V238" s="27">
        <v>0</v>
      </c>
      <c r="W238" s="27">
        <v>0</v>
      </c>
      <c r="X238" s="27">
        <v>0</v>
      </c>
      <c r="Y238" s="27">
        <v>10000</v>
      </c>
      <c r="Z238" s="26">
        <v>10000</v>
      </c>
      <c r="AA238" s="27">
        <v>0</v>
      </c>
      <c r="AB238" s="27">
        <v>0</v>
      </c>
      <c r="AC238" s="27">
        <v>0</v>
      </c>
      <c r="AD238" s="27">
        <v>10000</v>
      </c>
      <c r="AE238" s="26">
        <v>10000</v>
      </c>
      <c r="AF238" s="27">
        <v>0</v>
      </c>
      <c r="AG238" s="27">
        <v>0</v>
      </c>
      <c r="AH238" s="27">
        <v>0</v>
      </c>
      <c r="AI238" s="27">
        <v>0</v>
      </c>
      <c r="AJ238" s="27">
        <v>10000</v>
      </c>
      <c r="AK238" s="26">
        <v>10000</v>
      </c>
      <c r="AL238" s="28">
        <v>0</v>
      </c>
      <c r="AM238" s="54"/>
      <c r="AN238" s="13">
        <v>0</v>
      </c>
      <c r="AO238" s="13">
        <v>0</v>
      </c>
    </row>
    <row r="239" spans="1:41" s="29" customFormat="1">
      <c r="A239" s="115"/>
      <c r="B239" s="31" t="s">
        <v>66</v>
      </c>
      <c r="C239" s="26">
        <v>0</v>
      </c>
      <c r="D239" s="26">
        <v>0</v>
      </c>
      <c r="E239" s="27"/>
      <c r="F239" s="27">
        <v>0</v>
      </c>
      <c r="G239" s="27">
        <v>0</v>
      </c>
      <c r="H239" s="27">
        <v>0</v>
      </c>
      <c r="I239" s="26">
        <v>0</v>
      </c>
      <c r="J239" s="27">
        <v>0</v>
      </c>
      <c r="K239" s="27">
        <v>0</v>
      </c>
      <c r="L239" s="27">
        <v>0</v>
      </c>
      <c r="M239" s="27">
        <v>0</v>
      </c>
      <c r="N239" s="26">
        <v>0</v>
      </c>
      <c r="O239" s="27">
        <v>0</v>
      </c>
      <c r="P239" s="27">
        <v>0</v>
      </c>
      <c r="Q239" s="27">
        <v>0</v>
      </c>
      <c r="R239" s="27">
        <v>0</v>
      </c>
      <c r="S239" s="27">
        <v>0</v>
      </c>
      <c r="T239" s="26">
        <v>0</v>
      </c>
      <c r="U239" s="28">
        <v>0</v>
      </c>
      <c r="V239" s="27">
        <v>0</v>
      </c>
      <c r="W239" s="27">
        <v>0</v>
      </c>
      <c r="X239" s="27">
        <v>0</v>
      </c>
      <c r="Y239" s="27">
        <v>0</v>
      </c>
      <c r="Z239" s="26">
        <v>0</v>
      </c>
      <c r="AA239" s="27">
        <v>0</v>
      </c>
      <c r="AB239" s="27">
        <v>0</v>
      </c>
      <c r="AC239" s="27">
        <v>0</v>
      </c>
      <c r="AD239" s="27">
        <v>0</v>
      </c>
      <c r="AE239" s="26">
        <v>0</v>
      </c>
      <c r="AF239" s="27">
        <v>0</v>
      </c>
      <c r="AG239" s="27">
        <v>0</v>
      </c>
      <c r="AH239" s="27">
        <v>0</v>
      </c>
      <c r="AI239" s="27">
        <v>0</v>
      </c>
      <c r="AJ239" s="27">
        <v>0</v>
      </c>
      <c r="AK239" s="26">
        <v>0</v>
      </c>
      <c r="AL239" s="28">
        <v>0</v>
      </c>
      <c r="AM239" s="54"/>
      <c r="AN239" s="13">
        <v>0</v>
      </c>
      <c r="AO239" s="13">
        <v>0</v>
      </c>
    </row>
    <row r="240" spans="1:41" s="29" customFormat="1">
      <c r="A240" s="115"/>
      <c r="B240" s="31" t="s">
        <v>7</v>
      </c>
      <c r="C240" s="26"/>
      <c r="D240" s="26"/>
      <c r="E240" s="32"/>
      <c r="F240" s="27">
        <v>0</v>
      </c>
      <c r="G240" s="27">
        <v>0</v>
      </c>
      <c r="H240" s="27">
        <v>0</v>
      </c>
      <c r="I240" s="26">
        <v>0</v>
      </c>
      <c r="J240" s="32">
        <v>0</v>
      </c>
      <c r="K240" s="27">
        <v>0</v>
      </c>
      <c r="L240" s="27">
        <v>0</v>
      </c>
      <c r="M240" s="27">
        <v>0</v>
      </c>
      <c r="N240" s="26">
        <v>0</v>
      </c>
      <c r="O240" s="32">
        <v>0</v>
      </c>
      <c r="P240" s="27">
        <v>0</v>
      </c>
      <c r="Q240" s="27">
        <v>0</v>
      </c>
      <c r="R240" s="27">
        <v>0</v>
      </c>
      <c r="S240" s="27">
        <v>10000</v>
      </c>
      <c r="T240" s="26">
        <v>10000</v>
      </c>
      <c r="U240" s="28">
        <v>11034</v>
      </c>
      <c r="V240" s="32">
        <v>0</v>
      </c>
      <c r="W240" s="27">
        <v>0</v>
      </c>
      <c r="X240" s="27">
        <v>0</v>
      </c>
      <c r="Y240" s="27">
        <v>10000</v>
      </c>
      <c r="Z240" s="26">
        <v>12000</v>
      </c>
      <c r="AA240" s="32">
        <v>0</v>
      </c>
      <c r="AB240" s="27">
        <v>0</v>
      </c>
      <c r="AC240" s="27">
        <v>0</v>
      </c>
      <c r="AD240" s="27">
        <v>10000</v>
      </c>
      <c r="AE240" s="26">
        <v>10000</v>
      </c>
      <c r="AF240" s="32">
        <v>0</v>
      </c>
      <c r="AG240" s="27">
        <v>0</v>
      </c>
      <c r="AH240" s="27">
        <v>0</v>
      </c>
      <c r="AI240" s="27">
        <v>0</v>
      </c>
      <c r="AJ240" s="27">
        <v>10000</v>
      </c>
      <c r="AK240" s="26">
        <v>10000</v>
      </c>
      <c r="AL240" s="28">
        <v>32000</v>
      </c>
      <c r="AM240" s="54"/>
      <c r="AN240" s="13">
        <v>0</v>
      </c>
      <c r="AO240" s="13">
        <v>0</v>
      </c>
    </row>
    <row r="241" spans="1:41" s="29" customFormat="1" ht="17" thickBot="1">
      <c r="A241" s="116"/>
      <c r="B241" s="33" t="s">
        <v>67</v>
      </c>
      <c r="C241" s="34">
        <v>16</v>
      </c>
      <c r="D241" s="35">
        <v>1034</v>
      </c>
      <c r="E241" s="21"/>
      <c r="F241" s="21">
        <v>0</v>
      </c>
      <c r="G241" s="21">
        <v>0</v>
      </c>
      <c r="H241" s="21">
        <v>0</v>
      </c>
      <c r="I241" s="20">
        <v>0</v>
      </c>
      <c r="J241" s="21">
        <v>0</v>
      </c>
      <c r="K241" s="21">
        <v>0</v>
      </c>
      <c r="L241" s="21">
        <v>0</v>
      </c>
      <c r="M241" s="21">
        <v>0</v>
      </c>
      <c r="N241" s="20">
        <v>0</v>
      </c>
      <c r="O241" s="21">
        <v>0</v>
      </c>
      <c r="P241" s="21">
        <v>0</v>
      </c>
      <c r="Q241" s="21">
        <v>-8000</v>
      </c>
      <c r="R241" s="21">
        <v>-8000</v>
      </c>
      <c r="S241" s="21">
        <v>2000</v>
      </c>
      <c r="T241" s="20">
        <v>2000</v>
      </c>
      <c r="U241" s="22">
        <v>2000</v>
      </c>
      <c r="V241" s="21">
        <v>-6109</v>
      </c>
      <c r="W241" s="21">
        <v>-6111</v>
      </c>
      <c r="X241" s="21">
        <v>-6590</v>
      </c>
      <c r="Y241" s="21">
        <v>2572</v>
      </c>
      <c r="Z241" s="20">
        <v>2572</v>
      </c>
      <c r="AA241" s="21">
        <v>-2841</v>
      </c>
      <c r="AB241" s="21">
        <v>-3201</v>
      </c>
      <c r="AC241" s="21">
        <v>-4112</v>
      </c>
      <c r="AD241" s="21">
        <v>485</v>
      </c>
      <c r="AE241" s="20">
        <v>485</v>
      </c>
      <c r="AF241" s="21">
        <v>403</v>
      </c>
      <c r="AG241" s="21">
        <v>-4743</v>
      </c>
      <c r="AH241" s="21">
        <v>-4848</v>
      </c>
      <c r="AI241" s="21">
        <v>-4953</v>
      </c>
      <c r="AJ241" s="21">
        <v>4967</v>
      </c>
      <c r="AK241" s="20">
        <v>4967</v>
      </c>
      <c r="AL241" s="22">
        <v>6967</v>
      </c>
      <c r="AM241" s="54"/>
      <c r="AN241" s="13">
        <v>0</v>
      </c>
      <c r="AO241" s="13">
        <v>0</v>
      </c>
    </row>
    <row r="242" spans="1:41" s="29" customFormat="1" ht="17" thickBot="1">
      <c r="A242" s="36"/>
      <c r="B242" s="31" t="s">
        <v>68</v>
      </c>
      <c r="C242" s="26"/>
      <c r="D242" s="26"/>
      <c r="E242" s="19"/>
      <c r="F242" s="19"/>
      <c r="G242" s="19"/>
      <c r="H242" s="19"/>
      <c r="I242" s="23"/>
      <c r="J242" s="19"/>
      <c r="K242" s="19"/>
      <c r="L242" s="19"/>
      <c r="M242" s="19"/>
      <c r="N242" s="23"/>
      <c r="O242" s="19"/>
      <c r="P242" s="19"/>
      <c r="Q242" s="19"/>
      <c r="R242" s="19"/>
      <c r="S242" s="19"/>
      <c r="T242" s="23"/>
      <c r="U242" s="24"/>
      <c r="V242" s="19"/>
      <c r="W242" s="19"/>
      <c r="X242" s="19"/>
      <c r="Y242" s="19"/>
      <c r="Z242" s="23"/>
      <c r="AA242" s="19"/>
      <c r="AB242" s="19"/>
      <c r="AC242" s="19"/>
      <c r="AD242" s="19"/>
      <c r="AE242" s="23"/>
      <c r="AF242" s="19"/>
      <c r="AG242" s="19"/>
      <c r="AH242" s="19"/>
      <c r="AI242" s="19"/>
      <c r="AJ242" s="19"/>
      <c r="AK242" s="23"/>
      <c r="AL242" s="24"/>
      <c r="AM242" s="54"/>
      <c r="AN242" s="13">
        <v>0</v>
      </c>
      <c r="AO242" s="13">
        <v>0</v>
      </c>
    </row>
    <row r="243" spans="1:41" s="29" customFormat="1">
      <c r="A243" s="120" t="s">
        <v>108</v>
      </c>
      <c r="B243" s="25" t="s">
        <v>64</v>
      </c>
      <c r="C243" s="26"/>
      <c r="D243" s="26"/>
      <c r="E243" s="27"/>
      <c r="F243" s="27">
        <v>0</v>
      </c>
      <c r="G243" s="27">
        <v>0</v>
      </c>
      <c r="H243" s="27">
        <v>0</v>
      </c>
      <c r="I243" s="26">
        <v>0</v>
      </c>
      <c r="J243" s="27">
        <v>0</v>
      </c>
      <c r="K243" s="27">
        <v>0</v>
      </c>
      <c r="L243" s="27">
        <v>0</v>
      </c>
      <c r="M243" s="27">
        <v>0</v>
      </c>
      <c r="N243" s="26">
        <v>0</v>
      </c>
      <c r="O243" s="27">
        <v>0</v>
      </c>
      <c r="P243" s="27">
        <v>0</v>
      </c>
      <c r="Q243" s="27">
        <v>0</v>
      </c>
      <c r="R243" s="27">
        <v>0</v>
      </c>
      <c r="S243" s="27">
        <v>0</v>
      </c>
      <c r="T243" s="26">
        <v>0</v>
      </c>
      <c r="U243" s="28">
        <v>0</v>
      </c>
      <c r="V243" s="27">
        <v>1477</v>
      </c>
      <c r="W243" s="27">
        <v>0</v>
      </c>
      <c r="X243" s="27">
        <v>0</v>
      </c>
      <c r="Y243" s="27">
        <v>0</v>
      </c>
      <c r="Z243" s="26">
        <v>1477</v>
      </c>
      <c r="AA243" s="27">
        <v>35446</v>
      </c>
      <c r="AB243" s="27">
        <v>0</v>
      </c>
      <c r="AC243" s="27">
        <v>0</v>
      </c>
      <c r="AD243" s="27">
        <v>0</v>
      </c>
      <c r="AE243" s="26">
        <v>35446</v>
      </c>
      <c r="AF243" s="27">
        <v>23814</v>
      </c>
      <c r="AG243" s="27">
        <v>3</v>
      </c>
      <c r="AH243" s="27">
        <v>3</v>
      </c>
      <c r="AI243" s="27">
        <v>3</v>
      </c>
      <c r="AJ243" s="27">
        <v>0</v>
      </c>
      <c r="AK243" s="26">
        <v>23823</v>
      </c>
      <c r="AL243" s="28">
        <v>60746</v>
      </c>
      <c r="AM243" s="54">
        <v>32</v>
      </c>
      <c r="AN243" s="13">
        <v>0</v>
      </c>
      <c r="AO243" s="13">
        <v>1943872</v>
      </c>
    </row>
    <row r="244" spans="1:41" s="29" customFormat="1">
      <c r="A244" s="121"/>
      <c r="B244" s="31" t="s">
        <v>65</v>
      </c>
      <c r="C244" s="26"/>
      <c r="D244" s="26"/>
      <c r="E244" s="27"/>
      <c r="F244" s="27">
        <v>0</v>
      </c>
      <c r="G244" s="27">
        <v>0</v>
      </c>
      <c r="H244" s="27">
        <v>0</v>
      </c>
      <c r="I244" s="26">
        <v>0</v>
      </c>
      <c r="J244" s="27">
        <v>0</v>
      </c>
      <c r="K244" s="27">
        <v>0</v>
      </c>
      <c r="L244" s="27">
        <v>0</v>
      </c>
      <c r="M244" s="27">
        <v>0</v>
      </c>
      <c r="N244" s="26">
        <v>0</v>
      </c>
      <c r="O244" s="27">
        <v>0</v>
      </c>
      <c r="P244" s="27">
        <v>0</v>
      </c>
      <c r="Q244" s="27">
        <v>0</v>
      </c>
      <c r="R244" s="27">
        <v>0</v>
      </c>
      <c r="S244" s="27">
        <v>0</v>
      </c>
      <c r="T244" s="26">
        <v>0</v>
      </c>
      <c r="U244" s="28">
        <v>0</v>
      </c>
      <c r="V244" s="27">
        <v>1500</v>
      </c>
      <c r="W244" s="27">
        <v>0</v>
      </c>
      <c r="X244" s="27">
        <v>0</v>
      </c>
      <c r="Y244" s="27">
        <v>0</v>
      </c>
      <c r="Z244" s="26">
        <v>1500</v>
      </c>
      <c r="AA244" s="27">
        <v>60000</v>
      </c>
      <c r="AB244" s="27">
        <v>0</v>
      </c>
      <c r="AC244" s="27">
        <v>0</v>
      </c>
      <c r="AD244" s="27">
        <v>0</v>
      </c>
      <c r="AE244" s="26">
        <v>60000</v>
      </c>
      <c r="AF244" s="27">
        <v>0</v>
      </c>
      <c r="AG244" s="27">
        <v>0</v>
      </c>
      <c r="AH244" s="27">
        <v>0</v>
      </c>
      <c r="AI244" s="27">
        <v>0</v>
      </c>
      <c r="AJ244" s="27">
        <v>0</v>
      </c>
      <c r="AK244" s="26">
        <v>0</v>
      </c>
      <c r="AL244" s="28">
        <v>0</v>
      </c>
      <c r="AM244" s="54"/>
      <c r="AN244" s="13">
        <v>0</v>
      </c>
      <c r="AO244" s="13">
        <v>0</v>
      </c>
    </row>
    <row r="245" spans="1:41" s="29" customFormat="1">
      <c r="A245" s="121"/>
      <c r="B245" s="31" t="s">
        <v>66</v>
      </c>
      <c r="C245" s="26">
        <v>0</v>
      </c>
      <c r="D245" s="26">
        <v>0</v>
      </c>
      <c r="E245" s="27"/>
      <c r="F245" s="27">
        <v>0</v>
      </c>
      <c r="G245" s="27">
        <v>0</v>
      </c>
      <c r="H245" s="27">
        <v>0</v>
      </c>
      <c r="I245" s="26">
        <v>0</v>
      </c>
      <c r="J245" s="27">
        <v>0</v>
      </c>
      <c r="K245" s="27">
        <v>0</v>
      </c>
      <c r="L245" s="27">
        <v>0</v>
      </c>
      <c r="M245" s="27">
        <v>0</v>
      </c>
      <c r="N245" s="26">
        <v>0</v>
      </c>
      <c r="O245" s="27">
        <v>0</v>
      </c>
      <c r="P245" s="27">
        <v>0</v>
      </c>
      <c r="Q245" s="27">
        <v>0</v>
      </c>
      <c r="R245" s="27">
        <v>0</v>
      </c>
      <c r="S245" s="27">
        <v>0</v>
      </c>
      <c r="T245" s="26">
        <v>0</v>
      </c>
      <c r="U245" s="28">
        <v>0</v>
      </c>
      <c r="V245" s="27">
        <v>0</v>
      </c>
      <c r="W245" s="27">
        <v>0</v>
      </c>
      <c r="X245" s="27">
        <v>0</v>
      </c>
      <c r="Y245" s="27">
        <v>0</v>
      </c>
      <c r="Z245" s="26">
        <v>0</v>
      </c>
      <c r="AA245" s="27">
        <v>0</v>
      </c>
      <c r="AB245" s="27">
        <v>0</v>
      </c>
      <c r="AC245" s="27">
        <v>0</v>
      </c>
      <c r="AD245" s="27">
        <v>0</v>
      </c>
      <c r="AE245" s="26">
        <v>0</v>
      </c>
      <c r="AF245" s="27">
        <v>0</v>
      </c>
      <c r="AG245" s="27">
        <v>0</v>
      </c>
      <c r="AH245" s="27">
        <v>0</v>
      </c>
      <c r="AI245" s="27">
        <v>0</v>
      </c>
      <c r="AJ245" s="27">
        <v>0</v>
      </c>
      <c r="AK245" s="26">
        <v>0</v>
      </c>
      <c r="AL245" s="28">
        <v>0</v>
      </c>
      <c r="AM245" s="54"/>
      <c r="AN245" s="13">
        <v>0</v>
      </c>
      <c r="AO245" s="13">
        <v>0</v>
      </c>
    </row>
    <row r="246" spans="1:41" s="29" customFormat="1">
      <c r="A246" s="121"/>
      <c r="B246" s="31" t="s">
        <v>7</v>
      </c>
      <c r="C246" s="26"/>
      <c r="D246" s="26"/>
      <c r="E246" s="32"/>
      <c r="F246" s="27">
        <v>0</v>
      </c>
      <c r="G246" s="27">
        <v>0</v>
      </c>
      <c r="H246" s="27">
        <v>0</v>
      </c>
      <c r="I246" s="26">
        <v>0</v>
      </c>
      <c r="J246" s="32">
        <v>0</v>
      </c>
      <c r="K246" s="27">
        <v>0</v>
      </c>
      <c r="L246" s="27">
        <v>0</v>
      </c>
      <c r="M246" s="27">
        <v>0</v>
      </c>
      <c r="N246" s="26">
        <v>0</v>
      </c>
      <c r="O246" s="32">
        <v>0</v>
      </c>
      <c r="P246" s="27">
        <v>0</v>
      </c>
      <c r="Q246" s="27">
        <v>0</v>
      </c>
      <c r="R246" s="27">
        <v>0</v>
      </c>
      <c r="S246" s="27">
        <v>0</v>
      </c>
      <c r="T246" s="26">
        <v>0</v>
      </c>
      <c r="U246" s="28">
        <v>0</v>
      </c>
      <c r="V246" s="32">
        <v>1500</v>
      </c>
      <c r="W246" s="27">
        <v>0</v>
      </c>
      <c r="X246" s="27">
        <v>0</v>
      </c>
      <c r="Y246" s="27">
        <v>0</v>
      </c>
      <c r="Z246" s="26">
        <v>1500</v>
      </c>
      <c r="AA246" s="32">
        <v>60000</v>
      </c>
      <c r="AB246" s="27">
        <v>0</v>
      </c>
      <c r="AC246" s="27">
        <v>0</v>
      </c>
      <c r="AD246" s="27">
        <v>0</v>
      </c>
      <c r="AE246" s="26">
        <v>60000</v>
      </c>
      <c r="AF246" s="32">
        <v>0</v>
      </c>
      <c r="AG246" s="27">
        <v>0</v>
      </c>
      <c r="AH246" s="27">
        <v>0</v>
      </c>
      <c r="AI246" s="27">
        <v>0</v>
      </c>
      <c r="AJ246" s="27">
        <v>0</v>
      </c>
      <c r="AK246" s="26">
        <v>0</v>
      </c>
      <c r="AL246" s="28">
        <v>61500</v>
      </c>
      <c r="AM246" s="54"/>
      <c r="AN246" s="13">
        <v>0</v>
      </c>
      <c r="AO246" s="13">
        <v>0</v>
      </c>
    </row>
    <row r="247" spans="1:41" s="29" customFormat="1" ht="17" thickBot="1">
      <c r="A247" s="122"/>
      <c r="B247" s="33" t="s">
        <v>67</v>
      </c>
      <c r="C247" s="34">
        <v>0</v>
      </c>
      <c r="D247" s="35">
        <v>0</v>
      </c>
      <c r="E247" s="21"/>
      <c r="F247" s="21">
        <v>0</v>
      </c>
      <c r="G247" s="21">
        <v>0</v>
      </c>
      <c r="H247" s="21">
        <v>0</v>
      </c>
      <c r="I247" s="20">
        <v>0</v>
      </c>
      <c r="J247" s="21">
        <v>0</v>
      </c>
      <c r="K247" s="21">
        <v>0</v>
      </c>
      <c r="L247" s="21">
        <v>0</v>
      </c>
      <c r="M247" s="21">
        <v>0</v>
      </c>
      <c r="N247" s="20">
        <v>0</v>
      </c>
      <c r="O247" s="21">
        <v>0</v>
      </c>
      <c r="P247" s="21">
        <v>0</v>
      </c>
      <c r="Q247" s="21">
        <v>0</v>
      </c>
      <c r="R247" s="21">
        <v>0</v>
      </c>
      <c r="S247" s="21">
        <v>0</v>
      </c>
      <c r="T247" s="20">
        <v>0</v>
      </c>
      <c r="U247" s="22">
        <v>0</v>
      </c>
      <c r="V247" s="21">
        <v>23</v>
      </c>
      <c r="W247" s="21">
        <v>23</v>
      </c>
      <c r="X247" s="21">
        <v>23</v>
      </c>
      <c r="Y247" s="21">
        <v>23</v>
      </c>
      <c r="Z247" s="20">
        <v>23</v>
      </c>
      <c r="AA247" s="21">
        <v>24577</v>
      </c>
      <c r="AB247" s="21">
        <v>24577</v>
      </c>
      <c r="AC247" s="21">
        <v>24577</v>
      </c>
      <c r="AD247" s="21">
        <v>24577</v>
      </c>
      <c r="AE247" s="20">
        <v>24577</v>
      </c>
      <c r="AF247" s="21">
        <v>763</v>
      </c>
      <c r="AG247" s="21">
        <v>760</v>
      </c>
      <c r="AH247" s="21">
        <v>757</v>
      </c>
      <c r="AI247" s="21">
        <v>754</v>
      </c>
      <c r="AJ247" s="21">
        <v>754</v>
      </c>
      <c r="AK247" s="20">
        <v>754</v>
      </c>
      <c r="AL247" s="22">
        <v>754</v>
      </c>
      <c r="AM247" s="54"/>
      <c r="AN247" s="13">
        <v>0</v>
      </c>
      <c r="AO247" s="13">
        <v>0</v>
      </c>
    </row>
    <row r="248" spans="1:41" s="29" customFormat="1" ht="17" thickBot="1">
      <c r="A248" s="36"/>
      <c r="B248" s="31" t="s">
        <v>68</v>
      </c>
      <c r="C248" s="26"/>
      <c r="D248" s="26"/>
      <c r="E248" s="19"/>
      <c r="F248" s="19"/>
      <c r="G248" s="19"/>
      <c r="H248" s="19"/>
      <c r="I248" s="23"/>
      <c r="J248" s="19"/>
      <c r="K248" s="19"/>
      <c r="L248" s="19"/>
      <c r="M248" s="19"/>
      <c r="N248" s="23"/>
      <c r="O248" s="19"/>
      <c r="P248" s="19"/>
      <c r="Q248" s="19"/>
      <c r="R248" s="19"/>
      <c r="S248" s="19"/>
      <c r="T248" s="23"/>
      <c r="U248" s="61"/>
      <c r="V248" s="19"/>
      <c r="W248" s="19"/>
      <c r="X248" s="19"/>
      <c r="Y248" s="19"/>
      <c r="Z248" s="23"/>
      <c r="AA248" s="19"/>
      <c r="AB248" s="19"/>
      <c r="AC248" s="19"/>
      <c r="AD248" s="19"/>
      <c r="AE248" s="23"/>
      <c r="AF248" s="19"/>
      <c r="AG248" s="19"/>
      <c r="AH248" s="19"/>
      <c r="AI248" s="19"/>
      <c r="AJ248" s="19"/>
      <c r="AK248" s="23"/>
      <c r="AL248" s="24"/>
      <c r="AM248" s="54"/>
      <c r="AN248" s="13">
        <v>0</v>
      </c>
      <c r="AO248" s="13">
        <v>0</v>
      </c>
    </row>
    <row r="249" spans="1:41" s="29" customFormat="1">
      <c r="A249" s="120" t="s">
        <v>109</v>
      </c>
      <c r="B249" s="25" t="s">
        <v>64</v>
      </c>
      <c r="C249" s="26"/>
      <c r="D249" s="26"/>
      <c r="E249" s="27"/>
      <c r="F249" s="27">
        <v>0</v>
      </c>
      <c r="G249" s="27">
        <v>0</v>
      </c>
      <c r="H249" s="27">
        <v>0</v>
      </c>
      <c r="I249" s="26">
        <v>0</v>
      </c>
      <c r="J249" s="27">
        <v>0</v>
      </c>
      <c r="K249" s="27">
        <v>0</v>
      </c>
      <c r="L249" s="27">
        <v>0</v>
      </c>
      <c r="M249" s="27">
        <v>0</v>
      </c>
      <c r="N249" s="26">
        <v>0</v>
      </c>
      <c r="O249" s="27">
        <v>0</v>
      </c>
      <c r="P249" s="27">
        <v>0</v>
      </c>
      <c r="Q249" s="27">
        <v>0</v>
      </c>
      <c r="R249" s="27">
        <v>0</v>
      </c>
      <c r="S249" s="27">
        <v>0</v>
      </c>
      <c r="T249" s="93">
        <v>0</v>
      </c>
      <c r="U249" s="96">
        <v>0</v>
      </c>
      <c r="V249" s="27">
        <v>0</v>
      </c>
      <c r="W249" s="27">
        <v>0</v>
      </c>
      <c r="X249" s="27">
        <v>0</v>
      </c>
      <c r="Y249" s="27">
        <v>0</v>
      </c>
      <c r="Z249" s="26">
        <v>0</v>
      </c>
      <c r="AA249" s="27">
        <v>3199</v>
      </c>
      <c r="AB249" s="27">
        <v>0</v>
      </c>
      <c r="AC249" s="27">
        <v>0</v>
      </c>
      <c r="AD249" s="27">
        <v>0</v>
      </c>
      <c r="AE249" s="26">
        <v>3199</v>
      </c>
      <c r="AF249" s="27">
        <v>1900</v>
      </c>
      <c r="AG249" s="27">
        <v>0</v>
      </c>
      <c r="AH249" s="27">
        <v>0</v>
      </c>
      <c r="AI249" s="27">
        <v>0</v>
      </c>
      <c r="AJ249" s="27">
        <v>0</v>
      </c>
      <c r="AK249" s="26">
        <v>1900</v>
      </c>
      <c r="AL249" s="28">
        <v>5099</v>
      </c>
      <c r="AM249" s="54">
        <v>64</v>
      </c>
      <c r="AN249" s="13">
        <v>0</v>
      </c>
      <c r="AO249" s="13">
        <v>326336</v>
      </c>
    </row>
    <row r="250" spans="1:41" s="29" customFormat="1" ht="14">
      <c r="A250" s="121"/>
      <c r="B250" s="31" t="s">
        <v>65</v>
      </c>
      <c r="C250" s="26"/>
      <c r="D250" s="26"/>
      <c r="E250" s="27"/>
      <c r="F250" s="27">
        <v>0</v>
      </c>
      <c r="G250" s="27">
        <v>0</v>
      </c>
      <c r="H250" s="27">
        <v>0</v>
      </c>
      <c r="I250" s="26">
        <v>0</v>
      </c>
      <c r="J250" s="27">
        <v>0</v>
      </c>
      <c r="K250" s="27">
        <v>0</v>
      </c>
      <c r="L250" s="27">
        <v>0</v>
      </c>
      <c r="M250" s="27">
        <v>0</v>
      </c>
      <c r="N250" s="26">
        <v>0</v>
      </c>
      <c r="O250" s="27">
        <v>0</v>
      </c>
      <c r="P250" s="27">
        <v>0</v>
      </c>
      <c r="Q250" s="27">
        <v>0</v>
      </c>
      <c r="R250" s="27">
        <v>0</v>
      </c>
      <c r="S250" s="27">
        <v>0</v>
      </c>
      <c r="T250" s="93">
        <v>0</v>
      </c>
      <c r="U250" s="28">
        <v>0</v>
      </c>
      <c r="V250" s="27">
        <v>0</v>
      </c>
      <c r="W250" s="27">
        <v>0</v>
      </c>
      <c r="X250" s="27">
        <v>0</v>
      </c>
      <c r="Y250" s="27">
        <v>0</v>
      </c>
      <c r="Z250" s="26">
        <v>0</v>
      </c>
      <c r="AA250" s="27">
        <v>4000</v>
      </c>
      <c r="AB250" s="27">
        <v>0</v>
      </c>
      <c r="AC250" s="27">
        <v>0</v>
      </c>
      <c r="AD250" s="27">
        <v>0</v>
      </c>
      <c r="AE250" s="26">
        <v>4000</v>
      </c>
      <c r="AF250" s="27">
        <v>0</v>
      </c>
      <c r="AG250" s="27">
        <v>0</v>
      </c>
      <c r="AH250" s="27">
        <v>0</v>
      </c>
      <c r="AI250" s="27">
        <v>0</v>
      </c>
      <c r="AJ250" s="27">
        <v>0</v>
      </c>
      <c r="AK250" s="26">
        <v>0</v>
      </c>
      <c r="AL250" s="28">
        <v>0</v>
      </c>
      <c r="AM250" s="54"/>
      <c r="AN250" s="30"/>
      <c r="AO250" s="30"/>
    </row>
    <row r="251" spans="1:41" s="29" customFormat="1" ht="14">
      <c r="A251" s="121"/>
      <c r="B251" s="31" t="s">
        <v>66</v>
      </c>
      <c r="C251" s="26">
        <v>0</v>
      </c>
      <c r="D251" s="26">
        <v>0</v>
      </c>
      <c r="E251" s="27"/>
      <c r="F251" s="27">
        <v>0</v>
      </c>
      <c r="G251" s="27">
        <v>0</v>
      </c>
      <c r="H251" s="27">
        <v>0</v>
      </c>
      <c r="I251" s="26">
        <v>0</v>
      </c>
      <c r="J251" s="27">
        <v>0</v>
      </c>
      <c r="K251" s="27">
        <v>0</v>
      </c>
      <c r="L251" s="27">
        <v>0</v>
      </c>
      <c r="M251" s="27">
        <v>0</v>
      </c>
      <c r="N251" s="26">
        <v>0</v>
      </c>
      <c r="O251" s="27">
        <v>0</v>
      </c>
      <c r="P251" s="27">
        <v>0</v>
      </c>
      <c r="Q251" s="27">
        <v>0</v>
      </c>
      <c r="R251" s="27">
        <v>0</v>
      </c>
      <c r="S251" s="27">
        <v>0</v>
      </c>
      <c r="T251" s="93">
        <v>0</v>
      </c>
      <c r="U251" s="28">
        <v>0</v>
      </c>
      <c r="V251" s="27">
        <v>0</v>
      </c>
      <c r="W251" s="27">
        <v>0</v>
      </c>
      <c r="X251" s="27">
        <v>0</v>
      </c>
      <c r="Y251" s="27">
        <v>0</v>
      </c>
      <c r="Z251" s="26">
        <v>0</v>
      </c>
      <c r="AA251" s="27">
        <v>0</v>
      </c>
      <c r="AB251" s="27">
        <v>0</v>
      </c>
      <c r="AC251" s="27">
        <v>0</v>
      </c>
      <c r="AD251" s="27">
        <v>0</v>
      </c>
      <c r="AE251" s="26">
        <v>0</v>
      </c>
      <c r="AF251" s="27">
        <v>0</v>
      </c>
      <c r="AG251" s="27">
        <v>0</v>
      </c>
      <c r="AH251" s="27">
        <v>0</v>
      </c>
      <c r="AI251" s="27">
        <v>0</v>
      </c>
      <c r="AJ251" s="27">
        <v>0</v>
      </c>
      <c r="AK251" s="26">
        <v>0</v>
      </c>
      <c r="AL251" s="28">
        <v>0</v>
      </c>
      <c r="AM251" s="54"/>
      <c r="AN251" s="30"/>
      <c r="AO251" s="30"/>
    </row>
    <row r="252" spans="1:41" s="29" customFormat="1" ht="14">
      <c r="A252" s="121"/>
      <c r="B252" s="31" t="s">
        <v>7</v>
      </c>
      <c r="C252" s="26"/>
      <c r="D252" s="26"/>
      <c r="E252" s="32"/>
      <c r="F252" s="27">
        <v>0</v>
      </c>
      <c r="G252" s="27">
        <v>0</v>
      </c>
      <c r="H252" s="27">
        <v>0</v>
      </c>
      <c r="I252" s="26">
        <v>0</v>
      </c>
      <c r="J252" s="32">
        <v>0</v>
      </c>
      <c r="K252" s="27">
        <v>0</v>
      </c>
      <c r="L252" s="27">
        <v>0</v>
      </c>
      <c r="M252" s="27">
        <v>0</v>
      </c>
      <c r="N252" s="26">
        <v>0</v>
      </c>
      <c r="O252" s="32">
        <v>0</v>
      </c>
      <c r="P252" s="27">
        <v>0</v>
      </c>
      <c r="Q252" s="27">
        <v>0</v>
      </c>
      <c r="R252" s="27">
        <v>0</v>
      </c>
      <c r="S252" s="27">
        <v>0</v>
      </c>
      <c r="T252" s="93">
        <v>0</v>
      </c>
      <c r="U252" s="28">
        <v>0</v>
      </c>
      <c r="V252" s="32">
        <v>0</v>
      </c>
      <c r="W252" s="27">
        <v>0</v>
      </c>
      <c r="X252" s="27">
        <v>0</v>
      </c>
      <c r="Y252" s="27">
        <v>0</v>
      </c>
      <c r="Z252" s="26">
        <v>0</v>
      </c>
      <c r="AA252" s="32">
        <v>4000</v>
      </c>
      <c r="AB252" s="27">
        <v>0</v>
      </c>
      <c r="AC252" s="27">
        <v>0</v>
      </c>
      <c r="AD252" s="27">
        <v>0</v>
      </c>
      <c r="AE252" s="26">
        <v>4000</v>
      </c>
      <c r="AF252" s="32">
        <v>0</v>
      </c>
      <c r="AG252" s="27">
        <v>0</v>
      </c>
      <c r="AH252" s="27">
        <v>0</v>
      </c>
      <c r="AI252" s="27">
        <v>0</v>
      </c>
      <c r="AJ252" s="27">
        <v>0</v>
      </c>
      <c r="AK252" s="26">
        <v>0</v>
      </c>
      <c r="AL252" s="28">
        <v>4000</v>
      </c>
      <c r="AM252" s="54"/>
      <c r="AN252" s="30"/>
      <c r="AO252" s="30"/>
    </row>
    <row r="253" spans="1:41" s="29" customFormat="1" ht="15" thickBot="1">
      <c r="A253" s="122"/>
      <c r="B253" s="33" t="s">
        <v>67</v>
      </c>
      <c r="C253" s="34">
        <v>0</v>
      </c>
      <c r="D253" s="35">
        <v>0</v>
      </c>
      <c r="E253" s="21"/>
      <c r="F253" s="21">
        <v>0</v>
      </c>
      <c r="G253" s="21">
        <v>0</v>
      </c>
      <c r="H253" s="21">
        <v>0</v>
      </c>
      <c r="I253" s="20">
        <v>0</v>
      </c>
      <c r="J253" s="21">
        <v>0</v>
      </c>
      <c r="K253" s="21">
        <v>0</v>
      </c>
      <c r="L253" s="21">
        <v>0</v>
      </c>
      <c r="M253" s="21">
        <v>0</v>
      </c>
      <c r="N253" s="20">
        <v>0</v>
      </c>
      <c r="O253" s="21">
        <v>0</v>
      </c>
      <c r="P253" s="21">
        <v>0</v>
      </c>
      <c r="Q253" s="21">
        <v>0</v>
      </c>
      <c r="R253" s="21">
        <v>0</v>
      </c>
      <c r="S253" s="21">
        <v>0</v>
      </c>
      <c r="T253" s="94">
        <v>0</v>
      </c>
      <c r="U253" s="22">
        <v>0</v>
      </c>
      <c r="V253" s="21">
        <v>0</v>
      </c>
      <c r="W253" s="21">
        <v>0</v>
      </c>
      <c r="X253" s="21">
        <v>0</v>
      </c>
      <c r="Y253" s="21">
        <v>0</v>
      </c>
      <c r="Z253" s="20">
        <v>0</v>
      </c>
      <c r="AA253" s="21">
        <v>801</v>
      </c>
      <c r="AB253" s="21">
        <v>801</v>
      </c>
      <c r="AC253" s="21">
        <v>801</v>
      </c>
      <c r="AD253" s="21">
        <v>801</v>
      </c>
      <c r="AE253" s="20">
        <v>801</v>
      </c>
      <c r="AF253" s="21">
        <v>-1099</v>
      </c>
      <c r="AG253" s="21">
        <v>-1099</v>
      </c>
      <c r="AH253" s="21">
        <v>-1099</v>
      </c>
      <c r="AI253" s="21">
        <v>-1099</v>
      </c>
      <c r="AJ253" s="21">
        <v>-1099</v>
      </c>
      <c r="AK253" s="20">
        <v>-1099</v>
      </c>
      <c r="AL253" s="22">
        <v>-1099</v>
      </c>
      <c r="AM253" s="54"/>
      <c r="AN253" s="30"/>
      <c r="AO253" s="30"/>
    </row>
    <row r="254" spans="1:41" s="29" customFormat="1" ht="17" thickBot="1">
      <c r="A254" s="36"/>
      <c r="B254" s="31" t="s">
        <v>68</v>
      </c>
      <c r="C254" s="26"/>
      <c r="D254" s="26"/>
      <c r="E254" s="19">
        <v>0</v>
      </c>
      <c r="F254" s="19"/>
      <c r="G254" s="19"/>
      <c r="H254" s="19"/>
      <c r="I254" s="23"/>
      <c r="J254" s="19"/>
      <c r="K254" s="19"/>
      <c r="L254" s="19"/>
      <c r="M254" s="19"/>
      <c r="N254" s="23"/>
      <c r="O254" s="19"/>
      <c r="P254" s="19"/>
      <c r="Q254" s="19"/>
      <c r="R254" s="19"/>
      <c r="S254" s="19"/>
      <c r="T254" s="95"/>
      <c r="U254" s="97"/>
      <c r="V254" s="19"/>
      <c r="W254" s="19"/>
      <c r="X254" s="19"/>
      <c r="Y254" s="19"/>
      <c r="Z254" s="23"/>
      <c r="AA254" s="19"/>
      <c r="AB254" s="19"/>
      <c r="AC254" s="19"/>
      <c r="AD254" s="19"/>
      <c r="AE254" s="23"/>
      <c r="AF254" s="19"/>
      <c r="AG254" s="19"/>
      <c r="AH254" s="19"/>
      <c r="AI254" s="19"/>
      <c r="AJ254" s="19"/>
      <c r="AK254" s="23"/>
      <c r="AL254" s="61"/>
      <c r="AM254" s="54"/>
      <c r="AN254" s="30"/>
      <c r="AO254" s="30"/>
    </row>
    <row r="255" spans="1:41" s="48" customFormat="1">
      <c r="A255" s="111" t="s">
        <v>24</v>
      </c>
      <c r="B255" s="98" t="s">
        <v>64</v>
      </c>
      <c r="C255" s="7"/>
      <c r="D255" s="7"/>
      <c r="E255" s="71"/>
      <c r="F255" s="63">
        <v>4808861</v>
      </c>
      <c r="G255" s="63">
        <v>3246211</v>
      </c>
      <c r="H255" s="78">
        <v>151525</v>
      </c>
      <c r="I255" s="88">
        <v>8206597</v>
      </c>
      <c r="J255" s="63">
        <v>1024058</v>
      </c>
      <c r="K255" s="63">
        <v>1768267</v>
      </c>
      <c r="L255" s="78">
        <v>1506065</v>
      </c>
      <c r="M255" s="78">
        <v>121454</v>
      </c>
      <c r="N255" s="88">
        <v>4419844</v>
      </c>
      <c r="O255" s="78">
        <v>4734488</v>
      </c>
      <c r="P255" s="78">
        <v>770651</v>
      </c>
      <c r="Q255" s="78">
        <v>1916645</v>
      </c>
      <c r="R255" s="78">
        <v>1163519</v>
      </c>
      <c r="S255" s="78">
        <v>144100</v>
      </c>
      <c r="T255" s="85">
        <v>8729403</v>
      </c>
      <c r="U255" s="67">
        <v>29078306</v>
      </c>
      <c r="V255" s="71">
        <v>2308601</v>
      </c>
      <c r="W255" s="63">
        <v>181200</v>
      </c>
      <c r="X255" s="63">
        <v>259361</v>
      </c>
      <c r="Y255" s="78">
        <v>14701</v>
      </c>
      <c r="Z255" s="88">
        <v>2763863</v>
      </c>
      <c r="AA255" s="71">
        <v>2488085</v>
      </c>
      <c r="AB255" s="63">
        <v>466354</v>
      </c>
      <c r="AC255" s="63">
        <v>430324</v>
      </c>
      <c r="AD255" s="78">
        <v>37993</v>
      </c>
      <c r="AE255" s="88">
        <v>3422756</v>
      </c>
      <c r="AF255" s="71">
        <v>308607</v>
      </c>
      <c r="AG255" s="63">
        <v>63649</v>
      </c>
      <c r="AH255" s="63">
        <v>55112</v>
      </c>
      <c r="AI255" s="63">
        <v>3004</v>
      </c>
      <c r="AJ255" s="78">
        <v>234</v>
      </c>
      <c r="AK255" s="85">
        <v>430606</v>
      </c>
      <c r="AL255" s="67">
        <v>6617225</v>
      </c>
      <c r="AM255" s="56"/>
      <c r="AN255" s="13"/>
      <c r="AO255" s="13"/>
    </row>
    <row r="256" spans="1:41" s="48" customFormat="1">
      <c r="A256" s="112"/>
      <c r="B256" s="99" t="s">
        <v>65</v>
      </c>
      <c r="C256" s="8"/>
      <c r="D256" s="8"/>
      <c r="E256" s="72"/>
      <c r="F256" s="9">
        <v>4808861</v>
      </c>
      <c r="G256" s="9">
        <v>3246211</v>
      </c>
      <c r="H256" s="79">
        <v>151525</v>
      </c>
      <c r="I256" s="89">
        <v>8206597</v>
      </c>
      <c r="J256" s="9">
        <v>1024058</v>
      </c>
      <c r="K256" s="9">
        <v>1768267</v>
      </c>
      <c r="L256" s="79">
        <v>1308408</v>
      </c>
      <c r="M256" s="79">
        <v>310020</v>
      </c>
      <c r="N256" s="89">
        <v>4410753</v>
      </c>
      <c r="O256" s="79">
        <v>5718000</v>
      </c>
      <c r="P256" s="79">
        <v>194000</v>
      </c>
      <c r="Q256" s="79">
        <v>1329000</v>
      </c>
      <c r="R256" s="79">
        <v>3042000</v>
      </c>
      <c r="S256" s="79">
        <v>280500</v>
      </c>
      <c r="T256" s="86">
        <v>10563500</v>
      </c>
      <c r="U256" s="68">
        <v>0</v>
      </c>
      <c r="V256" s="72">
        <v>1339500</v>
      </c>
      <c r="W256" s="9">
        <v>662000</v>
      </c>
      <c r="X256" s="9">
        <v>658000</v>
      </c>
      <c r="Y256" s="79">
        <v>35000</v>
      </c>
      <c r="Z256" s="89">
        <v>2694500</v>
      </c>
      <c r="AA256" s="72">
        <v>614000</v>
      </c>
      <c r="AB256" s="9">
        <v>175000</v>
      </c>
      <c r="AC256" s="9">
        <v>1025000</v>
      </c>
      <c r="AD256" s="79">
        <v>110000</v>
      </c>
      <c r="AE256" s="89">
        <v>1924000</v>
      </c>
      <c r="AF256" s="72">
        <v>0</v>
      </c>
      <c r="AG256" s="9">
        <v>20000</v>
      </c>
      <c r="AH256" s="9">
        <v>20000</v>
      </c>
      <c r="AI256" s="9">
        <v>70000</v>
      </c>
      <c r="AJ256" s="79">
        <v>30000</v>
      </c>
      <c r="AK256" s="86">
        <v>140000</v>
      </c>
      <c r="AL256" s="68">
        <v>0</v>
      </c>
      <c r="AM256" s="56"/>
      <c r="AN256" s="13"/>
      <c r="AO256" s="13"/>
    </row>
    <row r="257" spans="1:41" s="48" customFormat="1">
      <c r="A257" s="112"/>
      <c r="B257" s="99" t="s">
        <v>66</v>
      </c>
      <c r="C257" s="8">
        <v>1019588</v>
      </c>
      <c r="D257" s="8">
        <v>1019588</v>
      </c>
      <c r="E257" s="72"/>
      <c r="F257" s="9">
        <v>0</v>
      </c>
      <c r="G257" s="9">
        <v>0</v>
      </c>
      <c r="H257" s="9">
        <v>0</v>
      </c>
      <c r="I257" s="89">
        <v>0</v>
      </c>
      <c r="J257" s="9">
        <v>0</v>
      </c>
      <c r="K257" s="9">
        <v>0</v>
      </c>
      <c r="L257" s="9">
        <v>1595476</v>
      </c>
      <c r="M257" s="9">
        <v>19250</v>
      </c>
      <c r="N257" s="89">
        <v>1614726</v>
      </c>
      <c r="O257" s="9">
        <v>0</v>
      </c>
      <c r="P257" s="9">
        <v>0</v>
      </c>
      <c r="Q257" s="9">
        <v>0</v>
      </c>
      <c r="R257" s="9">
        <v>0</v>
      </c>
      <c r="S257" s="9">
        <v>0</v>
      </c>
      <c r="T257" s="86">
        <v>0</v>
      </c>
      <c r="U257" s="68">
        <v>19250</v>
      </c>
      <c r="V257" s="72">
        <v>0</v>
      </c>
      <c r="W257" s="9">
        <v>0</v>
      </c>
      <c r="X257" s="9">
        <v>0</v>
      </c>
      <c r="Y257" s="79">
        <v>0</v>
      </c>
      <c r="Z257" s="89">
        <v>0</v>
      </c>
      <c r="AA257" s="72">
        <v>0</v>
      </c>
      <c r="AB257" s="9">
        <v>0</v>
      </c>
      <c r="AC257" s="9">
        <v>0</v>
      </c>
      <c r="AD257" s="79">
        <v>0</v>
      </c>
      <c r="AE257" s="89">
        <v>0</v>
      </c>
      <c r="AF257" s="72">
        <v>0</v>
      </c>
      <c r="AG257" s="9">
        <v>0</v>
      </c>
      <c r="AH257" s="9">
        <v>0</v>
      </c>
      <c r="AI257" s="9">
        <v>0</v>
      </c>
      <c r="AJ257" s="79">
        <v>0</v>
      </c>
      <c r="AK257" s="86">
        <v>0</v>
      </c>
      <c r="AL257" s="68">
        <v>0</v>
      </c>
      <c r="AM257" s="56"/>
      <c r="AN257" s="13"/>
      <c r="AO257" s="13"/>
    </row>
    <row r="258" spans="1:41" s="48" customFormat="1">
      <c r="A258" s="112"/>
      <c r="B258" s="99" t="s">
        <v>7</v>
      </c>
      <c r="C258" s="8"/>
      <c r="D258" s="8"/>
      <c r="E258" s="72"/>
      <c r="F258" s="72">
        <v>4808861</v>
      </c>
      <c r="G258" s="72">
        <v>3246211</v>
      </c>
      <c r="H258" s="72">
        <v>151525</v>
      </c>
      <c r="I258" s="89">
        <v>8206597</v>
      </c>
      <c r="J258" s="72">
        <v>1024058</v>
      </c>
      <c r="K258" s="9">
        <v>1768267</v>
      </c>
      <c r="L258" s="9">
        <v>2903884</v>
      </c>
      <c r="M258" s="79">
        <v>329270</v>
      </c>
      <c r="N258" s="89">
        <v>6025479</v>
      </c>
      <c r="O258" s="72">
        <v>5718000</v>
      </c>
      <c r="P258" s="9">
        <v>194000</v>
      </c>
      <c r="Q258" s="9">
        <v>1329000</v>
      </c>
      <c r="R258" s="9">
        <v>3042000</v>
      </c>
      <c r="S258" s="79">
        <v>280500</v>
      </c>
      <c r="T258" s="86">
        <v>10563500</v>
      </c>
      <c r="U258" s="68">
        <v>32518038</v>
      </c>
      <c r="V258" s="72">
        <v>1339500</v>
      </c>
      <c r="W258" s="9">
        <v>662000</v>
      </c>
      <c r="X258" s="9">
        <v>658000</v>
      </c>
      <c r="Y258" s="79">
        <v>35000</v>
      </c>
      <c r="Z258" s="89">
        <v>2694500</v>
      </c>
      <c r="AA258" s="72">
        <v>614000</v>
      </c>
      <c r="AB258" s="9">
        <v>175000</v>
      </c>
      <c r="AC258" s="9">
        <v>1025000</v>
      </c>
      <c r="AD258" s="79">
        <v>110000</v>
      </c>
      <c r="AE258" s="89">
        <v>1924000</v>
      </c>
      <c r="AF258" s="72">
        <v>0</v>
      </c>
      <c r="AG258" s="9">
        <v>20000</v>
      </c>
      <c r="AH258" s="9">
        <v>20000</v>
      </c>
      <c r="AI258" s="9">
        <v>70000</v>
      </c>
      <c r="AJ258" s="79">
        <v>30000</v>
      </c>
      <c r="AK258" s="86">
        <v>140000</v>
      </c>
      <c r="AL258" s="68">
        <v>4758500</v>
      </c>
      <c r="AM258" s="56"/>
      <c r="AN258" s="13"/>
      <c r="AO258" s="13"/>
    </row>
    <row r="259" spans="1:41" s="48" customFormat="1" ht="17" thickBot="1">
      <c r="A259" s="113"/>
      <c r="B259" s="100" t="s">
        <v>67</v>
      </c>
      <c r="C259" s="104">
        <v>6843868</v>
      </c>
      <c r="D259" s="104">
        <v>7722462</v>
      </c>
      <c r="E259" s="73"/>
      <c r="F259" s="65">
        <v>0</v>
      </c>
      <c r="G259" s="65">
        <v>0</v>
      </c>
      <c r="H259" s="80">
        <v>0</v>
      </c>
      <c r="I259" s="90">
        <v>0</v>
      </c>
      <c r="J259" s="73">
        <v>0</v>
      </c>
      <c r="K259" s="65">
        <v>0</v>
      </c>
      <c r="L259" s="65">
        <v>1397819</v>
      </c>
      <c r="M259" s="80">
        <v>1605635</v>
      </c>
      <c r="N259" s="90">
        <v>1605635</v>
      </c>
      <c r="O259" s="73">
        <v>2589147</v>
      </c>
      <c r="P259" s="65">
        <v>2012496</v>
      </c>
      <c r="Q259" s="65">
        <v>1424851</v>
      </c>
      <c r="R259" s="65">
        <v>3303332</v>
      </c>
      <c r="S259" s="80">
        <v>3439732</v>
      </c>
      <c r="T259" s="87">
        <v>3439732</v>
      </c>
      <c r="U259" s="69">
        <v>3439732</v>
      </c>
      <c r="V259" s="73">
        <v>2470631</v>
      </c>
      <c r="W259" s="65">
        <v>2951431</v>
      </c>
      <c r="X259" s="65">
        <v>3350070</v>
      </c>
      <c r="Y259" s="80">
        <v>2971730</v>
      </c>
      <c r="Z259" s="87">
        <v>3370369</v>
      </c>
      <c r="AA259" s="73">
        <v>1496284</v>
      </c>
      <c r="AB259" s="65">
        <v>1204930</v>
      </c>
      <c r="AC259" s="65">
        <v>1799606</v>
      </c>
      <c r="AD259" s="80">
        <v>1871613</v>
      </c>
      <c r="AE259" s="87">
        <v>1871613</v>
      </c>
      <c r="AF259" s="73">
        <v>1563006</v>
      </c>
      <c r="AG259" s="65">
        <v>1519357</v>
      </c>
      <c r="AH259" s="65">
        <v>1484245</v>
      </c>
      <c r="AI259" s="65">
        <v>1551241</v>
      </c>
      <c r="AJ259" s="80">
        <v>1581007</v>
      </c>
      <c r="AK259" s="87">
        <v>1581007</v>
      </c>
      <c r="AL259" s="69">
        <v>1581007</v>
      </c>
      <c r="AM259" s="56"/>
      <c r="AN259" s="13"/>
      <c r="AO259" s="13"/>
    </row>
    <row r="260" spans="1:41" s="51" customFormat="1">
      <c r="A260" s="111" t="s">
        <v>110</v>
      </c>
      <c r="B260" s="101" t="s">
        <v>64</v>
      </c>
      <c r="C260" s="49"/>
      <c r="D260" s="49"/>
      <c r="E260" s="108"/>
      <c r="F260" s="66">
        <v>135687224</v>
      </c>
      <c r="G260" s="66">
        <v>69221648</v>
      </c>
      <c r="H260" s="66">
        <v>9993600</v>
      </c>
      <c r="I260" s="88">
        <v>214902472</v>
      </c>
      <c r="J260" s="66">
        <v>29250352</v>
      </c>
      <c r="K260" s="66">
        <v>41620648</v>
      </c>
      <c r="L260" s="66">
        <v>35839368</v>
      </c>
      <c r="M260" s="66">
        <v>7886656</v>
      </c>
      <c r="N260" s="91">
        <v>114597024</v>
      </c>
      <c r="O260" s="66">
        <v>94259648</v>
      </c>
      <c r="P260" s="66">
        <v>23736288</v>
      </c>
      <c r="Q260" s="66">
        <v>35781848</v>
      </c>
      <c r="R260" s="66">
        <v>30202048</v>
      </c>
      <c r="S260" s="66">
        <v>8451200</v>
      </c>
      <c r="T260" s="85">
        <v>192431032</v>
      </c>
      <c r="U260" s="107">
        <v>693436120</v>
      </c>
      <c r="V260" s="74">
        <v>60940472</v>
      </c>
      <c r="W260" s="66">
        <v>3776976</v>
      </c>
      <c r="X260" s="66">
        <v>5427296</v>
      </c>
      <c r="Y260" s="81">
        <v>934656</v>
      </c>
      <c r="Z260" s="88">
        <v>71079400</v>
      </c>
      <c r="AA260" s="74">
        <v>65374840</v>
      </c>
      <c r="AB260" s="66">
        <v>16317776</v>
      </c>
      <c r="AC260" s="66">
        <v>9931576</v>
      </c>
      <c r="AD260" s="81">
        <v>2721248</v>
      </c>
      <c r="AE260" s="88">
        <v>94345440</v>
      </c>
      <c r="AF260" s="74">
        <v>6856072</v>
      </c>
      <c r="AG260" s="66">
        <v>3352848</v>
      </c>
      <c r="AH260" s="66">
        <v>1014464</v>
      </c>
      <c r="AI260" s="66">
        <v>177616</v>
      </c>
      <c r="AJ260" s="81">
        <v>23392</v>
      </c>
      <c r="AK260" s="85">
        <v>11424392</v>
      </c>
      <c r="AL260" s="106">
        <v>176849232</v>
      </c>
      <c r="AM260" s="57"/>
      <c r="AN260" s="13">
        <v>693464600</v>
      </c>
      <c r="AO260" s="13">
        <v>176849232</v>
      </c>
    </row>
    <row r="261" spans="1:41" s="51" customFormat="1">
      <c r="A261" s="112"/>
      <c r="B261" s="102" t="s">
        <v>65</v>
      </c>
      <c r="C261" s="50"/>
      <c r="D261" s="50"/>
      <c r="E261" s="76"/>
      <c r="F261" s="62">
        <v>135687224</v>
      </c>
      <c r="G261" s="62">
        <v>69221648</v>
      </c>
      <c r="H261" s="62">
        <v>9993600</v>
      </c>
      <c r="I261" s="89">
        <v>0</v>
      </c>
      <c r="J261" s="62">
        <v>29250352</v>
      </c>
      <c r="K261" s="62">
        <v>41620648</v>
      </c>
      <c r="L261" s="62">
        <v>22552360</v>
      </c>
      <c r="M261" s="62">
        <v>18882560</v>
      </c>
      <c r="N261" s="92">
        <v>112305920</v>
      </c>
      <c r="O261" s="62">
        <v>114480000</v>
      </c>
      <c r="P261" s="62">
        <v>11072000</v>
      </c>
      <c r="Q261" s="62">
        <v>27712000</v>
      </c>
      <c r="R261" s="62">
        <v>66928000</v>
      </c>
      <c r="S261" s="62">
        <v>17824000</v>
      </c>
      <c r="T261" s="86">
        <v>0</v>
      </c>
      <c r="U261" s="68">
        <v>0</v>
      </c>
      <c r="V261" s="75">
        <v>51920000</v>
      </c>
      <c r="W261" s="62">
        <v>13696000</v>
      </c>
      <c r="X261" s="62">
        <v>15904000</v>
      </c>
      <c r="Y261" s="82">
        <v>2880000</v>
      </c>
      <c r="Z261" s="89">
        <v>0</v>
      </c>
      <c r="AA261" s="75">
        <v>21376000</v>
      </c>
      <c r="AB261" s="62">
        <v>8000000</v>
      </c>
      <c r="AC261" s="62">
        <v>17200000</v>
      </c>
      <c r="AD261" s="82">
        <v>7680000</v>
      </c>
      <c r="AE261" s="89">
        <v>54256000</v>
      </c>
      <c r="AF261" s="75">
        <v>0</v>
      </c>
      <c r="AG261" s="62">
        <v>960000</v>
      </c>
      <c r="AH261" s="62">
        <v>960000</v>
      </c>
      <c r="AI261" s="62">
        <v>1760000</v>
      </c>
      <c r="AJ261" s="82">
        <v>2240000</v>
      </c>
      <c r="AK261" s="86">
        <v>0</v>
      </c>
      <c r="AL261" s="68">
        <v>0</v>
      </c>
      <c r="AM261" s="57"/>
      <c r="AN261" s="13"/>
      <c r="AO261" s="13"/>
    </row>
    <row r="262" spans="1:41" s="51" customFormat="1">
      <c r="A262" s="112"/>
      <c r="B262" s="102" t="s">
        <v>66</v>
      </c>
      <c r="C262" s="50">
        <v>23817472</v>
      </c>
      <c r="D262" s="50">
        <v>23817472</v>
      </c>
      <c r="E262" s="76"/>
      <c r="F262" s="62">
        <v>0</v>
      </c>
      <c r="G262" s="62">
        <v>0</v>
      </c>
      <c r="H262" s="62">
        <v>0</v>
      </c>
      <c r="I262" s="89">
        <v>0</v>
      </c>
      <c r="J262" s="62">
        <v>0</v>
      </c>
      <c r="K262" s="62">
        <v>0</v>
      </c>
      <c r="L262" s="62">
        <v>74930368</v>
      </c>
      <c r="M262" s="62">
        <v>1088000</v>
      </c>
      <c r="N262" s="92">
        <v>76018368</v>
      </c>
      <c r="O262" s="62">
        <v>0</v>
      </c>
      <c r="P262" s="62">
        <v>0</v>
      </c>
      <c r="Q262" s="62">
        <v>0</v>
      </c>
      <c r="R262" s="62">
        <v>0</v>
      </c>
      <c r="S262" s="62">
        <v>0</v>
      </c>
      <c r="T262" s="86">
        <v>0</v>
      </c>
      <c r="U262" s="68">
        <v>1088000</v>
      </c>
      <c r="V262" s="75">
        <v>0</v>
      </c>
      <c r="W262" s="62">
        <v>0</v>
      </c>
      <c r="X262" s="62">
        <v>0</v>
      </c>
      <c r="Y262" s="82">
        <v>0</v>
      </c>
      <c r="Z262" s="89">
        <v>0</v>
      </c>
      <c r="AA262" s="75">
        <v>0</v>
      </c>
      <c r="AB262" s="62">
        <v>0</v>
      </c>
      <c r="AC262" s="62">
        <v>0</v>
      </c>
      <c r="AD262" s="82">
        <v>0</v>
      </c>
      <c r="AE262" s="89">
        <v>0</v>
      </c>
      <c r="AF262" s="75">
        <v>0</v>
      </c>
      <c r="AG262" s="62">
        <v>0</v>
      </c>
      <c r="AH262" s="62">
        <v>0</v>
      </c>
      <c r="AI262" s="62">
        <v>0</v>
      </c>
      <c r="AJ262" s="82">
        <v>0</v>
      </c>
      <c r="AK262" s="86">
        <v>0</v>
      </c>
      <c r="AL262" s="68">
        <v>0</v>
      </c>
      <c r="AM262" s="57"/>
      <c r="AN262" s="13"/>
      <c r="AO262" s="13"/>
    </row>
    <row r="263" spans="1:41" s="51" customFormat="1">
      <c r="A263" s="112"/>
      <c r="B263" s="102" t="s">
        <v>7</v>
      </c>
      <c r="C263" s="50"/>
      <c r="D263" s="50"/>
      <c r="E263" s="76"/>
      <c r="F263" s="76">
        <v>135687224</v>
      </c>
      <c r="G263" s="76">
        <v>69221648</v>
      </c>
      <c r="H263" s="76">
        <v>9993600</v>
      </c>
      <c r="I263" s="89">
        <v>214902472</v>
      </c>
      <c r="J263" s="76">
        <v>29250352</v>
      </c>
      <c r="K263" s="10">
        <v>41620648</v>
      </c>
      <c r="L263" s="10">
        <v>97482728</v>
      </c>
      <c r="M263" s="83">
        <v>19970560</v>
      </c>
      <c r="N263" s="92">
        <v>188324288</v>
      </c>
      <c r="O263" s="76">
        <v>114480000</v>
      </c>
      <c r="P263" s="10">
        <v>11072000</v>
      </c>
      <c r="Q263" s="10">
        <v>27712000</v>
      </c>
      <c r="R263" s="10">
        <v>66928000</v>
      </c>
      <c r="S263" s="83">
        <v>17824000</v>
      </c>
      <c r="T263" s="86">
        <v>238016000</v>
      </c>
      <c r="U263" s="68">
        <v>812748352</v>
      </c>
      <c r="V263" s="76">
        <v>51920000</v>
      </c>
      <c r="W263" s="10">
        <v>13696000</v>
      </c>
      <c r="X263" s="10">
        <v>15904000</v>
      </c>
      <c r="Y263" s="83">
        <v>2880000</v>
      </c>
      <c r="Z263" s="89">
        <v>84400000</v>
      </c>
      <c r="AA263" s="76">
        <v>21376000</v>
      </c>
      <c r="AB263" s="10">
        <v>8000000</v>
      </c>
      <c r="AC263" s="10">
        <v>17200000</v>
      </c>
      <c r="AD263" s="83">
        <v>7680000</v>
      </c>
      <c r="AE263" s="89">
        <v>54256000</v>
      </c>
      <c r="AF263" s="76">
        <v>0</v>
      </c>
      <c r="AG263" s="10">
        <v>960000</v>
      </c>
      <c r="AH263" s="10">
        <v>960000</v>
      </c>
      <c r="AI263" s="10">
        <v>1760000</v>
      </c>
      <c r="AJ263" s="83">
        <v>2240000</v>
      </c>
      <c r="AK263" s="86">
        <v>5920000</v>
      </c>
      <c r="AL263" s="68">
        <v>144576000</v>
      </c>
      <c r="AM263" s="57"/>
      <c r="AN263" s="13"/>
      <c r="AO263" s="13"/>
    </row>
    <row r="264" spans="1:41" s="51" customFormat="1" ht="17" thickBot="1">
      <c r="A264" s="113"/>
      <c r="B264" s="103" t="s">
        <v>67</v>
      </c>
      <c r="C264" s="105">
        <v>136570456</v>
      </c>
      <c r="D264" s="105">
        <v>171505592</v>
      </c>
      <c r="E264" s="77"/>
      <c r="F264" s="64">
        <v>0</v>
      </c>
      <c r="G264" s="64">
        <v>0</v>
      </c>
      <c r="H264" s="64">
        <v>0</v>
      </c>
      <c r="I264" s="90">
        <v>0</v>
      </c>
      <c r="J264" s="77">
        <v>0</v>
      </c>
      <c r="K264" s="64">
        <v>0</v>
      </c>
      <c r="L264" s="64">
        <v>61643360</v>
      </c>
      <c r="M264" s="84">
        <v>73727264</v>
      </c>
      <c r="N264" s="90">
        <v>73727264</v>
      </c>
      <c r="O264" s="77">
        <v>93947616</v>
      </c>
      <c r="P264" s="64">
        <v>81283328</v>
      </c>
      <c r="Q264" s="64">
        <v>73213480</v>
      </c>
      <c r="R264" s="64">
        <v>109939432</v>
      </c>
      <c r="S264" s="84">
        <v>119312232</v>
      </c>
      <c r="T264" s="87">
        <v>119312232</v>
      </c>
      <c r="U264" s="69">
        <v>119312232</v>
      </c>
      <c r="V264" s="77">
        <v>110291760</v>
      </c>
      <c r="W264" s="64">
        <v>120210784</v>
      </c>
      <c r="X264" s="64">
        <v>130687488</v>
      </c>
      <c r="Y264" s="84">
        <v>122156128</v>
      </c>
      <c r="Z264" s="87">
        <v>132632832</v>
      </c>
      <c r="AA264" s="77">
        <v>88633992</v>
      </c>
      <c r="AB264" s="64">
        <v>80316216</v>
      </c>
      <c r="AC264" s="64">
        <v>87584640</v>
      </c>
      <c r="AD264" s="84">
        <v>92543392</v>
      </c>
      <c r="AE264" s="87">
        <v>92543392</v>
      </c>
      <c r="AF264" s="77">
        <v>85687320</v>
      </c>
      <c r="AG264" s="64">
        <v>83294472</v>
      </c>
      <c r="AH264" s="64">
        <v>83240008</v>
      </c>
      <c r="AI264" s="64">
        <v>84822392</v>
      </c>
      <c r="AJ264" s="84">
        <v>87039000</v>
      </c>
      <c r="AK264" s="87">
        <v>87039000</v>
      </c>
      <c r="AL264" s="69">
        <v>87039000</v>
      </c>
      <c r="AM264" s="57"/>
      <c r="AN264" s="13"/>
      <c r="AO264" s="13"/>
    </row>
  </sheetData>
  <autoFilter ref="A2:AO264" xr:uid="{00000000-0009-0000-0000-000000000000}"/>
  <mergeCells count="52">
    <mergeCell ref="A195:A199"/>
    <mergeCell ref="A231:A235"/>
    <mergeCell ref="A189:A193"/>
    <mergeCell ref="A249:A253"/>
    <mergeCell ref="A69:A73"/>
    <mergeCell ref="A207:A211"/>
    <mergeCell ref="A183:A187"/>
    <mergeCell ref="A177:A181"/>
    <mergeCell ref="A165:A169"/>
    <mergeCell ref="A75:A79"/>
    <mergeCell ref="A141:A145"/>
    <mergeCell ref="A87:A91"/>
    <mergeCell ref="A117:A121"/>
    <mergeCell ref="A123:A127"/>
    <mergeCell ref="A129:A133"/>
    <mergeCell ref="A93:A97"/>
    <mergeCell ref="A171:A175"/>
    <mergeCell ref="O1:S1"/>
    <mergeCell ref="A15:A19"/>
    <mergeCell ref="A9:A13"/>
    <mergeCell ref="A3:A7"/>
    <mergeCell ref="A1:B1"/>
    <mergeCell ref="E1:H1"/>
    <mergeCell ref="A63:A67"/>
    <mergeCell ref="A21:A25"/>
    <mergeCell ref="A33:A37"/>
    <mergeCell ref="A39:A43"/>
    <mergeCell ref="A45:A49"/>
    <mergeCell ref="J1:M1"/>
    <mergeCell ref="A57:A61"/>
    <mergeCell ref="V1:Y1"/>
    <mergeCell ref="AA1:AD1"/>
    <mergeCell ref="AF1:AJ1"/>
    <mergeCell ref="A2:B2"/>
    <mergeCell ref="A159:A163"/>
    <mergeCell ref="A135:A139"/>
    <mergeCell ref="A147:A151"/>
    <mergeCell ref="A153:A157"/>
    <mergeCell ref="A27:A31"/>
    <mergeCell ref="A51:A55"/>
    <mergeCell ref="A105:A109"/>
    <mergeCell ref="A81:A85"/>
    <mergeCell ref="A99:A103"/>
    <mergeCell ref="A111:A115"/>
    <mergeCell ref="A260:A264"/>
    <mergeCell ref="A213:A217"/>
    <mergeCell ref="A201:A205"/>
    <mergeCell ref="A237:A241"/>
    <mergeCell ref="A255:A259"/>
    <mergeCell ref="A243:A247"/>
    <mergeCell ref="A219:A223"/>
    <mergeCell ref="A225:A229"/>
  </mergeCells>
  <phoneticPr fontId="3" type="noConversion"/>
  <conditionalFormatting sqref="E242:H242">
    <cfRule type="cellIs" dxfId="2015" priority="1006" stopIfTrue="1" operator="lessThanOrEqual">
      <formula>3000</formula>
    </cfRule>
    <cfRule type="cellIs" dxfId="2014" priority="1007" stopIfTrue="1" operator="between">
      <formula>3000</formula>
      <formula>9000</formula>
    </cfRule>
    <cfRule type="cellIs" dxfId="2013" priority="1008" stopIfTrue="1" operator="greaterThanOrEqual">
      <formula>9000</formula>
    </cfRule>
  </conditionalFormatting>
  <conditionalFormatting sqref="J242:M242">
    <cfRule type="cellIs" dxfId="2012" priority="1003" stopIfTrue="1" operator="lessThanOrEqual">
      <formula>3000</formula>
    </cfRule>
    <cfRule type="cellIs" dxfId="2011" priority="1004" stopIfTrue="1" operator="between">
      <formula>3000</formula>
      <formula>9000</formula>
    </cfRule>
    <cfRule type="cellIs" dxfId="2010" priority="1005" stopIfTrue="1" operator="greaterThanOrEqual">
      <formula>9000</formula>
    </cfRule>
  </conditionalFormatting>
  <conditionalFormatting sqref="O242">
    <cfRule type="cellIs" dxfId="2009" priority="1000" stopIfTrue="1" operator="lessThanOrEqual">
      <formula>3000</formula>
    </cfRule>
    <cfRule type="cellIs" dxfId="2008" priority="1001" stopIfTrue="1" operator="between">
      <formula>3000</formula>
      <formula>9000</formula>
    </cfRule>
    <cfRule type="cellIs" dxfId="2007" priority="1002" stopIfTrue="1" operator="greaterThanOrEqual">
      <formula>9000</formula>
    </cfRule>
  </conditionalFormatting>
  <conditionalFormatting sqref="P242:S242">
    <cfRule type="cellIs" dxfId="2006" priority="997" stopIfTrue="1" operator="lessThanOrEqual">
      <formula>3000</formula>
    </cfRule>
    <cfRule type="cellIs" dxfId="2005" priority="998" stopIfTrue="1" operator="between">
      <formula>3000</formula>
      <formula>9000</formula>
    </cfRule>
    <cfRule type="cellIs" dxfId="2004" priority="999" stopIfTrue="1" operator="greaterThanOrEqual">
      <formula>9000</formula>
    </cfRule>
  </conditionalFormatting>
  <conditionalFormatting sqref="O20">
    <cfRule type="cellIs" dxfId="2003" priority="964" stopIfTrue="1" operator="lessThanOrEqual">
      <formula>3000</formula>
    </cfRule>
    <cfRule type="cellIs" dxfId="2002" priority="965" stopIfTrue="1" operator="between">
      <formula>3000</formula>
      <formula>9000</formula>
    </cfRule>
    <cfRule type="cellIs" dxfId="2001" priority="966" stopIfTrue="1" operator="greaterThanOrEqual">
      <formula>9000</formula>
    </cfRule>
  </conditionalFormatting>
  <conditionalFormatting sqref="J20:M20">
    <cfRule type="cellIs" dxfId="2000" priority="967" stopIfTrue="1" operator="lessThanOrEqual">
      <formula>3000</formula>
    </cfRule>
    <cfRule type="cellIs" dxfId="1999" priority="968" stopIfTrue="1" operator="between">
      <formula>3000</formula>
      <formula>9000</formula>
    </cfRule>
    <cfRule type="cellIs" dxfId="1998" priority="969" stopIfTrue="1" operator="greaterThanOrEqual">
      <formula>9000</formula>
    </cfRule>
  </conditionalFormatting>
  <conditionalFormatting sqref="O14">
    <cfRule type="cellIs" dxfId="1997" priority="976" stopIfTrue="1" operator="lessThanOrEqual">
      <formula>3000</formula>
    </cfRule>
    <cfRule type="cellIs" dxfId="1996" priority="977" stopIfTrue="1" operator="between">
      <formula>3000</formula>
      <formula>9000</formula>
    </cfRule>
    <cfRule type="cellIs" dxfId="1995" priority="978" stopIfTrue="1" operator="greaterThanOrEqual">
      <formula>9000</formula>
    </cfRule>
  </conditionalFormatting>
  <conditionalFormatting sqref="P8:S8">
    <cfRule type="cellIs" dxfId="1994" priority="985" stopIfTrue="1" operator="lessThanOrEqual">
      <formula>3000</formula>
    </cfRule>
    <cfRule type="cellIs" dxfId="1993" priority="986" stopIfTrue="1" operator="between">
      <formula>3000</formula>
      <formula>9000</formula>
    </cfRule>
    <cfRule type="cellIs" dxfId="1992" priority="987" stopIfTrue="1" operator="greaterThanOrEqual">
      <formula>9000</formula>
    </cfRule>
  </conditionalFormatting>
  <conditionalFormatting sqref="E8:H8">
    <cfRule type="cellIs" dxfId="1991" priority="994" stopIfTrue="1" operator="lessThanOrEqual">
      <formula>3000</formula>
    </cfRule>
    <cfRule type="cellIs" dxfId="1990" priority="995" stopIfTrue="1" operator="between">
      <formula>3000</formula>
      <formula>9000</formula>
    </cfRule>
    <cfRule type="cellIs" dxfId="1989" priority="996" stopIfTrue="1" operator="greaterThanOrEqual">
      <formula>9000</formula>
    </cfRule>
  </conditionalFormatting>
  <conditionalFormatting sqref="P74:S74">
    <cfRule type="cellIs" dxfId="1988" priority="853" stopIfTrue="1" operator="lessThanOrEqual">
      <formula>3000</formula>
    </cfRule>
    <cfRule type="cellIs" dxfId="1987" priority="854" stopIfTrue="1" operator="between">
      <formula>3000</formula>
      <formula>9000</formula>
    </cfRule>
    <cfRule type="cellIs" dxfId="1986" priority="855" stopIfTrue="1" operator="greaterThanOrEqual">
      <formula>9000</formula>
    </cfRule>
  </conditionalFormatting>
  <conditionalFormatting sqref="O74">
    <cfRule type="cellIs" dxfId="1985" priority="856" stopIfTrue="1" operator="lessThanOrEqual">
      <formula>3000</formula>
    </cfRule>
    <cfRule type="cellIs" dxfId="1984" priority="857" stopIfTrue="1" operator="between">
      <formula>3000</formula>
      <formula>9000</formula>
    </cfRule>
    <cfRule type="cellIs" dxfId="1983" priority="858" stopIfTrue="1" operator="greaterThanOrEqual">
      <formula>9000</formula>
    </cfRule>
  </conditionalFormatting>
  <conditionalFormatting sqref="P68:S68">
    <cfRule type="cellIs" dxfId="1982" priority="865" stopIfTrue="1" operator="lessThanOrEqual">
      <formula>3000</formula>
    </cfRule>
    <cfRule type="cellIs" dxfId="1981" priority="866" stopIfTrue="1" operator="between">
      <formula>3000</formula>
      <formula>9000</formula>
    </cfRule>
    <cfRule type="cellIs" dxfId="1980" priority="867" stopIfTrue="1" operator="greaterThanOrEqual">
      <formula>9000</formula>
    </cfRule>
  </conditionalFormatting>
  <conditionalFormatting sqref="E68:H68">
    <cfRule type="cellIs" dxfId="1979" priority="874" stopIfTrue="1" operator="lessThanOrEqual">
      <formula>3000</formula>
    </cfRule>
    <cfRule type="cellIs" dxfId="1978" priority="875" stopIfTrue="1" operator="between">
      <formula>3000</formula>
      <formula>9000</formula>
    </cfRule>
    <cfRule type="cellIs" dxfId="1977" priority="876" stopIfTrue="1" operator="greaterThanOrEqual">
      <formula>9000</formula>
    </cfRule>
  </conditionalFormatting>
  <conditionalFormatting sqref="J62:M62">
    <cfRule type="cellIs" dxfId="1976" priority="883" stopIfTrue="1" operator="lessThanOrEqual">
      <formula>3000</formula>
    </cfRule>
    <cfRule type="cellIs" dxfId="1975" priority="884" stopIfTrue="1" operator="between">
      <formula>3000</formula>
      <formula>9000</formula>
    </cfRule>
    <cfRule type="cellIs" dxfId="1974" priority="885" stopIfTrue="1" operator="greaterThanOrEqual">
      <formula>9000</formula>
    </cfRule>
  </conditionalFormatting>
  <conditionalFormatting sqref="O56">
    <cfRule type="cellIs" dxfId="1973" priority="892" stopIfTrue="1" operator="lessThanOrEqual">
      <formula>3000</formula>
    </cfRule>
    <cfRule type="cellIs" dxfId="1972" priority="893" stopIfTrue="1" operator="between">
      <formula>3000</formula>
      <formula>9000</formula>
    </cfRule>
    <cfRule type="cellIs" dxfId="1971" priority="894" stopIfTrue="1" operator="greaterThanOrEqual">
      <formula>9000</formula>
    </cfRule>
  </conditionalFormatting>
  <conditionalFormatting sqref="P50:S50">
    <cfRule type="cellIs" dxfId="1970" priority="901" stopIfTrue="1" operator="lessThanOrEqual">
      <formula>3000</formula>
    </cfRule>
    <cfRule type="cellIs" dxfId="1969" priority="902" stopIfTrue="1" operator="between">
      <formula>3000</formula>
      <formula>9000</formula>
    </cfRule>
    <cfRule type="cellIs" dxfId="1968" priority="903" stopIfTrue="1" operator="greaterThanOrEqual">
      <formula>9000</formula>
    </cfRule>
  </conditionalFormatting>
  <conditionalFormatting sqref="E50:H50">
    <cfRule type="cellIs" dxfId="1967" priority="910" stopIfTrue="1" operator="lessThanOrEqual">
      <formula>3000</formula>
    </cfRule>
    <cfRule type="cellIs" dxfId="1966" priority="911" stopIfTrue="1" operator="between">
      <formula>3000</formula>
      <formula>9000</formula>
    </cfRule>
    <cfRule type="cellIs" dxfId="1965" priority="912" stopIfTrue="1" operator="greaterThanOrEqual">
      <formula>9000</formula>
    </cfRule>
  </conditionalFormatting>
  <conditionalFormatting sqref="J44:M44">
    <cfRule type="cellIs" dxfId="1964" priority="919" stopIfTrue="1" operator="lessThanOrEqual">
      <formula>3000</formula>
    </cfRule>
    <cfRule type="cellIs" dxfId="1963" priority="920" stopIfTrue="1" operator="between">
      <formula>3000</formula>
      <formula>9000</formula>
    </cfRule>
    <cfRule type="cellIs" dxfId="1962" priority="921" stopIfTrue="1" operator="greaterThanOrEqual">
      <formula>9000</formula>
    </cfRule>
  </conditionalFormatting>
  <conditionalFormatting sqref="P38:S38">
    <cfRule type="cellIs" dxfId="1961" priority="925" stopIfTrue="1" operator="lessThanOrEqual">
      <formula>3000</formula>
    </cfRule>
    <cfRule type="cellIs" dxfId="1960" priority="926" stopIfTrue="1" operator="between">
      <formula>3000</formula>
      <formula>9000</formula>
    </cfRule>
    <cfRule type="cellIs" dxfId="1959" priority="927" stopIfTrue="1" operator="greaterThanOrEqual">
      <formula>9000</formula>
    </cfRule>
  </conditionalFormatting>
  <conditionalFormatting sqref="E38:H38">
    <cfRule type="cellIs" dxfId="1958" priority="934" stopIfTrue="1" operator="lessThanOrEqual">
      <formula>3000</formula>
    </cfRule>
    <cfRule type="cellIs" dxfId="1957" priority="935" stopIfTrue="1" operator="between">
      <formula>3000</formula>
      <formula>9000</formula>
    </cfRule>
    <cfRule type="cellIs" dxfId="1956" priority="936" stopIfTrue="1" operator="greaterThanOrEqual">
      <formula>9000</formula>
    </cfRule>
  </conditionalFormatting>
  <conditionalFormatting sqref="J32:M32">
    <cfRule type="cellIs" dxfId="1955" priority="943" stopIfTrue="1" operator="lessThanOrEqual">
      <formula>3000</formula>
    </cfRule>
    <cfRule type="cellIs" dxfId="1954" priority="944" stopIfTrue="1" operator="between">
      <formula>3000</formula>
      <formula>9000</formula>
    </cfRule>
    <cfRule type="cellIs" dxfId="1953" priority="945" stopIfTrue="1" operator="greaterThanOrEqual">
      <formula>9000</formula>
    </cfRule>
  </conditionalFormatting>
  <conditionalFormatting sqref="O26">
    <cfRule type="cellIs" dxfId="1952" priority="952" stopIfTrue="1" operator="lessThanOrEqual">
      <formula>3000</formula>
    </cfRule>
    <cfRule type="cellIs" dxfId="1951" priority="953" stopIfTrue="1" operator="between">
      <formula>3000</formula>
      <formula>9000</formula>
    </cfRule>
    <cfRule type="cellIs" dxfId="1950" priority="954" stopIfTrue="1" operator="greaterThanOrEqual">
      <formula>9000</formula>
    </cfRule>
  </conditionalFormatting>
  <conditionalFormatting sqref="P20:S20">
    <cfRule type="cellIs" dxfId="1949" priority="961" stopIfTrue="1" operator="lessThanOrEqual">
      <formula>3000</formula>
    </cfRule>
    <cfRule type="cellIs" dxfId="1948" priority="962" stopIfTrue="1" operator="between">
      <formula>3000</formula>
      <formula>9000</formula>
    </cfRule>
    <cfRule type="cellIs" dxfId="1947" priority="963" stopIfTrue="1" operator="greaterThanOrEqual">
      <formula>9000</formula>
    </cfRule>
  </conditionalFormatting>
  <conditionalFormatting sqref="E20:H20">
    <cfRule type="cellIs" dxfId="1946" priority="970" stopIfTrue="1" operator="lessThanOrEqual">
      <formula>3000</formula>
    </cfRule>
    <cfRule type="cellIs" dxfId="1945" priority="971" stopIfTrue="1" operator="between">
      <formula>3000</formula>
      <formula>9000</formula>
    </cfRule>
    <cfRule type="cellIs" dxfId="1944" priority="972" stopIfTrue="1" operator="greaterThanOrEqual">
      <formula>9000</formula>
    </cfRule>
  </conditionalFormatting>
  <conditionalFormatting sqref="J14:M14">
    <cfRule type="cellIs" dxfId="1943" priority="979" stopIfTrue="1" operator="lessThanOrEqual">
      <formula>3000</formula>
    </cfRule>
    <cfRule type="cellIs" dxfId="1942" priority="980" stopIfTrue="1" operator="between">
      <formula>3000</formula>
      <formula>9000</formula>
    </cfRule>
    <cfRule type="cellIs" dxfId="1941" priority="981" stopIfTrue="1" operator="greaterThanOrEqual">
      <formula>9000</formula>
    </cfRule>
  </conditionalFormatting>
  <conditionalFormatting sqref="O8">
    <cfRule type="cellIs" dxfId="1940" priority="988" stopIfTrue="1" operator="lessThanOrEqual">
      <formula>3000</formula>
    </cfRule>
    <cfRule type="cellIs" dxfId="1939" priority="989" stopIfTrue="1" operator="between">
      <formula>3000</formula>
      <formula>9000</formula>
    </cfRule>
    <cfRule type="cellIs" dxfId="1938" priority="990" stopIfTrue="1" operator="greaterThanOrEqual">
      <formula>9000</formula>
    </cfRule>
  </conditionalFormatting>
  <conditionalFormatting sqref="J128:M128">
    <cfRule type="cellIs" dxfId="1937" priority="751" stopIfTrue="1" operator="lessThanOrEqual">
      <formula>3000</formula>
    </cfRule>
    <cfRule type="cellIs" dxfId="1936" priority="752" stopIfTrue="1" operator="between">
      <formula>3000</formula>
      <formula>9000</formula>
    </cfRule>
    <cfRule type="cellIs" dxfId="1935" priority="753" stopIfTrue="1" operator="greaterThanOrEqual">
      <formula>9000</formula>
    </cfRule>
  </conditionalFormatting>
  <conditionalFormatting sqref="E128:H128">
    <cfRule type="cellIs" dxfId="1934" priority="754" stopIfTrue="1" operator="lessThanOrEqual">
      <formula>3000</formula>
    </cfRule>
    <cfRule type="cellIs" dxfId="1933" priority="755" stopIfTrue="1" operator="between">
      <formula>3000</formula>
      <formula>9000</formula>
    </cfRule>
    <cfRule type="cellIs" dxfId="1932" priority="756" stopIfTrue="1" operator="greaterThanOrEqual">
      <formula>9000</formula>
    </cfRule>
  </conditionalFormatting>
  <conditionalFormatting sqref="J122:M122">
    <cfRule type="cellIs" dxfId="1931" priority="763" stopIfTrue="1" operator="lessThanOrEqual">
      <formula>3000</formula>
    </cfRule>
    <cfRule type="cellIs" dxfId="1930" priority="764" stopIfTrue="1" operator="between">
      <formula>3000</formula>
      <formula>9000</formula>
    </cfRule>
    <cfRule type="cellIs" dxfId="1929" priority="765" stopIfTrue="1" operator="greaterThanOrEqual">
      <formula>9000</formula>
    </cfRule>
  </conditionalFormatting>
  <conditionalFormatting sqref="J116:M116">
    <cfRule type="cellIs" dxfId="1928" priority="775" stopIfTrue="1" operator="lessThanOrEqual">
      <formula>3000</formula>
    </cfRule>
    <cfRule type="cellIs" dxfId="1927" priority="776" stopIfTrue="1" operator="between">
      <formula>3000</formula>
      <formula>9000</formula>
    </cfRule>
    <cfRule type="cellIs" dxfId="1926" priority="777" stopIfTrue="1" operator="greaterThanOrEqual">
      <formula>9000</formula>
    </cfRule>
  </conditionalFormatting>
  <conditionalFormatting sqref="O110">
    <cfRule type="cellIs" dxfId="1925" priority="784" stopIfTrue="1" operator="lessThanOrEqual">
      <formula>3000</formula>
    </cfRule>
    <cfRule type="cellIs" dxfId="1924" priority="785" stopIfTrue="1" operator="between">
      <formula>3000</formula>
      <formula>9000</formula>
    </cfRule>
    <cfRule type="cellIs" dxfId="1923" priority="786" stopIfTrue="1" operator="greaterThanOrEqual">
      <formula>9000</formula>
    </cfRule>
  </conditionalFormatting>
  <conditionalFormatting sqref="P104:S104">
    <cfRule type="cellIs" dxfId="1922" priority="793" stopIfTrue="1" operator="lessThanOrEqual">
      <formula>3000</formula>
    </cfRule>
    <cfRule type="cellIs" dxfId="1921" priority="794" stopIfTrue="1" operator="between">
      <formula>3000</formula>
      <formula>9000</formula>
    </cfRule>
    <cfRule type="cellIs" dxfId="1920" priority="795" stopIfTrue="1" operator="greaterThanOrEqual">
      <formula>9000</formula>
    </cfRule>
  </conditionalFormatting>
  <conditionalFormatting sqref="E104:H104">
    <cfRule type="cellIs" dxfId="1919" priority="802" stopIfTrue="1" operator="lessThanOrEqual">
      <formula>3000</formula>
    </cfRule>
    <cfRule type="cellIs" dxfId="1918" priority="803" stopIfTrue="1" operator="between">
      <formula>3000</formula>
      <formula>9000</formula>
    </cfRule>
    <cfRule type="cellIs" dxfId="1917" priority="804" stopIfTrue="1" operator="greaterThanOrEqual">
      <formula>9000</formula>
    </cfRule>
  </conditionalFormatting>
  <conditionalFormatting sqref="J98:M98">
    <cfRule type="cellIs" dxfId="1916" priority="811" stopIfTrue="1" operator="lessThanOrEqual">
      <formula>3000</formula>
    </cfRule>
    <cfRule type="cellIs" dxfId="1915" priority="812" stopIfTrue="1" operator="between">
      <formula>3000</formula>
      <formula>9000</formula>
    </cfRule>
    <cfRule type="cellIs" dxfId="1914" priority="813" stopIfTrue="1" operator="greaterThanOrEqual">
      <formula>9000</formula>
    </cfRule>
  </conditionalFormatting>
  <conditionalFormatting sqref="O92">
    <cfRule type="cellIs" dxfId="1913" priority="820" stopIfTrue="1" operator="lessThanOrEqual">
      <formula>3000</formula>
    </cfRule>
    <cfRule type="cellIs" dxfId="1912" priority="821" stopIfTrue="1" operator="between">
      <formula>3000</formula>
      <formula>9000</formula>
    </cfRule>
    <cfRule type="cellIs" dxfId="1911" priority="822" stopIfTrue="1" operator="greaterThanOrEqual">
      <formula>9000</formula>
    </cfRule>
  </conditionalFormatting>
  <conditionalFormatting sqref="P86:S86">
    <cfRule type="cellIs" dxfId="1910" priority="829" stopIfTrue="1" operator="lessThanOrEqual">
      <formula>3000</formula>
    </cfRule>
    <cfRule type="cellIs" dxfId="1909" priority="830" stopIfTrue="1" operator="between">
      <formula>3000</formula>
      <formula>9000</formula>
    </cfRule>
    <cfRule type="cellIs" dxfId="1908" priority="831" stopIfTrue="1" operator="greaterThanOrEqual">
      <formula>9000</formula>
    </cfRule>
  </conditionalFormatting>
  <conditionalFormatting sqref="E86:H86">
    <cfRule type="cellIs" dxfId="1907" priority="838" stopIfTrue="1" operator="lessThanOrEqual">
      <formula>3000</formula>
    </cfRule>
    <cfRule type="cellIs" dxfId="1906" priority="839" stopIfTrue="1" operator="between">
      <formula>3000</formula>
      <formula>9000</formula>
    </cfRule>
    <cfRule type="cellIs" dxfId="1905" priority="840" stopIfTrue="1" operator="greaterThanOrEqual">
      <formula>9000</formula>
    </cfRule>
  </conditionalFormatting>
  <conditionalFormatting sqref="J80:M80">
    <cfRule type="cellIs" dxfId="1904" priority="847" stopIfTrue="1" operator="lessThanOrEqual">
      <formula>3000</formula>
    </cfRule>
    <cfRule type="cellIs" dxfId="1903" priority="848" stopIfTrue="1" operator="between">
      <formula>3000</formula>
      <formula>9000</formula>
    </cfRule>
    <cfRule type="cellIs" dxfId="1902" priority="849" stopIfTrue="1" operator="greaterThanOrEqual">
      <formula>9000</formula>
    </cfRule>
  </conditionalFormatting>
  <conditionalFormatting sqref="O80">
    <cfRule type="cellIs" dxfId="1901" priority="844" stopIfTrue="1" operator="lessThanOrEqual">
      <formula>3000</formula>
    </cfRule>
    <cfRule type="cellIs" dxfId="1900" priority="845" stopIfTrue="1" operator="between">
      <formula>3000</formula>
      <formula>9000</formula>
    </cfRule>
    <cfRule type="cellIs" dxfId="1899" priority="846" stopIfTrue="1" operator="greaterThanOrEqual">
      <formula>9000</formula>
    </cfRule>
  </conditionalFormatting>
  <conditionalFormatting sqref="P80:S80">
    <cfRule type="cellIs" dxfId="1898" priority="841" stopIfTrue="1" operator="lessThanOrEqual">
      <formula>3000</formula>
    </cfRule>
    <cfRule type="cellIs" dxfId="1897" priority="842" stopIfTrue="1" operator="between">
      <formula>3000</formula>
      <formula>9000</formula>
    </cfRule>
    <cfRule type="cellIs" dxfId="1896" priority="843" stopIfTrue="1" operator="greaterThanOrEqual">
      <formula>9000</formula>
    </cfRule>
  </conditionalFormatting>
  <conditionalFormatting sqref="E74:H74">
    <cfRule type="cellIs" dxfId="1895" priority="862" stopIfTrue="1" operator="lessThanOrEqual">
      <formula>3000</formula>
    </cfRule>
    <cfRule type="cellIs" dxfId="1894" priority="863" stopIfTrue="1" operator="between">
      <formula>3000</formula>
      <formula>9000</formula>
    </cfRule>
    <cfRule type="cellIs" dxfId="1893" priority="864" stopIfTrue="1" operator="greaterThanOrEqual">
      <formula>9000</formula>
    </cfRule>
  </conditionalFormatting>
  <conditionalFormatting sqref="J68:M68">
    <cfRule type="cellIs" dxfId="1892" priority="871" stopIfTrue="1" operator="lessThanOrEqual">
      <formula>3000</formula>
    </cfRule>
    <cfRule type="cellIs" dxfId="1891" priority="872" stopIfTrue="1" operator="between">
      <formula>3000</formula>
      <formula>9000</formula>
    </cfRule>
    <cfRule type="cellIs" dxfId="1890" priority="873" stopIfTrue="1" operator="greaterThanOrEqual">
      <formula>9000</formula>
    </cfRule>
  </conditionalFormatting>
  <conditionalFormatting sqref="O50">
    <cfRule type="cellIs" dxfId="1889" priority="904" stopIfTrue="1" operator="lessThanOrEqual">
      <formula>3000</formula>
    </cfRule>
    <cfRule type="cellIs" dxfId="1888" priority="905" stopIfTrue="1" operator="between">
      <formula>3000</formula>
      <formula>9000</formula>
    </cfRule>
    <cfRule type="cellIs" dxfId="1887" priority="906" stopIfTrue="1" operator="greaterThanOrEqual">
      <formula>9000</formula>
    </cfRule>
  </conditionalFormatting>
  <conditionalFormatting sqref="P44:S44">
    <cfRule type="cellIs" dxfId="1886" priority="913" stopIfTrue="1" operator="lessThanOrEqual">
      <formula>3000</formula>
    </cfRule>
    <cfRule type="cellIs" dxfId="1885" priority="914" stopIfTrue="1" operator="between">
      <formula>3000</formula>
      <formula>9000</formula>
    </cfRule>
    <cfRule type="cellIs" dxfId="1884" priority="915" stopIfTrue="1" operator="greaterThanOrEqual">
      <formula>9000</formula>
    </cfRule>
  </conditionalFormatting>
  <conditionalFormatting sqref="E44:H44">
    <cfRule type="cellIs" dxfId="1883" priority="922" stopIfTrue="1" operator="lessThanOrEqual">
      <formula>3000</formula>
    </cfRule>
    <cfRule type="cellIs" dxfId="1882" priority="923" stopIfTrue="1" operator="between">
      <formula>3000</formula>
      <formula>9000</formula>
    </cfRule>
    <cfRule type="cellIs" dxfId="1881" priority="924" stopIfTrue="1" operator="greaterThanOrEqual">
      <formula>9000</formula>
    </cfRule>
  </conditionalFormatting>
  <conditionalFormatting sqref="J38:M38">
    <cfRule type="cellIs" dxfId="1880" priority="931" stopIfTrue="1" operator="lessThanOrEqual">
      <formula>3000</formula>
    </cfRule>
    <cfRule type="cellIs" dxfId="1879" priority="932" stopIfTrue="1" operator="between">
      <formula>3000</formula>
      <formula>9000</formula>
    </cfRule>
    <cfRule type="cellIs" dxfId="1878" priority="933" stopIfTrue="1" operator="greaterThanOrEqual">
      <formula>9000</formula>
    </cfRule>
  </conditionalFormatting>
  <conditionalFormatting sqref="O32">
    <cfRule type="cellIs" dxfId="1877" priority="940" stopIfTrue="1" operator="lessThanOrEqual">
      <formula>3000</formula>
    </cfRule>
    <cfRule type="cellIs" dxfId="1876" priority="941" stopIfTrue="1" operator="between">
      <formula>3000</formula>
      <formula>9000</formula>
    </cfRule>
    <cfRule type="cellIs" dxfId="1875" priority="942" stopIfTrue="1" operator="greaterThanOrEqual">
      <formula>9000</formula>
    </cfRule>
  </conditionalFormatting>
  <conditionalFormatting sqref="E80:H80">
    <cfRule type="cellIs" dxfId="1874" priority="850" stopIfTrue="1" operator="lessThanOrEqual">
      <formula>3000</formula>
    </cfRule>
    <cfRule type="cellIs" dxfId="1873" priority="851" stopIfTrue="1" operator="between">
      <formula>3000</formula>
      <formula>9000</formula>
    </cfRule>
    <cfRule type="cellIs" dxfId="1872" priority="852" stopIfTrue="1" operator="greaterThanOrEqual">
      <formula>9000</formula>
    </cfRule>
  </conditionalFormatting>
  <conditionalFormatting sqref="J50:M50">
    <cfRule type="cellIs" dxfId="1871" priority="907" stopIfTrue="1" operator="lessThanOrEqual">
      <formula>3000</formula>
    </cfRule>
    <cfRule type="cellIs" dxfId="1870" priority="908" stopIfTrue="1" operator="between">
      <formula>3000</formula>
      <formula>9000</formula>
    </cfRule>
    <cfRule type="cellIs" dxfId="1869" priority="909" stopIfTrue="1" operator="greaterThanOrEqual">
      <formula>9000</formula>
    </cfRule>
  </conditionalFormatting>
  <conditionalFormatting sqref="O38">
    <cfRule type="cellIs" dxfId="1868" priority="928" stopIfTrue="1" operator="lessThanOrEqual">
      <formula>3000</formula>
    </cfRule>
    <cfRule type="cellIs" dxfId="1867" priority="929" stopIfTrue="1" operator="between">
      <formula>3000</formula>
      <formula>9000</formula>
    </cfRule>
    <cfRule type="cellIs" dxfId="1866" priority="930" stopIfTrue="1" operator="greaterThanOrEqual">
      <formula>9000</formula>
    </cfRule>
  </conditionalFormatting>
  <conditionalFormatting sqref="P32:S32">
    <cfRule type="cellIs" dxfId="1865" priority="937" stopIfTrue="1" operator="lessThanOrEqual">
      <formula>3000</formula>
    </cfRule>
    <cfRule type="cellIs" dxfId="1864" priority="938" stopIfTrue="1" operator="between">
      <formula>3000</formula>
      <formula>9000</formula>
    </cfRule>
    <cfRule type="cellIs" dxfId="1863" priority="939" stopIfTrue="1" operator="greaterThanOrEqual">
      <formula>9000</formula>
    </cfRule>
  </conditionalFormatting>
  <conditionalFormatting sqref="E32:H32">
    <cfRule type="cellIs" dxfId="1862" priority="946" stopIfTrue="1" operator="lessThanOrEqual">
      <formula>3000</formula>
    </cfRule>
    <cfRule type="cellIs" dxfId="1861" priority="947" stopIfTrue="1" operator="between">
      <formula>3000</formula>
      <formula>9000</formula>
    </cfRule>
    <cfRule type="cellIs" dxfId="1860" priority="948" stopIfTrue="1" operator="greaterThanOrEqual">
      <formula>9000</formula>
    </cfRule>
  </conditionalFormatting>
  <conditionalFormatting sqref="J26:M26">
    <cfRule type="cellIs" dxfId="1859" priority="955" stopIfTrue="1" operator="lessThanOrEqual">
      <formula>3000</formula>
    </cfRule>
    <cfRule type="cellIs" dxfId="1858" priority="956" stopIfTrue="1" operator="between">
      <formula>3000</formula>
      <formula>9000</formula>
    </cfRule>
    <cfRule type="cellIs" dxfId="1857" priority="957" stopIfTrue="1" operator="greaterThanOrEqual">
      <formula>9000</formula>
    </cfRule>
  </conditionalFormatting>
  <conditionalFormatting sqref="P14:S14">
    <cfRule type="cellIs" dxfId="1856" priority="973" stopIfTrue="1" operator="lessThanOrEqual">
      <formula>3000</formula>
    </cfRule>
    <cfRule type="cellIs" dxfId="1855" priority="974" stopIfTrue="1" operator="between">
      <formula>3000</formula>
      <formula>9000</formula>
    </cfRule>
    <cfRule type="cellIs" dxfId="1854" priority="975" stopIfTrue="1" operator="greaterThanOrEqual">
      <formula>9000</formula>
    </cfRule>
  </conditionalFormatting>
  <conditionalFormatting sqref="E14:H14">
    <cfRule type="cellIs" dxfId="1853" priority="982" stopIfTrue="1" operator="lessThanOrEqual">
      <formula>3000</formula>
    </cfRule>
    <cfRule type="cellIs" dxfId="1852" priority="983" stopIfTrue="1" operator="between">
      <formula>3000</formula>
      <formula>9000</formula>
    </cfRule>
    <cfRule type="cellIs" dxfId="1851" priority="984" stopIfTrue="1" operator="greaterThanOrEqual">
      <formula>9000</formula>
    </cfRule>
  </conditionalFormatting>
  <conditionalFormatting sqref="J8:M8">
    <cfRule type="cellIs" dxfId="1850" priority="991" stopIfTrue="1" operator="lessThanOrEqual">
      <formula>3000</formula>
    </cfRule>
    <cfRule type="cellIs" dxfId="1849" priority="992" stopIfTrue="1" operator="between">
      <formula>3000</formula>
      <formula>9000</formula>
    </cfRule>
    <cfRule type="cellIs" dxfId="1848" priority="993" stopIfTrue="1" operator="greaterThanOrEqual">
      <formula>9000</formula>
    </cfRule>
  </conditionalFormatting>
  <conditionalFormatting sqref="E212:H212">
    <cfRule type="cellIs" dxfId="1847" priority="586" stopIfTrue="1" operator="lessThanOrEqual">
      <formula>3000</formula>
    </cfRule>
    <cfRule type="cellIs" dxfId="1846" priority="587" stopIfTrue="1" operator="between">
      <formula>3000</formula>
      <formula>9000</formula>
    </cfRule>
    <cfRule type="cellIs" dxfId="1845" priority="588" stopIfTrue="1" operator="greaterThanOrEqual">
      <formula>9000</formula>
    </cfRule>
  </conditionalFormatting>
  <conditionalFormatting sqref="J212:M212">
    <cfRule type="cellIs" dxfId="1844" priority="583" stopIfTrue="1" operator="lessThanOrEqual">
      <formula>3000</formula>
    </cfRule>
    <cfRule type="cellIs" dxfId="1843" priority="584" stopIfTrue="1" operator="between">
      <formula>3000</formula>
      <formula>9000</formula>
    </cfRule>
    <cfRule type="cellIs" dxfId="1842" priority="585" stopIfTrue="1" operator="greaterThanOrEqual">
      <formula>9000</formula>
    </cfRule>
  </conditionalFormatting>
  <conditionalFormatting sqref="O212">
    <cfRule type="cellIs" dxfId="1841" priority="580" stopIfTrue="1" operator="lessThanOrEqual">
      <formula>3000</formula>
    </cfRule>
    <cfRule type="cellIs" dxfId="1840" priority="581" stopIfTrue="1" operator="between">
      <formula>3000</formula>
      <formula>9000</formula>
    </cfRule>
    <cfRule type="cellIs" dxfId="1839" priority="582" stopIfTrue="1" operator="greaterThanOrEqual">
      <formula>9000</formula>
    </cfRule>
  </conditionalFormatting>
  <conditionalFormatting sqref="P212:S212">
    <cfRule type="cellIs" dxfId="1838" priority="577" stopIfTrue="1" operator="lessThanOrEqual">
      <formula>3000</formula>
    </cfRule>
    <cfRule type="cellIs" dxfId="1837" priority="578" stopIfTrue="1" operator="between">
      <formula>3000</formula>
      <formula>9000</formula>
    </cfRule>
    <cfRule type="cellIs" dxfId="1836" priority="579" stopIfTrue="1" operator="greaterThanOrEqual">
      <formula>9000</formula>
    </cfRule>
  </conditionalFormatting>
  <conditionalFormatting sqref="E26:H26">
    <cfRule type="cellIs" dxfId="1835" priority="958" stopIfTrue="1" operator="lessThanOrEqual">
      <formula>3000</formula>
    </cfRule>
    <cfRule type="cellIs" dxfId="1834" priority="959" stopIfTrue="1" operator="between">
      <formula>3000</formula>
      <formula>9000</formula>
    </cfRule>
    <cfRule type="cellIs" dxfId="1833" priority="960" stopIfTrue="1" operator="greaterThanOrEqual">
      <formula>9000</formula>
    </cfRule>
  </conditionalFormatting>
  <conditionalFormatting sqref="P26:S26">
    <cfRule type="cellIs" dxfId="1832" priority="949" stopIfTrue="1" operator="lessThanOrEqual">
      <formula>3000</formula>
    </cfRule>
    <cfRule type="cellIs" dxfId="1831" priority="950" stopIfTrue="1" operator="between">
      <formula>3000</formula>
      <formula>9000</formula>
    </cfRule>
    <cfRule type="cellIs" dxfId="1830" priority="951" stopIfTrue="1" operator="greaterThanOrEqual">
      <formula>9000</formula>
    </cfRule>
  </conditionalFormatting>
  <conditionalFormatting sqref="O44">
    <cfRule type="cellIs" dxfId="1829" priority="916" stopIfTrue="1" operator="lessThanOrEqual">
      <formula>3000</formula>
    </cfRule>
    <cfRule type="cellIs" dxfId="1828" priority="917" stopIfTrue="1" operator="between">
      <formula>3000</formula>
      <formula>9000</formula>
    </cfRule>
    <cfRule type="cellIs" dxfId="1827" priority="918" stopIfTrue="1" operator="greaterThanOrEqual">
      <formula>9000</formula>
    </cfRule>
  </conditionalFormatting>
  <conditionalFormatting sqref="E56:H56">
    <cfRule type="cellIs" dxfId="1826" priority="898" stopIfTrue="1" operator="lessThanOrEqual">
      <formula>3000</formula>
    </cfRule>
    <cfRule type="cellIs" dxfId="1825" priority="899" stopIfTrue="1" operator="between">
      <formula>3000</formula>
      <formula>9000</formula>
    </cfRule>
    <cfRule type="cellIs" dxfId="1824" priority="900" stopIfTrue="1" operator="greaterThanOrEqual">
      <formula>9000</formula>
    </cfRule>
  </conditionalFormatting>
  <conditionalFormatting sqref="J56:M56">
    <cfRule type="cellIs" dxfId="1823" priority="895" stopIfTrue="1" operator="lessThanOrEqual">
      <formula>3000</formula>
    </cfRule>
    <cfRule type="cellIs" dxfId="1822" priority="896" stopIfTrue="1" operator="between">
      <formula>3000</formula>
      <formula>9000</formula>
    </cfRule>
    <cfRule type="cellIs" dxfId="1821" priority="897" stopIfTrue="1" operator="greaterThanOrEqual">
      <formula>9000</formula>
    </cfRule>
  </conditionalFormatting>
  <conditionalFormatting sqref="P56:S56">
    <cfRule type="cellIs" dxfId="1820" priority="889" stopIfTrue="1" operator="lessThanOrEqual">
      <formula>3000</formula>
    </cfRule>
    <cfRule type="cellIs" dxfId="1819" priority="890" stopIfTrue="1" operator="between">
      <formula>3000</formula>
      <formula>9000</formula>
    </cfRule>
    <cfRule type="cellIs" dxfId="1818" priority="891" stopIfTrue="1" operator="greaterThanOrEqual">
      <formula>9000</formula>
    </cfRule>
  </conditionalFormatting>
  <conditionalFormatting sqref="O62">
    <cfRule type="cellIs" dxfId="1817" priority="880" stopIfTrue="1" operator="lessThanOrEqual">
      <formula>3000</formula>
    </cfRule>
    <cfRule type="cellIs" dxfId="1816" priority="881" stopIfTrue="1" operator="between">
      <formula>3000</formula>
      <formula>9000</formula>
    </cfRule>
    <cfRule type="cellIs" dxfId="1815" priority="882" stopIfTrue="1" operator="greaterThanOrEqual">
      <formula>9000</formula>
    </cfRule>
  </conditionalFormatting>
  <conditionalFormatting sqref="E62:H62">
    <cfRule type="cellIs" dxfId="1814" priority="886" stopIfTrue="1" operator="lessThanOrEqual">
      <formula>3000</formula>
    </cfRule>
    <cfRule type="cellIs" dxfId="1813" priority="887" stopIfTrue="1" operator="between">
      <formula>3000</formula>
      <formula>9000</formula>
    </cfRule>
    <cfRule type="cellIs" dxfId="1812" priority="888" stopIfTrue="1" operator="greaterThanOrEqual">
      <formula>9000</formula>
    </cfRule>
  </conditionalFormatting>
  <conditionalFormatting sqref="P62:S62">
    <cfRule type="cellIs" dxfId="1811" priority="877" stopIfTrue="1" operator="lessThanOrEqual">
      <formula>3000</formula>
    </cfRule>
    <cfRule type="cellIs" dxfId="1810" priority="878" stopIfTrue="1" operator="between">
      <formula>3000</formula>
      <formula>9000</formula>
    </cfRule>
    <cfRule type="cellIs" dxfId="1809" priority="879" stopIfTrue="1" operator="greaterThanOrEqual">
      <formula>9000</formula>
    </cfRule>
  </conditionalFormatting>
  <conditionalFormatting sqref="J74:M74">
    <cfRule type="cellIs" dxfId="1808" priority="859" stopIfTrue="1" operator="lessThanOrEqual">
      <formula>3000</formula>
    </cfRule>
    <cfRule type="cellIs" dxfId="1807" priority="860" stopIfTrue="1" operator="between">
      <formula>3000</formula>
      <formula>9000</formula>
    </cfRule>
    <cfRule type="cellIs" dxfId="1806" priority="861" stopIfTrue="1" operator="greaterThanOrEqual">
      <formula>9000</formula>
    </cfRule>
  </conditionalFormatting>
  <conditionalFormatting sqref="O68">
    <cfRule type="cellIs" dxfId="1805" priority="868" stopIfTrue="1" operator="lessThanOrEqual">
      <formula>3000</formula>
    </cfRule>
    <cfRule type="cellIs" dxfId="1804" priority="869" stopIfTrue="1" operator="between">
      <formula>3000</formula>
      <formula>9000</formula>
    </cfRule>
    <cfRule type="cellIs" dxfId="1803" priority="870" stopIfTrue="1" operator="greaterThanOrEqual">
      <formula>9000</formula>
    </cfRule>
  </conditionalFormatting>
  <conditionalFormatting sqref="O86">
    <cfRule type="cellIs" dxfId="1802" priority="832" stopIfTrue="1" operator="lessThanOrEqual">
      <formula>3000</formula>
    </cfRule>
    <cfRule type="cellIs" dxfId="1801" priority="833" stopIfTrue="1" operator="between">
      <formula>3000</formula>
      <formula>9000</formula>
    </cfRule>
    <cfRule type="cellIs" dxfId="1800" priority="834" stopIfTrue="1" operator="greaterThanOrEqual">
      <formula>9000</formula>
    </cfRule>
  </conditionalFormatting>
  <conditionalFormatting sqref="J86:M86">
    <cfRule type="cellIs" dxfId="1799" priority="835" stopIfTrue="1" operator="lessThanOrEqual">
      <formula>3000</formula>
    </cfRule>
    <cfRule type="cellIs" dxfId="1798" priority="836" stopIfTrue="1" operator="between">
      <formula>3000</formula>
      <formula>9000</formula>
    </cfRule>
    <cfRule type="cellIs" dxfId="1797" priority="837" stopIfTrue="1" operator="greaterThanOrEqual">
      <formula>9000</formula>
    </cfRule>
  </conditionalFormatting>
  <conditionalFormatting sqref="E92:H92">
    <cfRule type="cellIs" dxfId="1796" priority="826" stopIfTrue="1" operator="lessThanOrEqual">
      <formula>3000</formula>
    </cfRule>
    <cfRule type="cellIs" dxfId="1795" priority="827" stopIfTrue="1" operator="between">
      <formula>3000</formula>
      <formula>9000</formula>
    </cfRule>
    <cfRule type="cellIs" dxfId="1794" priority="828" stopIfTrue="1" operator="greaterThanOrEqual">
      <formula>9000</formula>
    </cfRule>
  </conditionalFormatting>
  <conditionalFormatting sqref="J92:M92">
    <cfRule type="cellIs" dxfId="1793" priority="823" stopIfTrue="1" operator="lessThanOrEqual">
      <formula>3000</formula>
    </cfRule>
    <cfRule type="cellIs" dxfId="1792" priority="824" stopIfTrue="1" operator="between">
      <formula>3000</formula>
      <formula>9000</formula>
    </cfRule>
    <cfRule type="cellIs" dxfId="1791" priority="825" stopIfTrue="1" operator="greaterThanOrEqual">
      <formula>9000</formula>
    </cfRule>
  </conditionalFormatting>
  <conditionalFormatting sqref="P92:S92">
    <cfRule type="cellIs" dxfId="1790" priority="817" stopIfTrue="1" operator="lessThanOrEqual">
      <formula>3000</formula>
    </cfRule>
    <cfRule type="cellIs" dxfId="1789" priority="818" stopIfTrue="1" operator="between">
      <formula>3000</formula>
      <formula>9000</formula>
    </cfRule>
    <cfRule type="cellIs" dxfId="1788" priority="819" stopIfTrue="1" operator="greaterThanOrEqual">
      <formula>9000</formula>
    </cfRule>
  </conditionalFormatting>
  <conditionalFormatting sqref="E98:H98">
    <cfRule type="cellIs" dxfId="1787" priority="814" stopIfTrue="1" operator="lessThanOrEqual">
      <formula>3000</formula>
    </cfRule>
    <cfRule type="cellIs" dxfId="1786" priority="815" stopIfTrue="1" operator="between">
      <formula>3000</formula>
      <formula>9000</formula>
    </cfRule>
    <cfRule type="cellIs" dxfId="1785" priority="816" stopIfTrue="1" operator="greaterThanOrEqual">
      <formula>9000</formula>
    </cfRule>
  </conditionalFormatting>
  <conditionalFormatting sqref="O98">
    <cfRule type="cellIs" dxfId="1784" priority="808" stopIfTrue="1" operator="lessThanOrEqual">
      <formula>3000</formula>
    </cfRule>
    <cfRule type="cellIs" dxfId="1783" priority="809" stopIfTrue="1" operator="between">
      <formula>3000</formula>
      <formula>9000</formula>
    </cfRule>
    <cfRule type="cellIs" dxfId="1782" priority="810" stopIfTrue="1" operator="greaterThanOrEqual">
      <formula>9000</formula>
    </cfRule>
  </conditionalFormatting>
  <conditionalFormatting sqref="P98:S98">
    <cfRule type="cellIs" dxfId="1781" priority="805" stopIfTrue="1" operator="lessThanOrEqual">
      <formula>3000</formula>
    </cfRule>
    <cfRule type="cellIs" dxfId="1780" priority="806" stopIfTrue="1" operator="between">
      <formula>3000</formula>
      <formula>9000</formula>
    </cfRule>
    <cfRule type="cellIs" dxfId="1779" priority="807" stopIfTrue="1" operator="greaterThanOrEqual">
      <formula>9000</formula>
    </cfRule>
  </conditionalFormatting>
  <conditionalFormatting sqref="J104:M104">
    <cfRule type="cellIs" dxfId="1778" priority="799" stopIfTrue="1" operator="lessThanOrEqual">
      <formula>3000</formula>
    </cfRule>
    <cfRule type="cellIs" dxfId="1777" priority="800" stopIfTrue="1" operator="between">
      <formula>3000</formula>
      <formula>9000</formula>
    </cfRule>
    <cfRule type="cellIs" dxfId="1776" priority="801" stopIfTrue="1" operator="greaterThanOrEqual">
      <formula>9000</formula>
    </cfRule>
  </conditionalFormatting>
  <conditionalFormatting sqref="O104">
    <cfRule type="cellIs" dxfId="1775" priority="796" stopIfTrue="1" operator="lessThanOrEqual">
      <formula>3000</formula>
    </cfRule>
    <cfRule type="cellIs" dxfId="1774" priority="797" stopIfTrue="1" operator="between">
      <formula>3000</formula>
      <formula>9000</formula>
    </cfRule>
    <cfRule type="cellIs" dxfId="1773" priority="798" stopIfTrue="1" operator="greaterThanOrEqual">
      <formula>9000</formula>
    </cfRule>
  </conditionalFormatting>
  <conditionalFormatting sqref="E110:H110">
    <cfRule type="cellIs" dxfId="1772" priority="790" stopIfTrue="1" operator="lessThanOrEqual">
      <formula>3000</formula>
    </cfRule>
    <cfRule type="cellIs" dxfId="1771" priority="791" stopIfTrue="1" operator="between">
      <formula>3000</formula>
      <formula>9000</formula>
    </cfRule>
    <cfRule type="cellIs" dxfId="1770" priority="792" stopIfTrue="1" operator="greaterThanOrEqual">
      <formula>9000</formula>
    </cfRule>
  </conditionalFormatting>
  <conditionalFormatting sqref="J110:M110">
    <cfRule type="cellIs" dxfId="1769" priority="787" stopIfTrue="1" operator="lessThanOrEqual">
      <formula>3000</formula>
    </cfRule>
    <cfRule type="cellIs" dxfId="1768" priority="788" stopIfTrue="1" operator="between">
      <formula>3000</formula>
      <formula>9000</formula>
    </cfRule>
    <cfRule type="cellIs" dxfId="1767" priority="789" stopIfTrue="1" operator="greaterThanOrEqual">
      <formula>9000</formula>
    </cfRule>
  </conditionalFormatting>
  <conditionalFormatting sqref="P110:S110">
    <cfRule type="cellIs" dxfId="1766" priority="781" stopIfTrue="1" operator="lessThanOrEqual">
      <formula>3000</formula>
    </cfRule>
    <cfRule type="cellIs" dxfId="1765" priority="782" stopIfTrue="1" operator="between">
      <formula>3000</formula>
      <formula>9000</formula>
    </cfRule>
    <cfRule type="cellIs" dxfId="1764" priority="783" stopIfTrue="1" operator="greaterThanOrEqual">
      <formula>9000</formula>
    </cfRule>
  </conditionalFormatting>
  <conditionalFormatting sqref="E116:H116">
    <cfRule type="cellIs" dxfId="1763" priority="778" stopIfTrue="1" operator="lessThanOrEqual">
      <formula>3000</formula>
    </cfRule>
    <cfRule type="cellIs" dxfId="1762" priority="779" stopIfTrue="1" operator="between">
      <formula>3000</formula>
      <formula>9000</formula>
    </cfRule>
    <cfRule type="cellIs" dxfId="1761" priority="780" stopIfTrue="1" operator="greaterThanOrEqual">
      <formula>9000</formula>
    </cfRule>
  </conditionalFormatting>
  <conditionalFormatting sqref="O116">
    <cfRule type="cellIs" dxfId="1760" priority="772" stopIfTrue="1" operator="lessThanOrEqual">
      <formula>3000</formula>
    </cfRule>
    <cfRule type="cellIs" dxfId="1759" priority="773" stopIfTrue="1" operator="between">
      <formula>3000</formula>
      <formula>9000</formula>
    </cfRule>
    <cfRule type="cellIs" dxfId="1758" priority="774" stopIfTrue="1" operator="greaterThanOrEqual">
      <formula>9000</formula>
    </cfRule>
  </conditionalFormatting>
  <conditionalFormatting sqref="P116:S116">
    <cfRule type="cellIs" dxfId="1757" priority="769" stopIfTrue="1" operator="lessThanOrEqual">
      <formula>3000</formula>
    </cfRule>
    <cfRule type="cellIs" dxfId="1756" priority="770" stopIfTrue="1" operator="between">
      <formula>3000</formula>
      <formula>9000</formula>
    </cfRule>
    <cfRule type="cellIs" dxfId="1755" priority="771" stopIfTrue="1" operator="greaterThanOrEqual">
      <formula>9000</formula>
    </cfRule>
  </conditionalFormatting>
  <conditionalFormatting sqref="E122:H122">
    <cfRule type="cellIs" dxfId="1754" priority="766" stopIfTrue="1" operator="lessThanOrEqual">
      <formula>3000</formula>
    </cfRule>
    <cfRule type="cellIs" dxfId="1753" priority="767" stopIfTrue="1" operator="between">
      <formula>3000</formula>
      <formula>9000</formula>
    </cfRule>
    <cfRule type="cellIs" dxfId="1752" priority="768" stopIfTrue="1" operator="greaterThanOrEqual">
      <formula>9000</formula>
    </cfRule>
  </conditionalFormatting>
  <conditionalFormatting sqref="O122">
    <cfRule type="cellIs" dxfId="1751" priority="760" stopIfTrue="1" operator="lessThanOrEqual">
      <formula>3000</formula>
    </cfRule>
    <cfRule type="cellIs" dxfId="1750" priority="761" stopIfTrue="1" operator="between">
      <formula>3000</formula>
      <formula>9000</formula>
    </cfRule>
    <cfRule type="cellIs" dxfId="1749" priority="762" stopIfTrue="1" operator="greaterThanOrEqual">
      <formula>9000</formula>
    </cfRule>
  </conditionalFormatting>
  <conditionalFormatting sqref="P122:S122">
    <cfRule type="cellIs" dxfId="1748" priority="757" stopIfTrue="1" operator="lessThanOrEqual">
      <formula>3000</formula>
    </cfRule>
    <cfRule type="cellIs" dxfId="1747" priority="758" stopIfTrue="1" operator="between">
      <formula>3000</formula>
      <formula>9000</formula>
    </cfRule>
    <cfRule type="cellIs" dxfId="1746" priority="759" stopIfTrue="1" operator="greaterThanOrEqual">
      <formula>9000</formula>
    </cfRule>
  </conditionalFormatting>
  <conditionalFormatting sqref="J134:M134">
    <cfRule type="cellIs" dxfId="1745" priority="739" stopIfTrue="1" operator="lessThanOrEqual">
      <formula>3000</formula>
    </cfRule>
    <cfRule type="cellIs" dxfId="1744" priority="740" stopIfTrue="1" operator="between">
      <formula>3000</formula>
      <formula>9000</formula>
    </cfRule>
    <cfRule type="cellIs" dxfId="1743" priority="741" stopIfTrue="1" operator="greaterThanOrEqual">
      <formula>9000</formula>
    </cfRule>
  </conditionalFormatting>
  <conditionalFormatting sqref="O128">
    <cfRule type="cellIs" dxfId="1742" priority="748" stopIfTrue="1" operator="lessThanOrEqual">
      <formula>3000</formula>
    </cfRule>
    <cfRule type="cellIs" dxfId="1741" priority="749" stopIfTrue="1" operator="between">
      <formula>3000</formula>
      <formula>9000</formula>
    </cfRule>
    <cfRule type="cellIs" dxfId="1740" priority="750" stopIfTrue="1" operator="greaterThanOrEqual">
      <formula>9000</formula>
    </cfRule>
  </conditionalFormatting>
  <conditionalFormatting sqref="E134:H134">
    <cfRule type="cellIs" dxfId="1739" priority="742" stopIfTrue="1" operator="lessThanOrEqual">
      <formula>3000</formula>
    </cfRule>
    <cfRule type="cellIs" dxfId="1738" priority="743" stopIfTrue="1" operator="between">
      <formula>3000</formula>
      <formula>9000</formula>
    </cfRule>
    <cfRule type="cellIs" dxfId="1737" priority="744" stopIfTrue="1" operator="greaterThanOrEqual">
      <formula>9000</formula>
    </cfRule>
  </conditionalFormatting>
  <conditionalFormatting sqref="P128:S128">
    <cfRule type="cellIs" dxfId="1736" priority="745" stopIfTrue="1" operator="lessThanOrEqual">
      <formula>3000</formula>
    </cfRule>
    <cfRule type="cellIs" dxfId="1735" priority="746" stopIfTrue="1" operator="between">
      <formula>3000</formula>
      <formula>9000</formula>
    </cfRule>
    <cfRule type="cellIs" dxfId="1734" priority="747" stopIfTrue="1" operator="greaterThanOrEqual">
      <formula>9000</formula>
    </cfRule>
  </conditionalFormatting>
  <conditionalFormatting sqref="E140:H140">
    <cfRule type="cellIs" dxfId="1733" priority="730" stopIfTrue="1" operator="lessThanOrEqual">
      <formula>3000</formula>
    </cfRule>
    <cfRule type="cellIs" dxfId="1732" priority="731" stopIfTrue="1" operator="between">
      <formula>3000</formula>
      <formula>9000</formula>
    </cfRule>
    <cfRule type="cellIs" dxfId="1731" priority="732" stopIfTrue="1" operator="greaterThanOrEqual">
      <formula>9000</formula>
    </cfRule>
  </conditionalFormatting>
  <conditionalFormatting sqref="J140:M140">
    <cfRule type="cellIs" dxfId="1730" priority="727" stopIfTrue="1" operator="lessThanOrEqual">
      <formula>3000</formula>
    </cfRule>
    <cfRule type="cellIs" dxfId="1729" priority="728" stopIfTrue="1" operator="between">
      <formula>3000</formula>
      <formula>9000</formula>
    </cfRule>
    <cfRule type="cellIs" dxfId="1728" priority="729" stopIfTrue="1" operator="greaterThanOrEqual">
      <formula>9000</formula>
    </cfRule>
  </conditionalFormatting>
  <conditionalFormatting sqref="O134">
    <cfRule type="cellIs" dxfId="1727" priority="736" stopIfTrue="1" operator="lessThanOrEqual">
      <formula>3000</formula>
    </cfRule>
    <cfRule type="cellIs" dxfId="1726" priority="737" stopIfTrue="1" operator="between">
      <formula>3000</formula>
      <formula>9000</formula>
    </cfRule>
    <cfRule type="cellIs" dxfId="1725" priority="738" stopIfTrue="1" operator="greaterThanOrEqual">
      <formula>9000</formula>
    </cfRule>
  </conditionalFormatting>
  <conditionalFormatting sqref="P134:S134">
    <cfRule type="cellIs" dxfId="1724" priority="733" stopIfTrue="1" operator="lessThanOrEqual">
      <formula>3000</formula>
    </cfRule>
    <cfRule type="cellIs" dxfId="1723" priority="734" stopIfTrue="1" operator="between">
      <formula>3000</formula>
      <formula>9000</formula>
    </cfRule>
    <cfRule type="cellIs" dxfId="1722" priority="735" stopIfTrue="1" operator="greaterThanOrEqual">
      <formula>9000</formula>
    </cfRule>
  </conditionalFormatting>
  <conditionalFormatting sqref="O140">
    <cfRule type="cellIs" dxfId="1721" priority="724" stopIfTrue="1" operator="lessThanOrEqual">
      <formula>3000</formula>
    </cfRule>
    <cfRule type="cellIs" dxfId="1720" priority="725" stopIfTrue="1" operator="between">
      <formula>3000</formula>
      <formula>9000</formula>
    </cfRule>
    <cfRule type="cellIs" dxfId="1719" priority="726" stopIfTrue="1" operator="greaterThanOrEqual">
      <formula>9000</formula>
    </cfRule>
  </conditionalFormatting>
  <conditionalFormatting sqref="P140:S140">
    <cfRule type="cellIs" dxfId="1718" priority="721" stopIfTrue="1" operator="lessThanOrEqual">
      <formula>3000</formula>
    </cfRule>
    <cfRule type="cellIs" dxfId="1717" priority="722" stopIfTrue="1" operator="between">
      <formula>3000</formula>
      <formula>9000</formula>
    </cfRule>
    <cfRule type="cellIs" dxfId="1716" priority="723" stopIfTrue="1" operator="greaterThanOrEqual">
      <formula>9000</formula>
    </cfRule>
  </conditionalFormatting>
  <conditionalFormatting sqref="E146:H146">
    <cfRule type="cellIs" dxfId="1715" priority="718" stopIfTrue="1" operator="lessThanOrEqual">
      <formula>3000</formula>
    </cfRule>
    <cfRule type="cellIs" dxfId="1714" priority="719" stopIfTrue="1" operator="between">
      <formula>3000</formula>
      <formula>9000</formula>
    </cfRule>
    <cfRule type="cellIs" dxfId="1713" priority="720" stopIfTrue="1" operator="greaterThanOrEqual">
      <formula>9000</formula>
    </cfRule>
  </conditionalFormatting>
  <conditionalFormatting sqref="J146:M146">
    <cfRule type="cellIs" dxfId="1712" priority="715" stopIfTrue="1" operator="lessThanOrEqual">
      <formula>3000</formula>
    </cfRule>
    <cfRule type="cellIs" dxfId="1711" priority="716" stopIfTrue="1" operator="between">
      <formula>3000</formula>
      <formula>9000</formula>
    </cfRule>
    <cfRule type="cellIs" dxfId="1710" priority="717" stopIfTrue="1" operator="greaterThanOrEqual">
      <formula>9000</formula>
    </cfRule>
  </conditionalFormatting>
  <conditionalFormatting sqref="O146">
    <cfRule type="cellIs" dxfId="1709" priority="712" stopIfTrue="1" operator="lessThanOrEqual">
      <formula>3000</formula>
    </cfRule>
    <cfRule type="cellIs" dxfId="1708" priority="713" stopIfTrue="1" operator="between">
      <formula>3000</formula>
      <formula>9000</formula>
    </cfRule>
    <cfRule type="cellIs" dxfId="1707" priority="714" stopIfTrue="1" operator="greaterThanOrEqual">
      <formula>9000</formula>
    </cfRule>
  </conditionalFormatting>
  <conditionalFormatting sqref="P146:S146">
    <cfRule type="cellIs" dxfId="1706" priority="709" stopIfTrue="1" operator="lessThanOrEqual">
      <formula>3000</formula>
    </cfRule>
    <cfRule type="cellIs" dxfId="1705" priority="710" stopIfTrue="1" operator="between">
      <formula>3000</formula>
      <formula>9000</formula>
    </cfRule>
    <cfRule type="cellIs" dxfId="1704" priority="711" stopIfTrue="1" operator="greaterThanOrEqual">
      <formula>9000</formula>
    </cfRule>
  </conditionalFormatting>
  <conditionalFormatting sqref="E152:H152">
    <cfRule type="cellIs" dxfId="1703" priority="706" stopIfTrue="1" operator="lessThanOrEqual">
      <formula>3000</formula>
    </cfRule>
    <cfRule type="cellIs" dxfId="1702" priority="707" stopIfTrue="1" operator="between">
      <formula>3000</formula>
      <formula>9000</formula>
    </cfRule>
    <cfRule type="cellIs" dxfId="1701" priority="708" stopIfTrue="1" operator="greaterThanOrEqual">
      <formula>9000</formula>
    </cfRule>
  </conditionalFormatting>
  <conditionalFormatting sqref="J152:M152">
    <cfRule type="cellIs" dxfId="1700" priority="703" stopIfTrue="1" operator="lessThanOrEqual">
      <formula>3000</formula>
    </cfRule>
    <cfRule type="cellIs" dxfId="1699" priority="704" stopIfTrue="1" operator="between">
      <formula>3000</formula>
      <formula>9000</formula>
    </cfRule>
    <cfRule type="cellIs" dxfId="1698" priority="705" stopIfTrue="1" operator="greaterThanOrEqual">
      <formula>9000</formula>
    </cfRule>
  </conditionalFormatting>
  <conditionalFormatting sqref="O152">
    <cfRule type="cellIs" dxfId="1697" priority="700" stopIfTrue="1" operator="lessThanOrEqual">
      <formula>3000</formula>
    </cfRule>
    <cfRule type="cellIs" dxfId="1696" priority="701" stopIfTrue="1" operator="between">
      <formula>3000</formula>
      <formula>9000</formula>
    </cfRule>
    <cfRule type="cellIs" dxfId="1695" priority="702" stopIfTrue="1" operator="greaterThanOrEqual">
      <formula>9000</formula>
    </cfRule>
  </conditionalFormatting>
  <conditionalFormatting sqref="P152:S152">
    <cfRule type="cellIs" dxfId="1694" priority="697" stopIfTrue="1" operator="lessThanOrEqual">
      <formula>3000</formula>
    </cfRule>
    <cfRule type="cellIs" dxfId="1693" priority="698" stopIfTrue="1" operator="between">
      <formula>3000</formula>
      <formula>9000</formula>
    </cfRule>
    <cfRule type="cellIs" dxfId="1692" priority="699" stopIfTrue="1" operator="greaterThanOrEqual">
      <formula>9000</formula>
    </cfRule>
  </conditionalFormatting>
  <conditionalFormatting sqref="E158:H158">
    <cfRule type="cellIs" dxfId="1691" priority="694" stopIfTrue="1" operator="lessThanOrEqual">
      <formula>3000</formula>
    </cfRule>
    <cfRule type="cellIs" dxfId="1690" priority="695" stopIfTrue="1" operator="between">
      <formula>3000</formula>
      <formula>9000</formula>
    </cfRule>
    <cfRule type="cellIs" dxfId="1689" priority="696" stopIfTrue="1" operator="greaterThanOrEqual">
      <formula>9000</formula>
    </cfRule>
  </conditionalFormatting>
  <conditionalFormatting sqref="J158:M158">
    <cfRule type="cellIs" dxfId="1688" priority="691" stopIfTrue="1" operator="lessThanOrEqual">
      <formula>3000</formula>
    </cfRule>
    <cfRule type="cellIs" dxfId="1687" priority="692" stopIfTrue="1" operator="between">
      <formula>3000</formula>
      <formula>9000</formula>
    </cfRule>
    <cfRule type="cellIs" dxfId="1686" priority="693" stopIfTrue="1" operator="greaterThanOrEqual">
      <formula>9000</formula>
    </cfRule>
  </conditionalFormatting>
  <conditionalFormatting sqref="O158">
    <cfRule type="cellIs" dxfId="1685" priority="688" stopIfTrue="1" operator="lessThanOrEqual">
      <formula>3000</formula>
    </cfRule>
    <cfRule type="cellIs" dxfId="1684" priority="689" stopIfTrue="1" operator="between">
      <formula>3000</formula>
      <formula>9000</formula>
    </cfRule>
    <cfRule type="cellIs" dxfId="1683" priority="690" stopIfTrue="1" operator="greaterThanOrEqual">
      <formula>9000</formula>
    </cfRule>
  </conditionalFormatting>
  <conditionalFormatting sqref="P158:S158">
    <cfRule type="cellIs" dxfId="1682" priority="685" stopIfTrue="1" operator="lessThanOrEqual">
      <formula>3000</formula>
    </cfRule>
    <cfRule type="cellIs" dxfId="1681" priority="686" stopIfTrue="1" operator="between">
      <formula>3000</formula>
      <formula>9000</formula>
    </cfRule>
    <cfRule type="cellIs" dxfId="1680" priority="687" stopIfTrue="1" operator="greaterThanOrEqual">
      <formula>9000</formula>
    </cfRule>
  </conditionalFormatting>
  <conditionalFormatting sqref="E164:H164">
    <cfRule type="cellIs" dxfId="1679" priority="682" stopIfTrue="1" operator="lessThanOrEqual">
      <formula>3000</formula>
    </cfRule>
    <cfRule type="cellIs" dxfId="1678" priority="683" stopIfTrue="1" operator="between">
      <formula>3000</formula>
      <formula>9000</formula>
    </cfRule>
    <cfRule type="cellIs" dxfId="1677" priority="684" stopIfTrue="1" operator="greaterThanOrEqual">
      <formula>9000</formula>
    </cfRule>
  </conditionalFormatting>
  <conditionalFormatting sqref="J164:M164">
    <cfRule type="cellIs" dxfId="1676" priority="679" stopIfTrue="1" operator="lessThanOrEqual">
      <formula>3000</formula>
    </cfRule>
    <cfRule type="cellIs" dxfId="1675" priority="680" stopIfTrue="1" operator="between">
      <formula>3000</formula>
      <formula>9000</formula>
    </cfRule>
    <cfRule type="cellIs" dxfId="1674" priority="681" stopIfTrue="1" operator="greaterThanOrEqual">
      <formula>9000</formula>
    </cfRule>
  </conditionalFormatting>
  <conditionalFormatting sqref="O164">
    <cfRule type="cellIs" dxfId="1673" priority="676" stopIfTrue="1" operator="lessThanOrEqual">
      <formula>3000</formula>
    </cfRule>
    <cfRule type="cellIs" dxfId="1672" priority="677" stopIfTrue="1" operator="between">
      <formula>3000</formula>
      <formula>9000</formula>
    </cfRule>
    <cfRule type="cellIs" dxfId="1671" priority="678" stopIfTrue="1" operator="greaterThanOrEqual">
      <formula>9000</formula>
    </cfRule>
  </conditionalFormatting>
  <conditionalFormatting sqref="P164:S164">
    <cfRule type="cellIs" dxfId="1670" priority="673" stopIfTrue="1" operator="lessThanOrEqual">
      <formula>3000</formula>
    </cfRule>
    <cfRule type="cellIs" dxfId="1669" priority="674" stopIfTrue="1" operator="between">
      <formula>3000</formula>
      <formula>9000</formula>
    </cfRule>
    <cfRule type="cellIs" dxfId="1668" priority="675" stopIfTrue="1" operator="greaterThanOrEqual">
      <formula>9000</formula>
    </cfRule>
  </conditionalFormatting>
  <conditionalFormatting sqref="E170:H170">
    <cfRule type="cellIs" dxfId="1667" priority="670" stopIfTrue="1" operator="lessThanOrEqual">
      <formula>3000</formula>
    </cfRule>
    <cfRule type="cellIs" dxfId="1666" priority="671" stopIfTrue="1" operator="between">
      <formula>3000</formula>
      <formula>9000</formula>
    </cfRule>
    <cfRule type="cellIs" dxfId="1665" priority="672" stopIfTrue="1" operator="greaterThanOrEqual">
      <formula>9000</formula>
    </cfRule>
  </conditionalFormatting>
  <conditionalFormatting sqref="J170:M170">
    <cfRule type="cellIs" dxfId="1664" priority="667" stopIfTrue="1" operator="lessThanOrEqual">
      <formula>3000</formula>
    </cfRule>
    <cfRule type="cellIs" dxfId="1663" priority="668" stopIfTrue="1" operator="between">
      <formula>3000</formula>
      <formula>9000</formula>
    </cfRule>
    <cfRule type="cellIs" dxfId="1662" priority="669" stopIfTrue="1" operator="greaterThanOrEqual">
      <formula>9000</formula>
    </cfRule>
  </conditionalFormatting>
  <conditionalFormatting sqref="O170">
    <cfRule type="cellIs" dxfId="1661" priority="664" stopIfTrue="1" operator="lessThanOrEqual">
      <formula>3000</formula>
    </cfRule>
    <cfRule type="cellIs" dxfId="1660" priority="665" stopIfTrue="1" operator="between">
      <formula>3000</formula>
      <formula>9000</formula>
    </cfRule>
    <cfRule type="cellIs" dxfId="1659" priority="666" stopIfTrue="1" operator="greaterThanOrEqual">
      <formula>9000</formula>
    </cfRule>
  </conditionalFormatting>
  <conditionalFormatting sqref="P170:S170">
    <cfRule type="cellIs" dxfId="1658" priority="661" stopIfTrue="1" operator="lessThanOrEqual">
      <formula>3000</formula>
    </cfRule>
    <cfRule type="cellIs" dxfId="1657" priority="662" stopIfTrue="1" operator="between">
      <formula>3000</formula>
      <formula>9000</formula>
    </cfRule>
    <cfRule type="cellIs" dxfId="1656" priority="663" stopIfTrue="1" operator="greaterThanOrEqual">
      <formula>9000</formula>
    </cfRule>
  </conditionalFormatting>
  <conditionalFormatting sqref="E176:H176">
    <cfRule type="cellIs" dxfId="1655" priority="658" stopIfTrue="1" operator="lessThanOrEqual">
      <formula>3000</formula>
    </cfRule>
    <cfRule type="cellIs" dxfId="1654" priority="659" stopIfTrue="1" operator="between">
      <formula>3000</formula>
      <formula>9000</formula>
    </cfRule>
    <cfRule type="cellIs" dxfId="1653" priority="660" stopIfTrue="1" operator="greaterThanOrEqual">
      <formula>9000</formula>
    </cfRule>
  </conditionalFormatting>
  <conditionalFormatting sqref="J176:M176">
    <cfRule type="cellIs" dxfId="1652" priority="655" stopIfTrue="1" operator="lessThanOrEqual">
      <formula>3000</formula>
    </cfRule>
    <cfRule type="cellIs" dxfId="1651" priority="656" stopIfTrue="1" operator="between">
      <formula>3000</formula>
      <formula>9000</formula>
    </cfRule>
    <cfRule type="cellIs" dxfId="1650" priority="657" stopIfTrue="1" operator="greaterThanOrEqual">
      <formula>9000</formula>
    </cfRule>
  </conditionalFormatting>
  <conditionalFormatting sqref="O176">
    <cfRule type="cellIs" dxfId="1649" priority="652" stopIfTrue="1" operator="lessThanOrEqual">
      <formula>3000</formula>
    </cfRule>
    <cfRule type="cellIs" dxfId="1648" priority="653" stopIfTrue="1" operator="between">
      <formula>3000</formula>
      <formula>9000</formula>
    </cfRule>
    <cfRule type="cellIs" dxfId="1647" priority="654" stopIfTrue="1" operator="greaterThanOrEqual">
      <formula>9000</formula>
    </cfRule>
  </conditionalFormatting>
  <conditionalFormatting sqref="P176:S176">
    <cfRule type="cellIs" dxfId="1646" priority="649" stopIfTrue="1" operator="lessThanOrEqual">
      <formula>3000</formula>
    </cfRule>
    <cfRule type="cellIs" dxfId="1645" priority="650" stopIfTrue="1" operator="between">
      <formula>3000</formula>
      <formula>9000</formula>
    </cfRule>
    <cfRule type="cellIs" dxfId="1644" priority="651" stopIfTrue="1" operator="greaterThanOrEqual">
      <formula>9000</formula>
    </cfRule>
  </conditionalFormatting>
  <conditionalFormatting sqref="E182:H182">
    <cfRule type="cellIs" dxfId="1643" priority="646" stopIfTrue="1" operator="lessThanOrEqual">
      <formula>3000</formula>
    </cfRule>
    <cfRule type="cellIs" dxfId="1642" priority="647" stopIfTrue="1" operator="between">
      <formula>3000</formula>
      <formula>9000</formula>
    </cfRule>
    <cfRule type="cellIs" dxfId="1641" priority="648" stopIfTrue="1" operator="greaterThanOrEqual">
      <formula>9000</formula>
    </cfRule>
  </conditionalFormatting>
  <conditionalFormatting sqref="J182:M182">
    <cfRule type="cellIs" dxfId="1640" priority="643" stopIfTrue="1" operator="lessThanOrEqual">
      <formula>3000</formula>
    </cfRule>
    <cfRule type="cellIs" dxfId="1639" priority="644" stopIfTrue="1" operator="between">
      <formula>3000</formula>
      <formula>9000</formula>
    </cfRule>
    <cfRule type="cellIs" dxfId="1638" priority="645" stopIfTrue="1" operator="greaterThanOrEqual">
      <formula>9000</formula>
    </cfRule>
  </conditionalFormatting>
  <conditionalFormatting sqref="O182">
    <cfRule type="cellIs" dxfId="1637" priority="640" stopIfTrue="1" operator="lessThanOrEqual">
      <formula>3000</formula>
    </cfRule>
    <cfRule type="cellIs" dxfId="1636" priority="641" stopIfTrue="1" operator="between">
      <formula>3000</formula>
      <formula>9000</formula>
    </cfRule>
    <cfRule type="cellIs" dxfId="1635" priority="642" stopIfTrue="1" operator="greaterThanOrEqual">
      <formula>9000</formula>
    </cfRule>
  </conditionalFormatting>
  <conditionalFormatting sqref="P182:S182">
    <cfRule type="cellIs" dxfId="1634" priority="637" stopIfTrue="1" operator="lessThanOrEqual">
      <formula>3000</formula>
    </cfRule>
    <cfRule type="cellIs" dxfId="1633" priority="638" stopIfTrue="1" operator="between">
      <formula>3000</formula>
      <formula>9000</formula>
    </cfRule>
    <cfRule type="cellIs" dxfId="1632" priority="639" stopIfTrue="1" operator="greaterThanOrEqual">
      <formula>9000</formula>
    </cfRule>
  </conditionalFormatting>
  <conditionalFormatting sqref="E188:H188">
    <cfRule type="cellIs" dxfId="1631" priority="634" stopIfTrue="1" operator="lessThanOrEqual">
      <formula>3000</formula>
    </cfRule>
    <cfRule type="cellIs" dxfId="1630" priority="635" stopIfTrue="1" operator="between">
      <formula>3000</formula>
      <formula>9000</formula>
    </cfRule>
    <cfRule type="cellIs" dxfId="1629" priority="636" stopIfTrue="1" operator="greaterThanOrEqual">
      <formula>9000</formula>
    </cfRule>
  </conditionalFormatting>
  <conditionalFormatting sqref="J188:M188">
    <cfRule type="cellIs" dxfId="1628" priority="631" stopIfTrue="1" operator="lessThanOrEqual">
      <formula>3000</formula>
    </cfRule>
    <cfRule type="cellIs" dxfId="1627" priority="632" stopIfTrue="1" operator="between">
      <formula>3000</formula>
      <formula>9000</formula>
    </cfRule>
    <cfRule type="cellIs" dxfId="1626" priority="633" stopIfTrue="1" operator="greaterThanOrEqual">
      <formula>9000</formula>
    </cfRule>
  </conditionalFormatting>
  <conditionalFormatting sqref="O188">
    <cfRule type="cellIs" dxfId="1625" priority="628" stopIfTrue="1" operator="lessThanOrEqual">
      <formula>3000</formula>
    </cfRule>
    <cfRule type="cellIs" dxfId="1624" priority="629" stopIfTrue="1" operator="between">
      <formula>3000</formula>
      <formula>9000</formula>
    </cfRule>
    <cfRule type="cellIs" dxfId="1623" priority="630" stopIfTrue="1" operator="greaterThanOrEqual">
      <formula>9000</formula>
    </cfRule>
  </conditionalFormatting>
  <conditionalFormatting sqref="P188:S188">
    <cfRule type="cellIs" dxfId="1622" priority="625" stopIfTrue="1" operator="lessThanOrEqual">
      <formula>3000</formula>
    </cfRule>
    <cfRule type="cellIs" dxfId="1621" priority="626" stopIfTrue="1" operator="between">
      <formula>3000</formula>
      <formula>9000</formula>
    </cfRule>
    <cfRule type="cellIs" dxfId="1620" priority="627" stopIfTrue="1" operator="greaterThanOrEqual">
      <formula>9000</formula>
    </cfRule>
  </conditionalFormatting>
  <conditionalFormatting sqref="E194:H194">
    <cfRule type="cellIs" dxfId="1619" priority="622" stopIfTrue="1" operator="lessThanOrEqual">
      <formula>3000</formula>
    </cfRule>
    <cfRule type="cellIs" dxfId="1618" priority="623" stopIfTrue="1" operator="between">
      <formula>3000</formula>
      <formula>9000</formula>
    </cfRule>
    <cfRule type="cellIs" dxfId="1617" priority="624" stopIfTrue="1" operator="greaterThanOrEqual">
      <formula>9000</formula>
    </cfRule>
  </conditionalFormatting>
  <conditionalFormatting sqref="J194:M194">
    <cfRule type="cellIs" dxfId="1616" priority="619" stopIfTrue="1" operator="lessThanOrEqual">
      <formula>3000</formula>
    </cfRule>
    <cfRule type="cellIs" dxfId="1615" priority="620" stopIfTrue="1" operator="between">
      <formula>3000</formula>
      <formula>9000</formula>
    </cfRule>
    <cfRule type="cellIs" dxfId="1614" priority="621" stopIfTrue="1" operator="greaterThanOrEqual">
      <formula>9000</formula>
    </cfRule>
  </conditionalFormatting>
  <conditionalFormatting sqref="O194">
    <cfRule type="cellIs" dxfId="1613" priority="616" stopIfTrue="1" operator="lessThanOrEqual">
      <formula>3000</formula>
    </cfRule>
    <cfRule type="cellIs" dxfId="1612" priority="617" stopIfTrue="1" operator="between">
      <formula>3000</formula>
      <formula>9000</formula>
    </cfRule>
    <cfRule type="cellIs" dxfId="1611" priority="618" stopIfTrue="1" operator="greaterThanOrEqual">
      <formula>9000</formula>
    </cfRule>
  </conditionalFormatting>
  <conditionalFormatting sqref="P194:S194">
    <cfRule type="cellIs" dxfId="1610" priority="613" stopIfTrue="1" operator="lessThanOrEqual">
      <formula>3000</formula>
    </cfRule>
    <cfRule type="cellIs" dxfId="1609" priority="614" stopIfTrue="1" operator="between">
      <formula>3000</formula>
      <formula>9000</formula>
    </cfRule>
    <cfRule type="cellIs" dxfId="1608" priority="615" stopIfTrue="1" operator="greaterThanOrEqual">
      <formula>9000</formula>
    </cfRule>
  </conditionalFormatting>
  <conditionalFormatting sqref="E200:H200">
    <cfRule type="cellIs" dxfId="1607" priority="610" stopIfTrue="1" operator="lessThanOrEqual">
      <formula>3000</formula>
    </cfRule>
    <cfRule type="cellIs" dxfId="1606" priority="611" stopIfTrue="1" operator="between">
      <formula>3000</formula>
      <formula>9000</formula>
    </cfRule>
    <cfRule type="cellIs" dxfId="1605" priority="612" stopIfTrue="1" operator="greaterThanOrEqual">
      <formula>9000</formula>
    </cfRule>
  </conditionalFormatting>
  <conditionalFormatting sqref="J200:M200">
    <cfRule type="cellIs" dxfId="1604" priority="607" stopIfTrue="1" operator="lessThanOrEqual">
      <formula>3000</formula>
    </cfRule>
    <cfRule type="cellIs" dxfId="1603" priority="608" stopIfTrue="1" operator="between">
      <formula>3000</formula>
      <formula>9000</formula>
    </cfRule>
    <cfRule type="cellIs" dxfId="1602" priority="609" stopIfTrue="1" operator="greaterThanOrEqual">
      <formula>9000</formula>
    </cfRule>
  </conditionalFormatting>
  <conditionalFormatting sqref="O200">
    <cfRule type="cellIs" dxfId="1601" priority="604" stopIfTrue="1" operator="lessThanOrEqual">
      <formula>3000</formula>
    </cfRule>
    <cfRule type="cellIs" dxfId="1600" priority="605" stopIfTrue="1" operator="between">
      <formula>3000</formula>
      <formula>9000</formula>
    </cfRule>
    <cfRule type="cellIs" dxfId="1599" priority="606" stopIfTrue="1" operator="greaterThanOrEqual">
      <formula>9000</formula>
    </cfRule>
  </conditionalFormatting>
  <conditionalFormatting sqref="P200:S200">
    <cfRule type="cellIs" dxfId="1598" priority="601" stopIfTrue="1" operator="lessThanOrEqual">
      <formula>3000</formula>
    </cfRule>
    <cfRule type="cellIs" dxfId="1597" priority="602" stopIfTrue="1" operator="between">
      <formula>3000</formula>
      <formula>9000</formula>
    </cfRule>
    <cfRule type="cellIs" dxfId="1596" priority="603" stopIfTrue="1" operator="greaterThanOrEqual">
      <formula>9000</formula>
    </cfRule>
  </conditionalFormatting>
  <conditionalFormatting sqref="E206:H206">
    <cfRule type="cellIs" dxfId="1595" priority="598" stopIfTrue="1" operator="lessThanOrEqual">
      <formula>3000</formula>
    </cfRule>
    <cfRule type="cellIs" dxfId="1594" priority="599" stopIfTrue="1" operator="between">
      <formula>3000</formula>
      <formula>9000</formula>
    </cfRule>
    <cfRule type="cellIs" dxfId="1593" priority="600" stopIfTrue="1" operator="greaterThanOrEqual">
      <formula>9000</formula>
    </cfRule>
  </conditionalFormatting>
  <conditionalFormatting sqref="J206:M206">
    <cfRule type="cellIs" dxfId="1592" priority="595" stopIfTrue="1" operator="lessThanOrEqual">
      <formula>3000</formula>
    </cfRule>
    <cfRule type="cellIs" dxfId="1591" priority="596" stopIfTrue="1" operator="between">
      <formula>3000</formula>
      <formula>9000</formula>
    </cfRule>
    <cfRule type="cellIs" dxfId="1590" priority="597" stopIfTrue="1" operator="greaterThanOrEqual">
      <formula>9000</formula>
    </cfRule>
  </conditionalFormatting>
  <conditionalFormatting sqref="O206">
    <cfRule type="cellIs" dxfId="1589" priority="592" stopIfTrue="1" operator="lessThanOrEqual">
      <formula>3000</formula>
    </cfRule>
    <cfRule type="cellIs" dxfId="1588" priority="593" stopIfTrue="1" operator="between">
      <formula>3000</formula>
      <formula>9000</formula>
    </cfRule>
    <cfRule type="cellIs" dxfId="1587" priority="594" stopIfTrue="1" operator="greaterThanOrEqual">
      <formula>9000</formula>
    </cfRule>
  </conditionalFormatting>
  <conditionalFormatting sqref="P206:S206">
    <cfRule type="cellIs" dxfId="1586" priority="589" stopIfTrue="1" operator="lessThanOrEqual">
      <formula>3000</formula>
    </cfRule>
    <cfRule type="cellIs" dxfId="1585" priority="590" stopIfTrue="1" operator="between">
      <formula>3000</formula>
      <formula>9000</formula>
    </cfRule>
    <cfRule type="cellIs" dxfId="1584" priority="591" stopIfTrue="1" operator="greaterThanOrEqual">
      <formula>9000</formula>
    </cfRule>
  </conditionalFormatting>
  <conditionalFormatting sqref="E218:H218">
    <cfRule type="cellIs" dxfId="1583" priority="574" stopIfTrue="1" operator="lessThanOrEqual">
      <formula>3000</formula>
    </cfRule>
    <cfRule type="cellIs" dxfId="1582" priority="575" stopIfTrue="1" operator="between">
      <formula>3000</formula>
      <formula>9000</formula>
    </cfRule>
    <cfRule type="cellIs" dxfId="1581" priority="576" stopIfTrue="1" operator="greaterThanOrEqual">
      <formula>9000</formula>
    </cfRule>
  </conditionalFormatting>
  <conditionalFormatting sqref="J218:M218">
    <cfRule type="cellIs" dxfId="1580" priority="571" stopIfTrue="1" operator="lessThanOrEqual">
      <formula>3000</formula>
    </cfRule>
    <cfRule type="cellIs" dxfId="1579" priority="572" stopIfTrue="1" operator="between">
      <formula>3000</formula>
      <formula>9000</formula>
    </cfRule>
    <cfRule type="cellIs" dxfId="1578" priority="573" stopIfTrue="1" operator="greaterThanOrEqual">
      <formula>9000</formula>
    </cfRule>
  </conditionalFormatting>
  <conditionalFormatting sqref="O218">
    <cfRule type="cellIs" dxfId="1577" priority="568" stopIfTrue="1" operator="lessThanOrEqual">
      <formula>3000</formula>
    </cfRule>
    <cfRule type="cellIs" dxfId="1576" priority="569" stopIfTrue="1" operator="between">
      <formula>3000</formula>
      <formula>9000</formula>
    </cfRule>
    <cfRule type="cellIs" dxfId="1575" priority="570" stopIfTrue="1" operator="greaterThanOrEqual">
      <formula>9000</formula>
    </cfRule>
  </conditionalFormatting>
  <conditionalFormatting sqref="P218:S218">
    <cfRule type="cellIs" dxfId="1574" priority="565" stopIfTrue="1" operator="lessThanOrEqual">
      <formula>3000</formula>
    </cfRule>
    <cfRule type="cellIs" dxfId="1573" priority="566" stopIfTrue="1" operator="between">
      <formula>3000</formula>
      <formula>9000</formula>
    </cfRule>
    <cfRule type="cellIs" dxfId="1572" priority="567" stopIfTrue="1" operator="greaterThanOrEqual">
      <formula>9000</formula>
    </cfRule>
  </conditionalFormatting>
  <conditionalFormatting sqref="E224:H224">
    <cfRule type="cellIs" dxfId="1571" priority="562" stopIfTrue="1" operator="lessThanOrEqual">
      <formula>3000</formula>
    </cfRule>
    <cfRule type="cellIs" dxfId="1570" priority="563" stopIfTrue="1" operator="between">
      <formula>3000</formula>
      <formula>9000</formula>
    </cfRule>
    <cfRule type="cellIs" dxfId="1569" priority="564" stopIfTrue="1" operator="greaterThanOrEqual">
      <formula>9000</formula>
    </cfRule>
  </conditionalFormatting>
  <conditionalFormatting sqref="J224:M224">
    <cfRule type="cellIs" dxfId="1568" priority="559" stopIfTrue="1" operator="lessThanOrEqual">
      <formula>3000</formula>
    </cfRule>
    <cfRule type="cellIs" dxfId="1567" priority="560" stopIfTrue="1" operator="between">
      <formula>3000</formula>
      <formula>9000</formula>
    </cfRule>
    <cfRule type="cellIs" dxfId="1566" priority="561" stopIfTrue="1" operator="greaterThanOrEqual">
      <formula>9000</formula>
    </cfRule>
  </conditionalFormatting>
  <conditionalFormatting sqref="O224">
    <cfRule type="cellIs" dxfId="1565" priority="556" stopIfTrue="1" operator="lessThanOrEqual">
      <formula>3000</formula>
    </cfRule>
    <cfRule type="cellIs" dxfId="1564" priority="557" stopIfTrue="1" operator="between">
      <formula>3000</formula>
      <formula>9000</formula>
    </cfRule>
    <cfRule type="cellIs" dxfId="1563" priority="558" stopIfTrue="1" operator="greaterThanOrEqual">
      <formula>9000</formula>
    </cfRule>
  </conditionalFormatting>
  <conditionalFormatting sqref="P224:S224">
    <cfRule type="cellIs" dxfId="1562" priority="553" stopIfTrue="1" operator="lessThanOrEqual">
      <formula>3000</formula>
    </cfRule>
    <cfRule type="cellIs" dxfId="1561" priority="554" stopIfTrue="1" operator="between">
      <formula>3000</formula>
      <formula>9000</formula>
    </cfRule>
    <cfRule type="cellIs" dxfId="1560" priority="555" stopIfTrue="1" operator="greaterThanOrEqual">
      <formula>9000</formula>
    </cfRule>
  </conditionalFormatting>
  <conditionalFormatting sqref="E230:H230">
    <cfRule type="cellIs" dxfId="1559" priority="550" stopIfTrue="1" operator="lessThanOrEqual">
      <formula>3000</formula>
    </cfRule>
    <cfRule type="cellIs" dxfId="1558" priority="551" stopIfTrue="1" operator="between">
      <formula>3000</formula>
      <formula>9000</formula>
    </cfRule>
    <cfRule type="cellIs" dxfId="1557" priority="552" stopIfTrue="1" operator="greaterThanOrEqual">
      <formula>9000</formula>
    </cfRule>
  </conditionalFormatting>
  <conditionalFormatting sqref="J230:M230">
    <cfRule type="cellIs" dxfId="1556" priority="547" stopIfTrue="1" operator="lessThanOrEqual">
      <formula>3000</formula>
    </cfRule>
    <cfRule type="cellIs" dxfId="1555" priority="548" stopIfTrue="1" operator="between">
      <formula>3000</formula>
      <formula>9000</formula>
    </cfRule>
    <cfRule type="cellIs" dxfId="1554" priority="549" stopIfTrue="1" operator="greaterThanOrEqual">
      <formula>9000</formula>
    </cfRule>
  </conditionalFormatting>
  <conditionalFormatting sqref="O230">
    <cfRule type="cellIs" dxfId="1553" priority="544" stopIfTrue="1" operator="lessThanOrEqual">
      <formula>3000</formula>
    </cfRule>
    <cfRule type="cellIs" dxfId="1552" priority="545" stopIfTrue="1" operator="between">
      <formula>3000</formula>
      <formula>9000</formula>
    </cfRule>
    <cfRule type="cellIs" dxfId="1551" priority="546" stopIfTrue="1" operator="greaterThanOrEqual">
      <formula>9000</formula>
    </cfRule>
  </conditionalFormatting>
  <conditionalFormatting sqref="P230:S230">
    <cfRule type="cellIs" dxfId="1550" priority="541" stopIfTrue="1" operator="lessThanOrEqual">
      <formula>3000</formula>
    </cfRule>
    <cfRule type="cellIs" dxfId="1549" priority="542" stopIfTrue="1" operator="between">
      <formula>3000</formula>
      <formula>9000</formula>
    </cfRule>
    <cfRule type="cellIs" dxfId="1548" priority="543" stopIfTrue="1" operator="greaterThanOrEqual">
      <formula>9000</formula>
    </cfRule>
  </conditionalFormatting>
  <conditionalFormatting sqref="E236:H236">
    <cfRule type="cellIs" dxfId="1547" priority="538" stopIfTrue="1" operator="lessThanOrEqual">
      <formula>3000</formula>
    </cfRule>
    <cfRule type="cellIs" dxfId="1546" priority="539" stopIfTrue="1" operator="between">
      <formula>3000</formula>
      <formula>9000</formula>
    </cfRule>
    <cfRule type="cellIs" dxfId="1545" priority="540" stopIfTrue="1" operator="greaterThanOrEqual">
      <formula>9000</formula>
    </cfRule>
  </conditionalFormatting>
  <conditionalFormatting sqref="J236:M236">
    <cfRule type="cellIs" dxfId="1544" priority="535" stopIfTrue="1" operator="lessThanOrEqual">
      <formula>3000</formula>
    </cfRule>
    <cfRule type="cellIs" dxfId="1543" priority="536" stopIfTrue="1" operator="between">
      <formula>3000</formula>
      <formula>9000</formula>
    </cfRule>
    <cfRule type="cellIs" dxfId="1542" priority="537" stopIfTrue="1" operator="greaterThanOrEqual">
      <formula>9000</formula>
    </cfRule>
  </conditionalFormatting>
  <conditionalFormatting sqref="O236">
    <cfRule type="cellIs" dxfId="1541" priority="532" stopIfTrue="1" operator="lessThanOrEqual">
      <formula>3000</formula>
    </cfRule>
    <cfRule type="cellIs" dxfId="1540" priority="533" stopIfTrue="1" operator="between">
      <formula>3000</formula>
      <formula>9000</formula>
    </cfRule>
    <cfRule type="cellIs" dxfId="1539" priority="534" stopIfTrue="1" operator="greaterThanOrEqual">
      <formula>9000</formula>
    </cfRule>
  </conditionalFormatting>
  <conditionalFormatting sqref="P236:S236">
    <cfRule type="cellIs" dxfId="1538" priority="529" stopIfTrue="1" operator="lessThanOrEqual">
      <formula>3000</formula>
    </cfRule>
    <cfRule type="cellIs" dxfId="1537" priority="530" stopIfTrue="1" operator="between">
      <formula>3000</formula>
      <formula>9000</formula>
    </cfRule>
    <cfRule type="cellIs" dxfId="1536" priority="531" stopIfTrue="1" operator="greaterThanOrEqual">
      <formula>9000</formula>
    </cfRule>
  </conditionalFormatting>
  <conditionalFormatting sqref="V242:Y242">
    <cfRule type="cellIs" dxfId="1535" priority="526" stopIfTrue="1" operator="lessThanOrEqual">
      <formula>3000</formula>
    </cfRule>
    <cfRule type="cellIs" dxfId="1534" priority="527" stopIfTrue="1" operator="between">
      <formula>3000</formula>
      <formula>9000</formula>
    </cfRule>
    <cfRule type="cellIs" dxfId="1533" priority="528" stopIfTrue="1" operator="greaterThanOrEqual">
      <formula>9000</formula>
    </cfRule>
  </conditionalFormatting>
  <conditionalFormatting sqref="AA242:AD242">
    <cfRule type="cellIs" dxfId="1532" priority="523" stopIfTrue="1" operator="lessThanOrEqual">
      <formula>3000</formula>
    </cfRule>
    <cfRule type="cellIs" dxfId="1531" priority="524" stopIfTrue="1" operator="between">
      <formula>3000</formula>
      <formula>9000</formula>
    </cfRule>
    <cfRule type="cellIs" dxfId="1530" priority="525" stopIfTrue="1" operator="greaterThanOrEqual">
      <formula>9000</formula>
    </cfRule>
  </conditionalFormatting>
  <conditionalFormatting sqref="AF242">
    <cfRule type="cellIs" dxfId="1529" priority="520" stopIfTrue="1" operator="lessThanOrEqual">
      <formula>3000</formula>
    </cfRule>
    <cfRule type="cellIs" dxfId="1528" priority="521" stopIfTrue="1" operator="between">
      <formula>3000</formula>
      <formula>9000</formula>
    </cfRule>
    <cfRule type="cellIs" dxfId="1527" priority="522" stopIfTrue="1" operator="greaterThanOrEqual">
      <formula>9000</formula>
    </cfRule>
  </conditionalFormatting>
  <conditionalFormatting sqref="AG242:AJ242">
    <cfRule type="cellIs" dxfId="1526" priority="517" stopIfTrue="1" operator="lessThanOrEqual">
      <formula>3000</formula>
    </cfRule>
    <cfRule type="cellIs" dxfId="1525" priority="518" stopIfTrue="1" operator="between">
      <formula>3000</formula>
      <formula>9000</formula>
    </cfRule>
    <cfRule type="cellIs" dxfId="1524" priority="519" stopIfTrue="1" operator="greaterThanOrEqual">
      <formula>9000</formula>
    </cfRule>
  </conditionalFormatting>
  <conditionalFormatting sqref="AF20">
    <cfRule type="cellIs" dxfId="1523" priority="484" stopIfTrue="1" operator="lessThanOrEqual">
      <formula>3000</formula>
    </cfRule>
    <cfRule type="cellIs" dxfId="1522" priority="485" stopIfTrue="1" operator="between">
      <formula>3000</formula>
      <formula>9000</formula>
    </cfRule>
    <cfRule type="cellIs" dxfId="1521" priority="486" stopIfTrue="1" operator="greaterThanOrEqual">
      <formula>9000</formula>
    </cfRule>
  </conditionalFormatting>
  <conditionalFormatting sqref="AA20:AD20">
    <cfRule type="cellIs" dxfId="1520" priority="487" stopIfTrue="1" operator="lessThanOrEqual">
      <formula>3000</formula>
    </cfRule>
    <cfRule type="cellIs" dxfId="1519" priority="488" stopIfTrue="1" operator="between">
      <formula>3000</formula>
      <formula>9000</formula>
    </cfRule>
    <cfRule type="cellIs" dxfId="1518" priority="489" stopIfTrue="1" operator="greaterThanOrEqual">
      <formula>9000</formula>
    </cfRule>
  </conditionalFormatting>
  <conditionalFormatting sqref="AF14">
    <cfRule type="cellIs" dxfId="1517" priority="496" stopIfTrue="1" operator="lessThanOrEqual">
      <formula>3000</formula>
    </cfRule>
    <cfRule type="cellIs" dxfId="1516" priority="497" stopIfTrue="1" operator="between">
      <formula>3000</formula>
      <formula>9000</formula>
    </cfRule>
    <cfRule type="cellIs" dxfId="1515" priority="498" stopIfTrue="1" operator="greaterThanOrEqual">
      <formula>9000</formula>
    </cfRule>
  </conditionalFormatting>
  <conditionalFormatting sqref="AG8:AJ8">
    <cfRule type="cellIs" dxfId="1514" priority="505" stopIfTrue="1" operator="lessThanOrEqual">
      <formula>3000</formula>
    </cfRule>
    <cfRule type="cellIs" dxfId="1513" priority="506" stopIfTrue="1" operator="between">
      <formula>3000</formula>
      <formula>9000</formula>
    </cfRule>
    <cfRule type="cellIs" dxfId="1512" priority="507" stopIfTrue="1" operator="greaterThanOrEqual">
      <formula>9000</formula>
    </cfRule>
  </conditionalFormatting>
  <conditionalFormatting sqref="V8:Y8">
    <cfRule type="cellIs" dxfId="1511" priority="514" stopIfTrue="1" operator="lessThanOrEqual">
      <formula>3000</formula>
    </cfRule>
    <cfRule type="cellIs" dxfId="1510" priority="515" stopIfTrue="1" operator="between">
      <formula>3000</formula>
      <formula>9000</formula>
    </cfRule>
    <cfRule type="cellIs" dxfId="1509" priority="516" stopIfTrue="1" operator="greaterThanOrEqual">
      <formula>9000</formula>
    </cfRule>
  </conditionalFormatting>
  <conditionalFormatting sqref="AG74:AJ74">
    <cfRule type="cellIs" dxfId="1508" priority="373" stopIfTrue="1" operator="lessThanOrEqual">
      <formula>3000</formula>
    </cfRule>
    <cfRule type="cellIs" dxfId="1507" priority="374" stopIfTrue="1" operator="between">
      <formula>3000</formula>
      <formula>9000</formula>
    </cfRule>
    <cfRule type="cellIs" dxfId="1506" priority="375" stopIfTrue="1" operator="greaterThanOrEqual">
      <formula>9000</formula>
    </cfRule>
  </conditionalFormatting>
  <conditionalFormatting sqref="AF74">
    <cfRule type="cellIs" dxfId="1505" priority="376" stopIfTrue="1" operator="lessThanOrEqual">
      <formula>3000</formula>
    </cfRule>
    <cfRule type="cellIs" dxfId="1504" priority="377" stopIfTrue="1" operator="between">
      <formula>3000</formula>
      <formula>9000</formula>
    </cfRule>
    <cfRule type="cellIs" dxfId="1503" priority="378" stopIfTrue="1" operator="greaterThanOrEqual">
      <formula>9000</formula>
    </cfRule>
  </conditionalFormatting>
  <conditionalFormatting sqref="AG68:AJ68">
    <cfRule type="cellIs" dxfId="1502" priority="385" stopIfTrue="1" operator="lessThanOrEqual">
      <formula>3000</formula>
    </cfRule>
    <cfRule type="cellIs" dxfId="1501" priority="386" stopIfTrue="1" operator="between">
      <formula>3000</formula>
      <formula>9000</formula>
    </cfRule>
    <cfRule type="cellIs" dxfId="1500" priority="387" stopIfTrue="1" operator="greaterThanOrEqual">
      <formula>9000</formula>
    </cfRule>
  </conditionalFormatting>
  <conditionalFormatting sqref="V68:Y68">
    <cfRule type="cellIs" dxfId="1499" priority="394" stopIfTrue="1" operator="lessThanOrEqual">
      <formula>3000</formula>
    </cfRule>
    <cfRule type="cellIs" dxfId="1498" priority="395" stopIfTrue="1" operator="between">
      <formula>3000</formula>
      <formula>9000</formula>
    </cfRule>
    <cfRule type="cellIs" dxfId="1497" priority="396" stopIfTrue="1" operator="greaterThanOrEqual">
      <formula>9000</formula>
    </cfRule>
  </conditionalFormatting>
  <conditionalFormatting sqref="AA62:AD62">
    <cfRule type="cellIs" dxfId="1496" priority="403" stopIfTrue="1" operator="lessThanOrEqual">
      <formula>3000</formula>
    </cfRule>
    <cfRule type="cellIs" dxfId="1495" priority="404" stopIfTrue="1" operator="between">
      <formula>3000</formula>
      <formula>9000</formula>
    </cfRule>
    <cfRule type="cellIs" dxfId="1494" priority="405" stopIfTrue="1" operator="greaterThanOrEqual">
      <formula>9000</formula>
    </cfRule>
  </conditionalFormatting>
  <conditionalFormatting sqref="AF56">
    <cfRule type="cellIs" dxfId="1493" priority="412" stopIfTrue="1" operator="lessThanOrEqual">
      <formula>3000</formula>
    </cfRule>
    <cfRule type="cellIs" dxfId="1492" priority="413" stopIfTrue="1" operator="between">
      <formula>3000</formula>
      <formula>9000</formula>
    </cfRule>
    <cfRule type="cellIs" dxfId="1491" priority="414" stopIfTrue="1" operator="greaterThanOrEqual">
      <formula>9000</formula>
    </cfRule>
  </conditionalFormatting>
  <conditionalFormatting sqref="AG50:AJ50">
    <cfRule type="cellIs" dxfId="1490" priority="421" stopIfTrue="1" operator="lessThanOrEqual">
      <formula>3000</formula>
    </cfRule>
    <cfRule type="cellIs" dxfId="1489" priority="422" stopIfTrue="1" operator="between">
      <formula>3000</formula>
      <formula>9000</formula>
    </cfRule>
    <cfRule type="cellIs" dxfId="1488" priority="423" stopIfTrue="1" operator="greaterThanOrEqual">
      <formula>9000</formula>
    </cfRule>
  </conditionalFormatting>
  <conditionalFormatting sqref="V50:Y50">
    <cfRule type="cellIs" dxfId="1487" priority="430" stopIfTrue="1" operator="lessThanOrEqual">
      <formula>3000</formula>
    </cfRule>
    <cfRule type="cellIs" dxfId="1486" priority="431" stopIfTrue="1" operator="between">
      <formula>3000</formula>
      <formula>9000</formula>
    </cfRule>
    <cfRule type="cellIs" dxfId="1485" priority="432" stopIfTrue="1" operator="greaterThanOrEqual">
      <formula>9000</formula>
    </cfRule>
  </conditionalFormatting>
  <conditionalFormatting sqref="AA44:AD44">
    <cfRule type="cellIs" dxfId="1484" priority="439" stopIfTrue="1" operator="lessThanOrEqual">
      <formula>3000</formula>
    </cfRule>
    <cfRule type="cellIs" dxfId="1483" priority="440" stopIfTrue="1" operator="between">
      <formula>3000</formula>
      <formula>9000</formula>
    </cfRule>
    <cfRule type="cellIs" dxfId="1482" priority="441" stopIfTrue="1" operator="greaterThanOrEqual">
      <formula>9000</formula>
    </cfRule>
  </conditionalFormatting>
  <conditionalFormatting sqref="AG38:AJ38">
    <cfRule type="cellIs" dxfId="1481" priority="445" stopIfTrue="1" operator="lessThanOrEqual">
      <formula>3000</formula>
    </cfRule>
    <cfRule type="cellIs" dxfId="1480" priority="446" stopIfTrue="1" operator="between">
      <formula>3000</formula>
      <formula>9000</formula>
    </cfRule>
    <cfRule type="cellIs" dxfId="1479" priority="447" stopIfTrue="1" operator="greaterThanOrEqual">
      <formula>9000</formula>
    </cfRule>
  </conditionalFormatting>
  <conditionalFormatting sqref="V38:Y38">
    <cfRule type="cellIs" dxfId="1478" priority="454" stopIfTrue="1" operator="lessThanOrEqual">
      <formula>3000</formula>
    </cfRule>
    <cfRule type="cellIs" dxfId="1477" priority="455" stopIfTrue="1" operator="between">
      <formula>3000</formula>
      <formula>9000</formula>
    </cfRule>
    <cfRule type="cellIs" dxfId="1476" priority="456" stopIfTrue="1" operator="greaterThanOrEqual">
      <formula>9000</formula>
    </cfRule>
  </conditionalFormatting>
  <conditionalFormatting sqref="AA32:AD32">
    <cfRule type="cellIs" dxfId="1475" priority="463" stopIfTrue="1" operator="lessThanOrEqual">
      <formula>3000</formula>
    </cfRule>
    <cfRule type="cellIs" dxfId="1474" priority="464" stopIfTrue="1" operator="between">
      <formula>3000</formula>
      <formula>9000</formula>
    </cfRule>
    <cfRule type="cellIs" dxfId="1473" priority="465" stopIfTrue="1" operator="greaterThanOrEqual">
      <formula>9000</formula>
    </cfRule>
  </conditionalFormatting>
  <conditionalFormatting sqref="AF26">
    <cfRule type="cellIs" dxfId="1472" priority="472" stopIfTrue="1" operator="lessThanOrEqual">
      <formula>3000</formula>
    </cfRule>
    <cfRule type="cellIs" dxfId="1471" priority="473" stopIfTrue="1" operator="between">
      <formula>3000</formula>
      <formula>9000</formula>
    </cfRule>
    <cfRule type="cellIs" dxfId="1470" priority="474" stopIfTrue="1" operator="greaterThanOrEqual">
      <formula>9000</formula>
    </cfRule>
  </conditionalFormatting>
  <conditionalFormatting sqref="AG20:AJ20">
    <cfRule type="cellIs" dxfId="1469" priority="481" stopIfTrue="1" operator="lessThanOrEqual">
      <formula>3000</formula>
    </cfRule>
    <cfRule type="cellIs" dxfId="1468" priority="482" stopIfTrue="1" operator="between">
      <formula>3000</formula>
      <formula>9000</formula>
    </cfRule>
    <cfRule type="cellIs" dxfId="1467" priority="483" stopIfTrue="1" operator="greaterThanOrEqual">
      <formula>9000</formula>
    </cfRule>
  </conditionalFormatting>
  <conditionalFormatting sqref="V20:Y20">
    <cfRule type="cellIs" dxfId="1466" priority="490" stopIfTrue="1" operator="lessThanOrEqual">
      <formula>3000</formula>
    </cfRule>
    <cfRule type="cellIs" dxfId="1465" priority="491" stopIfTrue="1" operator="between">
      <formula>3000</formula>
      <formula>9000</formula>
    </cfRule>
    <cfRule type="cellIs" dxfId="1464" priority="492" stopIfTrue="1" operator="greaterThanOrEqual">
      <formula>9000</formula>
    </cfRule>
  </conditionalFormatting>
  <conditionalFormatting sqref="AA14:AD14">
    <cfRule type="cellIs" dxfId="1463" priority="499" stopIfTrue="1" operator="lessThanOrEqual">
      <formula>3000</formula>
    </cfRule>
    <cfRule type="cellIs" dxfId="1462" priority="500" stopIfTrue="1" operator="between">
      <formula>3000</formula>
      <formula>9000</formula>
    </cfRule>
    <cfRule type="cellIs" dxfId="1461" priority="501" stopIfTrue="1" operator="greaterThanOrEqual">
      <formula>9000</formula>
    </cfRule>
  </conditionalFormatting>
  <conditionalFormatting sqref="AF8">
    <cfRule type="cellIs" dxfId="1460" priority="508" stopIfTrue="1" operator="lessThanOrEqual">
      <formula>3000</formula>
    </cfRule>
    <cfRule type="cellIs" dxfId="1459" priority="509" stopIfTrue="1" operator="between">
      <formula>3000</formula>
      <formula>9000</formula>
    </cfRule>
    <cfRule type="cellIs" dxfId="1458" priority="510" stopIfTrue="1" operator="greaterThanOrEqual">
      <formula>9000</formula>
    </cfRule>
  </conditionalFormatting>
  <conditionalFormatting sqref="AA128:AD128">
    <cfRule type="cellIs" dxfId="1457" priority="271" stopIfTrue="1" operator="lessThanOrEqual">
      <formula>3000</formula>
    </cfRule>
    <cfRule type="cellIs" dxfId="1456" priority="272" stopIfTrue="1" operator="between">
      <formula>3000</formula>
      <formula>9000</formula>
    </cfRule>
    <cfRule type="cellIs" dxfId="1455" priority="273" stopIfTrue="1" operator="greaterThanOrEqual">
      <formula>9000</formula>
    </cfRule>
  </conditionalFormatting>
  <conditionalFormatting sqref="V128:Y128">
    <cfRule type="cellIs" dxfId="1454" priority="274" stopIfTrue="1" operator="lessThanOrEqual">
      <formula>3000</formula>
    </cfRule>
    <cfRule type="cellIs" dxfId="1453" priority="275" stopIfTrue="1" operator="between">
      <formula>3000</formula>
      <formula>9000</formula>
    </cfRule>
    <cfRule type="cellIs" dxfId="1452" priority="276" stopIfTrue="1" operator="greaterThanOrEqual">
      <formula>9000</formula>
    </cfRule>
  </conditionalFormatting>
  <conditionalFormatting sqref="AA122:AD122">
    <cfRule type="cellIs" dxfId="1451" priority="283" stopIfTrue="1" operator="lessThanOrEqual">
      <formula>3000</formula>
    </cfRule>
    <cfRule type="cellIs" dxfId="1450" priority="284" stopIfTrue="1" operator="between">
      <formula>3000</formula>
      <formula>9000</formula>
    </cfRule>
    <cfRule type="cellIs" dxfId="1449" priority="285" stopIfTrue="1" operator="greaterThanOrEqual">
      <formula>9000</formula>
    </cfRule>
  </conditionalFormatting>
  <conditionalFormatting sqref="AA116:AD116">
    <cfRule type="cellIs" dxfId="1448" priority="295" stopIfTrue="1" operator="lessThanOrEqual">
      <formula>3000</formula>
    </cfRule>
    <cfRule type="cellIs" dxfId="1447" priority="296" stopIfTrue="1" operator="between">
      <formula>3000</formula>
      <formula>9000</formula>
    </cfRule>
    <cfRule type="cellIs" dxfId="1446" priority="297" stopIfTrue="1" operator="greaterThanOrEqual">
      <formula>9000</formula>
    </cfRule>
  </conditionalFormatting>
  <conditionalFormatting sqref="AF110">
    <cfRule type="cellIs" dxfId="1445" priority="304" stopIfTrue="1" operator="lessThanOrEqual">
      <formula>3000</formula>
    </cfRule>
    <cfRule type="cellIs" dxfId="1444" priority="305" stopIfTrue="1" operator="between">
      <formula>3000</formula>
      <formula>9000</formula>
    </cfRule>
    <cfRule type="cellIs" dxfId="1443" priority="306" stopIfTrue="1" operator="greaterThanOrEqual">
      <formula>9000</formula>
    </cfRule>
  </conditionalFormatting>
  <conditionalFormatting sqref="AG104:AJ104">
    <cfRule type="cellIs" dxfId="1442" priority="313" stopIfTrue="1" operator="lessThanOrEqual">
      <formula>3000</formula>
    </cfRule>
    <cfRule type="cellIs" dxfId="1441" priority="314" stopIfTrue="1" operator="between">
      <formula>3000</formula>
      <formula>9000</formula>
    </cfRule>
    <cfRule type="cellIs" dxfId="1440" priority="315" stopIfTrue="1" operator="greaterThanOrEqual">
      <formula>9000</formula>
    </cfRule>
  </conditionalFormatting>
  <conditionalFormatting sqref="V104:Y104">
    <cfRule type="cellIs" dxfId="1439" priority="322" stopIfTrue="1" operator="lessThanOrEqual">
      <formula>3000</formula>
    </cfRule>
    <cfRule type="cellIs" dxfId="1438" priority="323" stopIfTrue="1" operator="between">
      <formula>3000</formula>
      <formula>9000</formula>
    </cfRule>
    <cfRule type="cellIs" dxfId="1437" priority="324" stopIfTrue="1" operator="greaterThanOrEqual">
      <formula>9000</formula>
    </cfRule>
  </conditionalFormatting>
  <conditionalFormatting sqref="AA98:AD98">
    <cfRule type="cellIs" dxfId="1436" priority="331" stopIfTrue="1" operator="lessThanOrEqual">
      <formula>3000</formula>
    </cfRule>
    <cfRule type="cellIs" dxfId="1435" priority="332" stopIfTrue="1" operator="between">
      <formula>3000</formula>
      <formula>9000</formula>
    </cfRule>
    <cfRule type="cellIs" dxfId="1434" priority="333" stopIfTrue="1" operator="greaterThanOrEqual">
      <formula>9000</formula>
    </cfRule>
  </conditionalFormatting>
  <conditionalFormatting sqref="AF92">
    <cfRule type="cellIs" dxfId="1433" priority="340" stopIfTrue="1" operator="lessThanOrEqual">
      <formula>3000</formula>
    </cfRule>
    <cfRule type="cellIs" dxfId="1432" priority="341" stopIfTrue="1" operator="between">
      <formula>3000</formula>
      <formula>9000</formula>
    </cfRule>
    <cfRule type="cellIs" dxfId="1431" priority="342" stopIfTrue="1" operator="greaterThanOrEqual">
      <formula>9000</formula>
    </cfRule>
  </conditionalFormatting>
  <conditionalFormatting sqref="AG86:AJ86">
    <cfRule type="cellIs" dxfId="1430" priority="349" stopIfTrue="1" operator="lessThanOrEqual">
      <formula>3000</formula>
    </cfRule>
    <cfRule type="cellIs" dxfId="1429" priority="350" stopIfTrue="1" operator="between">
      <formula>3000</formula>
      <formula>9000</formula>
    </cfRule>
    <cfRule type="cellIs" dxfId="1428" priority="351" stopIfTrue="1" operator="greaterThanOrEqual">
      <formula>9000</formula>
    </cfRule>
  </conditionalFormatting>
  <conditionalFormatting sqref="V86:Y86">
    <cfRule type="cellIs" dxfId="1427" priority="358" stopIfTrue="1" operator="lessThanOrEqual">
      <formula>3000</formula>
    </cfRule>
    <cfRule type="cellIs" dxfId="1426" priority="359" stopIfTrue="1" operator="between">
      <formula>3000</formula>
      <formula>9000</formula>
    </cfRule>
    <cfRule type="cellIs" dxfId="1425" priority="360" stopIfTrue="1" operator="greaterThanOrEqual">
      <formula>9000</formula>
    </cfRule>
  </conditionalFormatting>
  <conditionalFormatting sqref="AA80:AD80">
    <cfRule type="cellIs" dxfId="1424" priority="367" stopIfTrue="1" operator="lessThanOrEqual">
      <formula>3000</formula>
    </cfRule>
    <cfRule type="cellIs" dxfId="1423" priority="368" stopIfTrue="1" operator="between">
      <formula>3000</formula>
      <formula>9000</formula>
    </cfRule>
    <cfRule type="cellIs" dxfId="1422" priority="369" stopIfTrue="1" operator="greaterThanOrEqual">
      <formula>9000</formula>
    </cfRule>
  </conditionalFormatting>
  <conditionalFormatting sqref="AF80">
    <cfRule type="cellIs" dxfId="1421" priority="364" stopIfTrue="1" operator="lessThanOrEqual">
      <formula>3000</formula>
    </cfRule>
    <cfRule type="cellIs" dxfId="1420" priority="365" stopIfTrue="1" operator="between">
      <formula>3000</formula>
      <formula>9000</formula>
    </cfRule>
    <cfRule type="cellIs" dxfId="1419" priority="366" stopIfTrue="1" operator="greaterThanOrEqual">
      <formula>9000</formula>
    </cfRule>
  </conditionalFormatting>
  <conditionalFormatting sqref="AG80:AJ80">
    <cfRule type="cellIs" dxfId="1418" priority="361" stopIfTrue="1" operator="lessThanOrEqual">
      <formula>3000</formula>
    </cfRule>
    <cfRule type="cellIs" dxfId="1417" priority="362" stopIfTrue="1" operator="between">
      <formula>3000</formula>
      <formula>9000</formula>
    </cfRule>
    <cfRule type="cellIs" dxfId="1416" priority="363" stopIfTrue="1" operator="greaterThanOrEqual">
      <formula>9000</formula>
    </cfRule>
  </conditionalFormatting>
  <conditionalFormatting sqref="V74:Y74">
    <cfRule type="cellIs" dxfId="1415" priority="382" stopIfTrue="1" operator="lessThanOrEqual">
      <formula>3000</formula>
    </cfRule>
    <cfRule type="cellIs" dxfId="1414" priority="383" stopIfTrue="1" operator="between">
      <formula>3000</formula>
      <formula>9000</formula>
    </cfRule>
    <cfRule type="cellIs" dxfId="1413" priority="384" stopIfTrue="1" operator="greaterThanOrEqual">
      <formula>9000</formula>
    </cfRule>
  </conditionalFormatting>
  <conditionalFormatting sqref="AA68:AD68">
    <cfRule type="cellIs" dxfId="1412" priority="391" stopIfTrue="1" operator="lessThanOrEqual">
      <formula>3000</formula>
    </cfRule>
    <cfRule type="cellIs" dxfId="1411" priority="392" stopIfTrue="1" operator="between">
      <formula>3000</formula>
      <formula>9000</formula>
    </cfRule>
    <cfRule type="cellIs" dxfId="1410" priority="393" stopIfTrue="1" operator="greaterThanOrEqual">
      <formula>9000</formula>
    </cfRule>
  </conditionalFormatting>
  <conditionalFormatting sqref="AF50">
    <cfRule type="cellIs" dxfId="1409" priority="424" stopIfTrue="1" operator="lessThanOrEqual">
      <formula>3000</formula>
    </cfRule>
    <cfRule type="cellIs" dxfId="1408" priority="425" stopIfTrue="1" operator="between">
      <formula>3000</formula>
      <formula>9000</formula>
    </cfRule>
    <cfRule type="cellIs" dxfId="1407" priority="426" stopIfTrue="1" operator="greaterThanOrEqual">
      <formula>9000</formula>
    </cfRule>
  </conditionalFormatting>
  <conditionalFormatting sqref="AG44:AJ44">
    <cfRule type="cellIs" dxfId="1406" priority="433" stopIfTrue="1" operator="lessThanOrEqual">
      <formula>3000</formula>
    </cfRule>
    <cfRule type="cellIs" dxfId="1405" priority="434" stopIfTrue="1" operator="between">
      <formula>3000</formula>
      <formula>9000</formula>
    </cfRule>
    <cfRule type="cellIs" dxfId="1404" priority="435" stopIfTrue="1" operator="greaterThanOrEqual">
      <formula>9000</formula>
    </cfRule>
  </conditionalFormatting>
  <conditionalFormatting sqref="V44:Y44">
    <cfRule type="cellIs" dxfId="1403" priority="442" stopIfTrue="1" operator="lessThanOrEqual">
      <formula>3000</formula>
    </cfRule>
    <cfRule type="cellIs" dxfId="1402" priority="443" stopIfTrue="1" operator="between">
      <formula>3000</formula>
      <formula>9000</formula>
    </cfRule>
    <cfRule type="cellIs" dxfId="1401" priority="444" stopIfTrue="1" operator="greaterThanOrEqual">
      <formula>9000</formula>
    </cfRule>
  </conditionalFormatting>
  <conditionalFormatting sqref="AA38:AD38">
    <cfRule type="cellIs" dxfId="1400" priority="451" stopIfTrue="1" operator="lessThanOrEqual">
      <formula>3000</formula>
    </cfRule>
    <cfRule type="cellIs" dxfId="1399" priority="452" stopIfTrue="1" operator="between">
      <formula>3000</formula>
      <formula>9000</formula>
    </cfRule>
    <cfRule type="cellIs" dxfId="1398" priority="453" stopIfTrue="1" operator="greaterThanOrEqual">
      <formula>9000</formula>
    </cfRule>
  </conditionalFormatting>
  <conditionalFormatting sqref="AF32">
    <cfRule type="cellIs" dxfId="1397" priority="460" stopIfTrue="1" operator="lessThanOrEqual">
      <formula>3000</formula>
    </cfRule>
    <cfRule type="cellIs" dxfId="1396" priority="461" stopIfTrue="1" operator="between">
      <formula>3000</formula>
      <formula>9000</formula>
    </cfRule>
    <cfRule type="cellIs" dxfId="1395" priority="462" stopIfTrue="1" operator="greaterThanOrEqual">
      <formula>9000</formula>
    </cfRule>
  </conditionalFormatting>
  <conditionalFormatting sqref="V80:Y80">
    <cfRule type="cellIs" dxfId="1394" priority="370" stopIfTrue="1" operator="lessThanOrEqual">
      <formula>3000</formula>
    </cfRule>
    <cfRule type="cellIs" dxfId="1393" priority="371" stopIfTrue="1" operator="between">
      <formula>3000</formula>
      <formula>9000</formula>
    </cfRule>
    <cfRule type="cellIs" dxfId="1392" priority="372" stopIfTrue="1" operator="greaterThanOrEqual">
      <formula>9000</formula>
    </cfRule>
  </conditionalFormatting>
  <conditionalFormatting sqref="AA50:AD50">
    <cfRule type="cellIs" dxfId="1391" priority="427" stopIfTrue="1" operator="lessThanOrEqual">
      <formula>3000</formula>
    </cfRule>
    <cfRule type="cellIs" dxfId="1390" priority="428" stopIfTrue="1" operator="between">
      <formula>3000</formula>
      <formula>9000</formula>
    </cfRule>
    <cfRule type="cellIs" dxfId="1389" priority="429" stopIfTrue="1" operator="greaterThanOrEqual">
      <formula>9000</formula>
    </cfRule>
  </conditionalFormatting>
  <conditionalFormatting sqref="AF38">
    <cfRule type="cellIs" dxfId="1388" priority="448" stopIfTrue="1" operator="lessThanOrEqual">
      <formula>3000</formula>
    </cfRule>
    <cfRule type="cellIs" dxfId="1387" priority="449" stopIfTrue="1" operator="between">
      <formula>3000</formula>
      <formula>9000</formula>
    </cfRule>
    <cfRule type="cellIs" dxfId="1386" priority="450" stopIfTrue="1" operator="greaterThanOrEqual">
      <formula>9000</formula>
    </cfRule>
  </conditionalFormatting>
  <conditionalFormatting sqref="AG32:AJ32">
    <cfRule type="cellIs" dxfId="1385" priority="457" stopIfTrue="1" operator="lessThanOrEqual">
      <formula>3000</formula>
    </cfRule>
    <cfRule type="cellIs" dxfId="1384" priority="458" stopIfTrue="1" operator="between">
      <formula>3000</formula>
      <formula>9000</formula>
    </cfRule>
    <cfRule type="cellIs" dxfId="1383" priority="459" stopIfTrue="1" operator="greaterThanOrEqual">
      <formula>9000</formula>
    </cfRule>
  </conditionalFormatting>
  <conditionalFormatting sqref="V32:Y32">
    <cfRule type="cellIs" dxfId="1382" priority="466" stopIfTrue="1" operator="lessThanOrEqual">
      <formula>3000</formula>
    </cfRule>
    <cfRule type="cellIs" dxfId="1381" priority="467" stopIfTrue="1" operator="between">
      <formula>3000</formula>
      <formula>9000</formula>
    </cfRule>
    <cfRule type="cellIs" dxfId="1380" priority="468" stopIfTrue="1" operator="greaterThanOrEqual">
      <formula>9000</formula>
    </cfRule>
  </conditionalFormatting>
  <conditionalFormatting sqref="AA26:AD26">
    <cfRule type="cellIs" dxfId="1379" priority="475" stopIfTrue="1" operator="lessThanOrEqual">
      <formula>3000</formula>
    </cfRule>
    <cfRule type="cellIs" dxfId="1378" priority="476" stopIfTrue="1" operator="between">
      <formula>3000</formula>
      <formula>9000</formula>
    </cfRule>
    <cfRule type="cellIs" dxfId="1377" priority="477" stopIfTrue="1" operator="greaterThanOrEqual">
      <formula>9000</formula>
    </cfRule>
  </conditionalFormatting>
  <conditionalFormatting sqref="AG14:AJ14">
    <cfRule type="cellIs" dxfId="1376" priority="493" stopIfTrue="1" operator="lessThanOrEqual">
      <formula>3000</formula>
    </cfRule>
    <cfRule type="cellIs" dxfId="1375" priority="494" stopIfTrue="1" operator="between">
      <formula>3000</formula>
      <formula>9000</formula>
    </cfRule>
    <cfRule type="cellIs" dxfId="1374" priority="495" stopIfTrue="1" operator="greaterThanOrEqual">
      <formula>9000</formula>
    </cfRule>
  </conditionalFormatting>
  <conditionalFormatting sqref="V14:Y14">
    <cfRule type="cellIs" dxfId="1373" priority="502" stopIfTrue="1" operator="lessThanOrEqual">
      <formula>3000</formula>
    </cfRule>
    <cfRule type="cellIs" dxfId="1372" priority="503" stopIfTrue="1" operator="between">
      <formula>3000</formula>
      <formula>9000</formula>
    </cfRule>
    <cfRule type="cellIs" dxfId="1371" priority="504" stopIfTrue="1" operator="greaterThanOrEqual">
      <formula>9000</formula>
    </cfRule>
  </conditionalFormatting>
  <conditionalFormatting sqref="AA8:AD8">
    <cfRule type="cellIs" dxfId="1370" priority="511" stopIfTrue="1" operator="lessThanOrEqual">
      <formula>3000</formula>
    </cfRule>
    <cfRule type="cellIs" dxfId="1369" priority="512" stopIfTrue="1" operator="between">
      <formula>3000</formula>
      <formula>9000</formula>
    </cfRule>
    <cfRule type="cellIs" dxfId="1368" priority="513" stopIfTrue="1" operator="greaterThanOrEqual">
      <formula>9000</formula>
    </cfRule>
  </conditionalFormatting>
  <conditionalFormatting sqref="V212:Y212">
    <cfRule type="cellIs" dxfId="1367" priority="106" stopIfTrue="1" operator="lessThanOrEqual">
      <formula>3000</formula>
    </cfRule>
    <cfRule type="cellIs" dxfId="1366" priority="107" stopIfTrue="1" operator="between">
      <formula>3000</formula>
      <formula>9000</formula>
    </cfRule>
    <cfRule type="cellIs" dxfId="1365" priority="108" stopIfTrue="1" operator="greaterThanOrEqual">
      <formula>9000</formula>
    </cfRule>
  </conditionalFormatting>
  <conditionalFormatting sqref="AA212:AD212">
    <cfRule type="cellIs" dxfId="1364" priority="103" stopIfTrue="1" operator="lessThanOrEqual">
      <formula>3000</formula>
    </cfRule>
    <cfRule type="cellIs" dxfId="1363" priority="104" stopIfTrue="1" operator="between">
      <formula>3000</formula>
      <formula>9000</formula>
    </cfRule>
    <cfRule type="cellIs" dxfId="1362" priority="105" stopIfTrue="1" operator="greaterThanOrEqual">
      <formula>9000</formula>
    </cfRule>
  </conditionalFormatting>
  <conditionalFormatting sqref="AF212">
    <cfRule type="cellIs" dxfId="1361" priority="100" stopIfTrue="1" operator="lessThanOrEqual">
      <formula>3000</formula>
    </cfRule>
    <cfRule type="cellIs" dxfId="1360" priority="101" stopIfTrue="1" operator="between">
      <formula>3000</formula>
      <formula>9000</formula>
    </cfRule>
    <cfRule type="cellIs" dxfId="1359" priority="102" stopIfTrue="1" operator="greaterThanOrEqual">
      <formula>9000</formula>
    </cfRule>
  </conditionalFormatting>
  <conditionalFormatting sqref="AG212:AJ212">
    <cfRule type="cellIs" dxfId="1358" priority="97" stopIfTrue="1" operator="lessThanOrEqual">
      <formula>3000</formula>
    </cfRule>
    <cfRule type="cellIs" dxfId="1357" priority="98" stopIfTrue="1" operator="between">
      <formula>3000</formula>
      <formula>9000</formula>
    </cfRule>
    <cfRule type="cellIs" dxfId="1356" priority="99" stopIfTrue="1" operator="greaterThanOrEqual">
      <formula>9000</formula>
    </cfRule>
  </conditionalFormatting>
  <conditionalFormatting sqref="V26:Y26">
    <cfRule type="cellIs" dxfId="1355" priority="478" stopIfTrue="1" operator="lessThanOrEqual">
      <formula>3000</formula>
    </cfRule>
    <cfRule type="cellIs" dxfId="1354" priority="479" stopIfTrue="1" operator="between">
      <formula>3000</formula>
      <formula>9000</formula>
    </cfRule>
    <cfRule type="cellIs" dxfId="1353" priority="480" stopIfTrue="1" operator="greaterThanOrEqual">
      <formula>9000</formula>
    </cfRule>
  </conditionalFormatting>
  <conditionalFormatting sqref="AG26:AJ26">
    <cfRule type="cellIs" dxfId="1352" priority="469" stopIfTrue="1" operator="lessThanOrEqual">
      <formula>3000</formula>
    </cfRule>
    <cfRule type="cellIs" dxfId="1351" priority="470" stopIfTrue="1" operator="between">
      <formula>3000</formula>
      <formula>9000</formula>
    </cfRule>
    <cfRule type="cellIs" dxfId="1350" priority="471" stopIfTrue="1" operator="greaterThanOrEqual">
      <formula>9000</formula>
    </cfRule>
  </conditionalFormatting>
  <conditionalFormatting sqref="AF44">
    <cfRule type="cellIs" dxfId="1349" priority="436" stopIfTrue="1" operator="lessThanOrEqual">
      <formula>3000</formula>
    </cfRule>
    <cfRule type="cellIs" dxfId="1348" priority="437" stopIfTrue="1" operator="between">
      <formula>3000</formula>
      <formula>9000</formula>
    </cfRule>
    <cfRule type="cellIs" dxfId="1347" priority="438" stopIfTrue="1" operator="greaterThanOrEqual">
      <formula>9000</formula>
    </cfRule>
  </conditionalFormatting>
  <conditionalFormatting sqref="V56:Y56">
    <cfRule type="cellIs" dxfId="1346" priority="418" stopIfTrue="1" operator="lessThanOrEqual">
      <formula>3000</formula>
    </cfRule>
    <cfRule type="cellIs" dxfId="1345" priority="419" stopIfTrue="1" operator="between">
      <formula>3000</formula>
      <formula>9000</formula>
    </cfRule>
    <cfRule type="cellIs" dxfId="1344" priority="420" stopIfTrue="1" operator="greaterThanOrEqual">
      <formula>9000</formula>
    </cfRule>
  </conditionalFormatting>
  <conditionalFormatting sqref="AA56:AD56">
    <cfRule type="cellIs" dxfId="1343" priority="415" stopIfTrue="1" operator="lessThanOrEqual">
      <formula>3000</formula>
    </cfRule>
    <cfRule type="cellIs" dxfId="1342" priority="416" stopIfTrue="1" operator="between">
      <formula>3000</formula>
      <formula>9000</formula>
    </cfRule>
    <cfRule type="cellIs" dxfId="1341" priority="417" stopIfTrue="1" operator="greaterThanOrEqual">
      <formula>9000</formula>
    </cfRule>
  </conditionalFormatting>
  <conditionalFormatting sqref="AG56:AJ56">
    <cfRule type="cellIs" dxfId="1340" priority="409" stopIfTrue="1" operator="lessThanOrEqual">
      <formula>3000</formula>
    </cfRule>
    <cfRule type="cellIs" dxfId="1339" priority="410" stopIfTrue="1" operator="between">
      <formula>3000</formula>
      <formula>9000</formula>
    </cfRule>
    <cfRule type="cellIs" dxfId="1338" priority="411" stopIfTrue="1" operator="greaterThanOrEqual">
      <formula>9000</formula>
    </cfRule>
  </conditionalFormatting>
  <conditionalFormatting sqref="AF62">
    <cfRule type="cellIs" dxfId="1337" priority="400" stopIfTrue="1" operator="lessThanOrEqual">
      <formula>3000</formula>
    </cfRule>
    <cfRule type="cellIs" dxfId="1336" priority="401" stopIfTrue="1" operator="between">
      <formula>3000</formula>
      <formula>9000</formula>
    </cfRule>
    <cfRule type="cellIs" dxfId="1335" priority="402" stopIfTrue="1" operator="greaterThanOrEqual">
      <formula>9000</formula>
    </cfRule>
  </conditionalFormatting>
  <conditionalFormatting sqref="V62:Y62">
    <cfRule type="cellIs" dxfId="1334" priority="406" stopIfTrue="1" operator="lessThanOrEqual">
      <formula>3000</formula>
    </cfRule>
    <cfRule type="cellIs" dxfId="1333" priority="407" stopIfTrue="1" operator="between">
      <formula>3000</formula>
      <formula>9000</formula>
    </cfRule>
    <cfRule type="cellIs" dxfId="1332" priority="408" stopIfTrue="1" operator="greaterThanOrEqual">
      <formula>9000</formula>
    </cfRule>
  </conditionalFormatting>
  <conditionalFormatting sqref="AG62:AJ62">
    <cfRule type="cellIs" dxfId="1331" priority="397" stopIfTrue="1" operator="lessThanOrEqual">
      <formula>3000</formula>
    </cfRule>
    <cfRule type="cellIs" dxfId="1330" priority="398" stopIfTrue="1" operator="between">
      <formula>3000</formula>
      <formula>9000</formula>
    </cfRule>
    <cfRule type="cellIs" dxfId="1329" priority="399" stopIfTrue="1" operator="greaterThanOrEqual">
      <formula>9000</formula>
    </cfRule>
  </conditionalFormatting>
  <conditionalFormatting sqref="AA74:AD74">
    <cfRule type="cellIs" dxfId="1328" priority="379" stopIfTrue="1" operator="lessThanOrEqual">
      <formula>3000</formula>
    </cfRule>
    <cfRule type="cellIs" dxfId="1327" priority="380" stopIfTrue="1" operator="between">
      <formula>3000</formula>
      <formula>9000</formula>
    </cfRule>
    <cfRule type="cellIs" dxfId="1326" priority="381" stopIfTrue="1" operator="greaterThanOrEqual">
      <formula>9000</formula>
    </cfRule>
  </conditionalFormatting>
  <conditionalFormatting sqref="AF68">
    <cfRule type="cellIs" dxfId="1325" priority="388" stopIfTrue="1" operator="lessThanOrEqual">
      <formula>3000</formula>
    </cfRule>
    <cfRule type="cellIs" dxfId="1324" priority="389" stopIfTrue="1" operator="between">
      <formula>3000</formula>
      <formula>9000</formula>
    </cfRule>
    <cfRule type="cellIs" dxfId="1323" priority="390" stopIfTrue="1" operator="greaterThanOrEqual">
      <formula>9000</formula>
    </cfRule>
  </conditionalFormatting>
  <conditionalFormatting sqref="AF86">
    <cfRule type="cellIs" dxfId="1322" priority="352" stopIfTrue="1" operator="lessThanOrEqual">
      <formula>3000</formula>
    </cfRule>
    <cfRule type="cellIs" dxfId="1321" priority="353" stopIfTrue="1" operator="between">
      <formula>3000</formula>
      <formula>9000</formula>
    </cfRule>
    <cfRule type="cellIs" dxfId="1320" priority="354" stopIfTrue="1" operator="greaterThanOrEqual">
      <formula>9000</formula>
    </cfRule>
  </conditionalFormatting>
  <conditionalFormatting sqref="AA86:AD86">
    <cfRule type="cellIs" dxfId="1319" priority="355" stopIfTrue="1" operator="lessThanOrEqual">
      <formula>3000</formula>
    </cfRule>
    <cfRule type="cellIs" dxfId="1318" priority="356" stopIfTrue="1" operator="between">
      <formula>3000</formula>
      <formula>9000</formula>
    </cfRule>
    <cfRule type="cellIs" dxfId="1317" priority="357" stopIfTrue="1" operator="greaterThanOrEqual">
      <formula>9000</formula>
    </cfRule>
  </conditionalFormatting>
  <conditionalFormatting sqref="V92:Y92">
    <cfRule type="cellIs" dxfId="1316" priority="346" stopIfTrue="1" operator="lessThanOrEqual">
      <formula>3000</formula>
    </cfRule>
    <cfRule type="cellIs" dxfId="1315" priority="347" stopIfTrue="1" operator="between">
      <formula>3000</formula>
      <formula>9000</formula>
    </cfRule>
    <cfRule type="cellIs" dxfId="1314" priority="348" stopIfTrue="1" operator="greaterThanOrEqual">
      <formula>9000</formula>
    </cfRule>
  </conditionalFormatting>
  <conditionalFormatting sqref="AA92:AD92">
    <cfRule type="cellIs" dxfId="1313" priority="343" stopIfTrue="1" operator="lessThanOrEqual">
      <formula>3000</formula>
    </cfRule>
    <cfRule type="cellIs" dxfId="1312" priority="344" stopIfTrue="1" operator="between">
      <formula>3000</formula>
      <formula>9000</formula>
    </cfRule>
    <cfRule type="cellIs" dxfId="1311" priority="345" stopIfTrue="1" operator="greaterThanOrEqual">
      <formula>9000</formula>
    </cfRule>
  </conditionalFormatting>
  <conditionalFormatting sqref="AG92:AJ92">
    <cfRule type="cellIs" dxfId="1310" priority="337" stopIfTrue="1" operator="lessThanOrEqual">
      <formula>3000</formula>
    </cfRule>
    <cfRule type="cellIs" dxfId="1309" priority="338" stopIfTrue="1" operator="between">
      <formula>3000</formula>
      <formula>9000</formula>
    </cfRule>
    <cfRule type="cellIs" dxfId="1308" priority="339" stopIfTrue="1" operator="greaterThanOrEqual">
      <formula>9000</formula>
    </cfRule>
  </conditionalFormatting>
  <conditionalFormatting sqref="V98:Y98">
    <cfRule type="cellIs" dxfId="1307" priority="334" stopIfTrue="1" operator="lessThanOrEqual">
      <formula>3000</formula>
    </cfRule>
    <cfRule type="cellIs" dxfId="1306" priority="335" stopIfTrue="1" operator="between">
      <formula>3000</formula>
      <formula>9000</formula>
    </cfRule>
    <cfRule type="cellIs" dxfId="1305" priority="336" stopIfTrue="1" operator="greaterThanOrEqual">
      <formula>9000</formula>
    </cfRule>
  </conditionalFormatting>
  <conditionalFormatting sqref="AF98">
    <cfRule type="cellIs" dxfId="1304" priority="328" stopIfTrue="1" operator="lessThanOrEqual">
      <formula>3000</formula>
    </cfRule>
    <cfRule type="cellIs" dxfId="1303" priority="329" stopIfTrue="1" operator="between">
      <formula>3000</formula>
      <formula>9000</formula>
    </cfRule>
    <cfRule type="cellIs" dxfId="1302" priority="330" stopIfTrue="1" operator="greaterThanOrEqual">
      <formula>9000</formula>
    </cfRule>
  </conditionalFormatting>
  <conditionalFormatting sqref="AG98:AJ98">
    <cfRule type="cellIs" dxfId="1301" priority="325" stopIfTrue="1" operator="lessThanOrEqual">
      <formula>3000</formula>
    </cfRule>
    <cfRule type="cellIs" dxfId="1300" priority="326" stopIfTrue="1" operator="between">
      <formula>3000</formula>
      <formula>9000</formula>
    </cfRule>
    <cfRule type="cellIs" dxfId="1299" priority="327" stopIfTrue="1" operator="greaterThanOrEqual">
      <formula>9000</formula>
    </cfRule>
  </conditionalFormatting>
  <conditionalFormatting sqref="AA104:AD104">
    <cfRule type="cellIs" dxfId="1298" priority="319" stopIfTrue="1" operator="lessThanOrEqual">
      <formula>3000</formula>
    </cfRule>
    <cfRule type="cellIs" dxfId="1297" priority="320" stopIfTrue="1" operator="between">
      <formula>3000</formula>
      <formula>9000</formula>
    </cfRule>
    <cfRule type="cellIs" dxfId="1296" priority="321" stopIfTrue="1" operator="greaterThanOrEqual">
      <formula>9000</formula>
    </cfRule>
  </conditionalFormatting>
  <conditionalFormatting sqref="AF104">
    <cfRule type="cellIs" dxfId="1295" priority="316" stopIfTrue="1" operator="lessThanOrEqual">
      <formula>3000</formula>
    </cfRule>
    <cfRule type="cellIs" dxfId="1294" priority="317" stopIfTrue="1" operator="between">
      <formula>3000</formula>
      <formula>9000</formula>
    </cfRule>
    <cfRule type="cellIs" dxfId="1293" priority="318" stopIfTrue="1" operator="greaterThanOrEqual">
      <formula>9000</formula>
    </cfRule>
  </conditionalFormatting>
  <conditionalFormatting sqref="V110:Y110">
    <cfRule type="cellIs" dxfId="1292" priority="310" stopIfTrue="1" operator="lessThanOrEqual">
      <formula>3000</formula>
    </cfRule>
    <cfRule type="cellIs" dxfId="1291" priority="311" stopIfTrue="1" operator="between">
      <formula>3000</formula>
      <formula>9000</formula>
    </cfRule>
    <cfRule type="cellIs" dxfId="1290" priority="312" stopIfTrue="1" operator="greaterThanOrEqual">
      <formula>9000</formula>
    </cfRule>
  </conditionalFormatting>
  <conditionalFormatting sqref="AA110:AD110">
    <cfRule type="cellIs" dxfId="1289" priority="307" stopIfTrue="1" operator="lessThanOrEqual">
      <formula>3000</formula>
    </cfRule>
    <cfRule type="cellIs" dxfId="1288" priority="308" stopIfTrue="1" operator="between">
      <formula>3000</formula>
      <formula>9000</formula>
    </cfRule>
    <cfRule type="cellIs" dxfId="1287" priority="309" stopIfTrue="1" operator="greaterThanOrEqual">
      <formula>9000</formula>
    </cfRule>
  </conditionalFormatting>
  <conditionalFormatting sqref="AG110:AJ110">
    <cfRule type="cellIs" dxfId="1286" priority="301" stopIfTrue="1" operator="lessThanOrEqual">
      <formula>3000</formula>
    </cfRule>
    <cfRule type="cellIs" dxfId="1285" priority="302" stopIfTrue="1" operator="between">
      <formula>3000</formula>
      <formula>9000</formula>
    </cfRule>
    <cfRule type="cellIs" dxfId="1284" priority="303" stopIfTrue="1" operator="greaterThanOrEqual">
      <formula>9000</formula>
    </cfRule>
  </conditionalFormatting>
  <conditionalFormatting sqref="V116:Y116">
    <cfRule type="cellIs" dxfId="1283" priority="298" stopIfTrue="1" operator="lessThanOrEqual">
      <formula>3000</formula>
    </cfRule>
    <cfRule type="cellIs" dxfId="1282" priority="299" stopIfTrue="1" operator="between">
      <formula>3000</formula>
      <formula>9000</formula>
    </cfRule>
    <cfRule type="cellIs" dxfId="1281" priority="300" stopIfTrue="1" operator="greaterThanOrEqual">
      <formula>9000</formula>
    </cfRule>
  </conditionalFormatting>
  <conditionalFormatting sqref="AF116">
    <cfRule type="cellIs" dxfId="1280" priority="292" stopIfTrue="1" operator="lessThanOrEqual">
      <formula>3000</formula>
    </cfRule>
    <cfRule type="cellIs" dxfId="1279" priority="293" stopIfTrue="1" operator="between">
      <formula>3000</formula>
      <formula>9000</formula>
    </cfRule>
    <cfRule type="cellIs" dxfId="1278" priority="294" stopIfTrue="1" operator="greaterThanOrEqual">
      <formula>9000</formula>
    </cfRule>
  </conditionalFormatting>
  <conditionalFormatting sqref="AG116:AJ116">
    <cfRule type="cellIs" dxfId="1277" priority="289" stopIfTrue="1" operator="lessThanOrEqual">
      <formula>3000</formula>
    </cfRule>
    <cfRule type="cellIs" dxfId="1276" priority="290" stopIfTrue="1" operator="between">
      <formula>3000</formula>
      <formula>9000</formula>
    </cfRule>
    <cfRule type="cellIs" dxfId="1275" priority="291" stopIfTrue="1" operator="greaterThanOrEqual">
      <formula>9000</formula>
    </cfRule>
  </conditionalFormatting>
  <conditionalFormatting sqref="V122:Y122">
    <cfRule type="cellIs" dxfId="1274" priority="286" stopIfTrue="1" operator="lessThanOrEqual">
      <formula>3000</formula>
    </cfRule>
    <cfRule type="cellIs" dxfId="1273" priority="287" stopIfTrue="1" operator="between">
      <formula>3000</formula>
      <formula>9000</formula>
    </cfRule>
    <cfRule type="cellIs" dxfId="1272" priority="288" stopIfTrue="1" operator="greaterThanOrEqual">
      <formula>9000</formula>
    </cfRule>
  </conditionalFormatting>
  <conditionalFormatting sqref="AF122">
    <cfRule type="cellIs" dxfId="1271" priority="280" stopIfTrue="1" operator="lessThanOrEqual">
      <formula>3000</formula>
    </cfRule>
    <cfRule type="cellIs" dxfId="1270" priority="281" stopIfTrue="1" operator="between">
      <formula>3000</formula>
      <formula>9000</formula>
    </cfRule>
    <cfRule type="cellIs" dxfId="1269" priority="282" stopIfTrue="1" operator="greaterThanOrEqual">
      <formula>9000</formula>
    </cfRule>
  </conditionalFormatting>
  <conditionalFormatting sqref="AG122:AJ122">
    <cfRule type="cellIs" dxfId="1268" priority="277" stopIfTrue="1" operator="lessThanOrEqual">
      <formula>3000</formula>
    </cfRule>
    <cfRule type="cellIs" dxfId="1267" priority="278" stopIfTrue="1" operator="between">
      <formula>3000</formula>
      <formula>9000</formula>
    </cfRule>
    <cfRule type="cellIs" dxfId="1266" priority="279" stopIfTrue="1" operator="greaterThanOrEqual">
      <formula>9000</formula>
    </cfRule>
  </conditionalFormatting>
  <conditionalFormatting sqref="AA134:AD134">
    <cfRule type="cellIs" dxfId="1265" priority="259" stopIfTrue="1" operator="lessThanOrEqual">
      <formula>3000</formula>
    </cfRule>
    <cfRule type="cellIs" dxfId="1264" priority="260" stopIfTrue="1" operator="between">
      <formula>3000</formula>
      <formula>9000</formula>
    </cfRule>
    <cfRule type="cellIs" dxfId="1263" priority="261" stopIfTrue="1" operator="greaterThanOrEqual">
      <formula>9000</formula>
    </cfRule>
  </conditionalFormatting>
  <conditionalFormatting sqref="AF128">
    <cfRule type="cellIs" dxfId="1262" priority="268" stopIfTrue="1" operator="lessThanOrEqual">
      <formula>3000</formula>
    </cfRule>
    <cfRule type="cellIs" dxfId="1261" priority="269" stopIfTrue="1" operator="between">
      <formula>3000</formula>
      <formula>9000</formula>
    </cfRule>
    <cfRule type="cellIs" dxfId="1260" priority="270" stopIfTrue="1" operator="greaterThanOrEqual">
      <formula>9000</formula>
    </cfRule>
  </conditionalFormatting>
  <conditionalFormatting sqref="V134:Y134">
    <cfRule type="cellIs" dxfId="1259" priority="262" stopIfTrue="1" operator="lessThanOrEqual">
      <formula>3000</formula>
    </cfRule>
    <cfRule type="cellIs" dxfId="1258" priority="263" stopIfTrue="1" operator="between">
      <formula>3000</formula>
      <formula>9000</formula>
    </cfRule>
    <cfRule type="cellIs" dxfId="1257" priority="264" stopIfTrue="1" operator="greaterThanOrEqual">
      <formula>9000</formula>
    </cfRule>
  </conditionalFormatting>
  <conditionalFormatting sqref="AG128:AJ128">
    <cfRule type="cellIs" dxfId="1256" priority="265" stopIfTrue="1" operator="lessThanOrEqual">
      <formula>3000</formula>
    </cfRule>
    <cfRule type="cellIs" dxfId="1255" priority="266" stopIfTrue="1" operator="between">
      <formula>3000</formula>
      <formula>9000</formula>
    </cfRule>
    <cfRule type="cellIs" dxfId="1254" priority="267" stopIfTrue="1" operator="greaterThanOrEqual">
      <formula>9000</formula>
    </cfRule>
  </conditionalFormatting>
  <conditionalFormatting sqref="V140:Y140">
    <cfRule type="cellIs" dxfId="1253" priority="250" stopIfTrue="1" operator="lessThanOrEqual">
      <formula>3000</formula>
    </cfRule>
    <cfRule type="cellIs" dxfId="1252" priority="251" stopIfTrue="1" operator="between">
      <formula>3000</formula>
      <formula>9000</formula>
    </cfRule>
    <cfRule type="cellIs" dxfId="1251" priority="252" stopIfTrue="1" operator="greaterThanOrEqual">
      <formula>9000</formula>
    </cfRule>
  </conditionalFormatting>
  <conditionalFormatting sqref="AA140:AD140">
    <cfRule type="cellIs" dxfId="1250" priority="247" stopIfTrue="1" operator="lessThanOrEqual">
      <formula>3000</formula>
    </cfRule>
    <cfRule type="cellIs" dxfId="1249" priority="248" stopIfTrue="1" operator="between">
      <formula>3000</formula>
      <formula>9000</formula>
    </cfRule>
    <cfRule type="cellIs" dxfId="1248" priority="249" stopIfTrue="1" operator="greaterThanOrEqual">
      <formula>9000</formula>
    </cfRule>
  </conditionalFormatting>
  <conditionalFormatting sqref="AF134">
    <cfRule type="cellIs" dxfId="1247" priority="256" stopIfTrue="1" operator="lessThanOrEqual">
      <formula>3000</formula>
    </cfRule>
    <cfRule type="cellIs" dxfId="1246" priority="257" stopIfTrue="1" operator="between">
      <formula>3000</formula>
      <formula>9000</formula>
    </cfRule>
    <cfRule type="cellIs" dxfId="1245" priority="258" stopIfTrue="1" operator="greaterThanOrEqual">
      <formula>9000</formula>
    </cfRule>
  </conditionalFormatting>
  <conditionalFormatting sqref="AG134:AJ134">
    <cfRule type="cellIs" dxfId="1244" priority="253" stopIfTrue="1" operator="lessThanOrEqual">
      <formula>3000</formula>
    </cfRule>
    <cfRule type="cellIs" dxfId="1243" priority="254" stopIfTrue="1" operator="between">
      <formula>3000</formula>
      <formula>9000</formula>
    </cfRule>
    <cfRule type="cellIs" dxfId="1242" priority="255" stopIfTrue="1" operator="greaterThanOrEqual">
      <formula>9000</formula>
    </cfRule>
  </conditionalFormatting>
  <conditionalFormatting sqref="AF140">
    <cfRule type="cellIs" dxfId="1241" priority="244" stopIfTrue="1" operator="lessThanOrEqual">
      <formula>3000</formula>
    </cfRule>
    <cfRule type="cellIs" dxfId="1240" priority="245" stopIfTrue="1" operator="between">
      <formula>3000</formula>
      <formula>9000</formula>
    </cfRule>
    <cfRule type="cellIs" dxfId="1239" priority="246" stopIfTrue="1" operator="greaterThanOrEqual">
      <formula>9000</formula>
    </cfRule>
  </conditionalFormatting>
  <conditionalFormatting sqref="AG140:AJ140">
    <cfRule type="cellIs" dxfId="1238" priority="241" stopIfTrue="1" operator="lessThanOrEqual">
      <formula>3000</formula>
    </cfRule>
    <cfRule type="cellIs" dxfId="1237" priority="242" stopIfTrue="1" operator="between">
      <formula>3000</formula>
      <formula>9000</formula>
    </cfRule>
    <cfRule type="cellIs" dxfId="1236" priority="243" stopIfTrue="1" operator="greaterThanOrEqual">
      <formula>9000</formula>
    </cfRule>
  </conditionalFormatting>
  <conditionalFormatting sqref="V146:Y146">
    <cfRule type="cellIs" dxfId="1235" priority="238" stopIfTrue="1" operator="lessThanOrEqual">
      <formula>3000</formula>
    </cfRule>
    <cfRule type="cellIs" dxfId="1234" priority="239" stopIfTrue="1" operator="between">
      <formula>3000</formula>
      <formula>9000</formula>
    </cfRule>
    <cfRule type="cellIs" dxfId="1233" priority="240" stopIfTrue="1" operator="greaterThanOrEqual">
      <formula>9000</formula>
    </cfRule>
  </conditionalFormatting>
  <conditionalFormatting sqref="AA146:AD146">
    <cfRule type="cellIs" dxfId="1232" priority="235" stopIfTrue="1" operator="lessThanOrEqual">
      <formula>3000</formula>
    </cfRule>
    <cfRule type="cellIs" dxfId="1231" priority="236" stopIfTrue="1" operator="between">
      <formula>3000</formula>
      <formula>9000</formula>
    </cfRule>
    <cfRule type="cellIs" dxfId="1230" priority="237" stopIfTrue="1" operator="greaterThanOrEqual">
      <formula>9000</formula>
    </cfRule>
  </conditionalFormatting>
  <conditionalFormatting sqref="AF146">
    <cfRule type="cellIs" dxfId="1229" priority="232" stopIfTrue="1" operator="lessThanOrEqual">
      <formula>3000</formula>
    </cfRule>
    <cfRule type="cellIs" dxfId="1228" priority="233" stopIfTrue="1" operator="between">
      <formula>3000</formula>
      <formula>9000</formula>
    </cfRule>
    <cfRule type="cellIs" dxfId="1227" priority="234" stopIfTrue="1" operator="greaterThanOrEqual">
      <formula>9000</formula>
    </cfRule>
  </conditionalFormatting>
  <conditionalFormatting sqref="AG146:AJ146">
    <cfRule type="cellIs" dxfId="1226" priority="229" stopIfTrue="1" operator="lessThanOrEqual">
      <formula>3000</formula>
    </cfRule>
    <cfRule type="cellIs" dxfId="1225" priority="230" stopIfTrue="1" operator="between">
      <formula>3000</formula>
      <formula>9000</formula>
    </cfRule>
    <cfRule type="cellIs" dxfId="1224" priority="231" stopIfTrue="1" operator="greaterThanOrEqual">
      <formula>9000</formula>
    </cfRule>
  </conditionalFormatting>
  <conditionalFormatting sqref="V152:Y152">
    <cfRule type="cellIs" dxfId="1223" priority="226" stopIfTrue="1" operator="lessThanOrEqual">
      <formula>3000</formula>
    </cfRule>
    <cfRule type="cellIs" dxfId="1222" priority="227" stopIfTrue="1" operator="between">
      <formula>3000</formula>
      <formula>9000</formula>
    </cfRule>
    <cfRule type="cellIs" dxfId="1221" priority="228" stopIfTrue="1" operator="greaterThanOrEqual">
      <formula>9000</formula>
    </cfRule>
  </conditionalFormatting>
  <conditionalFormatting sqref="AA152:AD152">
    <cfRule type="cellIs" dxfId="1220" priority="223" stopIfTrue="1" operator="lessThanOrEqual">
      <formula>3000</formula>
    </cfRule>
    <cfRule type="cellIs" dxfId="1219" priority="224" stopIfTrue="1" operator="between">
      <formula>3000</formula>
      <formula>9000</formula>
    </cfRule>
    <cfRule type="cellIs" dxfId="1218" priority="225" stopIfTrue="1" operator="greaterThanOrEqual">
      <formula>9000</formula>
    </cfRule>
  </conditionalFormatting>
  <conditionalFormatting sqref="AF152">
    <cfRule type="cellIs" dxfId="1217" priority="220" stopIfTrue="1" operator="lessThanOrEqual">
      <formula>3000</formula>
    </cfRule>
    <cfRule type="cellIs" dxfId="1216" priority="221" stopIfTrue="1" operator="between">
      <formula>3000</formula>
      <formula>9000</formula>
    </cfRule>
    <cfRule type="cellIs" dxfId="1215" priority="222" stopIfTrue="1" operator="greaterThanOrEqual">
      <formula>9000</formula>
    </cfRule>
  </conditionalFormatting>
  <conditionalFormatting sqref="AG152:AJ152">
    <cfRule type="cellIs" dxfId="1214" priority="217" stopIfTrue="1" operator="lessThanOrEqual">
      <formula>3000</formula>
    </cfRule>
    <cfRule type="cellIs" dxfId="1213" priority="218" stopIfTrue="1" operator="between">
      <formula>3000</formula>
      <formula>9000</formula>
    </cfRule>
    <cfRule type="cellIs" dxfId="1212" priority="219" stopIfTrue="1" operator="greaterThanOrEqual">
      <formula>9000</formula>
    </cfRule>
  </conditionalFormatting>
  <conditionalFormatting sqref="V158:Y158">
    <cfRule type="cellIs" dxfId="1211" priority="214" stopIfTrue="1" operator="lessThanOrEqual">
      <formula>3000</formula>
    </cfRule>
    <cfRule type="cellIs" dxfId="1210" priority="215" stopIfTrue="1" operator="between">
      <formula>3000</formula>
      <formula>9000</formula>
    </cfRule>
    <cfRule type="cellIs" dxfId="1209" priority="216" stopIfTrue="1" operator="greaterThanOrEqual">
      <formula>9000</formula>
    </cfRule>
  </conditionalFormatting>
  <conditionalFormatting sqref="AA158:AD158">
    <cfRule type="cellIs" dxfId="1208" priority="211" stopIfTrue="1" operator="lessThanOrEqual">
      <formula>3000</formula>
    </cfRule>
    <cfRule type="cellIs" dxfId="1207" priority="212" stopIfTrue="1" operator="between">
      <formula>3000</formula>
      <formula>9000</formula>
    </cfRule>
    <cfRule type="cellIs" dxfId="1206" priority="213" stopIfTrue="1" operator="greaterThanOrEqual">
      <formula>9000</formula>
    </cfRule>
  </conditionalFormatting>
  <conditionalFormatting sqref="AF158">
    <cfRule type="cellIs" dxfId="1205" priority="208" stopIfTrue="1" operator="lessThanOrEqual">
      <formula>3000</formula>
    </cfRule>
    <cfRule type="cellIs" dxfId="1204" priority="209" stopIfTrue="1" operator="between">
      <formula>3000</formula>
      <formula>9000</formula>
    </cfRule>
    <cfRule type="cellIs" dxfId="1203" priority="210" stopIfTrue="1" operator="greaterThanOrEqual">
      <formula>9000</formula>
    </cfRule>
  </conditionalFormatting>
  <conditionalFormatting sqref="AG158:AJ158">
    <cfRule type="cellIs" dxfId="1202" priority="205" stopIfTrue="1" operator="lessThanOrEqual">
      <formula>3000</formula>
    </cfRule>
    <cfRule type="cellIs" dxfId="1201" priority="206" stopIfTrue="1" operator="between">
      <formula>3000</formula>
      <formula>9000</formula>
    </cfRule>
    <cfRule type="cellIs" dxfId="1200" priority="207" stopIfTrue="1" operator="greaterThanOrEqual">
      <formula>9000</formula>
    </cfRule>
  </conditionalFormatting>
  <conditionalFormatting sqref="V164:Y164">
    <cfRule type="cellIs" dxfId="1199" priority="202" stopIfTrue="1" operator="lessThanOrEqual">
      <formula>3000</formula>
    </cfRule>
    <cfRule type="cellIs" dxfId="1198" priority="203" stopIfTrue="1" operator="between">
      <formula>3000</formula>
      <formula>9000</formula>
    </cfRule>
    <cfRule type="cellIs" dxfId="1197" priority="204" stopIfTrue="1" operator="greaterThanOrEqual">
      <formula>9000</formula>
    </cfRule>
  </conditionalFormatting>
  <conditionalFormatting sqref="AA164:AD164">
    <cfRule type="cellIs" dxfId="1196" priority="199" stopIfTrue="1" operator="lessThanOrEqual">
      <formula>3000</formula>
    </cfRule>
    <cfRule type="cellIs" dxfId="1195" priority="200" stopIfTrue="1" operator="between">
      <formula>3000</formula>
      <formula>9000</formula>
    </cfRule>
    <cfRule type="cellIs" dxfId="1194" priority="201" stopIfTrue="1" operator="greaterThanOrEqual">
      <formula>9000</formula>
    </cfRule>
  </conditionalFormatting>
  <conditionalFormatting sqref="AF164">
    <cfRule type="cellIs" dxfId="1193" priority="196" stopIfTrue="1" operator="lessThanOrEqual">
      <formula>3000</formula>
    </cfRule>
    <cfRule type="cellIs" dxfId="1192" priority="197" stopIfTrue="1" operator="between">
      <formula>3000</formula>
      <formula>9000</formula>
    </cfRule>
    <cfRule type="cellIs" dxfId="1191" priority="198" stopIfTrue="1" operator="greaterThanOrEqual">
      <formula>9000</formula>
    </cfRule>
  </conditionalFormatting>
  <conditionalFormatting sqref="AG164:AJ164">
    <cfRule type="cellIs" dxfId="1190" priority="193" stopIfTrue="1" operator="lessThanOrEqual">
      <formula>3000</formula>
    </cfRule>
    <cfRule type="cellIs" dxfId="1189" priority="194" stopIfTrue="1" operator="between">
      <formula>3000</formula>
      <formula>9000</formula>
    </cfRule>
    <cfRule type="cellIs" dxfId="1188" priority="195" stopIfTrue="1" operator="greaterThanOrEqual">
      <formula>9000</formula>
    </cfRule>
  </conditionalFormatting>
  <conditionalFormatting sqref="V170:Y170">
    <cfRule type="cellIs" dxfId="1187" priority="190" stopIfTrue="1" operator="lessThanOrEqual">
      <formula>3000</formula>
    </cfRule>
    <cfRule type="cellIs" dxfId="1186" priority="191" stopIfTrue="1" operator="between">
      <formula>3000</formula>
      <formula>9000</formula>
    </cfRule>
    <cfRule type="cellIs" dxfId="1185" priority="192" stopIfTrue="1" operator="greaterThanOrEqual">
      <formula>9000</formula>
    </cfRule>
  </conditionalFormatting>
  <conditionalFormatting sqref="AA170:AD170">
    <cfRule type="cellIs" dxfId="1184" priority="187" stopIfTrue="1" operator="lessThanOrEqual">
      <formula>3000</formula>
    </cfRule>
    <cfRule type="cellIs" dxfId="1183" priority="188" stopIfTrue="1" operator="between">
      <formula>3000</formula>
      <formula>9000</formula>
    </cfRule>
    <cfRule type="cellIs" dxfId="1182" priority="189" stopIfTrue="1" operator="greaterThanOrEqual">
      <formula>9000</formula>
    </cfRule>
  </conditionalFormatting>
  <conditionalFormatting sqref="AF170">
    <cfRule type="cellIs" dxfId="1181" priority="184" stopIfTrue="1" operator="lessThanOrEqual">
      <formula>3000</formula>
    </cfRule>
    <cfRule type="cellIs" dxfId="1180" priority="185" stopIfTrue="1" operator="between">
      <formula>3000</formula>
      <formula>9000</formula>
    </cfRule>
    <cfRule type="cellIs" dxfId="1179" priority="186" stopIfTrue="1" operator="greaterThanOrEqual">
      <formula>9000</formula>
    </cfRule>
  </conditionalFormatting>
  <conditionalFormatting sqref="AG170:AJ170">
    <cfRule type="cellIs" dxfId="1178" priority="181" stopIfTrue="1" operator="lessThanOrEqual">
      <formula>3000</formula>
    </cfRule>
    <cfRule type="cellIs" dxfId="1177" priority="182" stopIfTrue="1" operator="between">
      <formula>3000</formula>
      <formula>9000</formula>
    </cfRule>
    <cfRule type="cellIs" dxfId="1176" priority="183" stopIfTrue="1" operator="greaterThanOrEqual">
      <formula>9000</formula>
    </cfRule>
  </conditionalFormatting>
  <conditionalFormatting sqref="V176:Y176">
    <cfRule type="cellIs" dxfId="1175" priority="178" stopIfTrue="1" operator="lessThanOrEqual">
      <formula>3000</formula>
    </cfRule>
    <cfRule type="cellIs" dxfId="1174" priority="179" stopIfTrue="1" operator="between">
      <formula>3000</formula>
      <formula>9000</formula>
    </cfRule>
    <cfRule type="cellIs" dxfId="1173" priority="180" stopIfTrue="1" operator="greaterThanOrEqual">
      <formula>9000</formula>
    </cfRule>
  </conditionalFormatting>
  <conditionalFormatting sqref="AA176:AD176">
    <cfRule type="cellIs" dxfId="1172" priority="175" stopIfTrue="1" operator="lessThanOrEqual">
      <formula>3000</formula>
    </cfRule>
    <cfRule type="cellIs" dxfId="1171" priority="176" stopIfTrue="1" operator="between">
      <formula>3000</formula>
      <formula>9000</formula>
    </cfRule>
    <cfRule type="cellIs" dxfId="1170" priority="177" stopIfTrue="1" operator="greaterThanOrEqual">
      <formula>9000</formula>
    </cfRule>
  </conditionalFormatting>
  <conditionalFormatting sqref="AF176">
    <cfRule type="cellIs" dxfId="1169" priority="172" stopIfTrue="1" operator="lessThanOrEqual">
      <formula>3000</formula>
    </cfRule>
    <cfRule type="cellIs" dxfId="1168" priority="173" stopIfTrue="1" operator="between">
      <formula>3000</formula>
      <formula>9000</formula>
    </cfRule>
    <cfRule type="cellIs" dxfId="1167" priority="174" stopIfTrue="1" operator="greaterThanOrEqual">
      <formula>9000</formula>
    </cfRule>
  </conditionalFormatting>
  <conditionalFormatting sqref="AG176:AJ176">
    <cfRule type="cellIs" dxfId="1166" priority="169" stopIfTrue="1" operator="lessThanOrEqual">
      <formula>3000</formula>
    </cfRule>
    <cfRule type="cellIs" dxfId="1165" priority="170" stopIfTrue="1" operator="between">
      <formula>3000</formula>
      <formula>9000</formula>
    </cfRule>
    <cfRule type="cellIs" dxfId="1164" priority="171" stopIfTrue="1" operator="greaterThanOrEqual">
      <formula>9000</formula>
    </cfRule>
  </conditionalFormatting>
  <conditionalFormatting sqref="V182:Y182">
    <cfRule type="cellIs" dxfId="1163" priority="166" stopIfTrue="1" operator="lessThanOrEqual">
      <formula>3000</formula>
    </cfRule>
    <cfRule type="cellIs" dxfId="1162" priority="167" stopIfTrue="1" operator="between">
      <formula>3000</formula>
      <formula>9000</formula>
    </cfRule>
    <cfRule type="cellIs" dxfId="1161" priority="168" stopIfTrue="1" operator="greaterThanOrEqual">
      <formula>9000</formula>
    </cfRule>
  </conditionalFormatting>
  <conditionalFormatting sqref="AA182:AD182">
    <cfRule type="cellIs" dxfId="1160" priority="163" stopIfTrue="1" operator="lessThanOrEqual">
      <formula>3000</formula>
    </cfRule>
    <cfRule type="cellIs" dxfId="1159" priority="164" stopIfTrue="1" operator="between">
      <formula>3000</formula>
      <formula>9000</formula>
    </cfRule>
    <cfRule type="cellIs" dxfId="1158" priority="165" stopIfTrue="1" operator="greaterThanOrEqual">
      <formula>9000</formula>
    </cfRule>
  </conditionalFormatting>
  <conditionalFormatting sqref="AF182">
    <cfRule type="cellIs" dxfId="1157" priority="160" stopIfTrue="1" operator="lessThanOrEqual">
      <formula>3000</formula>
    </cfRule>
    <cfRule type="cellIs" dxfId="1156" priority="161" stopIfTrue="1" operator="between">
      <formula>3000</formula>
      <formula>9000</formula>
    </cfRule>
    <cfRule type="cellIs" dxfId="1155" priority="162" stopIfTrue="1" operator="greaterThanOrEqual">
      <formula>9000</formula>
    </cfRule>
  </conditionalFormatting>
  <conditionalFormatting sqref="AG182:AJ182">
    <cfRule type="cellIs" dxfId="1154" priority="157" stopIfTrue="1" operator="lessThanOrEqual">
      <formula>3000</formula>
    </cfRule>
    <cfRule type="cellIs" dxfId="1153" priority="158" stopIfTrue="1" operator="between">
      <formula>3000</formula>
      <formula>9000</formula>
    </cfRule>
    <cfRule type="cellIs" dxfId="1152" priority="159" stopIfTrue="1" operator="greaterThanOrEqual">
      <formula>9000</formula>
    </cfRule>
  </conditionalFormatting>
  <conditionalFormatting sqref="V188:Y188">
    <cfRule type="cellIs" dxfId="1151" priority="154" stopIfTrue="1" operator="lessThanOrEqual">
      <formula>3000</formula>
    </cfRule>
    <cfRule type="cellIs" dxfId="1150" priority="155" stopIfTrue="1" operator="between">
      <formula>3000</formula>
      <formula>9000</formula>
    </cfRule>
    <cfRule type="cellIs" dxfId="1149" priority="156" stopIfTrue="1" operator="greaterThanOrEqual">
      <formula>9000</formula>
    </cfRule>
  </conditionalFormatting>
  <conditionalFormatting sqref="AA188:AD188">
    <cfRule type="cellIs" dxfId="1148" priority="151" stopIfTrue="1" operator="lessThanOrEqual">
      <formula>3000</formula>
    </cfRule>
    <cfRule type="cellIs" dxfId="1147" priority="152" stopIfTrue="1" operator="between">
      <formula>3000</formula>
      <formula>9000</formula>
    </cfRule>
    <cfRule type="cellIs" dxfId="1146" priority="153" stopIfTrue="1" operator="greaterThanOrEqual">
      <formula>9000</formula>
    </cfRule>
  </conditionalFormatting>
  <conditionalFormatting sqref="AF188">
    <cfRule type="cellIs" dxfId="1145" priority="148" stopIfTrue="1" operator="lessThanOrEqual">
      <formula>3000</formula>
    </cfRule>
    <cfRule type="cellIs" dxfId="1144" priority="149" stopIfTrue="1" operator="between">
      <formula>3000</formula>
      <formula>9000</formula>
    </cfRule>
    <cfRule type="cellIs" dxfId="1143" priority="150" stopIfTrue="1" operator="greaterThanOrEqual">
      <formula>9000</formula>
    </cfRule>
  </conditionalFormatting>
  <conditionalFormatting sqref="AG188:AJ188">
    <cfRule type="cellIs" dxfId="1142" priority="145" stopIfTrue="1" operator="lessThanOrEqual">
      <formula>3000</formula>
    </cfRule>
    <cfRule type="cellIs" dxfId="1141" priority="146" stopIfTrue="1" operator="between">
      <formula>3000</formula>
      <formula>9000</formula>
    </cfRule>
    <cfRule type="cellIs" dxfId="1140" priority="147" stopIfTrue="1" operator="greaterThanOrEqual">
      <formula>9000</formula>
    </cfRule>
  </conditionalFormatting>
  <conditionalFormatting sqref="V194:Y194">
    <cfRule type="cellIs" dxfId="1139" priority="142" stopIfTrue="1" operator="lessThanOrEqual">
      <formula>3000</formula>
    </cfRule>
    <cfRule type="cellIs" dxfId="1138" priority="143" stopIfTrue="1" operator="between">
      <formula>3000</formula>
      <formula>9000</formula>
    </cfRule>
    <cfRule type="cellIs" dxfId="1137" priority="144" stopIfTrue="1" operator="greaterThanOrEqual">
      <formula>9000</formula>
    </cfRule>
  </conditionalFormatting>
  <conditionalFormatting sqref="AA194:AD194">
    <cfRule type="cellIs" dxfId="1136" priority="139" stopIfTrue="1" operator="lessThanOrEqual">
      <formula>3000</formula>
    </cfRule>
    <cfRule type="cellIs" dxfId="1135" priority="140" stopIfTrue="1" operator="between">
      <formula>3000</formula>
      <formula>9000</formula>
    </cfRule>
    <cfRule type="cellIs" dxfId="1134" priority="141" stopIfTrue="1" operator="greaterThanOrEqual">
      <formula>9000</formula>
    </cfRule>
  </conditionalFormatting>
  <conditionalFormatting sqref="AF194">
    <cfRule type="cellIs" dxfId="1133" priority="136" stopIfTrue="1" operator="lessThanOrEqual">
      <formula>3000</formula>
    </cfRule>
    <cfRule type="cellIs" dxfId="1132" priority="137" stopIfTrue="1" operator="between">
      <formula>3000</formula>
      <formula>9000</formula>
    </cfRule>
    <cfRule type="cellIs" dxfId="1131" priority="138" stopIfTrue="1" operator="greaterThanOrEqual">
      <formula>9000</formula>
    </cfRule>
  </conditionalFormatting>
  <conditionalFormatting sqref="AG194:AJ194">
    <cfRule type="cellIs" dxfId="1130" priority="133" stopIfTrue="1" operator="lessThanOrEqual">
      <formula>3000</formula>
    </cfRule>
    <cfRule type="cellIs" dxfId="1129" priority="134" stopIfTrue="1" operator="between">
      <formula>3000</formula>
      <formula>9000</formula>
    </cfRule>
    <cfRule type="cellIs" dxfId="1128" priority="135" stopIfTrue="1" operator="greaterThanOrEqual">
      <formula>9000</formula>
    </cfRule>
  </conditionalFormatting>
  <conditionalFormatting sqref="V200:Y200">
    <cfRule type="cellIs" dxfId="1127" priority="130" stopIfTrue="1" operator="lessThanOrEqual">
      <formula>3000</formula>
    </cfRule>
    <cfRule type="cellIs" dxfId="1126" priority="131" stopIfTrue="1" operator="between">
      <formula>3000</formula>
      <formula>9000</formula>
    </cfRule>
    <cfRule type="cellIs" dxfId="1125" priority="132" stopIfTrue="1" operator="greaterThanOrEqual">
      <formula>9000</formula>
    </cfRule>
  </conditionalFormatting>
  <conditionalFormatting sqref="AA200:AD200">
    <cfRule type="cellIs" dxfId="1124" priority="127" stopIfTrue="1" operator="lessThanOrEqual">
      <formula>3000</formula>
    </cfRule>
    <cfRule type="cellIs" dxfId="1123" priority="128" stopIfTrue="1" operator="between">
      <formula>3000</formula>
      <formula>9000</formula>
    </cfRule>
    <cfRule type="cellIs" dxfId="1122" priority="129" stopIfTrue="1" operator="greaterThanOrEqual">
      <formula>9000</formula>
    </cfRule>
  </conditionalFormatting>
  <conditionalFormatting sqref="AF200">
    <cfRule type="cellIs" dxfId="1121" priority="124" stopIfTrue="1" operator="lessThanOrEqual">
      <formula>3000</formula>
    </cfRule>
    <cfRule type="cellIs" dxfId="1120" priority="125" stopIfTrue="1" operator="between">
      <formula>3000</formula>
      <formula>9000</formula>
    </cfRule>
    <cfRule type="cellIs" dxfId="1119" priority="126" stopIfTrue="1" operator="greaterThanOrEqual">
      <formula>9000</formula>
    </cfRule>
  </conditionalFormatting>
  <conditionalFormatting sqref="AG200:AJ200">
    <cfRule type="cellIs" dxfId="1118" priority="121" stopIfTrue="1" operator="lessThanOrEqual">
      <formula>3000</formula>
    </cfRule>
    <cfRule type="cellIs" dxfId="1117" priority="122" stopIfTrue="1" operator="between">
      <formula>3000</formula>
      <formula>9000</formula>
    </cfRule>
    <cfRule type="cellIs" dxfId="1116" priority="123" stopIfTrue="1" operator="greaterThanOrEqual">
      <formula>9000</formula>
    </cfRule>
  </conditionalFormatting>
  <conditionalFormatting sqref="V206:Y206">
    <cfRule type="cellIs" dxfId="1115" priority="118" stopIfTrue="1" operator="lessThanOrEqual">
      <formula>3000</formula>
    </cfRule>
    <cfRule type="cellIs" dxfId="1114" priority="119" stopIfTrue="1" operator="between">
      <formula>3000</formula>
      <formula>9000</formula>
    </cfRule>
    <cfRule type="cellIs" dxfId="1113" priority="120" stopIfTrue="1" operator="greaterThanOrEqual">
      <formula>9000</formula>
    </cfRule>
  </conditionalFormatting>
  <conditionalFormatting sqref="AA206:AD206">
    <cfRule type="cellIs" dxfId="1112" priority="115" stopIfTrue="1" operator="lessThanOrEqual">
      <formula>3000</formula>
    </cfRule>
    <cfRule type="cellIs" dxfId="1111" priority="116" stopIfTrue="1" operator="between">
      <formula>3000</formula>
      <formula>9000</formula>
    </cfRule>
    <cfRule type="cellIs" dxfId="1110" priority="117" stopIfTrue="1" operator="greaterThanOrEqual">
      <formula>9000</formula>
    </cfRule>
  </conditionalFormatting>
  <conditionalFormatting sqref="AF206">
    <cfRule type="cellIs" dxfId="1109" priority="112" stopIfTrue="1" operator="lessThanOrEqual">
      <formula>3000</formula>
    </cfRule>
    <cfRule type="cellIs" dxfId="1108" priority="113" stopIfTrue="1" operator="between">
      <formula>3000</formula>
      <formula>9000</formula>
    </cfRule>
    <cfRule type="cellIs" dxfId="1107" priority="114" stopIfTrue="1" operator="greaterThanOrEqual">
      <formula>9000</formula>
    </cfRule>
  </conditionalFormatting>
  <conditionalFormatting sqref="AG206:AJ206">
    <cfRule type="cellIs" dxfId="1106" priority="109" stopIfTrue="1" operator="lessThanOrEqual">
      <formula>3000</formula>
    </cfRule>
    <cfRule type="cellIs" dxfId="1105" priority="110" stopIfTrue="1" operator="between">
      <formula>3000</formula>
      <formula>9000</formula>
    </cfRule>
    <cfRule type="cellIs" dxfId="1104" priority="111" stopIfTrue="1" operator="greaterThanOrEqual">
      <formula>9000</formula>
    </cfRule>
  </conditionalFormatting>
  <conditionalFormatting sqref="V218:Y218">
    <cfRule type="cellIs" dxfId="1103" priority="94" stopIfTrue="1" operator="lessThanOrEqual">
      <formula>3000</formula>
    </cfRule>
    <cfRule type="cellIs" dxfId="1102" priority="95" stopIfTrue="1" operator="between">
      <formula>3000</formula>
      <formula>9000</formula>
    </cfRule>
    <cfRule type="cellIs" dxfId="1101" priority="96" stopIfTrue="1" operator="greaterThanOrEqual">
      <formula>9000</formula>
    </cfRule>
  </conditionalFormatting>
  <conditionalFormatting sqref="AA218:AD218">
    <cfRule type="cellIs" dxfId="1100" priority="91" stopIfTrue="1" operator="lessThanOrEqual">
      <formula>3000</formula>
    </cfRule>
    <cfRule type="cellIs" dxfId="1099" priority="92" stopIfTrue="1" operator="between">
      <formula>3000</formula>
      <formula>9000</formula>
    </cfRule>
    <cfRule type="cellIs" dxfId="1098" priority="93" stopIfTrue="1" operator="greaterThanOrEqual">
      <formula>9000</formula>
    </cfRule>
  </conditionalFormatting>
  <conditionalFormatting sqref="AF218">
    <cfRule type="cellIs" dxfId="1097" priority="88" stopIfTrue="1" operator="lessThanOrEqual">
      <formula>3000</formula>
    </cfRule>
    <cfRule type="cellIs" dxfId="1096" priority="89" stopIfTrue="1" operator="between">
      <formula>3000</formula>
      <formula>9000</formula>
    </cfRule>
    <cfRule type="cellIs" dxfId="1095" priority="90" stopIfTrue="1" operator="greaterThanOrEqual">
      <formula>9000</formula>
    </cfRule>
  </conditionalFormatting>
  <conditionalFormatting sqref="AG218:AJ218">
    <cfRule type="cellIs" dxfId="1094" priority="85" stopIfTrue="1" operator="lessThanOrEqual">
      <formula>3000</formula>
    </cfRule>
    <cfRule type="cellIs" dxfId="1093" priority="86" stopIfTrue="1" operator="between">
      <formula>3000</formula>
      <formula>9000</formula>
    </cfRule>
    <cfRule type="cellIs" dxfId="1092" priority="87" stopIfTrue="1" operator="greaterThanOrEqual">
      <formula>9000</formula>
    </cfRule>
  </conditionalFormatting>
  <conditionalFormatting sqref="V224:Y224">
    <cfRule type="cellIs" dxfId="1091" priority="82" stopIfTrue="1" operator="lessThanOrEqual">
      <formula>3000</formula>
    </cfRule>
    <cfRule type="cellIs" dxfId="1090" priority="83" stopIfTrue="1" operator="between">
      <formula>3000</formula>
      <formula>9000</formula>
    </cfRule>
    <cfRule type="cellIs" dxfId="1089" priority="84" stopIfTrue="1" operator="greaterThanOrEqual">
      <formula>9000</formula>
    </cfRule>
  </conditionalFormatting>
  <conditionalFormatting sqref="AA224:AD224">
    <cfRule type="cellIs" dxfId="1088" priority="79" stopIfTrue="1" operator="lessThanOrEqual">
      <formula>3000</formula>
    </cfRule>
    <cfRule type="cellIs" dxfId="1087" priority="80" stopIfTrue="1" operator="between">
      <formula>3000</formula>
      <formula>9000</formula>
    </cfRule>
    <cfRule type="cellIs" dxfId="1086" priority="81" stopIfTrue="1" operator="greaterThanOrEqual">
      <formula>9000</formula>
    </cfRule>
  </conditionalFormatting>
  <conditionalFormatting sqref="AF224">
    <cfRule type="cellIs" dxfId="1085" priority="76" stopIfTrue="1" operator="lessThanOrEqual">
      <formula>3000</formula>
    </cfRule>
    <cfRule type="cellIs" dxfId="1084" priority="77" stopIfTrue="1" operator="between">
      <formula>3000</formula>
      <formula>9000</formula>
    </cfRule>
    <cfRule type="cellIs" dxfId="1083" priority="78" stopIfTrue="1" operator="greaterThanOrEqual">
      <formula>9000</formula>
    </cfRule>
  </conditionalFormatting>
  <conditionalFormatting sqref="AG224:AJ224">
    <cfRule type="cellIs" dxfId="1082" priority="73" stopIfTrue="1" operator="lessThanOrEqual">
      <formula>3000</formula>
    </cfRule>
    <cfRule type="cellIs" dxfId="1081" priority="74" stopIfTrue="1" operator="between">
      <formula>3000</formula>
      <formula>9000</formula>
    </cfRule>
    <cfRule type="cellIs" dxfId="1080" priority="75" stopIfTrue="1" operator="greaterThanOrEqual">
      <formula>9000</formula>
    </cfRule>
  </conditionalFormatting>
  <conditionalFormatting sqref="V230:Y230">
    <cfRule type="cellIs" dxfId="1079" priority="70" stopIfTrue="1" operator="lessThanOrEqual">
      <formula>3000</formula>
    </cfRule>
    <cfRule type="cellIs" dxfId="1078" priority="71" stopIfTrue="1" operator="between">
      <formula>3000</formula>
      <formula>9000</formula>
    </cfRule>
    <cfRule type="cellIs" dxfId="1077" priority="72" stopIfTrue="1" operator="greaterThanOrEqual">
      <formula>9000</formula>
    </cfRule>
  </conditionalFormatting>
  <conditionalFormatting sqref="AA230:AD230">
    <cfRule type="cellIs" dxfId="1076" priority="67" stopIfTrue="1" operator="lessThanOrEqual">
      <formula>3000</formula>
    </cfRule>
    <cfRule type="cellIs" dxfId="1075" priority="68" stopIfTrue="1" operator="between">
      <formula>3000</formula>
      <formula>9000</formula>
    </cfRule>
    <cfRule type="cellIs" dxfId="1074" priority="69" stopIfTrue="1" operator="greaterThanOrEqual">
      <formula>9000</formula>
    </cfRule>
  </conditionalFormatting>
  <conditionalFormatting sqref="AF230">
    <cfRule type="cellIs" dxfId="1073" priority="64" stopIfTrue="1" operator="lessThanOrEqual">
      <formula>3000</formula>
    </cfRule>
    <cfRule type="cellIs" dxfId="1072" priority="65" stopIfTrue="1" operator="between">
      <formula>3000</formula>
      <formula>9000</formula>
    </cfRule>
    <cfRule type="cellIs" dxfId="1071" priority="66" stopIfTrue="1" operator="greaterThanOrEqual">
      <formula>9000</formula>
    </cfRule>
  </conditionalFormatting>
  <conditionalFormatting sqref="AG230:AJ230">
    <cfRule type="cellIs" dxfId="1070" priority="61" stopIfTrue="1" operator="lessThanOrEqual">
      <formula>3000</formula>
    </cfRule>
    <cfRule type="cellIs" dxfId="1069" priority="62" stopIfTrue="1" operator="between">
      <formula>3000</formula>
      <formula>9000</formula>
    </cfRule>
    <cfRule type="cellIs" dxfId="1068" priority="63" stopIfTrue="1" operator="greaterThanOrEqual">
      <formula>9000</formula>
    </cfRule>
  </conditionalFormatting>
  <conditionalFormatting sqref="V236:Y236">
    <cfRule type="cellIs" dxfId="1067" priority="58" stopIfTrue="1" operator="lessThanOrEqual">
      <formula>3000</formula>
    </cfRule>
    <cfRule type="cellIs" dxfId="1066" priority="59" stopIfTrue="1" operator="between">
      <formula>3000</formula>
      <formula>9000</formula>
    </cfRule>
    <cfRule type="cellIs" dxfId="1065" priority="60" stopIfTrue="1" operator="greaterThanOrEqual">
      <formula>9000</formula>
    </cfRule>
  </conditionalFormatting>
  <conditionalFormatting sqref="AA236:AD236">
    <cfRule type="cellIs" dxfId="1064" priority="55" stopIfTrue="1" operator="lessThanOrEqual">
      <formula>3000</formula>
    </cfRule>
    <cfRule type="cellIs" dxfId="1063" priority="56" stopIfTrue="1" operator="between">
      <formula>3000</formula>
      <formula>9000</formula>
    </cfRule>
    <cfRule type="cellIs" dxfId="1062" priority="57" stopIfTrue="1" operator="greaterThanOrEqual">
      <formula>9000</formula>
    </cfRule>
  </conditionalFormatting>
  <conditionalFormatting sqref="AF236">
    <cfRule type="cellIs" dxfId="1061" priority="52" stopIfTrue="1" operator="lessThanOrEqual">
      <formula>3000</formula>
    </cfRule>
    <cfRule type="cellIs" dxfId="1060" priority="53" stopIfTrue="1" operator="between">
      <formula>3000</formula>
      <formula>9000</formula>
    </cfRule>
    <cfRule type="cellIs" dxfId="1059" priority="54" stopIfTrue="1" operator="greaterThanOrEqual">
      <formula>9000</formula>
    </cfRule>
  </conditionalFormatting>
  <conditionalFormatting sqref="AG236:AJ236">
    <cfRule type="cellIs" dxfId="1058" priority="49" stopIfTrue="1" operator="lessThanOrEqual">
      <formula>3000</formula>
    </cfRule>
    <cfRule type="cellIs" dxfId="1057" priority="50" stopIfTrue="1" operator="between">
      <formula>3000</formula>
      <formula>9000</formula>
    </cfRule>
    <cfRule type="cellIs" dxfId="1056" priority="51" stopIfTrue="1" operator="greaterThanOrEqual">
      <formula>9000</formula>
    </cfRule>
  </conditionalFormatting>
  <conditionalFormatting sqref="E254:H254">
    <cfRule type="cellIs" dxfId="1055" priority="46" stopIfTrue="1" operator="lessThanOrEqual">
      <formula>3000</formula>
    </cfRule>
    <cfRule type="cellIs" dxfId="1054" priority="47" stopIfTrue="1" operator="between">
      <formula>3000</formula>
      <formula>9000</formula>
    </cfRule>
    <cfRule type="cellIs" dxfId="1053" priority="48" stopIfTrue="1" operator="greaterThanOrEqual">
      <formula>9000</formula>
    </cfRule>
  </conditionalFormatting>
  <conditionalFormatting sqref="J254:M254">
    <cfRule type="cellIs" dxfId="1052" priority="43" stopIfTrue="1" operator="lessThanOrEqual">
      <formula>3000</formula>
    </cfRule>
    <cfRule type="cellIs" dxfId="1051" priority="44" stopIfTrue="1" operator="between">
      <formula>3000</formula>
      <formula>9000</formula>
    </cfRule>
    <cfRule type="cellIs" dxfId="1050" priority="45" stopIfTrue="1" operator="greaterThanOrEqual">
      <formula>9000</formula>
    </cfRule>
  </conditionalFormatting>
  <conditionalFormatting sqref="O254">
    <cfRule type="cellIs" dxfId="1049" priority="40" stopIfTrue="1" operator="lessThanOrEqual">
      <formula>3000</formula>
    </cfRule>
    <cfRule type="cellIs" dxfId="1048" priority="41" stopIfTrue="1" operator="between">
      <formula>3000</formula>
      <formula>9000</formula>
    </cfRule>
    <cfRule type="cellIs" dxfId="1047" priority="42" stopIfTrue="1" operator="greaterThanOrEqual">
      <formula>9000</formula>
    </cfRule>
  </conditionalFormatting>
  <conditionalFormatting sqref="P254:S254">
    <cfRule type="cellIs" dxfId="1046" priority="37" stopIfTrue="1" operator="lessThanOrEqual">
      <formula>3000</formula>
    </cfRule>
    <cfRule type="cellIs" dxfId="1045" priority="38" stopIfTrue="1" operator="between">
      <formula>3000</formula>
      <formula>9000</formula>
    </cfRule>
    <cfRule type="cellIs" dxfId="1044" priority="39" stopIfTrue="1" operator="greaterThanOrEqual">
      <formula>9000</formula>
    </cfRule>
  </conditionalFormatting>
  <conditionalFormatting sqref="E248:H248">
    <cfRule type="cellIs" dxfId="1043" priority="34" stopIfTrue="1" operator="lessThanOrEqual">
      <formula>3000</formula>
    </cfRule>
    <cfRule type="cellIs" dxfId="1042" priority="35" stopIfTrue="1" operator="between">
      <formula>3000</formula>
      <formula>9000</formula>
    </cfRule>
    <cfRule type="cellIs" dxfId="1041" priority="36" stopIfTrue="1" operator="greaterThanOrEqual">
      <formula>9000</formula>
    </cfRule>
  </conditionalFormatting>
  <conditionalFormatting sqref="J248:M248">
    <cfRule type="cellIs" dxfId="1040" priority="31" stopIfTrue="1" operator="lessThanOrEqual">
      <formula>3000</formula>
    </cfRule>
    <cfRule type="cellIs" dxfId="1039" priority="32" stopIfTrue="1" operator="between">
      <formula>3000</formula>
      <formula>9000</formula>
    </cfRule>
    <cfRule type="cellIs" dxfId="1038" priority="33" stopIfTrue="1" operator="greaterThanOrEqual">
      <formula>9000</formula>
    </cfRule>
  </conditionalFormatting>
  <conditionalFormatting sqref="O248">
    <cfRule type="cellIs" dxfId="1037" priority="28" stopIfTrue="1" operator="lessThanOrEqual">
      <formula>3000</formula>
    </cfRule>
    <cfRule type="cellIs" dxfId="1036" priority="29" stopIfTrue="1" operator="between">
      <formula>3000</formula>
      <formula>9000</formula>
    </cfRule>
    <cfRule type="cellIs" dxfId="1035" priority="30" stopIfTrue="1" operator="greaterThanOrEqual">
      <formula>9000</formula>
    </cfRule>
  </conditionalFormatting>
  <conditionalFormatting sqref="P248:S248">
    <cfRule type="cellIs" dxfId="1034" priority="25" stopIfTrue="1" operator="lessThanOrEqual">
      <formula>3000</formula>
    </cfRule>
    <cfRule type="cellIs" dxfId="1033" priority="26" stopIfTrue="1" operator="between">
      <formula>3000</formula>
      <formula>9000</formula>
    </cfRule>
    <cfRule type="cellIs" dxfId="1032" priority="27" stopIfTrue="1" operator="greaterThanOrEqual">
      <formula>9000</formula>
    </cfRule>
  </conditionalFormatting>
  <conditionalFormatting sqref="V254:Y254">
    <cfRule type="cellIs" dxfId="1031" priority="22" stopIfTrue="1" operator="lessThanOrEqual">
      <formula>3000</formula>
    </cfRule>
    <cfRule type="cellIs" dxfId="1030" priority="23" stopIfTrue="1" operator="between">
      <formula>3000</formula>
      <formula>9000</formula>
    </cfRule>
    <cfRule type="cellIs" dxfId="1029" priority="24" stopIfTrue="1" operator="greaterThanOrEqual">
      <formula>9000</formula>
    </cfRule>
  </conditionalFormatting>
  <conditionalFormatting sqref="AA254:AD254">
    <cfRule type="cellIs" dxfId="1028" priority="19" stopIfTrue="1" operator="lessThanOrEqual">
      <formula>3000</formula>
    </cfRule>
    <cfRule type="cellIs" dxfId="1027" priority="20" stopIfTrue="1" operator="between">
      <formula>3000</formula>
      <formula>9000</formula>
    </cfRule>
    <cfRule type="cellIs" dxfId="1026" priority="21" stopIfTrue="1" operator="greaterThanOrEqual">
      <formula>9000</formula>
    </cfRule>
  </conditionalFormatting>
  <conditionalFormatting sqref="AF254">
    <cfRule type="cellIs" dxfId="1025" priority="16" stopIfTrue="1" operator="lessThanOrEqual">
      <formula>3000</formula>
    </cfRule>
    <cfRule type="cellIs" dxfId="1024" priority="17" stopIfTrue="1" operator="between">
      <formula>3000</formula>
      <formula>9000</formula>
    </cfRule>
    <cfRule type="cellIs" dxfId="1023" priority="18" stopIfTrue="1" operator="greaterThanOrEqual">
      <formula>9000</formula>
    </cfRule>
  </conditionalFormatting>
  <conditionalFormatting sqref="AG254:AJ254">
    <cfRule type="cellIs" dxfId="1022" priority="13" stopIfTrue="1" operator="lessThanOrEqual">
      <formula>3000</formula>
    </cfRule>
    <cfRule type="cellIs" dxfId="1021" priority="14" stopIfTrue="1" operator="between">
      <formula>3000</formula>
      <formula>9000</formula>
    </cfRule>
    <cfRule type="cellIs" dxfId="1020" priority="15" stopIfTrue="1" operator="greaterThanOrEqual">
      <formula>9000</formula>
    </cfRule>
  </conditionalFormatting>
  <conditionalFormatting sqref="V248:Y248">
    <cfRule type="cellIs" dxfId="1019" priority="10" stopIfTrue="1" operator="lessThanOrEqual">
      <formula>3000</formula>
    </cfRule>
    <cfRule type="cellIs" dxfId="1018" priority="11" stopIfTrue="1" operator="between">
      <formula>3000</formula>
      <formula>9000</formula>
    </cfRule>
    <cfRule type="cellIs" dxfId="1017" priority="12" stopIfTrue="1" operator="greaterThanOrEqual">
      <formula>9000</formula>
    </cfRule>
  </conditionalFormatting>
  <conditionalFormatting sqref="AA248:AD248">
    <cfRule type="cellIs" dxfId="1016" priority="7" stopIfTrue="1" operator="lessThanOrEqual">
      <formula>3000</formula>
    </cfRule>
    <cfRule type="cellIs" dxfId="1015" priority="8" stopIfTrue="1" operator="between">
      <formula>3000</formula>
      <formula>9000</formula>
    </cfRule>
    <cfRule type="cellIs" dxfId="1014" priority="9" stopIfTrue="1" operator="greaterThanOrEqual">
      <formula>9000</formula>
    </cfRule>
  </conditionalFormatting>
  <conditionalFormatting sqref="AF248">
    <cfRule type="cellIs" dxfId="1013" priority="4" stopIfTrue="1" operator="lessThanOrEqual">
      <formula>3000</formula>
    </cfRule>
    <cfRule type="cellIs" dxfId="1012" priority="5" stopIfTrue="1" operator="between">
      <formula>3000</formula>
      <formula>9000</formula>
    </cfRule>
    <cfRule type="cellIs" dxfId="1011" priority="6" stopIfTrue="1" operator="greaterThanOrEqual">
      <formula>9000</formula>
    </cfRule>
  </conditionalFormatting>
  <conditionalFormatting sqref="AG248:AJ248">
    <cfRule type="cellIs" dxfId="1010" priority="1" stopIfTrue="1" operator="lessThanOrEqual">
      <formula>3000</formula>
    </cfRule>
    <cfRule type="cellIs" dxfId="1009" priority="2" stopIfTrue="1" operator="between">
      <formula>3000</formula>
      <formula>9000</formula>
    </cfRule>
    <cfRule type="cellIs" dxfId="1008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7030A0"/>
  </sheetPr>
  <dimension ref="A1:AO114"/>
  <sheetViews>
    <sheetView zoomScaleNormal="55" workbookViewId="0">
      <pane xSplit="1" topLeftCell="B1" activePane="topRight" state="frozen"/>
      <selection pane="topRight" activeCell="D6" sqref="D6"/>
    </sheetView>
  </sheetViews>
  <sheetFormatPr baseColWidth="10" defaultColWidth="9" defaultRowHeight="16"/>
  <cols>
    <col min="1" max="1" width="36.33203125" style="16" customWidth="1"/>
    <col min="2" max="2" width="12.6640625" style="52" bestFit="1" customWidth="1"/>
    <col min="3" max="3" width="13" style="52" customWidth="1"/>
    <col min="4" max="4" width="19.1640625" style="52" customWidth="1"/>
    <col min="5" max="20" width="11.33203125" style="52" customWidth="1"/>
    <col min="21" max="21" width="11.33203125" style="53" customWidth="1"/>
    <col min="22" max="36" width="11.33203125" style="52" customWidth="1"/>
    <col min="37" max="37" width="12.33203125" style="52" bestFit="1" customWidth="1"/>
    <col min="38" max="38" width="12.33203125" style="53" bestFit="1" customWidth="1"/>
    <col min="39" max="39" width="5.33203125" style="52" bestFit="1" customWidth="1"/>
    <col min="40" max="41" width="14.33203125" style="17" bestFit="1" customWidth="1"/>
    <col min="42" max="245" width="9" style="52"/>
    <col min="246" max="246" width="20.5" style="52" customWidth="1"/>
    <col min="247" max="247" width="8.5" style="52" customWidth="1"/>
    <col min="248" max="248" width="10" style="52" customWidth="1"/>
    <col min="249" max="249" width="8.5" style="52" customWidth="1"/>
    <col min="250" max="252" width="9.5" style="52" bestFit="1" customWidth="1"/>
    <col min="253" max="253" width="8.33203125" style="52" bestFit="1" customWidth="1"/>
    <col min="254" max="254" width="8.33203125" style="52" customWidth="1"/>
    <col min="255" max="257" width="9.5" style="52" bestFit="1" customWidth="1"/>
    <col min="258" max="258" width="8.33203125" style="52" bestFit="1" customWidth="1"/>
    <col min="259" max="259" width="8.33203125" style="52" customWidth="1"/>
    <col min="260" max="262" width="9.5" style="52" bestFit="1" customWidth="1"/>
    <col min="263" max="263" width="8.33203125" style="52" bestFit="1" customWidth="1"/>
    <col min="264" max="265" width="8.33203125" style="52" customWidth="1"/>
    <col min="266" max="266" width="9.1640625" style="52" bestFit="1" customWidth="1"/>
    <col min="267" max="501" width="9" style="52"/>
    <col min="502" max="502" width="20.5" style="52" customWidth="1"/>
    <col min="503" max="503" width="8.5" style="52" customWidth="1"/>
    <col min="504" max="504" width="10" style="52" customWidth="1"/>
    <col min="505" max="505" width="8.5" style="52" customWidth="1"/>
    <col min="506" max="508" width="9.5" style="52" bestFit="1" customWidth="1"/>
    <col min="509" max="509" width="8.33203125" style="52" bestFit="1" customWidth="1"/>
    <col min="510" max="510" width="8.33203125" style="52" customWidth="1"/>
    <col min="511" max="513" width="9.5" style="52" bestFit="1" customWidth="1"/>
    <col min="514" max="514" width="8.33203125" style="52" bestFit="1" customWidth="1"/>
    <col min="515" max="515" width="8.33203125" style="52" customWidth="1"/>
    <col min="516" max="518" width="9.5" style="52" bestFit="1" customWidth="1"/>
    <col min="519" max="519" width="8.33203125" style="52" bestFit="1" customWidth="1"/>
    <col min="520" max="521" width="8.33203125" style="52" customWidth="1"/>
    <col min="522" max="522" width="9.1640625" style="52" bestFit="1" customWidth="1"/>
    <col min="523" max="757" width="9" style="52"/>
    <col min="758" max="758" width="20.5" style="52" customWidth="1"/>
    <col min="759" max="759" width="8.5" style="52" customWidth="1"/>
    <col min="760" max="760" width="10" style="52" customWidth="1"/>
    <col min="761" max="761" width="8.5" style="52" customWidth="1"/>
    <col min="762" max="764" width="9.5" style="52" bestFit="1" customWidth="1"/>
    <col min="765" max="765" width="8.33203125" style="52" bestFit="1" customWidth="1"/>
    <col min="766" max="766" width="8.33203125" style="52" customWidth="1"/>
    <col min="767" max="769" width="9.5" style="52" bestFit="1" customWidth="1"/>
    <col min="770" max="770" width="8.33203125" style="52" bestFit="1" customWidth="1"/>
    <col min="771" max="771" width="8.33203125" style="52" customWidth="1"/>
    <col min="772" max="774" width="9.5" style="52" bestFit="1" customWidth="1"/>
    <col min="775" max="775" width="8.33203125" style="52" bestFit="1" customWidth="1"/>
    <col min="776" max="777" width="8.33203125" style="52" customWidth="1"/>
    <col min="778" max="778" width="9.1640625" style="52" bestFit="1" customWidth="1"/>
    <col min="779" max="1013" width="9" style="52"/>
    <col min="1014" max="1014" width="20.5" style="52" customWidth="1"/>
    <col min="1015" max="1015" width="8.5" style="52" customWidth="1"/>
    <col min="1016" max="1016" width="10" style="52" customWidth="1"/>
    <col min="1017" max="1017" width="8.5" style="52" customWidth="1"/>
    <col min="1018" max="1020" width="9.5" style="52" bestFit="1" customWidth="1"/>
    <col min="1021" max="1021" width="8.33203125" style="52" bestFit="1" customWidth="1"/>
    <col min="1022" max="1022" width="8.33203125" style="52" customWidth="1"/>
    <col min="1023" max="1025" width="9.5" style="52" bestFit="1" customWidth="1"/>
    <col min="1026" max="1026" width="8.33203125" style="52" bestFit="1" customWidth="1"/>
    <col min="1027" max="1027" width="8.33203125" style="52" customWidth="1"/>
    <col min="1028" max="1030" width="9.5" style="52" bestFit="1" customWidth="1"/>
    <col min="1031" max="1031" width="8.33203125" style="52" bestFit="1" customWidth="1"/>
    <col min="1032" max="1033" width="8.33203125" style="52" customWidth="1"/>
    <col min="1034" max="1034" width="9.1640625" style="52" bestFit="1" customWidth="1"/>
    <col min="1035" max="1269" width="9" style="52"/>
    <col min="1270" max="1270" width="20.5" style="52" customWidth="1"/>
    <col min="1271" max="1271" width="8.5" style="52" customWidth="1"/>
    <col min="1272" max="1272" width="10" style="52" customWidth="1"/>
    <col min="1273" max="1273" width="8.5" style="52" customWidth="1"/>
    <col min="1274" max="1276" width="9.5" style="52" bestFit="1" customWidth="1"/>
    <col min="1277" max="1277" width="8.33203125" style="52" bestFit="1" customWidth="1"/>
    <col min="1278" max="1278" width="8.33203125" style="52" customWidth="1"/>
    <col min="1279" max="1281" width="9.5" style="52" bestFit="1" customWidth="1"/>
    <col min="1282" max="1282" width="8.33203125" style="52" bestFit="1" customWidth="1"/>
    <col min="1283" max="1283" width="8.33203125" style="52" customWidth="1"/>
    <col min="1284" max="1286" width="9.5" style="52" bestFit="1" customWidth="1"/>
    <col min="1287" max="1287" width="8.33203125" style="52" bestFit="1" customWidth="1"/>
    <col min="1288" max="1289" width="8.33203125" style="52" customWidth="1"/>
    <col min="1290" max="1290" width="9.1640625" style="52" bestFit="1" customWidth="1"/>
    <col min="1291" max="1525" width="9" style="52"/>
    <col min="1526" max="1526" width="20.5" style="52" customWidth="1"/>
    <col min="1527" max="1527" width="8.5" style="52" customWidth="1"/>
    <col min="1528" max="1528" width="10" style="52" customWidth="1"/>
    <col min="1529" max="1529" width="8.5" style="52" customWidth="1"/>
    <col min="1530" max="1532" width="9.5" style="52" bestFit="1" customWidth="1"/>
    <col min="1533" max="1533" width="8.33203125" style="52" bestFit="1" customWidth="1"/>
    <col min="1534" max="1534" width="8.33203125" style="52" customWidth="1"/>
    <col min="1535" max="1537" width="9.5" style="52" bestFit="1" customWidth="1"/>
    <col min="1538" max="1538" width="8.33203125" style="52" bestFit="1" customWidth="1"/>
    <col min="1539" max="1539" width="8.33203125" style="52" customWidth="1"/>
    <col min="1540" max="1542" width="9.5" style="52" bestFit="1" customWidth="1"/>
    <col min="1543" max="1543" width="8.33203125" style="52" bestFit="1" customWidth="1"/>
    <col min="1544" max="1545" width="8.33203125" style="52" customWidth="1"/>
    <col min="1546" max="1546" width="9.1640625" style="52" bestFit="1" customWidth="1"/>
    <col min="1547" max="1781" width="9" style="52"/>
    <col min="1782" max="1782" width="20.5" style="52" customWidth="1"/>
    <col min="1783" max="1783" width="8.5" style="52" customWidth="1"/>
    <col min="1784" max="1784" width="10" style="52" customWidth="1"/>
    <col min="1785" max="1785" width="8.5" style="52" customWidth="1"/>
    <col min="1786" max="1788" width="9.5" style="52" bestFit="1" customWidth="1"/>
    <col min="1789" max="1789" width="8.33203125" style="52" bestFit="1" customWidth="1"/>
    <col min="1790" max="1790" width="8.33203125" style="52" customWidth="1"/>
    <col min="1791" max="1793" width="9.5" style="52" bestFit="1" customWidth="1"/>
    <col min="1794" max="1794" width="8.33203125" style="52" bestFit="1" customWidth="1"/>
    <col min="1795" max="1795" width="8.33203125" style="52" customWidth="1"/>
    <col min="1796" max="1798" width="9.5" style="52" bestFit="1" customWidth="1"/>
    <col min="1799" max="1799" width="8.33203125" style="52" bestFit="1" customWidth="1"/>
    <col min="1800" max="1801" width="8.33203125" style="52" customWidth="1"/>
    <col min="1802" max="1802" width="9.1640625" style="52" bestFit="1" customWidth="1"/>
    <col min="1803" max="2037" width="9" style="52"/>
    <col min="2038" max="2038" width="20.5" style="52" customWidth="1"/>
    <col min="2039" max="2039" width="8.5" style="52" customWidth="1"/>
    <col min="2040" max="2040" width="10" style="52" customWidth="1"/>
    <col min="2041" max="2041" width="8.5" style="52" customWidth="1"/>
    <col min="2042" max="2044" width="9.5" style="52" bestFit="1" customWidth="1"/>
    <col min="2045" max="2045" width="8.33203125" style="52" bestFit="1" customWidth="1"/>
    <col min="2046" max="2046" width="8.33203125" style="52" customWidth="1"/>
    <col min="2047" max="2049" width="9.5" style="52" bestFit="1" customWidth="1"/>
    <col min="2050" max="2050" width="8.33203125" style="52" bestFit="1" customWidth="1"/>
    <col min="2051" max="2051" width="8.33203125" style="52" customWidth="1"/>
    <col min="2052" max="2054" width="9.5" style="52" bestFit="1" customWidth="1"/>
    <col min="2055" max="2055" width="8.33203125" style="52" bestFit="1" customWidth="1"/>
    <col min="2056" max="2057" width="8.33203125" style="52" customWidth="1"/>
    <col min="2058" max="2058" width="9.1640625" style="52" bestFit="1" customWidth="1"/>
    <col min="2059" max="2293" width="9" style="52"/>
    <col min="2294" max="2294" width="20.5" style="52" customWidth="1"/>
    <col min="2295" max="2295" width="8.5" style="52" customWidth="1"/>
    <col min="2296" max="2296" width="10" style="52" customWidth="1"/>
    <col min="2297" max="2297" width="8.5" style="52" customWidth="1"/>
    <col min="2298" max="2300" width="9.5" style="52" bestFit="1" customWidth="1"/>
    <col min="2301" max="2301" width="8.33203125" style="52" bestFit="1" customWidth="1"/>
    <col min="2302" max="2302" width="8.33203125" style="52" customWidth="1"/>
    <col min="2303" max="2305" width="9.5" style="52" bestFit="1" customWidth="1"/>
    <col min="2306" max="2306" width="8.33203125" style="52" bestFit="1" customWidth="1"/>
    <col min="2307" max="2307" width="8.33203125" style="52" customWidth="1"/>
    <col min="2308" max="2310" width="9.5" style="52" bestFit="1" customWidth="1"/>
    <col min="2311" max="2311" width="8.33203125" style="52" bestFit="1" customWidth="1"/>
    <col min="2312" max="2313" width="8.33203125" style="52" customWidth="1"/>
    <col min="2314" max="2314" width="9.1640625" style="52" bestFit="1" customWidth="1"/>
    <col min="2315" max="2549" width="9" style="52"/>
    <col min="2550" max="2550" width="20.5" style="52" customWidth="1"/>
    <col min="2551" max="2551" width="8.5" style="52" customWidth="1"/>
    <col min="2552" max="2552" width="10" style="52" customWidth="1"/>
    <col min="2553" max="2553" width="8.5" style="52" customWidth="1"/>
    <col min="2554" max="2556" width="9.5" style="52" bestFit="1" customWidth="1"/>
    <col min="2557" max="2557" width="8.33203125" style="52" bestFit="1" customWidth="1"/>
    <col min="2558" max="2558" width="8.33203125" style="52" customWidth="1"/>
    <col min="2559" max="2561" width="9.5" style="52" bestFit="1" customWidth="1"/>
    <col min="2562" max="2562" width="8.33203125" style="52" bestFit="1" customWidth="1"/>
    <col min="2563" max="2563" width="8.33203125" style="52" customWidth="1"/>
    <col min="2564" max="2566" width="9.5" style="52" bestFit="1" customWidth="1"/>
    <col min="2567" max="2567" width="8.33203125" style="52" bestFit="1" customWidth="1"/>
    <col min="2568" max="2569" width="8.33203125" style="52" customWidth="1"/>
    <col min="2570" max="2570" width="9.1640625" style="52" bestFit="1" customWidth="1"/>
    <col min="2571" max="2805" width="9" style="52"/>
    <col min="2806" max="2806" width="20.5" style="52" customWidth="1"/>
    <col min="2807" max="2807" width="8.5" style="52" customWidth="1"/>
    <col min="2808" max="2808" width="10" style="52" customWidth="1"/>
    <col min="2809" max="2809" width="8.5" style="52" customWidth="1"/>
    <col min="2810" max="2812" width="9.5" style="52" bestFit="1" customWidth="1"/>
    <col min="2813" max="2813" width="8.33203125" style="52" bestFit="1" customWidth="1"/>
    <col min="2814" max="2814" width="8.33203125" style="52" customWidth="1"/>
    <col min="2815" max="2817" width="9.5" style="52" bestFit="1" customWidth="1"/>
    <col min="2818" max="2818" width="8.33203125" style="52" bestFit="1" customWidth="1"/>
    <col min="2819" max="2819" width="8.33203125" style="52" customWidth="1"/>
    <col min="2820" max="2822" width="9.5" style="52" bestFit="1" customWidth="1"/>
    <col min="2823" max="2823" width="8.33203125" style="52" bestFit="1" customWidth="1"/>
    <col min="2824" max="2825" width="8.33203125" style="52" customWidth="1"/>
    <col min="2826" max="2826" width="9.1640625" style="52" bestFit="1" customWidth="1"/>
    <col min="2827" max="3061" width="9" style="52"/>
    <col min="3062" max="3062" width="20.5" style="52" customWidth="1"/>
    <col min="3063" max="3063" width="8.5" style="52" customWidth="1"/>
    <col min="3064" max="3064" width="10" style="52" customWidth="1"/>
    <col min="3065" max="3065" width="8.5" style="52" customWidth="1"/>
    <col min="3066" max="3068" width="9.5" style="52" bestFit="1" customWidth="1"/>
    <col min="3069" max="3069" width="8.33203125" style="52" bestFit="1" customWidth="1"/>
    <col min="3070" max="3070" width="8.33203125" style="52" customWidth="1"/>
    <col min="3071" max="3073" width="9.5" style="52" bestFit="1" customWidth="1"/>
    <col min="3074" max="3074" width="8.33203125" style="52" bestFit="1" customWidth="1"/>
    <col min="3075" max="3075" width="8.33203125" style="52" customWidth="1"/>
    <col min="3076" max="3078" width="9.5" style="52" bestFit="1" customWidth="1"/>
    <col min="3079" max="3079" width="8.33203125" style="52" bestFit="1" customWidth="1"/>
    <col min="3080" max="3081" width="8.33203125" style="52" customWidth="1"/>
    <col min="3082" max="3082" width="9.1640625" style="52" bestFit="1" customWidth="1"/>
    <col min="3083" max="3317" width="9" style="52"/>
    <col min="3318" max="3318" width="20.5" style="52" customWidth="1"/>
    <col min="3319" max="3319" width="8.5" style="52" customWidth="1"/>
    <col min="3320" max="3320" width="10" style="52" customWidth="1"/>
    <col min="3321" max="3321" width="8.5" style="52" customWidth="1"/>
    <col min="3322" max="3324" width="9.5" style="52" bestFit="1" customWidth="1"/>
    <col min="3325" max="3325" width="8.33203125" style="52" bestFit="1" customWidth="1"/>
    <col min="3326" max="3326" width="8.33203125" style="52" customWidth="1"/>
    <col min="3327" max="3329" width="9.5" style="52" bestFit="1" customWidth="1"/>
    <col min="3330" max="3330" width="8.33203125" style="52" bestFit="1" customWidth="1"/>
    <col min="3331" max="3331" width="8.33203125" style="52" customWidth="1"/>
    <col min="3332" max="3334" width="9.5" style="52" bestFit="1" customWidth="1"/>
    <col min="3335" max="3335" width="8.33203125" style="52" bestFit="1" customWidth="1"/>
    <col min="3336" max="3337" width="8.33203125" style="52" customWidth="1"/>
    <col min="3338" max="3338" width="9.1640625" style="52" bestFit="1" customWidth="1"/>
    <col min="3339" max="3573" width="9" style="52"/>
    <col min="3574" max="3574" width="20.5" style="52" customWidth="1"/>
    <col min="3575" max="3575" width="8.5" style="52" customWidth="1"/>
    <col min="3576" max="3576" width="10" style="52" customWidth="1"/>
    <col min="3577" max="3577" width="8.5" style="52" customWidth="1"/>
    <col min="3578" max="3580" width="9.5" style="52" bestFit="1" customWidth="1"/>
    <col min="3581" max="3581" width="8.33203125" style="52" bestFit="1" customWidth="1"/>
    <col min="3582" max="3582" width="8.33203125" style="52" customWidth="1"/>
    <col min="3583" max="3585" width="9.5" style="52" bestFit="1" customWidth="1"/>
    <col min="3586" max="3586" width="8.33203125" style="52" bestFit="1" customWidth="1"/>
    <col min="3587" max="3587" width="8.33203125" style="52" customWidth="1"/>
    <col min="3588" max="3590" width="9.5" style="52" bestFit="1" customWidth="1"/>
    <col min="3591" max="3591" width="8.33203125" style="52" bestFit="1" customWidth="1"/>
    <col min="3592" max="3593" width="8.33203125" style="52" customWidth="1"/>
    <col min="3594" max="3594" width="9.1640625" style="52" bestFit="1" customWidth="1"/>
    <col min="3595" max="3829" width="9" style="52"/>
    <col min="3830" max="3830" width="20.5" style="52" customWidth="1"/>
    <col min="3831" max="3831" width="8.5" style="52" customWidth="1"/>
    <col min="3832" max="3832" width="10" style="52" customWidth="1"/>
    <col min="3833" max="3833" width="8.5" style="52" customWidth="1"/>
    <col min="3834" max="3836" width="9.5" style="52" bestFit="1" customWidth="1"/>
    <col min="3837" max="3837" width="8.33203125" style="52" bestFit="1" customWidth="1"/>
    <col min="3838" max="3838" width="8.33203125" style="52" customWidth="1"/>
    <col min="3839" max="3841" width="9.5" style="52" bestFit="1" customWidth="1"/>
    <col min="3842" max="3842" width="8.33203125" style="52" bestFit="1" customWidth="1"/>
    <col min="3843" max="3843" width="8.33203125" style="52" customWidth="1"/>
    <col min="3844" max="3846" width="9.5" style="52" bestFit="1" customWidth="1"/>
    <col min="3847" max="3847" width="8.33203125" style="52" bestFit="1" customWidth="1"/>
    <col min="3848" max="3849" width="8.33203125" style="52" customWidth="1"/>
    <col min="3850" max="3850" width="9.1640625" style="52" bestFit="1" customWidth="1"/>
    <col min="3851" max="4085" width="9" style="52"/>
    <col min="4086" max="4086" width="20.5" style="52" customWidth="1"/>
    <col min="4087" max="4087" width="8.5" style="52" customWidth="1"/>
    <col min="4088" max="4088" width="10" style="52" customWidth="1"/>
    <col min="4089" max="4089" width="8.5" style="52" customWidth="1"/>
    <col min="4090" max="4092" width="9.5" style="52" bestFit="1" customWidth="1"/>
    <col min="4093" max="4093" width="8.33203125" style="52" bestFit="1" customWidth="1"/>
    <col min="4094" max="4094" width="8.33203125" style="52" customWidth="1"/>
    <col min="4095" max="4097" width="9.5" style="52" bestFit="1" customWidth="1"/>
    <col min="4098" max="4098" width="8.33203125" style="52" bestFit="1" customWidth="1"/>
    <col min="4099" max="4099" width="8.33203125" style="52" customWidth="1"/>
    <col min="4100" max="4102" width="9.5" style="52" bestFit="1" customWidth="1"/>
    <col min="4103" max="4103" width="8.33203125" style="52" bestFit="1" customWidth="1"/>
    <col min="4104" max="4105" width="8.33203125" style="52" customWidth="1"/>
    <col min="4106" max="4106" width="9.1640625" style="52" bestFit="1" customWidth="1"/>
    <col min="4107" max="4341" width="9" style="52"/>
    <col min="4342" max="4342" width="20.5" style="52" customWidth="1"/>
    <col min="4343" max="4343" width="8.5" style="52" customWidth="1"/>
    <col min="4344" max="4344" width="10" style="52" customWidth="1"/>
    <col min="4345" max="4345" width="8.5" style="52" customWidth="1"/>
    <col min="4346" max="4348" width="9.5" style="52" bestFit="1" customWidth="1"/>
    <col min="4349" max="4349" width="8.33203125" style="52" bestFit="1" customWidth="1"/>
    <col min="4350" max="4350" width="8.33203125" style="52" customWidth="1"/>
    <col min="4351" max="4353" width="9.5" style="52" bestFit="1" customWidth="1"/>
    <col min="4354" max="4354" width="8.33203125" style="52" bestFit="1" customWidth="1"/>
    <col min="4355" max="4355" width="8.33203125" style="52" customWidth="1"/>
    <col min="4356" max="4358" width="9.5" style="52" bestFit="1" customWidth="1"/>
    <col min="4359" max="4359" width="8.33203125" style="52" bestFit="1" customWidth="1"/>
    <col min="4360" max="4361" width="8.33203125" style="52" customWidth="1"/>
    <col min="4362" max="4362" width="9.1640625" style="52" bestFit="1" customWidth="1"/>
    <col min="4363" max="4597" width="9" style="52"/>
    <col min="4598" max="4598" width="20.5" style="52" customWidth="1"/>
    <col min="4599" max="4599" width="8.5" style="52" customWidth="1"/>
    <col min="4600" max="4600" width="10" style="52" customWidth="1"/>
    <col min="4601" max="4601" width="8.5" style="52" customWidth="1"/>
    <col min="4602" max="4604" width="9.5" style="52" bestFit="1" customWidth="1"/>
    <col min="4605" max="4605" width="8.33203125" style="52" bestFit="1" customWidth="1"/>
    <col min="4606" max="4606" width="8.33203125" style="52" customWidth="1"/>
    <col min="4607" max="4609" width="9.5" style="52" bestFit="1" customWidth="1"/>
    <col min="4610" max="4610" width="8.33203125" style="52" bestFit="1" customWidth="1"/>
    <col min="4611" max="4611" width="8.33203125" style="52" customWidth="1"/>
    <col min="4612" max="4614" width="9.5" style="52" bestFit="1" customWidth="1"/>
    <col min="4615" max="4615" width="8.33203125" style="52" bestFit="1" customWidth="1"/>
    <col min="4616" max="4617" width="8.33203125" style="52" customWidth="1"/>
    <col min="4618" max="4618" width="9.1640625" style="52" bestFit="1" customWidth="1"/>
    <col min="4619" max="4853" width="9" style="52"/>
    <col min="4854" max="4854" width="20.5" style="52" customWidth="1"/>
    <col min="4855" max="4855" width="8.5" style="52" customWidth="1"/>
    <col min="4856" max="4856" width="10" style="52" customWidth="1"/>
    <col min="4857" max="4857" width="8.5" style="52" customWidth="1"/>
    <col min="4858" max="4860" width="9.5" style="52" bestFit="1" customWidth="1"/>
    <col min="4861" max="4861" width="8.33203125" style="52" bestFit="1" customWidth="1"/>
    <col min="4862" max="4862" width="8.33203125" style="52" customWidth="1"/>
    <col min="4863" max="4865" width="9.5" style="52" bestFit="1" customWidth="1"/>
    <col min="4866" max="4866" width="8.33203125" style="52" bestFit="1" customWidth="1"/>
    <col min="4867" max="4867" width="8.33203125" style="52" customWidth="1"/>
    <col min="4868" max="4870" width="9.5" style="52" bestFit="1" customWidth="1"/>
    <col min="4871" max="4871" width="8.33203125" style="52" bestFit="1" customWidth="1"/>
    <col min="4872" max="4873" width="8.33203125" style="52" customWidth="1"/>
    <col min="4874" max="4874" width="9.1640625" style="52" bestFit="1" customWidth="1"/>
    <col min="4875" max="5109" width="9" style="52"/>
    <col min="5110" max="5110" width="20.5" style="52" customWidth="1"/>
    <col min="5111" max="5111" width="8.5" style="52" customWidth="1"/>
    <col min="5112" max="5112" width="10" style="52" customWidth="1"/>
    <col min="5113" max="5113" width="8.5" style="52" customWidth="1"/>
    <col min="5114" max="5116" width="9.5" style="52" bestFit="1" customWidth="1"/>
    <col min="5117" max="5117" width="8.33203125" style="52" bestFit="1" customWidth="1"/>
    <col min="5118" max="5118" width="8.33203125" style="52" customWidth="1"/>
    <col min="5119" max="5121" width="9.5" style="52" bestFit="1" customWidth="1"/>
    <col min="5122" max="5122" width="8.33203125" style="52" bestFit="1" customWidth="1"/>
    <col min="5123" max="5123" width="8.33203125" style="52" customWidth="1"/>
    <col min="5124" max="5126" width="9.5" style="52" bestFit="1" customWidth="1"/>
    <col min="5127" max="5127" width="8.33203125" style="52" bestFit="1" customWidth="1"/>
    <col min="5128" max="5129" width="8.33203125" style="52" customWidth="1"/>
    <col min="5130" max="5130" width="9.1640625" style="52" bestFit="1" customWidth="1"/>
    <col min="5131" max="5365" width="9" style="52"/>
    <col min="5366" max="5366" width="20.5" style="52" customWidth="1"/>
    <col min="5367" max="5367" width="8.5" style="52" customWidth="1"/>
    <col min="5368" max="5368" width="10" style="52" customWidth="1"/>
    <col min="5369" max="5369" width="8.5" style="52" customWidth="1"/>
    <col min="5370" max="5372" width="9.5" style="52" bestFit="1" customWidth="1"/>
    <col min="5373" max="5373" width="8.33203125" style="52" bestFit="1" customWidth="1"/>
    <col min="5374" max="5374" width="8.33203125" style="52" customWidth="1"/>
    <col min="5375" max="5377" width="9.5" style="52" bestFit="1" customWidth="1"/>
    <col min="5378" max="5378" width="8.33203125" style="52" bestFit="1" customWidth="1"/>
    <col min="5379" max="5379" width="8.33203125" style="52" customWidth="1"/>
    <col min="5380" max="5382" width="9.5" style="52" bestFit="1" customWidth="1"/>
    <col min="5383" max="5383" width="8.33203125" style="52" bestFit="1" customWidth="1"/>
    <col min="5384" max="5385" width="8.33203125" style="52" customWidth="1"/>
    <col min="5386" max="5386" width="9.1640625" style="52" bestFit="1" customWidth="1"/>
    <col min="5387" max="5621" width="9" style="52"/>
    <col min="5622" max="5622" width="20.5" style="52" customWidth="1"/>
    <col min="5623" max="5623" width="8.5" style="52" customWidth="1"/>
    <col min="5624" max="5624" width="10" style="52" customWidth="1"/>
    <col min="5625" max="5625" width="8.5" style="52" customWidth="1"/>
    <col min="5626" max="5628" width="9.5" style="52" bestFit="1" customWidth="1"/>
    <col min="5629" max="5629" width="8.33203125" style="52" bestFit="1" customWidth="1"/>
    <col min="5630" max="5630" width="8.33203125" style="52" customWidth="1"/>
    <col min="5631" max="5633" width="9.5" style="52" bestFit="1" customWidth="1"/>
    <col min="5634" max="5634" width="8.33203125" style="52" bestFit="1" customWidth="1"/>
    <col min="5635" max="5635" width="8.33203125" style="52" customWidth="1"/>
    <col min="5636" max="5638" width="9.5" style="52" bestFit="1" customWidth="1"/>
    <col min="5639" max="5639" width="8.33203125" style="52" bestFit="1" customWidth="1"/>
    <col min="5640" max="5641" width="8.33203125" style="52" customWidth="1"/>
    <col min="5642" max="5642" width="9.1640625" style="52" bestFit="1" customWidth="1"/>
    <col min="5643" max="5877" width="9" style="52"/>
    <col min="5878" max="5878" width="20.5" style="52" customWidth="1"/>
    <col min="5879" max="5879" width="8.5" style="52" customWidth="1"/>
    <col min="5880" max="5880" width="10" style="52" customWidth="1"/>
    <col min="5881" max="5881" width="8.5" style="52" customWidth="1"/>
    <col min="5882" max="5884" width="9.5" style="52" bestFit="1" customWidth="1"/>
    <col min="5885" max="5885" width="8.33203125" style="52" bestFit="1" customWidth="1"/>
    <col min="5886" max="5886" width="8.33203125" style="52" customWidth="1"/>
    <col min="5887" max="5889" width="9.5" style="52" bestFit="1" customWidth="1"/>
    <col min="5890" max="5890" width="8.33203125" style="52" bestFit="1" customWidth="1"/>
    <col min="5891" max="5891" width="8.33203125" style="52" customWidth="1"/>
    <col min="5892" max="5894" width="9.5" style="52" bestFit="1" customWidth="1"/>
    <col min="5895" max="5895" width="8.33203125" style="52" bestFit="1" customWidth="1"/>
    <col min="5896" max="5897" width="8.33203125" style="52" customWidth="1"/>
    <col min="5898" max="5898" width="9.1640625" style="52" bestFit="1" customWidth="1"/>
    <col min="5899" max="6133" width="9" style="52"/>
    <col min="6134" max="6134" width="20.5" style="52" customWidth="1"/>
    <col min="6135" max="6135" width="8.5" style="52" customWidth="1"/>
    <col min="6136" max="6136" width="10" style="52" customWidth="1"/>
    <col min="6137" max="6137" width="8.5" style="52" customWidth="1"/>
    <col min="6138" max="6140" width="9.5" style="52" bestFit="1" customWidth="1"/>
    <col min="6141" max="6141" width="8.33203125" style="52" bestFit="1" customWidth="1"/>
    <col min="6142" max="6142" width="8.33203125" style="52" customWidth="1"/>
    <col min="6143" max="6145" width="9.5" style="52" bestFit="1" customWidth="1"/>
    <col min="6146" max="6146" width="8.33203125" style="52" bestFit="1" customWidth="1"/>
    <col min="6147" max="6147" width="8.33203125" style="52" customWidth="1"/>
    <col min="6148" max="6150" width="9.5" style="52" bestFit="1" customWidth="1"/>
    <col min="6151" max="6151" width="8.33203125" style="52" bestFit="1" customWidth="1"/>
    <col min="6152" max="6153" width="8.33203125" style="52" customWidth="1"/>
    <col min="6154" max="6154" width="9.1640625" style="52" bestFit="1" customWidth="1"/>
    <col min="6155" max="6389" width="9" style="52"/>
    <col min="6390" max="6390" width="20.5" style="52" customWidth="1"/>
    <col min="6391" max="6391" width="8.5" style="52" customWidth="1"/>
    <col min="6392" max="6392" width="10" style="52" customWidth="1"/>
    <col min="6393" max="6393" width="8.5" style="52" customWidth="1"/>
    <col min="6394" max="6396" width="9.5" style="52" bestFit="1" customWidth="1"/>
    <col min="6397" max="6397" width="8.33203125" style="52" bestFit="1" customWidth="1"/>
    <col min="6398" max="6398" width="8.33203125" style="52" customWidth="1"/>
    <col min="6399" max="6401" width="9.5" style="52" bestFit="1" customWidth="1"/>
    <col min="6402" max="6402" width="8.33203125" style="52" bestFit="1" customWidth="1"/>
    <col min="6403" max="6403" width="8.33203125" style="52" customWidth="1"/>
    <col min="6404" max="6406" width="9.5" style="52" bestFit="1" customWidth="1"/>
    <col min="6407" max="6407" width="8.33203125" style="52" bestFit="1" customWidth="1"/>
    <col min="6408" max="6409" width="8.33203125" style="52" customWidth="1"/>
    <col min="6410" max="6410" width="9.1640625" style="52" bestFit="1" customWidth="1"/>
    <col min="6411" max="6645" width="9" style="52"/>
    <col min="6646" max="6646" width="20.5" style="52" customWidth="1"/>
    <col min="6647" max="6647" width="8.5" style="52" customWidth="1"/>
    <col min="6648" max="6648" width="10" style="52" customWidth="1"/>
    <col min="6649" max="6649" width="8.5" style="52" customWidth="1"/>
    <col min="6650" max="6652" width="9.5" style="52" bestFit="1" customWidth="1"/>
    <col min="6653" max="6653" width="8.33203125" style="52" bestFit="1" customWidth="1"/>
    <col min="6654" max="6654" width="8.33203125" style="52" customWidth="1"/>
    <col min="6655" max="6657" width="9.5" style="52" bestFit="1" customWidth="1"/>
    <col min="6658" max="6658" width="8.33203125" style="52" bestFit="1" customWidth="1"/>
    <col min="6659" max="6659" width="8.33203125" style="52" customWidth="1"/>
    <col min="6660" max="6662" width="9.5" style="52" bestFit="1" customWidth="1"/>
    <col min="6663" max="6663" width="8.33203125" style="52" bestFit="1" customWidth="1"/>
    <col min="6664" max="6665" width="8.33203125" style="52" customWidth="1"/>
    <col min="6666" max="6666" width="9.1640625" style="52" bestFit="1" customWidth="1"/>
    <col min="6667" max="6901" width="9" style="52"/>
    <col min="6902" max="6902" width="20.5" style="52" customWidth="1"/>
    <col min="6903" max="6903" width="8.5" style="52" customWidth="1"/>
    <col min="6904" max="6904" width="10" style="52" customWidth="1"/>
    <col min="6905" max="6905" width="8.5" style="52" customWidth="1"/>
    <col min="6906" max="6908" width="9.5" style="52" bestFit="1" customWidth="1"/>
    <col min="6909" max="6909" width="8.33203125" style="52" bestFit="1" customWidth="1"/>
    <col min="6910" max="6910" width="8.33203125" style="52" customWidth="1"/>
    <col min="6911" max="6913" width="9.5" style="52" bestFit="1" customWidth="1"/>
    <col min="6914" max="6914" width="8.33203125" style="52" bestFit="1" customWidth="1"/>
    <col min="6915" max="6915" width="8.33203125" style="52" customWidth="1"/>
    <col min="6916" max="6918" width="9.5" style="52" bestFit="1" customWidth="1"/>
    <col min="6919" max="6919" width="8.33203125" style="52" bestFit="1" customWidth="1"/>
    <col min="6920" max="6921" width="8.33203125" style="52" customWidth="1"/>
    <col min="6922" max="6922" width="9.1640625" style="52" bestFit="1" customWidth="1"/>
    <col min="6923" max="7157" width="9" style="52"/>
    <col min="7158" max="7158" width="20.5" style="52" customWidth="1"/>
    <col min="7159" max="7159" width="8.5" style="52" customWidth="1"/>
    <col min="7160" max="7160" width="10" style="52" customWidth="1"/>
    <col min="7161" max="7161" width="8.5" style="52" customWidth="1"/>
    <col min="7162" max="7164" width="9.5" style="52" bestFit="1" customWidth="1"/>
    <col min="7165" max="7165" width="8.33203125" style="52" bestFit="1" customWidth="1"/>
    <col min="7166" max="7166" width="8.33203125" style="52" customWidth="1"/>
    <col min="7167" max="7169" width="9.5" style="52" bestFit="1" customWidth="1"/>
    <col min="7170" max="7170" width="8.33203125" style="52" bestFit="1" customWidth="1"/>
    <col min="7171" max="7171" width="8.33203125" style="52" customWidth="1"/>
    <col min="7172" max="7174" width="9.5" style="52" bestFit="1" customWidth="1"/>
    <col min="7175" max="7175" width="8.33203125" style="52" bestFit="1" customWidth="1"/>
    <col min="7176" max="7177" width="8.33203125" style="52" customWidth="1"/>
    <col min="7178" max="7178" width="9.1640625" style="52" bestFit="1" customWidth="1"/>
    <col min="7179" max="7413" width="9" style="52"/>
    <col min="7414" max="7414" width="20.5" style="52" customWidth="1"/>
    <col min="7415" max="7415" width="8.5" style="52" customWidth="1"/>
    <col min="7416" max="7416" width="10" style="52" customWidth="1"/>
    <col min="7417" max="7417" width="8.5" style="52" customWidth="1"/>
    <col min="7418" max="7420" width="9.5" style="52" bestFit="1" customWidth="1"/>
    <col min="7421" max="7421" width="8.33203125" style="52" bestFit="1" customWidth="1"/>
    <col min="7422" max="7422" width="8.33203125" style="52" customWidth="1"/>
    <col min="7423" max="7425" width="9.5" style="52" bestFit="1" customWidth="1"/>
    <col min="7426" max="7426" width="8.33203125" style="52" bestFit="1" customWidth="1"/>
    <col min="7427" max="7427" width="8.33203125" style="52" customWidth="1"/>
    <col min="7428" max="7430" width="9.5" style="52" bestFit="1" customWidth="1"/>
    <col min="7431" max="7431" width="8.33203125" style="52" bestFit="1" customWidth="1"/>
    <col min="7432" max="7433" width="8.33203125" style="52" customWidth="1"/>
    <col min="7434" max="7434" width="9.1640625" style="52" bestFit="1" customWidth="1"/>
    <col min="7435" max="7669" width="9" style="52"/>
    <col min="7670" max="7670" width="20.5" style="52" customWidth="1"/>
    <col min="7671" max="7671" width="8.5" style="52" customWidth="1"/>
    <col min="7672" max="7672" width="10" style="52" customWidth="1"/>
    <col min="7673" max="7673" width="8.5" style="52" customWidth="1"/>
    <col min="7674" max="7676" width="9.5" style="52" bestFit="1" customWidth="1"/>
    <col min="7677" max="7677" width="8.33203125" style="52" bestFit="1" customWidth="1"/>
    <col min="7678" max="7678" width="8.33203125" style="52" customWidth="1"/>
    <col min="7679" max="7681" width="9.5" style="52" bestFit="1" customWidth="1"/>
    <col min="7682" max="7682" width="8.33203125" style="52" bestFit="1" customWidth="1"/>
    <col min="7683" max="7683" width="8.33203125" style="52" customWidth="1"/>
    <col min="7684" max="7686" width="9.5" style="52" bestFit="1" customWidth="1"/>
    <col min="7687" max="7687" width="8.33203125" style="52" bestFit="1" customWidth="1"/>
    <col min="7688" max="7689" width="8.33203125" style="52" customWidth="1"/>
    <col min="7690" max="7690" width="9.1640625" style="52" bestFit="1" customWidth="1"/>
    <col min="7691" max="7925" width="9" style="52"/>
    <col min="7926" max="7926" width="20.5" style="52" customWidth="1"/>
    <col min="7927" max="7927" width="8.5" style="52" customWidth="1"/>
    <col min="7928" max="7928" width="10" style="52" customWidth="1"/>
    <col min="7929" max="7929" width="8.5" style="52" customWidth="1"/>
    <col min="7930" max="7932" width="9.5" style="52" bestFit="1" customWidth="1"/>
    <col min="7933" max="7933" width="8.33203125" style="52" bestFit="1" customWidth="1"/>
    <col min="7934" max="7934" width="8.33203125" style="52" customWidth="1"/>
    <col min="7935" max="7937" width="9.5" style="52" bestFit="1" customWidth="1"/>
    <col min="7938" max="7938" width="8.33203125" style="52" bestFit="1" customWidth="1"/>
    <col min="7939" max="7939" width="8.33203125" style="52" customWidth="1"/>
    <col min="7940" max="7942" width="9.5" style="52" bestFit="1" customWidth="1"/>
    <col min="7943" max="7943" width="8.33203125" style="52" bestFit="1" customWidth="1"/>
    <col min="7944" max="7945" width="8.33203125" style="52" customWidth="1"/>
    <col min="7946" max="7946" width="9.1640625" style="52" bestFit="1" customWidth="1"/>
    <col min="7947" max="8181" width="9" style="52"/>
    <col min="8182" max="8182" width="20.5" style="52" customWidth="1"/>
    <col min="8183" max="8183" width="8.5" style="52" customWidth="1"/>
    <col min="8184" max="8184" width="10" style="52" customWidth="1"/>
    <col min="8185" max="8185" width="8.5" style="52" customWidth="1"/>
    <col min="8186" max="8188" width="9.5" style="52" bestFit="1" customWidth="1"/>
    <col min="8189" max="8189" width="8.33203125" style="52" bestFit="1" customWidth="1"/>
    <col min="8190" max="8190" width="8.33203125" style="52" customWidth="1"/>
    <col min="8191" max="8193" width="9.5" style="52" bestFit="1" customWidth="1"/>
    <col min="8194" max="8194" width="8.33203125" style="52" bestFit="1" customWidth="1"/>
    <col min="8195" max="8195" width="8.33203125" style="52" customWidth="1"/>
    <col min="8196" max="8198" width="9.5" style="52" bestFit="1" customWidth="1"/>
    <col min="8199" max="8199" width="8.33203125" style="52" bestFit="1" customWidth="1"/>
    <col min="8200" max="8201" width="8.33203125" style="52" customWidth="1"/>
    <col min="8202" max="8202" width="9.1640625" style="52" bestFit="1" customWidth="1"/>
    <col min="8203" max="8437" width="9" style="52"/>
    <col min="8438" max="8438" width="20.5" style="52" customWidth="1"/>
    <col min="8439" max="8439" width="8.5" style="52" customWidth="1"/>
    <col min="8440" max="8440" width="10" style="52" customWidth="1"/>
    <col min="8441" max="8441" width="8.5" style="52" customWidth="1"/>
    <col min="8442" max="8444" width="9.5" style="52" bestFit="1" customWidth="1"/>
    <col min="8445" max="8445" width="8.33203125" style="52" bestFit="1" customWidth="1"/>
    <col min="8446" max="8446" width="8.33203125" style="52" customWidth="1"/>
    <col min="8447" max="8449" width="9.5" style="52" bestFit="1" customWidth="1"/>
    <col min="8450" max="8450" width="8.33203125" style="52" bestFit="1" customWidth="1"/>
    <col min="8451" max="8451" width="8.33203125" style="52" customWidth="1"/>
    <col min="8452" max="8454" width="9.5" style="52" bestFit="1" customWidth="1"/>
    <col min="8455" max="8455" width="8.33203125" style="52" bestFit="1" customWidth="1"/>
    <col min="8456" max="8457" width="8.33203125" style="52" customWidth="1"/>
    <col min="8458" max="8458" width="9.1640625" style="52" bestFit="1" customWidth="1"/>
    <col min="8459" max="8693" width="9" style="52"/>
    <col min="8694" max="8694" width="20.5" style="52" customWidth="1"/>
    <col min="8695" max="8695" width="8.5" style="52" customWidth="1"/>
    <col min="8696" max="8696" width="10" style="52" customWidth="1"/>
    <col min="8697" max="8697" width="8.5" style="52" customWidth="1"/>
    <col min="8698" max="8700" width="9.5" style="52" bestFit="1" customWidth="1"/>
    <col min="8701" max="8701" width="8.33203125" style="52" bestFit="1" customWidth="1"/>
    <col min="8702" max="8702" width="8.33203125" style="52" customWidth="1"/>
    <col min="8703" max="8705" width="9.5" style="52" bestFit="1" customWidth="1"/>
    <col min="8706" max="8706" width="8.33203125" style="52" bestFit="1" customWidth="1"/>
    <col min="8707" max="8707" width="8.33203125" style="52" customWidth="1"/>
    <col min="8708" max="8710" width="9.5" style="52" bestFit="1" customWidth="1"/>
    <col min="8711" max="8711" width="8.33203125" style="52" bestFit="1" customWidth="1"/>
    <col min="8712" max="8713" width="8.33203125" style="52" customWidth="1"/>
    <col min="8714" max="8714" width="9.1640625" style="52" bestFit="1" customWidth="1"/>
    <col min="8715" max="8949" width="9" style="52"/>
    <col min="8950" max="8950" width="20.5" style="52" customWidth="1"/>
    <col min="8951" max="8951" width="8.5" style="52" customWidth="1"/>
    <col min="8952" max="8952" width="10" style="52" customWidth="1"/>
    <col min="8953" max="8953" width="8.5" style="52" customWidth="1"/>
    <col min="8954" max="8956" width="9.5" style="52" bestFit="1" customWidth="1"/>
    <col min="8957" max="8957" width="8.33203125" style="52" bestFit="1" customWidth="1"/>
    <col min="8958" max="8958" width="8.33203125" style="52" customWidth="1"/>
    <col min="8959" max="8961" width="9.5" style="52" bestFit="1" customWidth="1"/>
    <col min="8962" max="8962" width="8.33203125" style="52" bestFit="1" customWidth="1"/>
    <col min="8963" max="8963" width="8.33203125" style="52" customWidth="1"/>
    <col min="8964" max="8966" width="9.5" style="52" bestFit="1" customWidth="1"/>
    <col min="8967" max="8967" width="8.33203125" style="52" bestFit="1" customWidth="1"/>
    <col min="8968" max="8969" width="8.33203125" style="52" customWidth="1"/>
    <col min="8970" max="8970" width="9.1640625" style="52" bestFit="1" customWidth="1"/>
    <col min="8971" max="9205" width="9" style="52"/>
    <col min="9206" max="9206" width="20.5" style="52" customWidth="1"/>
    <col min="9207" max="9207" width="8.5" style="52" customWidth="1"/>
    <col min="9208" max="9208" width="10" style="52" customWidth="1"/>
    <col min="9209" max="9209" width="8.5" style="52" customWidth="1"/>
    <col min="9210" max="9212" width="9.5" style="52" bestFit="1" customWidth="1"/>
    <col min="9213" max="9213" width="8.33203125" style="52" bestFit="1" customWidth="1"/>
    <col min="9214" max="9214" width="8.33203125" style="52" customWidth="1"/>
    <col min="9215" max="9217" width="9.5" style="52" bestFit="1" customWidth="1"/>
    <col min="9218" max="9218" width="8.33203125" style="52" bestFit="1" customWidth="1"/>
    <col min="9219" max="9219" width="8.33203125" style="52" customWidth="1"/>
    <col min="9220" max="9222" width="9.5" style="52" bestFit="1" customWidth="1"/>
    <col min="9223" max="9223" width="8.33203125" style="52" bestFit="1" customWidth="1"/>
    <col min="9224" max="9225" width="8.33203125" style="52" customWidth="1"/>
    <col min="9226" max="9226" width="9.1640625" style="52" bestFit="1" customWidth="1"/>
    <col min="9227" max="9461" width="9" style="52"/>
    <col min="9462" max="9462" width="20.5" style="52" customWidth="1"/>
    <col min="9463" max="9463" width="8.5" style="52" customWidth="1"/>
    <col min="9464" max="9464" width="10" style="52" customWidth="1"/>
    <col min="9465" max="9465" width="8.5" style="52" customWidth="1"/>
    <col min="9466" max="9468" width="9.5" style="52" bestFit="1" customWidth="1"/>
    <col min="9469" max="9469" width="8.33203125" style="52" bestFit="1" customWidth="1"/>
    <col min="9470" max="9470" width="8.33203125" style="52" customWidth="1"/>
    <col min="9471" max="9473" width="9.5" style="52" bestFit="1" customWidth="1"/>
    <col min="9474" max="9474" width="8.33203125" style="52" bestFit="1" customWidth="1"/>
    <col min="9475" max="9475" width="8.33203125" style="52" customWidth="1"/>
    <col min="9476" max="9478" width="9.5" style="52" bestFit="1" customWidth="1"/>
    <col min="9479" max="9479" width="8.33203125" style="52" bestFit="1" customWidth="1"/>
    <col min="9480" max="9481" width="8.33203125" style="52" customWidth="1"/>
    <col min="9482" max="9482" width="9.1640625" style="52" bestFit="1" customWidth="1"/>
    <col min="9483" max="9717" width="9" style="52"/>
    <col min="9718" max="9718" width="20.5" style="52" customWidth="1"/>
    <col min="9719" max="9719" width="8.5" style="52" customWidth="1"/>
    <col min="9720" max="9720" width="10" style="52" customWidth="1"/>
    <col min="9721" max="9721" width="8.5" style="52" customWidth="1"/>
    <col min="9722" max="9724" width="9.5" style="52" bestFit="1" customWidth="1"/>
    <col min="9725" max="9725" width="8.33203125" style="52" bestFit="1" customWidth="1"/>
    <col min="9726" max="9726" width="8.33203125" style="52" customWidth="1"/>
    <col min="9727" max="9729" width="9.5" style="52" bestFit="1" customWidth="1"/>
    <col min="9730" max="9730" width="8.33203125" style="52" bestFit="1" customWidth="1"/>
    <col min="9731" max="9731" width="8.33203125" style="52" customWidth="1"/>
    <col min="9732" max="9734" width="9.5" style="52" bestFit="1" customWidth="1"/>
    <col min="9735" max="9735" width="8.33203125" style="52" bestFit="1" customWidth="1"/>
    <col min="9736" max="9737" width="8.33203125" style="52" customWidth="1"/>
    <col min="9738" max="9738" width="9.1640625" style="52" bestFit="1" customWidth="1"/>
    <col min="9739" max="9973" width="9" style="52"/>
    <col min="9974" max="9974" width="20.5" style="52" customWidth="1"/>
    <col min="9975" max="9975" width="8.5" style="52" customWidth="1"/>
    <col min="9976" max="9976" width="10" style="52" customWidth="1"/>
    <col min="9977" max="9977" width="8.5" style="52" customWidth="1"/>
    <col min="9978" max="9980" width="9.5" style="52" bestFit="1" customWidth="1"/>
    <col min="9981" max="9981" width="8.33203125" style="52" bestFit="1" customWidth="1"/>
    <col min="9982" max="9982" width="8.33203125" style="52" customWidth="1"/>
    <col min="9983" max="9985" width="9.5" style="52" bestFit="1" customWidth="1"/>
    <col min="9986" max="9986" width="8.33203125" style="52" bestFit="1" customWidth="1"/>
    <col min="9987" max="9987" width="8.33203125" style="52" customWidth="1"/>
    <col min="9988" max="9990" width="9.5" style="52" bestFit="1" customWidth="1"/>
    <col min="9991" max="9991" width="8.33203125" style="52" bestFit="1" customWidth="1"/>
    <col min="9992" max="9993" width="8.33203125" style="52" customWidth="1"/>
    <col min="9994" max="9994" width="9.1640625" style="52" bestFit="1" customWidth="1"/>
    <col min="9995" max="10229" width="9" style="52"/>
    <col min="10230" max="10230" width="20.5" style="52" customWidth="1"/>
    <col min="10231" max="10231" width="8.5" style="52" customWidth="1"/>
    <col min="10232" max="10232" width="10" style="52" customWidth="1"/>
    <col min="10233" max="10233" width="8.5" style="52" customWidth="1"/>
    <col min="10234" max="10236" width="9.5" style="52" bestFit="1" customWidth="1"/>
    <col min="10237" max="10237" width="8.33203125" style="52" bestFit="1" customWidth="1"/>
    <col min="10238" max="10238" width="8.33203125" style="52" customWidth="1"/>
    <col min="10239" max="10241" width="9.5" style="52" bestFit="1" customWidth="1"/>
    <col min="10242" max="10242" width="8.33203125" style="52" bestFit="1" customWidth="1"/>
    <col min="10243" max="10243" width="8.33203125" style="52" customWidth="1"/>
    <col min="10244" max="10246" width="9.5" style="52" bestFit="1" customWidth="1"/>
    <col min="10247" max="10247" width="8.33203125" style="52" bestFit="1" customWidth="1"/>
    <col min="10248" max="10249" width="8.33203125" style="52" customWidth="1"/>
    <col min="10250" max="10250" width="9.1640625" style="52" bestFit="1" customWidth="1"/>
    <col min="10251" max="10485" width="9" style="52"/>
    <col min="10486" max="10486" width="20.5" style="52" customWidth="1"/>
    <col min="10487" max="10487" width="8.5" style="52" customWidth="1"/>
    <col min="10488" max="10488" width="10" style="52" customWidth="1"/>
    <col min="10489" max="10489" width="8.5" style="52" customWidth="1"/>
    <col min="10490" max="10492" width="9.5" style="52" bestFit="1" customWidth="1"/>
    <col min="10493" max="10493" width="8.33203125" style="52" bestFit="1" customWidth="1"/>
    <col min="10494" max="10494" width="8.33203125" style="52" customWidth="1"/>
    <col min="10495" max="10497" width="9.5" style="52" bestFit="1" customWidth="1"/>
    <col min="10498" max="10498" width="8.33203125" style="52" bestFit="1" customWidth="1"/>
    <col min="10499" max="10499" width="8.33203125" style="52" customWidth="1"/>
    <col min="10500" max="10502" width="9.5" style="52" bestFit="1" customWidth="1"/>
    <col min="10503" max="10503" width="8.33203125" style="52" bestFit="1" customWidth="1"/>
    <col min="10504" max="10505" width="8.33203125" style="52" customWidth="1"/>
    <col min="10506" max="10506" width="9.1640625" style="52" bestFit="1" customWidth="1"/>
    <col min="10507" max="10741" width="9" style="52"/>
    <col min="10742" max="10742" width="20.5" style="52" customWidth="1"/>
    <col min="10743" max="10743" width="8.5" style="52" customWidth="1"/>
    <col min="10744" max="10744" width="10" style="52" customWidth="1"/>
    <col min="10745" max="10745" width="8.5" style="52" customWidth="1"/>
    <col min="10746" max="10748" width="9.5" style="52" bestFit="1" customWidth="1"/>
    <col min="10749" max="10749" width="8.33203125" style="52" bestFit="1" customWidth="1"/>
    <col min="10750" max="10750" width="8.33203125" style="52" customWidth="1"/>
    <col min="10751" max="10753" width="9.5" style="52" bestFit="1" customWidth="1"/>
    <col min="10754" max="10754" width="8.33203125" style="52" bestFit="1" customWidth="1"/>
    <col min="10755" max="10755" width="8.33203125" style="52" customWidth="1"/>
    <col min="10756" max="10758" width="9.5" style="52" bestFit="1" customWidth="1"/>
    <col min="10759" max="10759" width="8.33203125" style="52" bestFit="1" customWidth="1"/>
    <col min="10760" max="10761" width="8.33203125" style="52" customWidth="1"/>
    <col min="10762" max="10762" width="9.1640625" style="52" bestFit="1" customWidth="1"/>
    <col min="10763" max="10997" width="9" style="52"/>
    <col min="10998" max="10998" width="20.5" style="52" customWidth="1"/>
    <col min="10999" max="10999" width="8.5" style="52" customWidth="1"/>
    <col min="11000" max="11000" width="10" style="52" customWidth="1"/>
    <col min="11001" max="11001" width="8.5" style="52" customWidth="1"/>
    <col min="11002" max="11004" width="9.5" style="52" bestFit="1" customWidth="1"/>
    <col min="11005" max="11005" width="8.33203125" style="52" bestFit="1" customWidth="1"/>
    <col min="11006" max="11006" width="8.33203125" style="52" customWidth="1"/>
    <col min="11007" max="11009" width="9.5" style="52" bestFit="1" customWidth="1"/>
    <col min="11010" max="11010" width="8.33203125" style="52" bestFit="1" customWidth="1"/>
    <col min="11011" max="11011" width="8.33203125" style="52" customWidth="1"/>
    <col min="11012" max="11014" width="9.5" style="52" bestFit="1" customWidth="1"/>
    <col min="11015" max="11015" width="8.33203125" style="52" bestFit="1" customWidth="1"/>
    <col min="11016" max="11017" width="8.33203125" style="52" customWidth="1"/>
    <col min="11018" max="11018" width="9.1640625" style="52" bestFit="1" customWidth="1"/>
    <col min="11019" max="11253" width="9" style="52"/>
    <col min="11254" max="11254" width="20.5" style="52" customWidth="1"/>
    <col min="11255" max="11255" width="8.5" style="52" customWidth="1"/>
    <col min="11256" max="11256" width="10" style="52" customWidth="1"/>
    <col min="11257" max="11257" width="8.5" style="52" customWidth="1"/>
    <col min="11258" max="11260" width="9.5" style="52" bestFit="1" customWidth="1"/>
    <col min="11261" max="11261" width="8.33203125" style="52" bestFit="1" customWidth="1"/>
    <col min="11262" max="11262" width="8.33203125" style="52" customWidth="1"/>
    <col min="11263" max="11265" width="9.5" style="52" bestFit="1" customWidth="1"/>
    <col min="11266" max="11266" width="8.33203125" style="52" bestFit="1" customWidth="1"/>
    <col min="11267" max="11267" width="8.33203125" style="52" customWidth="1"/>
    <col min="11268" max="11270" width="9.5" style="52" bestFit="1" customWidth="1"/>
    <col min="11271" max="11271" width="8.33203125" style="52" bestFit="1" customWidth="1"/>
    <col min="11272" max="11273" width="8.33203125" style="52" customWidth="1"/>
    <col min="11274" max="11274" width="9.1640625" style="52" bestFit="1" customWidth="1"/>
    <col min="11275" max="11509" width="9" style="52"/>
    <col min="11510" max="11510" width="20.5" style="52" customWidth="1"/>
    <col min="11511" max="11511" width="8.5" style="52" customWidth="1"/>
    <col min="11512" max="11512" width="10" style="52" customWidth="1"/>
    <col min="11513" max="11513" width="8.5" style="52" customWidth="1"/>
    <col min="11514" max="11516" width="9.5" style="52" bestFit="1" customWidth="1"/>
    <col min="11517" max="11517" width="8.33203125" style="52" bestFit="1" customWidth="1"/>
    <col min="11518" max="11518" width="8.33203125" style="52" customWidth="1"/>
    <col min="11519" max="11521" width="9.5" style="52" bestFit="1" customWidth="1"/>
    <col min="11522" max="11522" width="8.33203125" style="52" bestFit="1" customWidth="1"/>
    <col min="11523" max="11523" width="8.33203125" style="52" customWidth="1"/>
    <col min="11524" max="11526" width="9.5" style="52" bestFit="1" customWidth="1"/>
    <col min="11527" max="11527" width="8.33203125" style="52" bestFit="1" customWidth="1"/>
    <col min="11528" max="11529" width="8.33203125" style="52" customWidth="1"/>
    <col min="11530" max="11530" width="9.1640625" style="52" bestFit="1" customWidth="1"/>
    <col min="11531" max="11765" width="9" style="52"/>
    <col min="11766" max="11766" width="20.5" style="52" customWidth="1"/>
    <col min="11767" max="11767" width="8.5" style="52" customWidth="1"/>
    <col min="11768" max="11768" width="10" style="52" customWidth="1"/>
    <col min="11769" max="11769" width="8.5" style="52" customWidth="1"/>
    <col min="11770" max="11772" width="9.5" style="52" bestFit="1" customWidth="1"/>
    <col min="11773" max="11773" width="8.33203125" style="52" bestFit="1" customWidth="1"/>
    <col min="11774" max="11774" width="8.33203125" style="52" customWidth="1"/>
    <col min="11775" max="11777" width="9.5" style="52" bestFit="1" customWidth="1"/>
    <col min="11778" max="11778" width="8.33203125" style="52" bestFit="1" customWidth="1"/>
    <col min="11779" max="11779" width="8.33203125" style="52" customWidth="1"/>
    <col min="11780" max="11782" width="9.5" style="52" bestFit="1" customWidth="1"/>
    <col min="11783" max="11783" width="8.33203125" style="52" bestFit="1" customWidth="1"/>
    <col min="11784" max="11785" width="8.33203125" style="52" customWidth="1"/>
    <col min="11786" max="11786" width="9.1640625" style="52" bestFit="1" customWidth="1"/>
    <col min="11787" max="12021" width="9" style="52"/>
    <col min="12022" max="12022" width="20.5" style="52" customWidth="1"/>
    <col min="12023" max="12023" width="8.5" style="52" customWidth="1"/>
    <col min="12024" max="12024" width="10" style="52" customWidth="1"/>
    <col min="12025" max="12025" width="8.5" style="52" customWidth="1"/>
    <col min="12026" max="12028" width="9.5" style="52" bestFit="1" customWidth="1"/>
    <col min="12029" max="12029" width="8.33203125" style="52" bestFit="1" customWidth="1"/>
    <col min="12030" max="12030" width="8.33203125" style="52" customWidth="1"/>
    <col min="12031" max="12033" width="9.5" style="52" bestFit="1" customWidth="1"/>
    <col min="12034" max="12034" width="8.33203125" style="52" bestFit="1" customWidth="1"/>
    <col min="12035" max="12035" width="8.33203125" style="52" customWidth="1"/>
    <col min="12036" max="12038" width="9.5" style="52" bestFit="1" customWidth="1"/>
    <col min="12039" max="12039" width="8.33203125" style="52" bestFit="1" customWidth="1"/>
    <col min="12040" max="12041" width="8.33203125" style="52" customWidth="1"/>
    <col min="12042" max="12042" width="9.1640625" style="52" bestFit="1" customWidth="1"/>
    <col min="12043" max="12277" width="9" style="52"/>
    <col min="12278" max="12278" width="20.5" style="52" customWidth="1"/>
    <col min="12279" max="12279" width="8.5" style="52" customWidth="1"/>
    <col min="12280" max="12280" width="10" style="52" customWidth="1"/>
    <col min="12281" max="12281" width="8.5" style="52" customWidth="1"/>
    <col min="12282" max="12284" width="9.5" style="52" bestFit="1" customWidth="1"/>
    <col min="12285" max="12285" width="8.33203125" style="52" bestFit="1" customWidth="1"/>
    <col min="12286" max="12286" width="8.33203125" style="52" customWidth="1"/>
    <col min="12287" max="12289" width="9.5" style="52" bestFit="1" customWidth="1"/>
    <col min="12290" max="12290" width="8.33203125" style="52" bestFit="1" customWidth="1"/>
    <col min="12291" max="12291" width="8.33203125" style="52" customWidth="1"/>
    <col min="12292" max="12294" width="9.5" style="52" bestFit="1" customWidth="1"/>
    <col min="12295" max="12295" width="8.33203125" style="52" bestFit="1" customWidth="1"/>
    <col min="12296" max="12297" width="8.33203125" style="52" customWidth="1"/>
    <col min="12298" max="12298" width="9.1640625" style="52" bestFit="1" customWidth="1"/>
    <col min="12299" max="12533" width="9" style="52"/>
    <col min="12534" max="12534" width="20.5" style="52" customWidth="1"/>
    <col min="12535" max="12535" width="8.5" style="52" customWidth="1"/>
    <col min="12536" max="12536" width="10" style="52" customWidth="1"/>
    <col min="12537" max="12537" width="8.5" style="52" customWidth="1"/>
    <col min="12538" max="12540" width="9.5" style="52" bestFit="1" customWidth="1"/>
    <col min="12541" max="12541" width="8.33203125" style="52" bestFit="1" customWidth="1"/>
    <col min="12542" max="12542" width="8.33203125" style="52" customWidth="1"/>
    <col min="12543" max="12545" width="9.5" style="52" bestFit="1" customWidth="1"/>
    <col min="12546" max="12546" width="8.33203125" style="52" bestFit="1" customWidth="1"/>
    <col min="12547" max="12547" width="8.33203125" style="52" customWidth="1"/>
    <col min="12548" max="12550" width="9.5" style="52" bestFit="1" customWidth="1"/>
    <col min="12551" max="12551" width="8.33203125" style="52" bestFit="1" customWidth="1"/>
    <col min="12552" max="12553" width="8.33203125" style="52" customWidth="1"/>
    <col min="12554" max="12554" width="9.1640625" style="52" bestFit="1" customWidth="1"/>
    <col min="12555" max="12789" width="9" style="52"/>
    <col min="12790" max="12790" width="20.5" style="52" customWidth="1"/>
    <col min="12791" max="12791" width="8.5" style="52" customWidth="1"/>
    <col min="12792" max="12792" width="10" style="52" customWidth="1"/>
    <col min="12793" max="12793" width="8.5" style="52" customWidth="1"/>
    <col min="12794" max="12796" width="9.5" style="52" bestFit="1" customWidth="1"/>
    <col min="12797" max="12797" width="8.33203125" style="52" bestFit="1" customWidth="1"/>
    <col min="12798" max="12798" width="8.33203125" style="52" customWidth="1"/>
    <col min="12799" max="12801" width="9.5" style="52" bestFit="1" customWidth="1"/>
    <col min="12802" max="12802" width="8.33203125" style="52" bestFit="1" customWidth="1"/>
    <col min="12803" max="12803" width="8.33203125" style="52" customWidth="1"/>
    <col min="12804" max="12806" width="9.5" style="52" bestFit="1" customWidth="1"/>
    <col min="12807" max="12807" width="8.33203125" style="52" bestFit="1" customWidth="1"/>
    <col min="12808" max="12809" width="8.33203125" style="52" customWidth="1"/>
    <col min="12810" max="12810" width="9.1640625" style="52" bestFit="1" customWidth="1"/>
    <col min="12811" max="13045" width="9" style="52"/>
    <col min="13046" max="13046" width="20.5" style="52" customWidth="1"/>
    <col min="13047" max="13047" width="8.5" style="52" customWidth="1"/>
    <col min="13048" max="13048" width="10" style="52" customWidth="1"/>
    <col min="13049" max="13049" width="8.5" style="52" customWidth="1"/>
    <col min="13050" max="13052" width="9.5" style="52" bestFit="1" customWidth="1"/>
    <col min="13053" max="13053" width="8.33203125" style="52" bestFit="1" customWidth="1"/>
    <col min="13054" max="13054" width="8.33203125" style="52" customWidth="1"/>
    <col min="13055" max="13057" width="9.5" style="52" bestFit="1" customWidth="1"/>
    <col min="13058" max="13058" width="8.33203125" style="52" bestFit="1" customWidth="1"/>
    <col min="13059" max="13059" width="8.33203125" style="52" customWidth="1"/>
    <col min="13060" max="13062" width="9.5" style="52" bestFit="1" customWidth="1"/>
    <col min="13063" max="13063" width="8.33203125" style="52" bestFit="1" customWidth="1"/>
    <col min="13064" max="13065" width="8.33203125" style="52" customWidth="1"/>
    <col min="13066" max="13066" width="9.1640625" style="52" bestFit="1" customWidth="1"/>
    <col min="13067" max="13301" width="9" style="52"/>
    <col min="13302" max="13302" width="20.5" style="52" customWidth="1"/>
    <col min="13303" max="13303" width="8.5" style="52" customWidth="1"/>
    <col min="13304" max="13304" width="10" style="52" customWidth="1"/>
    <col min="13305" max="13305" width="8.5" style="52" customWidth="1"/>
    <col min="13306" max="13308" width="9.5" style="52" bestFit="1" customWidth="1"/>
    <col min="13309" max="13309" width="8.33203125" style="52" bestFit="1" customWidth="1"/>
    <col min="13310" max="13310" width="8.33203125" style="52" customWidth="1"/>
    <col min="13311" max="13313" width="9.5" style="52" bestFit="1" customWidth="1"/>
    <col min="13314" max="13314" width="8.33203125" style="52" bestFit="1" customWidth="1"/>
    <col min="13315" max="13315" width="8.33203125" style="52" customWidth="1"/>
    <col min="13316" max="13318" width="9.5" style="52" bestFit="1" customWidth="1"/>
    <col min="13319" max="13319" width="8.33203125" style="52" bestFit="1" customWidth="1"/>
    <col min="13320" max="13321" width="8.33203125" style="52" customWidth="1"/>
    <col min="13322" max="13322" width="9.1640625" style="52" bestFit="1" customWidth="1"/>
    <col min="13323" max="13557" width="9" style="52"/>
    <col min="13558" max="13558" width="20.5" style="52" customWidth="1"/>
    <col min="13559" max="13559" width="8.5" style="52" customWidth="1"/>
    <col min="13560" max="13560" width="10" style="52" customWidth="1"/>
    <col min="13561" max="13561" width="8.5" style="52" customWidth="1"/>
    <col min="13562" max="13564" width="9.5" style="52" bestFit="1" customWidth="1"/>
    <col min="13565" max="13565" width="8.33203125" style="52" bestFit="1" customWidth="1"/>
    <col min="13566" max="13566" width="8.33203125" style="52" customWidth="1"/>
    <col min="13567" max="13569" width="9.5" style="52" bestFit="1" customWidth="1"/>
    <col min="13570" max="13570" width="8.33203125" style="52" bestFit="1" customWidth="1"/>
    <col min="13571" max="13571" width="8.33203125" style="52" customWidth="1"/>
    <col min="13572" max="13574" width="9.5" style="52" bestFit="1" customWidth="1"/>
    <col min="13575" max="13575" width="8.33203125" style="52" bestFit="1" customWidth="1"/>
    <col min="13576" max="13577" width="8.33203125" style="52" customWidth="1"/>
    <col min="13578" max="13578" width="9.1640625" style="52" bestFit="1" customWidth="1"/>
    <col min="13579" max="13813" width="9" style="52"/>
    <col min="13814" max="13814" width="20.5" style="52" customWidth="1"/>
    <col min="13815" max="13815" width="8.5" style="52" customWidth="1"/>
    <col min="13816" max="13816" width="10" style="52" customWidth="1"/>
    <col min="13817" max="13817" width="8.5" style="52" customWidth="1"/>
    <col min="13818" max="13820" width="9.5" style="52" bestFit="1" customWidth="1"/>
    <col min="13821" max="13821" width="8.33203125" style="52" bestFit="1" customWidth="1"/>
    <col min="13822" max="13822" width="8.33203125" style="52" customWidth="1"/>
    <col min="13823" max="13825" width="9.5" style="52" bestFit="1" customWidth="1"/>
    <col min="13826" max="13826" width="8.33203125" style="52" bestFit="1" customWidth="1"/>
    <col min="13827" max="13827" width="8.33203125" style="52" customWidth="1"/>
    <col min="13828" max="13830" width="9.5" style="52" bestFit="1" customWidth="1"/>
    <col min="13831" max="13831" width="8.33203125" style="52" bestFit="1" customWidth="1"/>
    <col min="13832" max="13833" width="8.33203125" style="52" customWidth="1"/>
    <col min="13834" max="13834" width="9.1640625" style="52" bestFit="1" customWidth="1"/>
    <col min="13835" max="14069" width="9" style="52"/>
    <col min="14070" max="14070" width="20.5" style="52" customWidth="1"/>
    <col min="14071" max="14071" width="8.5" style="52" customWidth="1"/>
    <col min="14072" max="14072" width="10" style="52" customWidth="1"/>
    <col min="14073" max="14073" width="8.5" style="52" customWidth="1"/>
    <col min="14074" max="14076" width="9.5" style="52" bestFit="1" customWidth="1"/>
    <col min="14077" max="14077" width="8.33203125" style="52" bestFit="1" customWidth="1"/>
    <col min="14078" max="14078" width="8.33203125" style="52" customWidth="1"/>
    <col min="14079" max="14081" width="9.5" style="52" bestFit="1" customWidth="1"/>
    <col min="14082" max="14082" width="8.33203125" style="52" bestFit="1" customWidth="1"/>
    <col min="14083" max="14083" width="8.33203125" style="52" customWidth="1"/>
    <col min="14084" max="14086" width="9.5" style="52" bestFit="1" customWidth="1"/>
    <col min="14087" max="14087" width="8.33203125" style="52" bestFit="1" customWidth="1"/>
    <col min="14088" max="14089" width="8.33203125" style="52" customWidth="1"/>
    <col min="14090" max="14090" width="9.1640625" style="52" bestFit="1" customWidth="1"/>
    <col min="14091" max="14325" width="9" style="52"/>
    <col min="14326" max="14326" width="20.5" style="52" customWidth="1"/>
    <col min="14327" max="14327" width="8.5" style="52" customWidth="1"/>
    <col min="14328" max="14328" width="10" style="52" customWidth="1"/>
    <col min="14329" max="14329" width="8.5" style="52" customWidth="1"/>
    <col min="14330" max="14332" width="9.5" style="52" bestFit="1" customWidth="1"/>
    <col min="14333" max="14333" width="8.33203125" style="52" bestFit="1" customWidth="1"/>
    <col min="14334" max="14334" width="8.33203125" style="52" customWidth="1"/>
    <col min="14335" max="14337" width="9.5" style="52" bestFit="1" customWidth="1"/>
    <col min="14338" max="14338" width="8.33203125" style="52" bestFit="1" customWidth="1"/>
    <col min="14339" max="14339" width="8.33203125" style="52" customWidth="1"/>
    <col min="14340" max="14342" width="9.5" style="52" bestFit="1" customWidth="1"/>
    <col min="14343" max="14343" width="8.33203125" style="52" bestFit="1" customWidth="1"/>
    <col min="14344" max="14345" width="8.33203125" style="52" customWidth="1"/>
    <col min="14346" max="14346" width="9.1640625" style="52" bestFit="1" customWidth="1"/>
    <col min="14347" max="14581" width="9" style="52"/>
    <col min="14582" max="14582" width="20.5" style="52" customWidth="1"/>
    <col min="14583" max="14583" width="8.5" style="52" customWidth="1"/>
    <col min="14584" max="14584" width="10" style="52" customWidth="1"/>
    <col min="14585" max="14585" width="8.5" style="52" customWidth="1"/>
    <col min="14586" max="14588" width="9.5" style="52" bestFit="1" customWidth="1"/>
    <col min="14589" max="14589" width="8.33203125" style="52" bestFit="1" customWidth="1"/>
    <col min="14590" max="14590" width="8.33203125" style="52" customWidth="1"/>
    <col min="14591" max="14593" width="9.5" style="52" bestFit="1" customWidth="1"/>
    <col min="14594" max="14594" width="8.33203125" style="52" bestFit="1" customWidth="1"/>
    <col min="14595" max="14595" width="8.33203125" style="52" customWidth="1"/>
    <col min="14596" max="14598" width="9.5" style="52" bestFit="1" customWidth="1"/>
    <col min="14599" max="14599" width="8.33203125" style="52" bestFit="1" customWidth="1"/>
    <col min="14600" max="14601" width="8.33203125" style="52" customWidth="1"/>
    <col min="14602" max="14602" width="9.1640625" style="52" bestFit="1" customWidth="1"/>
    <col min="14603" max="14837" width="9" style="52"/>
    <col min="14838" max="14838" width="20.5" style="52" customWidth="1"/>
    <col min="14839" max="14839" width="8.5" style="52" customWidth="1"/>
    <col min="14840" max="14840" width="10" style="52" customWidth="1"/>
    <col min="14841" max="14841" width="8.5" style="52" customWidth="1"/>
    <col min="14842" max="14844" width="9.5" style="52" bestFit="1" customWidth="1"/>
    <col min="14845" max="14845" width="8.33203125" style="52" bestFit="1" customWidth="1"/>
    <col min="14846" max="14846" width="8.33203125" style="52" customWidth="1"/>
    <col min="14847" max="14849" width="9.5" style="52" bestFit="1" customWidth="1"/>
    <col min="14850" max="14850" width="8.33203125" style="52" bestFit="1" customWidth="1"/>
    <col min="14851" max="14851" width="8.33203125" style="52" customWidth="1"/>
    <col min="14852" max="14854" width="9.5" style="52" bestFit="1" customWidth="1"/>
    <col min="14855" max="14855" width="8.33203125" style="52" bestFit="1" customWidth="1"/>
    <col min="14856" max="14857" width="8.33203125" style="52" customWidth="1"/>
    <col min="14858" max="14858" width="9.1640625" style="52" bestFit="1" customWidth="1"/>
    <col min="14859" max="15093" width="9" style="52"/>
    <col min="15094" max="15094" width="20.5" style="52" customWidth="1"/>
    <col min="15095" max="15095" width="8.5" style="52" customWidth="1"/>
    <col min="15096" max="15096" width="10" style="52" customWidth="1"/>
    <col min="15097" max="15097" width="8.5" style="52" customWidth="1"/>
    <col min="15098" max="15100" width="9.5" style="52" bestFit="1" customWidth="1"/>
    <col min="15101" max="15101" width="8.33203125" style="52" bestFit="1" customWidth="1"/>
    <col min="15102" max="15102" width="8.33203125" style="52" customWidth="1"/>
    <col min="15103" max="15105" width="9.5" style="52" bestFit="1" customWidth="1"/>
    <col min="15106" max="15106" width="8.33203125" style="52" bestFit="1" customWidth="1"/>
    <col min="15107" max="15107" width="8.33203125" style="52" customWidth="1"/>
    <col min="15108" max="15110" width="9.5" style="52" bestFit="1" customWidth="1"/>
    <col min="15111" max="15111" width="8.33203125" style="52" bestFit="1" customWidth="1"/>
    <col min="15112" max="15113" width="8.33203125" style="52" customWidth="1"/>
    <col min="15114" max="15114" width="9.1640625" style="52" bestFit="1" customWidth="1"/>
    <col min="15115" max="15349" width="9" style="52"/>
    <col min="15350" max="15350" width="20.5" style="52" customWidth="1"/>
    <col min="15351" max="15351" width="8.5" style="52" customWidth="1"/>
    <col min="15352" max="15352" width="10" style="52" customWidth="1"/>
    <col min="15353" max="15353" width="8.5" style="52" customWidth="1"/>
    <col min="15354" max="15356" width="9.5" style="52" bestFit="1" customWidth="1"/>
    <col min="15357" max="15357" width="8.33203125" style="52" bestFit="1" customWidth="1"/>
    <col min="15358" max="15358" width="8.33203125" style="52" customWidth="1"/>
    <col min="15359" max="15361" width="9.5" style="52" bestFit="1" customWidth="1"/>
    <col min="15362" max="15362" width="8.33203125" style="52" bestFit="1" customWidth="1"/>
    <col min="15363" max="15363" width="8.33203125" style="52" customWidth="1"/>
    <col min="15364" max="15366" width="9.5" style="52" bestFit="1" customWidth="1"/>
    <col min="15367" max="15367" width="8.33203125" style="52" bestFit="1" customWidth="1"/>
    <col min="15368" max="15369" width="8.33203125" style="52" customWidth="1"/>
    <col min="15370" max="15370" width="9.1640625" style="52" bestFit="1" customWidth="1"/>
    <col min="15371" max="15605" width="9" style="52"/>
    <col min="15606" max="15606" width="20.5" style="52" customWidth="1"/>
    <col min="15607" max="15607" width="8.5" style="52" customWidth="1"/>
    <col min="15608" max="15608" width="10" style="52" customWidth="1"/>
    <col min="15609" max="15609" width="8.5" style="52" customWidth="1"/>
    <col min="15610" max="15612" width="9.5" style="52" bestFit="1" customWidth="1"/>
    <col min="15613" max="15613" width="8.33203125" style="52" bestFit="1" customWidth="1"/>
    <col min="15614" max="15614" width="8.33203125" style="52" customWidth="1"/>
    <col min="15615" max="15617" width="9.5" style="52" bestFit="1" customWidth="1"/>
    <col min="15618" max="15618" width="8.33203125" style="52" bestFit="1" customWidth="1"/>
    <col min="15619" max="15619" width="8.33203125" style="52" customWidth="1"/>
    <col min="15620" max="15622" width="9.5" style="52" bestFit="1" customWidth="1"/>
    <col min="15623" max="15623" width="8.33203125" style="52" bestFit="1" customWidth="1"/>
    <col min="15624" max="15625" width="8.33203125" style="52" customWidth="1"/>
    <col min="15626" max="15626" width="9.1640625" style="52" bestFit="1" customWidth="1"/>
    <col min="15627" max="15861" width="9" style="52"/>
    <col min="15862" max="15862" width="20.5" style="52" customWidth="1"/>
    <col min="15863" max="15863" width="8.5" style="52" customWidth="1"/>
    <col min="15864" max="15864" width="10" style="52" customWidth="1"/>
    <col min="15865" max="15865" width="8.5" style="52" customWidth="1"/>
    <col min="15866" max="15868" width="9.5" style="52" bestFit="1" customWidth="1"/>
    <col min="15869" max="15869" width="8.33203125" style="52" bestFit="1" customWidth="1"/>
    <col min="15870" max="15870" width="8.33203125" style="52" customWidth="1"/>
    <col min="15871" max="15873" width="9.5" style="52" bestFit="1" customWidth="1"/>
    <col min="15874" max="15874" width="8.33203125" style="52" bestFit="1" customWidth="1"/>
    <col min="15875" max="15875" width="8.33203125" style="52" customWidth="1"/>
    <col min="15876" max="15878" width="9.5" style="52" bestFit="1" customWidth="1"/>
    <col min="15879" max="15879" width="8.33203125" style="52" bestFit="1" customWidth="1"/>
    <col min="15880" max="15881" width="8.33203125" style="52" customWidth="1"/>
    <col min="15882" max="15882" width="9.1640625" style="52" bestFit="1" customWidth="1"/>
    <col min="15883" max="16117" width="9" style="52"/>
    <col min="16118" max="16118" width="20.5" style="52" customWidth="1"/>
    <col min="16119" max="16119" width="8.5" style="52" customWidth="1"/>
    <col min="16120" max="16120" width="10" style="52" customWidth="1"/>
    <col min="16121" max="16121" width="8.5" style="52" customWidth="1"/>
    <col min="16122" max="16124" width="9.5" style="52" bestFit="1" customWidth="1"/>
    <col min="16125" max="16125" width="8.33203125" style="52" bestFit="1" customWidth="1"/>
    <col min="16126" max="16126" width="8.33203125" style="52" customWidth="1"/>
    <col min="16127" max="16129" width="9.5" style="52" bestFit="1" customWidth="1"/>
    <col min="16130" max="16130" width="8.33203125" style="52" bestFit="1" customWidth="1"/>
    <col min="16131" max="16131" width="8.33203125" style="52" customWidth="1"/>
    <col min="16132" max="16134" width="9.5" style="52" bestFit="1" customWidth="1"/>
    <col min="16135" max="16135" width="8.33203125" style="52" bestFit="1" customWidth="1"/>
    <col min="16136" max="16137" width="8.33203125" style="52" customWidth="1"/>
    <col min="16138" max="16138" width="9.1640625" style="52" bestFit="1" customWidth="1"/>
    <col min="16139" max="16384" width="9" style="52"/>
  </cols>
  <sheetData>
    <row r="1" spans="1:41" s="47" customFormat="1" ht="14.25" customHeight="1" thickBot="1">
      <c r="A1" s="136" t="s">
        <v>0</v>
      </c>
      <c r="B1" s="137"/>
      <c r="C1" s="38" t="s">
        <v>1</v>
      </c>
      <c r="D1" s="18" t="s">
        <v>118</v>
      </c>
      <c r="E1" s="123" t="s">
        <v>58</v>
      </c>
      <c r="F1" s="123"/>
      <c r="G1" s="123"/>
      <c r="H1" s="123"/>
      <c r="I1" s="45" t="s">
        <v>58</v>
      </c>
      <c r="J1" s="124" t="s">
        <v>51</v>
      </c>
      <c r="K1" s="124"/>
      <c r="L1" s="124"/>
      <c r="M1" s="124"/>
      <c r="N1" s="39" t="s">
        <v>51</v>
      </c>
      <c r="O1" s="124" t="s">
        <v>52</v>
      </c>
      <c r="P1" s="124"/>
      <c r="Q1" s="124"/>
      <c r="R1" s="124"/>
      <c r="S1" s="124"/>
      <c r="T1" s="39" t="s">
        <v>52</v>
      </c>
      <c r="U1" s="40" t="s">
        <v>53</v>
      </c>
      <c r="V1" s="123" t="s">
        <v>111</v>
      </c>
      <c r="W1" s="123"/>
      <c r="X1" s="123"/>
      <c r="Y1" s="123"/>
      <c r="Z1" s="45" t="s">
        <v>111</v>
      </c>
      <c r="AA1" s="124" t="s">
        <v>112</v>
      </c>
      <c r="AB1" s="124"/>
      <c r="AC1" s="124"/>
      <c r="AD1" s="124"/>
      <c r="AE1" s="39" t="s">
        <v>112</v>
      </c>
      <c r="AF1" s="124" t="s">
        <v>113</v>
      </c>
      <c r="AG1" s="124"/>
      <c r="AH1" s="124"/>
      <c r="AI1" s="124"/>
      <c r="AJ1" s="124"/>
      <c r="AK1" s="39" t="s">
        <v>113</v>
      </c>
      <c r="AL1" s="40" t="s">
        <v>114</v>
      </c>
      <c r="AN1" s="41" t="s">
        <v>53</v>
      </c>
      <c r="AO1" s="41" t="s">
        <v>114</v>
      </c>
    </row>
    <row r="2" spans="1:41" s="47" customFormat="1" ht="17" customHeight="1" thickBot="1">
      <c r="A2" s="125" t="s">
        <v>2</v>
      </c>
      <c r="B2" s="126"/>
      <c r="C2" s="38" t="s">
        <v>3</v>
      </c>
      <c r="D2" s="18" t="s">
        <v>4</v>
      </c>
      <c r="E2" s="42" t="s">
        <v>61</v>
      </c>
      <c r="F2" s="109">
        <v>44927</v>
      </c>
      <c r="G2" s="109">
        <v>44935</v>
      </c>
      <c r="H2" s="109">
        <v>44942</v>
      </c>
      <c r="I2" s="43" t="s">
        <v>62</v>
      </c>
      <c r="J2" s="109">
        <v>44949</v>
      </c>
      <c r="K2" s="109">
        <v>44956</v>
      </c>
      <c r="L2" s="109">
        <v>44963</v>
      </c>
      <c r="M2" s="109">
        <v>44970</v>
      </c>
      <c r="N2" s="39" t="s">
        <v>0</v>
      </c>
      <c r="O2" s="109">
        <v>44977</v>
      </c>
      <c r="P2" s="109">
        <v>44984</v>
      </c>
      <c r="Q2" s="109">
        <v>44991</v>
      </c>
      <c r="R2" s="109">
        <v>44998</v>
      </c>
      <c r="S2" s="109">
        <v>45005</v>
      </c>
      <c r="T2" s="39" t="s">
        <v>0</v>
      </c>
      <c r="U2" s="40" t="s">
        <v>0</v>
      </c>
      <c r="V2" s="109">
        <v>45012</v>
      </c>
      <c r="W2" s="109">
        <v>45019</v>
      </c>
      <c r="X2" s="109">
        <v>45026</v>
      </c>
      <c r="Y2" s="109">
        <v>45033</v>
      </c>
      <c r="Z2" s="110" t="s">
        <v>62</v>
      </c>
      <c r="AA2" s="109">
        <v>45040</v>
      </c>
      <c r="AB2" s="109">
        <v>45047</v>
      </c>
      <c r="AC2" s="109">
        <v>45054</v>
      </c>
      <c r="AD2" s="109">
        <v>45061</v>
      </c>
      <c r="AE2" s="109" t="s">
        <v>0</v>
      </c>
      <c r="AF2" s="109">
        <v>45068</v>
      </c>
      <c r="AG2" s="109">
        <v>45075</v>
      </c>
      <c r="AH2" s="109">
        <v>45082</v>
      </c>
      <c r="AI2" s="109">
        <v>45089</v>
      </c>
      <c r="AJ2" s="109">
        <v>45096</v>
      </c>
      <c r="AK2" s="39" t="s">
        <v>0</v>
      </c>
      <c r="AL2" s="40" t="s">
        <v>0</v>
      </c>
      <c r="AN2" s="44"/>
      <c r="AO2" s="44"/>
    </row>
    <row r="3" spans="1:41" s="15" customFormat="1">
      <c r="A3" s="117" t="s">
        <v>16</v>
      </c>
      <c r="B3" s="3" t="s">
        <v>5</v>
      </c>
      <c r="C3" s="26"/>
      <c r="D3" s="26"/>
      <c r="E3" s="27">
        <v>0</v>
      </c>
      <c r="F3" s="27">
        <v>0</v>
      </c>
      <c r="G3" s="27">
        <v>0</v>
      </c>
      <c r="H3" s="27">
        <v>0</v>
      </c>
      <c r="I3" s="26">
        <v>0</v>
      </c>
      <c r="J3" s="27">
        <v>0</v>
      </c>
      <c r="K3" s="27">
        <v>0</v>
      </c>
      <c r="L3" s="27">
        <v>0</v>
      </c>
      <c r="M3" s="27">
        <v>0</v>
      </c>
      <c r="N3" s="26">
        <v>0</v>
      </c>
      <c r="O3" s="27">
        <v>0</v>
      </c>
      <c r="P3" s="27">
        <v>0</v>
      </c>
      <c r="Q3" s="27">
        <v>0</v>
      </c>
      <c r="R3" s="27">
        <v>0</v>
      </c>
      <c r="S3" s="27">
        <v>0</v>
      </c>
      <c r="T3" s="26">
        <f>SUM(O3:S3)</f>
        <v>0</v>
      </c>
      <c r="U3" s="28">
        <f>T3+N3+I3+D7</f>
        <v>890</v>
      </c>
      <c r="V3" s="27">
        <v>0</v>
      </c>
      <c r="W3" s="27">
        <v>0</v>
      </c>
      <c r="X3" s="27">
        <v>0</v>
      </c>
      <c r="Y3" s="27">
        <v>0</v>
      </c>
      <c r="Z3" s="26">
        <v>0</v>
      </c>
      <c r="AA3" s="27">
        <v>0</v>
      </c>
      <c r="AB3" s="27">
        <v>0</v>
      </c>
      <c r="AC3" s="27">
        <v>0</v>
      </c>
      <c r="AD3" s="27">
        <v>0</v>
      </c>
      <c r="AE3" s="26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6">
        <f>SUM(AF3:AJ3)</f>
        <v>0</v>
      </c>
      <c r="AL3" s="28">
        <f>AK3+AE3+Z3</f>
        <v>0</v>
      </c>
      <c r="AM3" s="15">
        <v>32</v>
      </c>
      <c r="AN3" s="13">
        <f t="shared" ref="AN3:AN24" si="0">U3*AM3</f>
        <v>28480</v>
      </c>
      <c r="AO3" s="13">
        <f t="shared" ref="AO3:AO25" si="1">AL3*AM3</f>
        <v>0</v>
      </c>
    </row>
    <row r="4" spans="1:41" s="15" customFormat="1">
      <c r="A4" s="118"/>
      <c r="B4" s="12" t="s">
        <v>6</v>
      </c>
      <c r="C4" s="26"/>
      <c r="D4" s="26"/>
      <c r="E4" s="27">
        <v>0</v>
      </c>
      <c r="F4" s="27">
        <v>0</v>
      </c>
      <c r="G4" s="27">
        <v>0</v>
      </c>
      <c r="H4" s="27">
        <v>0</v>
      </c>
      <c r="I4" s="26">
        <v>0</v>
      </c>
      <c r="J4" s="27">
        <v>0</v>
      </c>
      <c r="K4" s="27">
        <v>0</v>
      </c>
      <c r="L4" s="27">
        <v>0</v>
      </c>
      <c r="M4" s="27">
        <v>0</v>
      </c>
      <c r="N4" s="26">
        <v>0</v>
      </c>
      <c r="O4" s="27">
        <v>0</v>
      </c>
      <c r="P4" s="27">
        <v>0</v>
      </c>
      <c r="Q4" s="27">
        <v>0</v>
      </c>
      <c r="R4" s="27">
        <v>0</v>
      </c>
      <c r="S4" s="27">
        <v>0</v>
      </c>
      <c r="T4" s="26">
        <f>SUM(O4:S4)</f>
        <v>0</v>
      </c>
      <c r="U4" s="28"/>
      <c r="V4" s="27">
        <v>0</v>
      </c>
      <c r="W4" s="27">
        <v>0</v>
      </c>
      <c r="X4" s="27">
        <v>0</v>
      </c>
      <c r="Y4" s="27">
        <v>0</v>
      </c>
      <c r="Z4" s="26">
        <v>0</v>
      </c>
      <c r="AA4" s="27">
        <v>0</v>
      </c>
      <c r="AB4" s="27">
        <v>0</v>
      </c>
      <c r="AC4" s="27">
        <v>0</v>
      </c>
      <c r="AD4" s="27">
        <v>0</v>
      </c>
      <c r="AE4" s="26">
        <v>0</v>
      </c>
      <c r="AF4" s="27">
        <v>0</v>
      </c>
      <c r="AG4" s="27">
        <v>0</v>
      </c>
      <c r="AH4" s="27">
        <v>0</v>
      </c>
      <c r="AI4" s="27">
        <v>0</v>
      </c>
      <c r="AJ4" s="27">
        <v>0</v>
      </c>
      <c r="AK4" s="26">
        <f>SUM(AF4:AJ4)</f>
        <v>0</v>
      </c>
      <c r="AL4" s="28"/>
      <c r="AN4" s="13">
        <f t="shared" si="0"/>
        <v>0</v>
      </c>
      <c r="AO4" s="13">
        <f t="shared" si="1"/>
        <v>0</v>
      </c>
    </row>
    <row r="5" spans="1:41" s="15" customFormat="1">
      <c r="A5" s="118"/>
      <c r="B5" s="12" t="s">
        <v>10</v>
      </c>
      <c r="C5" s="26">
        <v>0</v>
      </c>
      <c r="D5" s="26"/>
      <c r="E5" s="27">
        <v>0</v>
      </c>
      <c r="F5" s="27">
        <v>0</v>
      </c>
      <c r="G5" s="27">
        <v>0</v>
      </c>
      <c r="H5" s="27">
        <v>0</v>
      </c>
      <c r="I5" s="26">
        <v>0</v>
      </c>
      <c r="J5" s="27"/>
      <c r="K5" s="27"/>
      <c r="L5" s="27">
        <v>0</v>
      </c>
      <c r="M5" s="27"/>
      <c r="N5" s="26">
        <v>0</v>
      </c>
      <c r="O5" s="27"/>
      <c r="P5" s="27"/>
      <c r="Q5" s="27"/>
      <c r="R5" s="27"/>
      <c r="S5" s="27"/>
      <c r="T5" s="26">
        <f>SUM(O5:R5)</f>
        <v>0</v>
      </c>
      <c r="U5" s="28">
        <f>I5+N5+T5</f>
        <v>0</v>
      </c>
      <c r="V5" s="27"/>
      <c r="W5" s="27"/>
      <c r="X5" s="27"/>
      <c r="Y5" s="27"/>
      <c r="Z5" s="26">
        <v>0</v>
      </c>
      <c r="AA5" s="27"/>
      <c r="AB5" s="27"/>
      <c r="AC5" s="27"/>
      <c r="AD5" s="27"/>
      <c r="AE5" s="26">
        <v>0</v>
      </c>
      <c r="AF5" s="27"/>
      <c r="AG5" s="27"/>
      <c r="AH5" s="27"/>
      <c r="AI5" s="27"/>
      <c r="AJ5" s="27"/>
      <c r="AK5" s="26">
        <f>SUM(AF5:AI5)</f>
        <v>0</v>
      </c>
      <c r="AL5" s="28">
        <f>Z5+AE5+AK5</f>
        <v>0</v>
      </c>
      <c r="AN5" s="13">
        <f t="shared" si="0"/>
        <v>0</v>
      </c>
      <c r="AO5" s="13">
        <f t="shared" si="1"/>
        <v>0</v>
      </c>
    </row>
    <row r="6" spans="1:41" s="15" customFormat="1">
      <c r="A6" s="118"/>
      <c r="B6" s="12" t="s">
        <v>7</v>
      </c>
      <c r="C6" s="26"/>
      <c r="D6" s="26"/>
      <c r="E6" s="32">
        <v>0</v>
      </c>
      <c r="F6" s="27">
        <v>0</v>
      </c>
      <c r="G6" s="27">
        <v>0</v>
      </c>
      <c r="H6" s="27">
        <v>0</v>
      </c>
      <c r="I6" s="26">
        <v>0</v>
      </c>
      <c r="J6" s="32">
        <v>0</v>
      </c>
      <c r="K6" s="27">
        <v>0</v>
      </c>
      <c r="L6" s="27">
        <v>0</v>
      </c>
      <c r="M6" s="27">
        <v>0</v>
      </c>
      <c r="N6" s="26">
        <v>0</v>
      </c>
      <c r="O6" s="32">
        <v>0</v>
      </c>
      <c r="P6" s="27">
        <v>0</v>
      </c>
      <c r="Q6" s="27">
        <v>0</v>
      </c>
      <c r="R6" s="27">
        <v>0</v>
      </c>
      <c r="S6" s="27">
        <v>0</v>
      </c>
      <c r="T6" s="26">
        <f>SUM(O6:S6)</f>
        <v>0</v>
      </c>
      <c r="U6" s="28">
        <f>T6+N6+I6+D7</f>
        <v>890</v>
      </c>
      <c r="V6" s="32">
        <v>0</v>
      </c>
      <c r="W6" s="27">
        <v>0</v>
      </c>
      <c r="X6" s="27">
        <v>0</v>
      </c>
      <c r="Y6" s="27">
        <v>0</v>
      </c>
      <c r="Z6" s="26">
        <v>0</v>
      </c>
      <c r="AA6" s="32">
        <v>0</v>
      </c>
      <c r="AB6" s="27">
        <v>0</v>
      </c>
      <c r="AC6" s="27">
        <v>0</v>
      </c>
      <c r="AD6" s="27">
        <v>0</v>
      </c>
      <c r="AE6" s="26">
        <v>0</v>
      </c>
      <c r="AF6" s="32">
        <v>0</v>
      </c>
      <c r="AG6" s="27">
        <v>0</v>
      </c>
      <c r="AH6" s="27">
        <v>0</v>
      </c>
      <c r="AI6" s="27">
        <v>0</v>
      </c>
      <c r="AJ6" s="27">
        <v>0</v>
      </c>
      <c r="AK6" s="26">
        <f>SUM(AF6:AJ6)</f>
        <v>0</v>
      </c>
      <c r="AL6" s="28">
        <f>AK6+AE6+Z6</f>
        <v>0</v>
      </c>
      <c r="AN6" s="13">
        <f t="shared" si="0"/>
        <v>0</v>
      </c>
      <c r="AO6" s="13">
        <f t="shared" si="1"/>
        <v>0</v>
      </c>
    </row>
    <row r="7" spans="1:41" s="15" customFormat="1" ht="17" thickBot="1">
      <c r="A7" s="119"/>
      <c r="B7" s="4" t="s">
        <v>8</v>
      </c>
      <c r="C7" s="26">
        <v>0</v>
      </c>
      <c r="D7" s="37">
        <v>890</v>
      </c>
      <c r="E7" s="21">
        <v>0</v>
      </c>
      <c r="F7" s="21">
        <v>0</v>
      </c>
      <c r="G7" s="21">
        <v>0</v>
      </c>
      <c r="H7" s="21">
        <v>0</v>
      </c>
      <c r="I7" s="20">
        <v>0</v>
      </c>
      <c r="J7" s="21">
        <v>0</v>
      </c>
      <c r="K7" s="21">
        <v>0</v>
      </c>
      <c r="L7" s="21">
        <v>0</v>
      </c>
      <c r="M7" s="21">
        <v>0</v>
      </c>
      <c r="N7" s="20">
        <v>0</v>
      </c>
      <c r="O7" s="21">
        <v>0</v>
      </c>
      <c r="P7" s="21">
        <v>0</v>
      </c>
      <c r="Q7" s="21">
        <v>0</v>
      </c>
      <c r="R7" s="21">
        <v>0</v>
      </c>
      <c r="S7" s="21">
        <v>0</v>
      </c>
      <c r="T7" s="20">
        <f>N7+T6-T3</f>
        <v>0</v>
      </c>
      <c r="U7" s="22">
        <f>U6-U3</f>
        <v>0</v>
      </c>
      <c r="V7" s="21">
        <v>0</v>
      </c>
      <c r="W7" s="21">
        <v>0</v>
      </c>
      <c r="X7" s="21">
        <v>0</v>
      </c>
      <c r="Y7" s="21">
        <v>0</v>
      </c>
      <c r="Z7" s="20">
        <v>0</v>
      </c>
      <c r="AA7" s="21">
        <v>0</v>
      </c>
      <c r="AB7" s="21">
        <v>0</v>
      </c>
      <c r="AC7" s="21">
        <v>0</v>
      </c>
      <c r="AD7" s="21">
        <v>0</v>
      </c>
      <c r="AE7" s="20">
        <v>0</v>
      </c>
      <c r="AF7" s="21">
        <v>0</v>
      </c>
      <c r="AG7" s="21">
        <v>0</v>
      </c>
      <c r="AH7" s="21">
        <v>0</v>
      </c>
      <c r="AI7" s="21">
        <v>0</v>
      </c>
      <c r="AJ7" s="21">
        <v>0</v>
      </c>
      <c r="AK7" s="20">
        <f>AE7+AK6-AK3</f>
        <v>0</v>
      </c>
      <c r="AL7" s="22">
        <f>T7+AL6-AL3</f>
        <v>0</v>
      </c>
      <c r="AN7" s="13">
        <f t="shared" si="0"/>
        <v>0</v>
      </c>
      <c r="AO7" s="13">
        <f t="shared" si="1"/>
        <v>0</v>
      </c>
    </row>
    <row r="8" spans="1:41" s="15" customFormat="1" ht="17" thickBot="1">
      <c r="A8" s="46"/>
      <c r="B8" s="12" t="s">
        <v>9</v>
      </c>
      <c r="C8" s="26"/>
      <c r="D8" s="26"/>
      <c r="E8" s="19" t="e">
        <v>#DIV/0!</v>
      </c>
      <c r="F8" s="19" t="e">
        <v>#DIV/0!</v>
      </c>
      <c r="G8" s="19" t="e">
        <v>#DIV/0!</v>
      </c>
      <c r="H8" s="19" t="e">
        <v>#DIV/0!</v>
      </c>
      <c r="I8" s="23"/>
      <c r="J8" s="19" t="e">
        <v>#DIV/0!</v>
      </c>
      <c r="K8" s="19" t="e">
        <v>#DIV/0!</v>
      </c>
      <c r="L8" s="19" t="e">
        <v>#DIV/0!</v>
      </c>
      <c r="M8" s="19" t="e">
        <v>#DIV/0!</v>
      </c>
      <c r="N8" s="23"/>
      <c r="O8" s="19" t="e">
        <v>#DIV/0!</v>
      </c>
      <c r="P8" s="19">
        <v>0</v>
      </c>
      <c r="Q8" s="19" t="e">
        <v>#DIV/0!</v>
      </c>
      <c r="R8" s="19" t="e">
        <v>#DIV/0!</v>
      </c>
      <c r="S8" s="19" t="e">
        <v>#REF!</v>
      </c>
      <c r="T8" s="23"/>
      <c r="U8" s="24"/>
      <c r="V8" s="19" t="e">
        <v>#DIV/0!</v>
      </c>
      <c r="W8" s="19" t="e">
        <v>#DIV/0!</v>
      </c>
      <c r="X8" s="19" t="e">
        <v>#DIV/0!</v>
      </c>
      <c r="Y8" s="19" t="e">
        <v>#DIV/0!</v>
      </c>
      <c r="Z8" s="23"/>
      <c r="AA8" s="19" t="e">
        <v>#DIV/0!</v>
      </c>
      <c r="AB8" s="19" t="e">
        <v>#DIV/0!</v>
      </c>
      <c r="AC8" s="19" t="e">
        <v>#DIV/0!</v>
      </c>
      <c r="AD8" s="19" t="e">
        <v>#DIV/0!</v>
      </c>
      <c r="AE8" s="23"/>
      <c r="AF8" s="19" t="e">
        <v>#DIV/0!</v>
      </c>
      <c r="AG8" s="19" t="e">
        <v>#DIV/0!</v>
      </c>
      <c r="AH8" s="19" t="e">
        <v>#DIV/0!</v>
      </c>
      <c r="AI8" s="19" t="e">
        <v>#DIV/0!</v>
      </c>
      <c r="AJ8" s="19" t="e">
        <v>#REF!</v>
      </c>
      <c r="AK8" s="23"/>
      <c r="AL8" s="24"/>
      <c r="AN8" s="13">
        <f t="shared" si="0"/>
        <v>0</v>
      </c>
      <c r="AO8" s="13">
        <f t="shared" si="1"/>
        <v>0</v>
      </c>
    </row>
    <row r="9" spans="1:41" s="15" customFormat="1">
      <c r="A9" s="133" t="s">
        <v>17</v>
      </c>
      <c r="B9" s="3" t="s">
        <v>5</v>
      </c>
      <c r="C9" s="26"/>
      <c r="D9" s="26"/>
      <c r="E9" s="27">
        <v>0</v>
      </c>
      <c r="F9" s="27">
        <v>56550</v>
      </c>
      <c r="G9" s="27">
        <v>4300</v>
      </c>
      <c r="H9" s="27">
        <v>7000</v>
      </c>
      <c r="I9" s="26">
        <v>67850</v>
      </c>
      <c r="J9" s="27">
        <v>25000</v>
      </c>
      <c r="K9" s="27">
        <v>83000</v>
      </c>
      <c r="L9" s="27">
        <v>61069</v>
      </c>
      <c r="M9" s="27">
        <v>2554</v>
      </c>
      <c r="N9" s="26">
        <v>171623</v>
      </c>
      <c r="O9" s="27">
        <v>2267</v>
      </c>
      <c r="P9" s="27">
        <v>62503</v>
      </c>
      <c r="Q9" s="27">
        <v>6426</v>
      </c>
      <c r="R9" s="27">
        <v>74874</v>
      </c>
      <c r="S9" s="27">
        <v>24100</v>
      </c>
      <c r="T9" s="26">
        <f>SUM(O9:S9)</f>
        <v>170170</v>
      </c>
      <c r="U9" s="28">
        <f>T9+N9+I9+D13</f>
        <v>435097</v>
      </c>
      <c r="V9" s="27">
        <v>26306</v>
      </c>
      <c r="W9" s="27">
        <v>1722</v>
      </c>
      <c r="X9" s="27">
        <v>4072</v>
      </c>
      <c r="Y9" s="27">
        <v>3276</v>
      </c>
      <c r="Z9" s="26">
        <v>35376</v>
      </c>
      <c r="AA9" s="27">
        <v>29725</v>
      </c>
      <c r="AB9" s="27">
        <v>19911</v>
      </c>
      <c r="AC9" s="27">
        <v>1857</v>
      </c>
      <c r="AD9" s="27">
        <v>2971</v>
      </c>
      <c r="AE9" s="26">
        <v>54464</v>
      </c>
      <c r="AF9" s="27">
        <v>9204</v>
      </c>
      <c r="AG9" s="27">
        <v>30319</v>
      </c>
      <c r="AH9" s="27">
        <v>1</v>
      </c>
      <c r="AI9" s="27">
        <v>1</v>
      </c>
      <c r="AJ9" s="27">
        <v>1</v>
      </c>
      <c r="AK9" s="26">
        <f>SUM(AF9:AJ9)</f>
        <v>39526</v>
      </c>
      <c r="AL9" s="28">
        <f>AK9+AE9+Z9</f>
        <v>129366</v>
      </c>
      <c r="AM9" s="15">
        <v>32</v>
      </c>
      <c r="AN9" s="13">
        <f t="shared" si="0"/>
        <v>13923104</v>
      </c>
      <c r="AO9" s="13">
        <f t="shared" si="1"/>
        <v>4139712</v>
      </c>
    </row>
    <row r="10" spans="1:41" s="15" customFormat="1">
      <c r="A10" s="134"/>
      <c r="B10" s="12" t="s">
        <v>6</v>
      </c>
      <c r="C10" s="26"/>
      <c r="D10" s="26"/>
      <c r="E10" s="27">
        <v>0</v>
      </c>
      <c r="F10" s="27">
        <v>56550</v>
      </c>
      <c r="G10" s="27">
        <v>4300</v>
      </c>
      <c r="H10" s="27">
        <v>7000</v>
      </c>
      <c r="I10" s="26">
        <v>67850</v>
      </c>
      <c r="J10" s="27">
        <v>25000</v>
      </c>
      <c r="K10" s="27">
        <v>83000</v>
      </c>
      <c r="L10" s="27">
        <v>53000</v>
      </c>
      <c r="M10" s="27">
        <v>70000</v>
      </c>
      <c r="N10" s="26">
        <v>231000</v>
      </c>
      <c r="O10" s="27">
        <v>20000</v>
      </c>
      <c r="P10" s="27">
        <v>50000</v>
      </c>
      <c r="Q10" s="27">
        <v>50000</v>
      </c>
      <c r="R10" s="27">
        <v>50000</v>
      </c>
      <c r="S10" s="27">
        <v>50000</v>
      </c>
      <c r="T10" s="26">
        <f>SUM(O10:S10)</f>
        <v>220000</v>
      </c>
      <c r="U10" s="28"/>
      <c r="V10" s="27">
        <v>50000</v>
      </c>
      <c r="W10" s="27">
        <v>0</v>
      </c>
      <c r="X10" s="27">
        <v>0</v>
      </c>
      <c r="Y10" s="27">
        <v>0</v>
      </c>
      <c r="Z10" s="26">
        <v>50000</v>
      </c>
      <c r="AA10" s="27">
        <v>0</v>
      </c>
      <c r="AB10" s="27">
        <v>0</v>
      </c>
      <c r="AC10" s="27">
        <v>0</v>
      </c>
      <c r="AD10" s="27">
        <v>0</v>
      </c>
      <c r="AE10" s="26">
        <v>0</v>
      </c>
      <c r="AF10" s="27">
        <v>0</v>
      </c>
      <c r="AG10" s="27">
        <v>10000</v>
      </c>
      <c r="AH10" s="27">
        <v>10000</v>
      </c>
      <c r="AI10" s="27">
        <v>10000</v>
      </c>
      <c r="AJ10" s="27">
        <v>10000</v>
      </c>
      <c r="AK10" s="26">
        <f>SUM(AF10:AJ10)</f>
        <v>40000</v>
      </c>
      <c r="AL10" s="28"/>
      <c r="AN10" s="13">
        <f t="shared" si="0"/>
        <v>0</v>
      </c>
      <c r="AO10" s="13">
        <f t="shared" si="1"/>
        <v>0</v>
      </c>
    </row>
    <row r="11" spans="1:41" s="15" customFormat="1">
      <c r="A11" s="134"/>
      <c r="B11" s="12" t="s">
        <v>10</v>
      </c>
      <c r="C11" s="26">
        <v>4500</v>
      </c>
      <c r="D11" s="26"/>
      <c r="E11" s="27">
        <v>0</v>
      </c>
      <c r="F11" s="27">
        <v>0</v>
      </c>
      <c r="G11" s="27">
        <v>0</v>
      </c>
      <c r="H11" s="27">
        <v>0</v>
      </c>
      <c r="I11" s="26">
        <v>0</v>
      </c>
      <c r="J11" s="27">
        <v>0</v>
      </c>
      <c r="K11" s="27">
        <v>0</v>
      </c>
      <c r="L11" s="27">
        <v>0</v>
      </c>
      <c r="M11" s="27">
        <v>4500</v>
      </c>
      <c r="N11" s="26">
        <v>4500</v>
      </c>
      <c r="O11" s="27">
        <v>0</v>
      </c>
      <c r="P11" s="27">
        <v>0</v>
      </c>
      <c r="Q11" s="27">
        <v>0</v>
      </c>
      <c r="R11" s="27">
        <v>0</v>
      </c>
      <c r="S11" s="27">
        <v>0</v>
      </c>
      <c r="T11" s="26">
        <f>SUM(O11:R11)</f>
        <v>0</v>
      </c>
      <c r="U11" s="28">
        <f>I11+N11+T11</f>
        <v>4500</v>
      </c>
      <c r="V11" s="27"/>
      <c r="W11" s="27"/>
      <c r="X11" s="27"/>
      <c r="Y11" s="27"/>
      <c r="Z11" s="26">
        <v>0</v>
      </c>
      <c r="AA11" s="27"/>
      <c r="AB11" s="27"/>
      <c r="AC11" s="27"/>
      <c r="AD11" s="27"/>
      <c r="AE11" s="26">
        <v>0</v>
      </c>
      <c r="AF11" s="27"/>
      <c r="AG11" s="27"/>
      <c r="AH11" s="27"/>
      <c r="AI11" s="27"/>
      <c r="AJ11" s="27"/>
      <c r="AK11" s="26">
        <f>SUM(AF11:AI11)</f>
        <v>0</v>
      </c>
      <c r="AL11" s="28">
        <f>Z11+AE11+AK11</f>
        <v>0</v>
      </c>
      <c r="AN11" s="13">
        <f t="shared" si="0"/>
        <v>0</v>
      </c>
      <c r="AO11" s="13">
        <f t="shared" si="1"/>
        <v>0</v>
      </c>
    </row>
    <row r="12" spans="1:41" s="15" customFormat="1">
      <c r="A12" s="134"/>
      <c r="B12" s="12" t="s">
        <v>7</v>
      </c>
      <c r="C12" s="26"/>
      <c r="D12" s="26"/>
      <c r="E12" s="32">
        <v>0</v>
      </c>
      <c r="F12" s="27">
        <v>56550</v>
      </c>
      <c r="G12" s="27">
        <v>4300</v>
      </c>
      <c r="H12" s="27">
        <v>7000</v>
      </c>
      <c r="I12" s="26">
        <v>67850</v>
      </c>
      <c r="J12" s="32">
        <v>25000</v>
      </c>
      <c r="K12" s="27">
        <v>83000</v>
      </c>
      <c r="L12" s="27">
        <v>53000</v>
      </c>
      <c r="M12" s="27">
        <v>74500</v>
      </c>
      <c r="N12" s="26">
        <v>235500</v>
      </c>
      <c r="O12" s="32">
        <v>20000</v>
      </c>
      <c r="P12" s="27">
        <v>50000</v>
      </c>
      <c r="Q12" s="27">
        <v>50000</v>
      </c>
      <c r="R12" s="27">
        <v>50000</v>
      </c>
      <c r="S12" s="27">
        <v>50000</v>
      </c>
      <c r="T12" s="26">
        <f>SUM(O12:S12)</f>
        <v>220000</v>
      </c>
      <c r="U12" s="28">
        <f>T12+N12+I12+D13</f>
        <v>548804</v>
      </c>
      <c r="V12" s="32">
        <v>50000</v>
      </c>
      <c r="W12" s="27">
        <v>0</v>
      </c>
      <c r="X12" s="27">
        <v>0</v>
      </c>
      <c r="Y12" s="27">
        <v>0</v>
      </c>
      <c r="Z12" s="26">
        <v>163707</v>
      </c>
      <c r="AA12" s="32">
        <v>0</v>
      </c>
      <c r="AB12" s="27">
        <v>0</v>
      </c>
      <c r="AC12" s="27">
        <v>0</v>
      </c>
      <c r="AD12" s="27">
        <v>0</v>
      </c>
      <c r="AE12" s="26">
        <v>0</v>
      </c>
      <c r="AF12" s="32">
        <v>0</v>
      </c>
      <c r="AG12" s="27">
        <v>10000</v>
      </c>
      <c r="AH12" s="27">
        <v>10000</v>
      </c>
      <c r="AI12" s="27">
        <v>10000</v>
      </c>
      <c r="AJ12" s="27">
        <v>10000</v>
      </c>
      <c r="AK12" s="26">
        <f>SUM(AF12:AJ12)</f>
        <v>40000</v>
      </c>
      <c r="AL12" s="28">
        <f>AK12+AE12+Z12</f>
        <v>203707</v>
      </c>
      <c r="AN12" s="13">
        <f t="shared" si="0"/>
        <v>0</v>
      </c>
      <c r="AO12" s="13">
        <f t="shared" si="1"/>
        <v>0</v>
      </c>
    </row>
    <row r="13" spans="1:41" s="15" customFormat="1" ht="17" thickBot="1">
      <c r="A13" s="135"/>
      <c r="B13" s="4" t="s">
        <v>8</v>
      </c>
      <c r="C13" s="26">
        <v>106574</v>
      </c>
      <c r="D13" s="37">
        <v>25454</v>
      </c>
      <c r="E13" s="21">
        <v>0</v>
      </c>
      <c r="F13" s="21">
        <v>0</v>
      </c>
      <c r="G13" s="21">
        <v>0</v>
      </c>
      <c r="H13" s="21">
        <v>0</v>
      </c>
      <c r="I13" s="20">
        <v>0</v>
      </c>
      <c r="J13" s="21">
        <v>0</v>
      </c>
      <c r="K13" s="21">
        <v>0</v>
      </c>
      <c r="L13" s="21">
        <v>-8069</v>
      </c>
      <c r="M13" s="21">
        <v>63877</v>
      </c>
      <c r="N13" s="20">
        <v>63877</v>
      </c>
      <c r="O13" s="21">
        <v>81610</v>
      </c>
      <c r="P13" s="21">
        <v>69107</v>
      </c>
      <c r="Q13" s="21">
        <v>112681</v>
      </c>
      <c r="R13" s="21">
        <v>87807</v>
      </c>
      <c r="S13" s="21">
        <v>113707</v>
      </c>
      <c r="T13" s="20">
        <f>N13+T12-T9</f>
        <v>113707</v>
      </c>
      <c r="U13" s="22">
        <f>U12-U9</f>
        <v>113707</v>
      </c>
      <c r="V13" s="21">
        <v>137401</v>
      </c>
      <c r="W13" s="21">
        <v>135679</v>
      </c>
      <c r="X13" s="21">
        <v>131607</v>
      </c>
      <c r="Y13" s="21">
        <v>128331</v>
      </c>
      <c r="Z13" s="20">
        <v>128331</v>
      </c>
      <c r="AA13" s="21">
        <v>98606</v>
      </c>
      <c r="AB13" s="21">
        <v>78695</v>
      </c>
      <c r="AC13" s="21">
        <v>76838</v>
      </c>
      <c r="AD13" s="21">
        <v>73867</v>
      </c>
      <c r="AE13" s="20">
        <v>73867</v>
      </c>
      <c r="AF13" s="21">
        <v>64663</v>
      </c>
      <c r="AG13" s="21">
        <v>44344</v>
      </c>
      <c r="AH13" s="21">
        <v>54343</v>
      </c>
      <c r="AI13" s="21">
        <v>64342</v>
      </c>
      <c r="AJ13" s="21">
        <v>74341</v>
      </c>
      <c r="AK13" s="20">
        <f>AE13+AK12-AK9</f>
        <v>74341</v>
      </c>
      <c r="AL13" s="22">
        <f>T13+AL12-AL9</f>
        <v>188048</v>
      </c>
      <c r="AN13" s="13">
        <f t="shared" si="0"/>
        <v>0</v>
      </c>
      <c r="AO13" s="13">
        <f t="shared" si="1"/>
        <v>0</v>
      </c>
    </row>
    <row r="14" spans="1:41" s="15" customFormat="1" ht="17" thickBot="1">
      <c r="A14" s="46"/>
      <c r="B14" s="12" t="s">
        <v>9</v>
      </c>
      <c r="C14" s="26"/>
      <c r="D14" s="26"/>
      <c r="E14" s="19">
        <v>0</v>
      </c>
      <c r="F14" s="19">
        <v>0</v>
      </c>
      <c r="G14" s="19">
        <v>0</v>
      </c>
      <c r="H14" s="19">
        <v>0</v>
      </c>
      <c r="I14" s="23"/>
      <c r="J14" s="19">
        <v>0</v>
      </c>
      <c r="K14" s="19">
        <v>0</v>
      </c>
      <c r="L14" s="19">
        <v>-2188.2033898305085</v>
      </c>
      <c r="M14" s="19">
        <v>8746.0806462654891</v>
      </c>
      <c r="N14" s="23"/>
      <c r="O14" s="19">
        <v>9721.0889620792968</v>
      </c>
      <c r="P14" s="19">
        <v>2557.1649796391102</v>
      </c>
      <c r="Q14" s="19">
        <v>22769.818336128679</v>
      </c>
      <c r="R14" s="19">
        <v>72868.879668049791</v>
      </c>
      <c r="S14" s="19" t="e">
        <v>#REF!</v>
      </c>
      <c r="T14" s="23"/>
      <c r="U14" s="24"/>
      <c r="V14" s="19">
        <v>61828.28600998965</v>
      </c>
      <c r="W14" s="19">
        <v>43323.700806258479</v>
      </c>
      <c r="X14" s="19">
        <v>68098.416640794778</v>
      </c>
      <c r="Y14" s="19">
        <v>72552.578018995933</v>
      </c>
      <c r="Z14" s="23"/>
      <c r="AA14" s="19">
        <v>24899.561885282121</v>
      </c>
      <c r="AB14" s="19">
        <v>17563.691957460582</v>
      </c>
      <c r="AC14" s="19">
        <v>26756.507356141727</v>
      </c>
      <c r="AD14" s="19">
        <v>27125.073443008227</v>
      </c>
      <c r="AE14" s="23"/>
      <c r="AF14" s="19">
        <v>42650.880548776469</v>
      </c>
      <c r="AG14" s="19">
        <v>6855.4290440522846</v>
      </c>
      <c r="AH14" s="19">
        <v>543430000</v>
      </c>
      <c r="AI14" s="19">
        <v>1286840000</v>
      </c>
      <c r="AJ14" s="19" t="e">
        <v>#REF!</v>
      </c>
      <c r="AK14" s="23"/>
      <c r="AL14" s="24"/>
      <c r="AN14" s="13">
        <f t="shared" si="0"/>
        <v>0</v>
      </c>
      <c r="AO14" s="13">
        <f t="shared" si="1"/>
        <v>0</v>
      </c>
    </row>
    <row r="15" spans="1:41" s="15" customFormat="1">
      <c r="A15" s="133" t="s">
        <v>18</v>
      </c>
      <c r="B15" s="3" t="s">
        <v>5</v>
      </c>
      <c r="C15" s="26"/>
      <c r="D15" s="26"/>
      <c r="E15" s="27">
        <v>0</v>
      </c>
      <c r="F15" s="27">
        <v>0</v>
      </c>
      <c r="G15" s="27">
        <v>0</v>
      </c>
      <c r="H15" s="27">
        <v>0</v>
      </c>
      <c r="I15" s="26">
        <v>0</v>
      </c>
      <c r="J15" s="27">
        <v>0</v>
      </c>
      <c r="K15" s="27">
        <v>0</v>
      </c>
      <c r="L15" s="27">
        <v>0</v>
      </c>
      <c r="M15" s="27">
        <v>0</v>
      </c>
      <c r="N15" s="26">
        <v>0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6">
        <f>SUM(O15:S15)</f>
        <v>0</v>
      </c>
      <c r="U15" s="28">
        <f>T15+N15+I15+D19</f>
        <v>598</v>
      </c>
      <c r="V15" s="27">
        <v>0</v>
      </c>
      <c r="W15" s="27">
        <v>0</v>
      </c>
      <c r="X15" s="27">
        <v>0</v>
      </c>
      <c r="Y15" s="27">
        <v>0</v>
      </c>
      <c r="Z15" s="26">
        <v>0</v>
      </c>
      <c r="AA15" s="27">
        <v>0</v>
      </c>
      <c r="AB15" s="27">
        <v>0</v>
      </c>
      <c r="AC15" s="27">
        <v>0</v>
      </c>
      <c r="AD15" s="27">
        <v>0</v>
      </c>
      <c r="AE15" s="26">
        <v>0</v>
      </c>
      <c r="AF15" s="27">
        <v>0</v>
      </c>
      <c r="AG15" s="27">
        <v>0</v>
      </c>
      <c r="AH15" s="27">
        <v>0</v>
      </c>
      <c r="AI15" s="27">
        <v>0</v>
      </c>
      <c r="AJ15" s="27">
        <v>0</v>
      </c>
      <c r="AK15" s="26">
        <f>SUM(AF15:AJ15)</f>
        <v>0</v>
      </c>
      <c r="AL15" s="28">
        <f>AK15+AE15+Z15</f>
        <v>0</v>
      </c>
      <c r="AM15" s="15">
        <v>64</v>
      </c>
      <c r="AN15" s="13">
        <f t="shared" si="0"/>
        <v>38272</v>
      </c>
      <c r="AO15" s="13">
        <f t="shared" si="1"/>
        <v>0</v>
      </c>
    </row>
    <row r="16" spans="1:41" s="15" customFormat="1">
      <c r="A16" s="134"/>
      <c r="B16" s="12" t="s">
        <v>6</v>
      </c>
      <c r="C16" s="26"/>
      <c r="D16" s="26"/>
      <c r="E16" s="27">
        <v>0</v>
      </c>
      <c r="F16" s="27">
        <v>0</v>
      </c>
      <c r="G16" s="27">
        <v>0</v>
      </c>
      <c r="H16" s="27">
        <v>0</v>
      </c>
      <c r="I16" s="26">
        <v>0</v>
      </c>
      <c r="J16" s="27">
        <v>0</v>
      </c>
      <c r="K16" s="27">
        <v>0</v>
      </c>
      <c r="L16" s="27">
        <v>0</v>
      </c>
      <c r="M16" s="27">
        <v>0</v>
      </c>
      <c r="N16" s="26">
        <v>0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  <c r="T16" s="26">
        <f>SUM(O16:S16)</f>
        <v>0</v>
      </c>
      <c r="U16" s="28"/>
      <c r="V16" s="27">
        <v>0</v>
      </c>
      <c r="W16" s="27">
        <v>0</v>
      </c>
      <c r="X16" s="27">
        <v>0</v>
      </c>
      <c r="Y16" s="27">
        <v>0</v>
      </c>
      <c r="Z16" s="26">
        <v>0</v>
      </c>
      <c r="AA16" s="27">
        <v>0</v>
      </c>
      <c r="AB16" s="27">
        <v>0</v>
      </c>
      <c r="AC16" s="27">
        <v>0</v>
      </c>
      <c r="AD16" s="27">
        <v>0</v>
      </c>
      <c r="AE16" s="26">
        <v>0</v>
      </c>
      <c r="AF16" s="27">
        <v>0</v>
      </c>
      <c r="AG16" s="27">
        <v>0</v>
      </c>
      <c r="AH16" s="27">
        <v>0</v>
      </c>
      <c r="AI16" s="27">
        <v>0</v>
      </c>
      <c r="AJ16" s="27">
        <v>0</v>
      </c>
      <c r="AK16" s="26">
        <f>SUM(AF16:AJ16)</f>
        <v>0</v>
      </c>
      <c r="AL16" s="28"/>
      <c r="AN16" s="13">
        <f t="shared" si="0"/>
        <v>0</v>
      </c>
      <c r="AO16" s="13">
        <f t="shared" si="1"/>
        <v>0</v>
      </c>
    </row>
    <row r="17" spans="1:41" s="15" customFormat="1">
      <c r="A17" s="134"/>
      <c r="B17" s="12" t="s">
        <v>10</v>
      </c>
      <c r="C17" s="26">
        <v>0</v>
      </c>
      <c r="D17" s="26"/>
      <c r="E17" s="27">
        <v>0</v>
      </c>
      <c r="F17" s="27">
        <v>0</v>
      </c>
      <c r="G17" s="27">
        <v>0</v>
      </c>
      <c r="H17" s="27">
        <v>0</v>
      </c>
      <c r="I17" s="26">
        <v>0</v>
      </c>
      <c r="J17" s="27">
        <v>0</v>
      </c>
      <c r="K17" s="27">
        <v>0</v>
      </c>
      <c r="L17" s="27">
        <v>0</v>
      </c>
      <c r="M17" s="27">
        <v>0</v>
      </c>
      <c r="N17" s="26">
        <v>0</v>
      </c>
      <c r="O17" s="27">
        <v>0</v>
      </c>
      <c r="P17" s="27">
        <v>0</v>
      </c>
      <c r="Q17" s="27">
        <v>0</v>
      </c>
      <c r="R17" s="27">
        <v>0</v>
      </c>
      <c r="S17" s="27">
        <v>0</v>
      </c>
      <c r="T17" s="26">
        <f>SUM(O17:R17)</f>
        <v>0</v>
      </c>
      <c r="U17" s="28">
        <f>I17+N17+T17</f>
        <v>0</v>
      </c>
      <c r="V17" s="27">
        <v>0</v>
      </c>
      <c r="W17" s="27">
        <v>0</v>
      </c>
      <c r="X17" s="27">
        <v>0</v>
      </c>
      <c r="Y17" s="27">
        <v>0</v>
      </c>
      <c r="Z17" s="26">
        <v>0</v>
      </c>
      <c r="AA17" s="27">
        <v>0</v>
      </c>
      <c r="AB17" s="27">
        <v>0</v>
      </c>
      <c r="AC17" s="27">
        <v>0</v>
      </c>
      <c r="AD17" s="27">
        <v>0</v>
      </c>
      <c r="AE17" s="26">
        <v>0</v>
      </c>
      <c r="AF17" s="27">
        <v>0</v>
      </c>
      <c r="AG17" s="27">
        <v>0</v>
      </c>
      <c r="AH17" s="27">
        <v>0</v>
      </c>
      <c r="AI17" s="27">
        <v>0</v>
      </c>
      <c r="AJ17" s="27">
        <v>0</v>
      </c>
      <c r="AK17" s="26">
        <f>SUM(AF17:AI17)</f>
        <v>0</v>
      </c>
      <c r="AL17" s="28">
        <f>Z17+AE17+AK17</f>
        <v>0</v>
      </c>
      <c r="AN17" s="13">
        <f t="shared" si="0"/>
        <v>0</v>
      </c>
      <c r="AO17" s="13">
        <f t="shared" si="1"/>
        <v>0</v>
      </c>
    </row>
    <row r="18" spans="1:41" s="15" customFormat="1">
      <c r="A18" s="134"/>
      <c r="B18" s="12" t="s">
        <v>7</v>
      </c>
      <c r="C18" s="26"/>
      <c r="D18" s="26"/>
      <c r="E18" s="32">
        <v>0</v>
      </c>
      <c r="F18" s="27">
        <v>0</v>
      </c>
      <c r="G18" s="27">
        <v>0</v>
      </c>
      <c r="H18" s="27">
        <v>0</v>
      </c>
      <c r="I18" s="26">
        <v>0</v>
      </c>
      <c r="J18" s="32">
        <v>0</v>
      </c>
      <c r="K18" s="27">
        <v>0</v>
      </c>
      <c r="L18" s="27">
        <v>0</v>
      </c>
      <c r="M18" s="27">
        <v>0</v>
      </c>
      <c r="N18" s="26">
        <v>0</v>
      </c>
      <c r="O18" s="32">
        <v>0</v>
      </c>
      <c r="P18" s="27">
        <v>0</v>
      </c>
      <c r="Q18" s="27">
        <v>0</v>
      </c>
      <c r="R18" s="27">
        <v>0</v>
      </c>
      <c r="S18" s="27">
        <v>0</v>
      </c>
      <c r="T18" s="26">
        <f>SUM(O18:S18)</f>
        <v>0</v>
      </c>
      <c r="U18" s="28">
        <f>T18+N18+I18+D19</f>
        <v>598</v>
      </c>
      <c r="V18" s="32">
        <v>0</v>
      </c>
      <c r="W18" s="27">
        <v>0</v>
      </c>
      <c r="X18" s="27">
        <v>0</v>
      </c>
      <c r="Y18" s="27">
        <v>0</v>
      </c>
      <c r="Z18" s="26">
        <v>0</v>
      </c>
      <c r="AA18" s="32">
        <v>0</v>
      </c>
      <c r="AB18" s="27">
        <v>0</v>
      </c>
      <c r="AC18" s="27">
        <v>0</v>
      </c>
      <c r="AD18" s="27">
        <v>0</v>
      </c>
      <c r="AE18" s="26">
        <v>0</v>
      </c>
      <c r="AF18" s="32">
        <v>0</v>
      </c>
      <c r="AG18" s="27">
        <v>0</v>
      </c>
      <c r="AH18" s="27">
        <v>0</v>
      </c>
      <c r="AI18" s="27">
        <v>0</v>
      </c>
      <c r="AJ18" s="27">
        <v>0</v>
      </c>
      <c r="AK18" s="26">
        <f>SUM(AF18:AJ18)</f>
        <v>0</v>
      </c>
      <c r="AL18" s="28">
        <f>AK18+AE18+Z18</f>
        <v>0</v>
      </c>
      <c r="AN18" s="13">
        <f t="shared" si="0"/>
        <v>0</v>
      </c>
      <c r="AO18" s="13">
        <f t="shared" si="1"/>
        <v>0</v>
      </c>
    </row>
    <row r="19" spans="1:41" s="15" customFormat="1" ht="17" thickBot="1">
      <c r="A19" s="135"/>
      <c r="B19" s="4" t="s">
        <v>8</v>
      </c>
      <c r="C19" s="26">
        <v>0</v>
      </c>
      <c r="D19" s="37">
        <v>598</v>
      </c>
      <c r="E19" s="21">
        <v>0</v>
      </c>
      <c r="F19" s="21">
        <v>0</v>
      </c>
      <c r="G19" s="21">
        <v>0</v>
      </c>
      <c r="H19" s="21">
        <v>0</v>
      </c>
      <c r="I19" s="20">
        <v>0</v>
      </c>
      <c r="J19" s="21">
        <v>0</v>
      </c>
      <c r="K19" s="21">
        <v>0</v>
      </c>
      <c r="L19" s="21">
        <v>0</v>
      </c>
      <c r="M19" s="21">
        <v>0</v>
      </c>
      <c r="N19" s="20">
        <v>0</v>
      </c>
      <c r="O19" s="21">
        <v>0</v>
      </c>
      <c r="P19" s="21">
        <v>0</v>
      </c>
      <c r="Q19" s="21">
        <v>0</v>
      </c>
      <c r="R19" s="21">
        <v>0</v>
      </c>
      <c r="S19" s="21">
        <v>0</v>
      </c>
      <c r="T19" s="20">
        <f>N19+T18-T15</f>
        <v>0</v>
      </c>
      <c r="U19" s="22">
        <f>U18-U15</f>
        <v>0</v>
      </c>
      <c r="V19" s="21">
        <v>0</v>
      </c>
      <c r="W19" s="21">
        <v>0</v>
      </c>
      <c r="X19" s="21">
        <v>0</v>
      </c>
      <c r="Y19" s="21">
        <v>0</v>
      </c>
      <c r="Z19" s="20">
        <v>0</v>
      </c>
      <c r="AA19" s="21">
        <v>0</v>
      </c>
      <c r="AB19" s="21">
        <v>0</v>
      </c>
      <c r="AC19" s="21">
        <v>0</v>
      </c>
      <c r="AD19" s="21">
        <v>0</v>
      </c>
      <c r="AE19" s="20">
        <v>0</v>
      </c>
      <c r="AF19" s="21">
        <v>0</v>
      </c>
      <c r="AG19" s="21">
        <v>0</v>
      </c>
      <c r="AH19" s="21">
        <v>0</v>
      </c>
      <c r="AI19" s="21">
        <v>0</v>
      </c>
      <c r="AJ19" s="21">
        <v>0</v>
      </c>
      <c r="AK19" s="20">
        <f>AE19+AK18-AK15</f>
        <v>0</v>
      </c>
      <c r="AL19" s="22">
        <f>T19+AL18-AL15</f>
        <v>0</v>
      </c>
      <c r="AN19" s="13">
        <f t="shared" si="0"/>
        <v>0</v>
      </c>
      <c r="AO19" s="13">
        <f t="shared" si="1"/>
        <v>0</v>
      </c>
    </row>
    <row r="20" spans="1:41" s="15" customFormat="1" ht="17" thickBot="1">
      <c r="A20" s="46"/>
      <c r="B20" s="12" t="s">
        <v>9</v>
      </c>
      <c r="C20" s="26"/>
      <c r="D20" s="26"/>
      <c r="E20" s="19" t="e">
        <v>#DIV/0!</v>
      </c>
      <c r="F20" s="19" t="e">
        <v>#DIV/0!</v>
      </c>
      <c r="G20" s="19" t="e">
        <v>#DIV/0!</v>
      </c>
      <c r="H20" s="19" t="e">
        <v>#DIV/0!</v>
      </c>
      <c r="I20" s="23"/>
      <c r="J20" s="19" t="e">
        <v>#DIV/0!</v>
      </c>
      <c r="K20" s="19" t="e">
        <v>#DIV/0!</v>
      </c>
      <c r="L20" s="19" t="e">
        <v>#DIV/0!</v>
      </c>
      <c r="M20" s="19" t="e">
        <v>#DIV/0!</v>
      </c>
      <c r="N20" s="23"/>
      <c r="O20" s="19" t="e">
        <v>#DIV/0!</v>
      </c>
      <c r="P20" s="19">
        <v>0</v>
      </c>
      <c r="Q20" s="19" t="e">
        <v>#DIV/0!</v>
      </c>
      <c r="R20" s="19" t="e">
        <v>#DIV/0!</v>
      </c>
      <c r="S20" s="19" t="e">
        <v>#REF!</v>
      </c>
      <c r="T20" s="23"/>
      <c r="U20" s="24"/>
      <c r="V20" s="19" t="e">
        <v>#DIV/0!</v>
      </c>
      <c r="W20" s="19" t="e">
        <v>#DIV/0!</v>
      </c>
      <c r="X20" s="19" t="e">
        <v>#DIV/0!</v>
      </c>
      <c r="Y20" s="19" t="e">
        <v>#DIV/0!</v>
      </c>
      <c r="Z20" s="23"/>
      <c r="AA20" s="19" t="e">
        <v>#DIV/0!</v>
      </c>
      <c r="AB20" s="19" t="e">
        <v>#DIV/0!</v>
      </c>
      <c r="AC20" s="19" t="e">
        <v>#DIV/0!</v>
      </c>
      <c r="AD20" s="19" t="e">
        <v>#DIV/0!</v>
      </c>
      <c r="AE20" s="23"/>
      <c r="AF20" s="19" t="e">
        <v>#DIV/0!</v>
      </c>
      <c r="AG20" s="19" t="e">
        <v>#DIV/0!</v>
      </c>
      <c r="AH20" s="19" t="e">
        <v>#DIV/0!</v>
      </c>
      <c r="AI20" s="19" t="e">
        <v>#DIV/0!</v>
      </c>
      <c r="AJ20" s="19" t="e">
        <v>#REF!</v>
      </c>
      <c r="AK20" s="23"/>
      <c r="AL20" s="24"/>
      <c r="AN20" s="13">
        <f t="shared" si="0"/>
        <v>0</v>
      </c>
      <c r="AO20" s="13">
        <f t="shared" si="1"/>
        <v>0</v>
      </c>
    </row>
    <row r="21" spans="1:41" s="15" customFormat="1">
      <c r="A21" s="133" t="s">
        <v>19</v>
      </c>
      <c r="B21" s="3" t="s">
        <v>5</v>
      </c>
      <c r="C21" s="26"/>
      <c r="D21" s="26"/>
      <c r="E21" s="27">
        <v>0</v>
      </c>
      <c r="F21" s="27">
        <v>332750</v>
      </c>
      <c r="G21" s="27">
        <v>120000</v>
      </c>
      <c r="H21" s="27">
        <v>112000</v>
      </c>
      <c r="I21" s="26">
        <v>564750</v>
      </c>
      <c r="J21" s="27">
        <v>19750</v>
      </c>
      <c r="K21" s="27">
        <v>38125</v>
      </c>
      <c r="L21" s="27">
        <v>22556</v>
      </c>
      <c r="M21" s="27">
        <v>2879</v>
      </c>
      <c r="N21" s="26">
        <v>83310</v>
      </c>
      <c r="O21" s="27">
        <v>69398</v>
      </c>
      <c r="P21" s="27">
        <v>23204</v>
      </c>
      <c r="Q21" s="27">
        <v>3861</v>
      </c>
      <c r="R21" s="27">
        <v>31084</v>
      </c>
      <c r="S21" s="27">
        <v>0</v>
      </c>
      <c r="T21" s="26">
        <f>SUM(O21:S21)</f>
        <v>127547</v>
      </c>
      <c r="U21" s="28">
        <f>T21+N21+I21+D25</f>
        <v>933441</v>
      </c>
      <c r="V21" s="27">
        <v>83507</v>
      </c>
      <c r="W21" s="27">
        <v>0</v>
      </c>
      <c r="X21" s="27">
        <v>3598</v>
      </c>
      <c r="Y21" s="27">
        <v>1511</v>
      </c>
      <c r="Z21" s="26">
        <v>88616</v>
      </c>
      <c r="AA21" s="27">
        <v>569</v>
      </c>
      <c r="AB21" s="27">
        <v>2266</v>
      </c>
      <c r="AC21" s="27">
        <v>3146</v>
      </c>
      <c r="AD21" s="27">
        <v>3506</v>
      </c>
      <c r="AE21" s="26">
        <v>9487</v>
      </c>
      <c r="AF21" s="27">
        <v>0</v>
      </c>
      <c r="AG21" s="27">
        <v>608</v>
      </c>
      <c r="AH21" s="27">
        <v>0</v>
      </c>
      <c r="AI21" s="27">
        <v>0</v>
      </c>
      <c r="AJ21" s="27">
        <v>0</v>
      </c>
      <c r="AK21" s="26">
        <f>SUM(AF21:AJ21)</f>
        <v>608</v>
      </c>
      <c r="AL21" s="28">
        <f>AK21+AE21+Z21</f>
        <v>98711</v>
      </c>
      <c r="AM21" s="15">
        <v>64</v>
      </c>
      <c r="AN21" s="13">
        <f t="shared" si="0"/>
        <v>59740224</v>
      </c>
      <c r="AO21" s="13">
        <f t="shared" si="1"/>
        <v>6317504</v>
      </c>
    </row>
    <row r="22" spans="1:41" s="15" customFormat="1">
      <c r="A22" s="134"/>
      <c r="B22" s="12" t="s">
        <v>6</v>
      </c>
      <c r="C22" s="26"/>
      <c r="D22" s="26"/>
      <c r="E22" s="27">
        <v>0</v>
      </c>
      <c r="F22" s="27">
        <v>332750</v>
      </c>
      <c r="G22" s="27">
        <v>120000</v>
      </c>
      <c r="H22" s="27">
        <v>112000</v>
      </c>
      <c r="I22" s="26">
        <v>564750</v>
      </c>
      <c r="J22" s="27">
        <v>19750</v>
      </c>
      <c r="K22" s="27">
        <v>38125</v>
      </c>
      <c r="L22" s="27">
        <v>0</v>
      </c>
      <c r="M22" s="27">
        <v>55000</v>
      </c>
      <c r="N22" s="26">
        <v>112875</v>
      </c>
      <c r="O22" s="27">
        <v>0</v>
      </c>
      <c r="P22" s="27">
        <v>30000</v>
      </c>
      <c r="Q22" s="27">
        <v>30000</v>
      </c>
      <c r="R22" s="27">
        <v>40000</v>
      </c>
      <c r="S22" s="27">
        <v>40000</v>
      </c>
      <c r="T22" s="26">
        <f>SUM(O22:S22)</f>
        <v>140000</v>
      </c>
      <c r="U22" s="28"/>
      <c r="V22" s="27">
        <v>50000</v>
      </c>
      <c r="W22" s="27">
        <v>0</v>
      </c>
      <c r="X22" s="27">
        <v>0</v>
      </c>
      <c r="Y22" s="27">
        <v>15000</v>
      </c>
      <c r="Z22" s="26">
        <v>65000</v>
      </c>
      <c r="AA22" s="27">
        <v>0</v>
      </c>
      <c r="AB22" s="27">
        <v>0</v>
      </c>
      <c r="AC22" s="27">
        <v>0</v>
      </c>
      <c r="AD22" s="27">
        <v>0</v>
      </c>
      <c r="AE22" s="26">
        <v>0</v>
      </c>
      <c r="AF22" s="27">
        <v>0</v>
      </c>
      <c r="AG22" s="27">
        <v>0</v>
      </c>
      <c r="AH22" s="27">
        <v>0</v>
      </c>
      <c r="AI22" s="27">
        <v>0</v>
      </c>
      <c r="AJ22" s="27">
        <v>0</v>
      </c>
      <c r="AK22" s="26">
        <f>SUM(AF22:AJ22)</f>
        <v>0</v>
      </c>
      <c r="AL22" s="28"/>
      <c r="AN22" s="13">
        <f t="shared" si="0"/>
        <v>0</v>
      </c>
      <c r="AO22" s="13">
        <f t="shared" si="1"/>
        <v>0</v>
      </c>
    </row>
    <row r="23" spans="1:41" s="15" customFormat="1">
      <c r="A23" s="134"/>
      <c r="B23" s="12" t="s">
        <v>10</v>
      </c>
      <c r="C23" s="26">
        <v>9750</v>
      </c>
      <c r="D23" s="26"/>
      <c r="E23" s="27">
        <v>0</v>
      </c>
      <c r="F23" s="27">
        <v>0</v>
      </c>
      <c r="G23" s="27">
        <v>0</v>
      </c>
      <c r="H23" s="27">
        <v>0</v>
      </c>
      <c r="I23" s="26">
        <v>0</v>
      </c>
      <c r="J23" s="27">
        <v>0</v>
      </c>
      <c r="K23" s="27">
        <v>0</v>
      </c>
      <c r="L23" s="27">
        <v>0</v>
      </c>
      <c r="M23" s="27">
        <v>9750</v>
      </c>
      <c r="N23" s="26">
        <v>9750</v>
      </c>
      <c r="O23" s="27">
        <v>0</v>
      </c>
      <c r="P23" s="27">
        <v>0</v>
      </c>
      <c r="Q23" s="27">
        <v>0</v>
      </c>
      <c r="R23" s="27">
        <v>0</v>
      </c>
      <c r="S23" s="27">
        <v>0</v>
      </c>
      <c r="T23" s="26">
        <f>SUM(O23:R23)</f>
        <v>0</v>
      </c>
      <c r="U23" s="28">
        <f>I23+N23+T23</f>
        <v>9750</v>
      </c>
      <c r="V23" s="27">
        <v>0</v>
      </c>
      <c r="W23" s="27">
        <v>0</v>
      </c>
      <c r="X23" s="27">
        <v>0</v>
      </c>
      <c r="Y23" s="27">
        <v>0</v>
      </c>
      <c r="Z23" s="26">
        <v>0</v>
      </c>
      <c r="AA23" s="27">
        <v>0</v>
      </c>
      <c r="AB23" s="27">
        <v>0</v>
      </c>
      <c r="AC23" s="27">
        <v>0</v>
      </c>
      <c r="AD23" s="27">
        <v>0</v>
      </c>
      <c r="AE23" s="26">
        <v>0</v>
      </c>
      <c r="AF23" s="27">
        <v>0</v>
      </c>
      <c r="AG23" s="27">
        <v>0</v>
      </c>
      <c r="AH23" s="27">
        <v>0</v>
      </c>
      <c r="AI23" s="27">
        <v>0</v>
      </c>
      <c r="AJ23" s="27">
        <v>0</v>
      </c>
      <c r="AK23" s="26">
        <f>SUM(AF23:AI23)</f>
        <v>0</v>
      </c>
      <c r="AL23" s="28">
        <f>Z23+AE23+AK23</f>
        <v>0</v>
      </c>
      <c r="AN23" s="13">
        <f t="shared" si="0"/>
        <v>0</v>
      </c>
      <c r="AO23" s="13">
        <f t="shared" si="1"/>
        <v>0</v>
      </c>
    </row>
    <row r="24" spans="1:41" s="15" customFormat="1">
      <c r="A24" s="134"/>
      <c r="B24" s="12" t="s">
        <v>7</v>
      </c>
      <c r="C24" s="26"/>
      <c r="D24" s="26"/>
      <c r="E24" s="32">
        <v>0</v>
      </c>
      <c r="F24" s="27">
        <v>332750</v>
      </c>
      <c r="G24" s="27">
        <v>120000</v>
      </c>
      <c r="H24" s="27">
        <v>112000</v>
      </c>
      <c r="I24" s="26">
        <v>564750</v>
      </c>
      <c r="J24" s="32">
        <v>19750</v>
      </c>
      <c r="K24" s="27">
        <v>38125</v>
      </c>
      <c r="L24" s="27">
        <v>0</v>
      </c>
      <c r="M24" s="27">
        <v>64750</v>
      </c>
      <c r="N24" s="26">
        <v>122625</v>
      </c>
      <c r="O24" s="32">
        <v>0</v>
      </c>
      <c r="P24" s="27">
        <v>30000</v>
      </c>
      <c r="Q24" s="27">
        <v>30000</v>
      </c>
      <c r="R24" s="27">
        <v>40000</v>
      </c>
      <c r="S24" s="27">
        <v>40000</v>
      </c>
      <c r="T24" s="26">
        <f>SUM(O24:S24)</f>
        <v>140000</v>
      </c>
      <c r="U24" s="28">
        <f>T24+N24+I24+D25</f>
        <v>985209</v>
      </c>
      <c r="V24" s="32">
        <v>50000</v>
      </c>
      <c r="W24" s="27">
        <v>0</v>
      </c>
      <c r="X24" s="27">
        <v>0</v>
      </c>
      <c r="Y24" s="27">
        <v>15000</v>
      </c>
      <c r="Z24" s="26">
        <v>116768</v>
      </c>
      <c r="AA24" s="32">
        <v>0</v>
      </c>
      <c r="AB24" s="27">
        <v>0</v>
      </c>
      <c r="AC24" s="27">
        <v>0</v>
      </c>
      <c r="AD24" s="27">
        <v>0</v>
      </c>
      <c r="AE24" s="26">
        <v>0</v>
      </c>
      <c r="AF24" s="32">
        <v>0</v>
      </c>
      <c r="AG24" s="27">
        <v>0</v>
      </c>
      <c r="AH24" s="27">
        <v>0</v>
      </c>
      <c r="AI24" s="27">
        <v>0</v>
      </c>
      <c r="AJ24" s="27">
        <v>0</v>
      </c>
      <c r="AK24" s="26">
        <f>SUM(AF24:AJ24)</f>
        <v>0</v>
      </c>
      <c r="AL24" s="28">
        <f>AK24+AE24+Z24</f>
        <v>116768</v>
      </c>
      <c r="AN24" s="13">
        <f t="shared" si="0"/>
        <v>0</v>
      </c>
      <c r="AO24" s="13">
        <f t="shared" si="1"/>
        <v>0</v>
      </c>
    </row>
    <row r="25" spans="1:41" s="15" customFormat="1" ht="17" thickBot="1">
      <c r="A25" s="135"/>
      <c r="B25" s="4" t="s">
        <v>8</v>
      </c>
      <c r="C25" s="26">
        <v>98139</v>
      </c>
      <c r="D25" s="37">
        <v>157834</v>
      </c>
      <c r="E25" s="21">
        <v>0</v>
      </c>
      <c r="F25" s="21">
        <v>0</v>
      </c>
      <c r="G25" s="21">
        <v>0</v>
      </c>
      <c r="H25" s="21">
        <v>0</v>
      </c>
      <c r="I25" s="20">
        <v>0</v>
      </c>
      <c r="J25" s="21">
        <v>0</v>
      </c>
      <c r="K25" s="21">
        <v>0</v>
      </c>
      <c r="L25" s="21">
        <v>-22556</v>
      </c>
      <c r="M25" s="21">
        <v>39315</v>
      </c>
      <c r="N25" s="20">
        <v>39315</v>
      </c>
      <c r="O25" s="21">
        <v>-30083</v>
      </c>
      <c r="P25" s="21">
        <v>-23287</v>
      </c>
      <c r="Q25" s="21">
        <v>2852</v>
      </c>
      <c r="R25" s="21">
        <v>11768</v>
      </c>
      <c r="S25" s="21">
        <v>51768</v>
      </c>
      <c r="T25" s="20">
        <f>N25+T24-T21</f>
        <v>51768</v>
      </c>
      <c r="U25" s="22">
        <f>U24-U21</f>
        <v>51768</v>
      </c>
      <c r="V25" s="21">
        <v>18261</v>
      </c>
      <c r="W25" s="21">
        <v>18261</v>
      </c>
      <c r="X25" s="21">
        <v>14663</v>
      </c>
      <c r="Y25" s="21">
        <v>28152</v>
      </c>
      <c r="Z25" s="20">
        <v>28152</v>
      </c>
      <c r="AA25" s="21">
        <v>27583</v>
      </c>
      <c r="AB25" s="21">
        <v>25317</v>
      </c>
      <c r="AC25" s="21">
        <v>22171</v>
      </c>
      <c r="AD25" s="21">
        <v>18665</v>
      </c>
      <c r="AE25" s="20">
        <v>18665</v>
      </c>
      <c r="AF25" s="21">
        <v>18665</v>
      </c>
      <c r="AG25" s="21">
        <v>18057</v>
      </c>
      <c r="AH25" s="21">
        <v>18057</v>
      </c>
      <c r="AI25" s="21">
        <v>18057</v>
      </c>
      <c r="AJ25" s="21">
        <v>18057</v>
      </c>
      <c r="AK25" s="20">
        <f>AE25+AK24-AK21</f>
        <v>18057</v>
      </c>
      <c r="AL25" s="22">
        <f>T25+AL24-AL21</f>
        <v>69825</v>
      </c>
      <c r="AN25" s="13">
        <f t="shared" ref="AN25:AN74" si="2">U25*AM25</f>
        <v>0</v>
      </c>
      <c r="AO25" s="13">
        <f t="shared" si="1"/>
        <v>0</v>
      </c>
    </row>
    <row r="26" spans="1:41" s="15" customFormat="1" ht="17" thickBot="1">
      <c r="A26" s="46"/>
      <c r="B26" s="12" t="s">
        <v>9</v>
      </c>
      <c r="C26" s="26"/>
      <c r="D26" s="26"/>
      <c r="E26" s="19">
        <v>0</v>
      </c>
      <c r="F26" s="19">
        <v>0</v>
      </c>
      <c r="G26" s="19">
        <v>0</v>
      </c>
      <c r="H26" s="19">
        <v>0</v>
      </c>
      <c r="I26" s="23"/>
      <c r="J26" s="19">
        <v>0</v>
      </c>
      <c r="K26" s="19">
        <v>0</v>
      </c>
      <c r="L26" s="19">
        <v>-4541.0803084294657</v>
      </c>
      <c r="M26" s="19">
        <v>6164.7863140646186</v>
      </c>
      <c r="N26" s="23"/>
      <c r="O26" s="19">
        <v>-10346.867529966123</v>
      </c>
      <c r="P26" s="19">
        <v>-480.94458201584899</v>
      </c>
      <c r="Q26" s="19">
        <v>1835.0276669669283</v>
      </c>
      <c r="R26" s="19" t="e">
        <v>#DIV/0!</v>
      </c>
      <c r="S26" s="19" t="e">
        <v>#REF!</v>
      </c>
      <c r="T26" s="23"/>
      <c r="U26" s="24"/>
      <c r="V26" s="19">
        <v>3896.7191251000268</v>
      </c>
      <c r="W26" s="19">
        <v>3804.7316935962745</v>
      </c>
      <c r="X26" s="19">
        <v>3253.8528964683164</v>
      </c>
      <c r="Y26" s="19">
        <v>6353.7058770425201</v>
      </c>
      <c r="Z26" s="23"/>
      <c r="AA26" s="19">
        <v>29973.376799782665</v>
      </c>
      <c r="AB26" s="19">
        <v>30234.668895921659</v>
      </c>
      <c r="AC26" s="19">
        <v>34127.607173093202</v>
      </c>
      <c r="AD26" s="19">
        <v>39348.582270475381</v>
      </c>
      <c r="AE26" s="23"/>
      <c r="AF26" s="19">
        <v>613980.26315789483</v>
      </c>
      <c r="AG26" s="19">
        <v>3658.5588232314535</v>
      </c>
      <c r="AH26" s="19" t="e">
        <v>#DIV/0!</v>
      </c>
      <c r="AI26" s="19" t="e">
        <v>#DIV/0!</v>
      </c>
      <c r="AJ26" s="19" t="e">
        <v>#REF!</v>
      </c>
      <c r="AK26" s="23"/>
      <c r="AL26" s="24"/>
      <c r="AN26" s="13">
        <f t="shared" si="2"/>
        <v>0</v>
      </c>
      <c r="AO26" s="13">
        <f t="shared" ref="AO26:AO74" si="3">AL26*AM26</f>
        <v>0</v>
      </c>
    </row>
    <row r="27" spans="1:41" s="15" customFormat="1">
      <c r="A27" s="133" t="s">
        <v>28</v>
      </c>
      <c r="B27" s="3" t="s">
        <v>5</v>
      </c>
      <c r="C27" s="26"/>
      <c r="D27" s="26"/>
      <c r="E27" s="27">
        <v>0</v>
      </c>
      <c r="F27" s="27">
        <v>35144</v>
      </c>
      <c r="G27" s="27">
        <v>4000</v>
      </c>
      <c r="H27" s="27">
        <v>0</v>
      </c>
      <c r="I27" s="26">
        <v>39144</v>
      </c>
      <c r="J27" s="27">
        <v>5000</v>
      </c>
      <c r="K27" s="27">
        <v>0</v>
      </c>
      <c r="L27" s="27">
        <v>35356</v>
      </c>
      <c r="M27" s="27">
        <v>941</v>
      </c>
      <c r="N27" s="26">
        <v>41297</v>
      </c>
      <c r="O27" s="27">
        <v>4260</v>
      </c>
      <c r="P27" s="27">
        <v>24254</v>
      </c>
      <c r="Q27" s="27">
        <v>2173</v>
      </c>
      <c r="R27" s="27">
        <v>13977</v>
      </c>
      <c r="S27" s="27">
        <v>0</v>
      </c>
      <c r="T27" s="26">
        <f>SUM(O27:S27)</f>
        <v>44664</v>
      </c>
      <c r="U27" s="28">
        <f>T27+N27+I27+D31</f>
        <v>140173</v>
      </c>
      <c r="V27" s="27">
        <v>5800</v>
      </c>
      <c r="W27" s="27">
        <v>382</v>
      </c>
      <c r="X27" s="27">
        <v>499</v>
      </c>
      <c r="Y27" s="27">
        <v>278</v>
      </c>
      <c r="Z27" s="26">
        <v>6959</v>
      </c>
      <c r="AA27" s="27">
        <v>2794</v>
      </c>
      <c r="AB27" s="27">
        <v>1012</v>
      </c>
      <c r="AC27" s="27">
        <v>193</v>
      </c>
      <c r="AD27" s="27">
        <v>184</v>
      </c>
      <c r="AE27" s="26">
        <v>4183</v>
      </c>
      <c r="AF27" s="27">
        <v>146</v>
      </c>
      <c r="AG27" s="27">
        <v>475</v>
      </c>
      <c r="AH27" s="27">
        <v>0</v>
      </c>
      <c r="AI27" s="27">
        <v>0</v>
      </c>
      <c r="AJ27" s="27">
        <v>0</v>
      </c>
      <c r="AK27" s="26">
        <f>SUM(AF27:AJ27)</f>
        <v>621</v>
      </c>
      <c r="AL27" s="28">
        <f>AK27+AE27+Z27</f>
        <v>11763</v>
      </c>
      <c r="AM27" s="15">
        <v>64</v>
      </c>
      <c r="AN27" s="13">
        <f t="shared" si="2"/>
        <v>8971072</v>
      </c>
      <c r="AO27" s="13">
        <f t="shared" si="3"/>
        <v>752832</v>
      </c>
    </row>
    <row r="28" spans="1:41" s="15" customFormat="1">
      <c r="A28" s="134"/>
      <c r="B28" s="12" t="s">
        <v>6</v>
      </c>
      <c r="C28" s="26"/>
      <c r="D28" s="26"/>
      <c r="E28" s="27">
        <v>0</v>
      </c>
      <c r="F28" s="27">
        <v>35144</v>
      </c>
      <c r="G28" s="27">
        <v>4000</v>
      </c>
      <c r="H28" s="27">
        <v>0</v>
      </c>
      <c r="I28" s="26">
        <v>39144</v>
      </c>
      <c r="J28" s="27">
        <v>5000</v>
      </c>
      <c r="K28" s="27">
        <v>0</v>
      </c>
      <c r="L28" s="27">
        <v>0</v>
      </c>
      <c r="M28" s="27">
        <v>10000</v>
      </c>
      <c r="N28" s="26">
        <v>15000</v>
      </c>
      <c r="O28" s="27">
        <v>3000</v>
      </c>
      <c r="P28" s="27">
        <v>0</v>
      </c>
      <c r="Q28" s="27">
        <v>5000</v>
      </c>
      <c r="R28" s="27">
        <v>5000</v>
      </c>
      <c r="S28" s="27">
        <v>5000</v>
      </c>
      <c r="T28" s="26">
        <f>SUM(O28:S28)</f>
        <v>18000</v>
      </c>
      <c r="U28" s="28"/>
      <c r="V28" s="27">
        <v>5000</v>
      </c>
      <c r="W28" s="27">
        <v>0</v>
      </c>
      <c r="X28" s="27">
        <v>0</v>
      </c>
      <c r="Y28" s="27">
        <v>0</v>
      </c>
      <c r="Z28" s="26">
        <v>5000</v>
      </c>
      <c r="AA28" s="27">
        <v>0</v>
      </c>
      <c r="AB28" s="27">
        <v>0</v>
      </c>
      <c r="AC28" s="27">
        <v>0</v>
      </c>
      <c r="AD28" s="27">
        <v>0</v>
      </c>
      <c r="AE28" s="26">
        <v>0</v>
      </c>
      <c r="AF28" s="27">
        <v>0</v>
      </c>
      <c r="AG28" s="27">
        <v>0</v>
      </c>
      <c r="AH28" s="27">
        <v>0</v>
      </c>
      <c r="AI28" s="27">
        <v>0</v>
      </c>
      <c r="AJ28" s="27">
        <v>0</v>
      </c>
      <c r="AK28" s="26">
        <f>SUM(AF28:AJ28)</f>
        <v>0</v>
      </c>
      <c r="AL28" s="28"/>
      <c r="AN28" s="13">
        <f t="shared" si="2"/>
        <v>0</v>
      </c>
      <c r="AO28" s="13">
        <f t="shared" si="3"/>
        <v>0</v>
      </c>
    </row>
    <row r="29" spans="1:41" s="15" customFormat="1">
      <c r="A29" s="134"/>
      <c r="B29" s="12" t="s">
        <v>10</v>
      </c>
      <c r="C29" s="26">
        <v>0</v>
      </c>
      <c r="D29" s="26"/>
      <c r="E29" s="27">
        <v>0</v>
      </c>
      <c r="F29" s="27">
        <v>0</v>
      </c>
      <c r="G29" s="27">
        <v>0</v>
      </c>
      <c r="H29" s="27">
        <v>0</v>
      </c>
      <c r="I29" s="26">
        <v>0</v>
      </c>
      <c r="J29" s="27">
        <v>0</v>
      </c>
      <c r="K29" s="27">
        <v>0</v>
      </c>
      <c r="L29" s="27">
        <v>0</v>
      </c>
      <c r="M29" s="27">
        <v>0</v>
      </c>
      <c r="N29" s="26">
        <v>0</v>
      </c>
      <c r="O29" s="27">
        <v>0</v>
      </c>
      <c r="P29" s="27">
        <v>0</v>
      </c>
      <c r="Q29" s="27">
        <v>0</v>
      </c>
      <c r="R29" s="27">
        <v>0</v>
      </c>
      <c r="S29" s="27">
        <v>0</v>
      </c>
      <c r="T29" s="26">
        <f>SUM(O29:R29)</f>
        <v>0</v>
      </c>
      <c r="U29" s="28">
        <f>I29+N29+T29</f>
        <v>0</v>
      </c>
      <c r="V29" s="27">
        <v>0</v>
      </c>
      <c r="W29" s="27">
        <v>0</v>
      </c>
      <c r="X29" s="27">
        <v>0</v>
      </c>
      <c r="Y29" s="27">
        <v>0</v>
      </c>
      <c r="Z29" s="26">
        <v>0</v>
      </c>
      <c r="AA29" s="27">
        <v>0</v>
      </c>
      <c r="AB29" s="27">
        <v>0</v>
      </c>
      <c r="AC29" s="27">
        <v>0</v>
      </c>
      <c r="AD29" s="27">
        <v>0</v>
      </c>
      <c r="AE29" s="26">
        <v>0</v>
      </c>
      <c r="AF29" s="27">
        <v>0</v>
      </c>
      <c r="AG29" s="27">
        <v>0</v>
      </c>
      <c r="AH29" s="27">
        <v>0</v>
      </c>
      <c r="AI29" s="27">
        <v>0</v>
      </c>
      <c r="AJ29" s="27">
        <v>0</v>
      </c>
      <c r="AK29" s="26">
        <f>SUM(AF29:AI29)</f>
        <v>0</v>
      </c>
      <c r="AL29" s="28">
        <f>Z29+AE29+AK29</f>
        <v>0</v>
      </c>
      <c r="AN29" s="13">
        <f t="shared" si="2"/>
        <v>0</v>
      </c>
      <c r="AO29" s="13">
        <f t="shared" si="3"/>
        <v>0</v>
      </c>
    </row>
    <row r="30" spans="1:41" s="15" customFormat="1">
      <c r="A30" s="134"/>
      <c r="B30" s="12" t="s">
        <v>7</v>
      </c>
      <c r="C30" s="26"/>
      <c r="D30" s="26"/>
      <c r="E30" s="32">
        <v>0</v>
      </c>
      <c r="F30" s="27">
        <v>35144</v>
      </c>
      <c r="G30" s="27">
        <v>4000</v>
      </c>
      <c r="H30" s="27">
        <v>0</v>
      </c>
      <c r="I30" s="26">
        <v>39144</v>
      </c>
      <c r="J30" s="32">
        <v>5000</v>
      </c>
      <c r="K30" s="27">
        <v>0</v>
      </c>
      <c r="L30" s="27">
        <v>0</v>
      </c>
      <c r="M30" s="27">
        <v>10000</v>
      </c>
      <c r="N30" s="26">
        <v>15000</v>
      </c>
      <c r="O30" s="32">
        <v>3000</v>
      </c>
      <c r="P30" s="27">
        <v>0</v>
      </c>
      <c r="Q30" s="27">
        <v>5000</v>
      </c>
      <c r="R30" s="27">
        <v>5000</v>
      </c>
      <c r="S30" s="27">
        <v>5000</v>
      </c>
      <c r="T30" s="26">
        <f>SUM(O30:S30)</f>
        <v>18000</v>
      </c>
      <c r="U30" s="28">
        <f>T30+N30+I30+D31</f>
        <v>87212</v>
      </c>
      <c r="V30" s="32">
        <v>5000</v>
      </c>
      <c r="W30" s="27">
        <v>0</v>
      </c>
      <c r="X30" s="27">
        <v>0</v>
      </c>
      <c r="Y30" s="27">
        <v>0</v>
      </c>
      <c r="Z30" s="26">
        <v>-47961</v>
      </c>
      <c r="AA30" s="32">
        <v>0</v>
      </c>
      <c r="AB30" s="27">
        <v>0</v>
      </c>
      <c r="AC30" s="27">
        <v>0</v>
      </c>
      <c r="AD30" s="27">
        <v>0</v>
      </c>
      <c r="AE30" s="26">
        <v>0</v>
      </c>
      <c r="AF30" s="32">
        <v>0</v>
      </c>
      <c r="AG30" s="27">
        <v>0</v>
      </c>
      <c r="AH30" s="27">
        <v>0</v>
      </c>
      <c r="AI30" s="27">
        <v>0</v>
      </c>
      <c r="AJ30" s="27">
        <v>0</v>
      </c>
      <c r="AK30" s="26">
        <f>SUM(AF30:AJ30)</f>
        <v>0</v>
      </c>
      <c r="AL30" s="28">
        <f>AK30+AE30+Z30</f>
        <v>-47961</v>
      </c>
      <c r="AN30" s="13">
        <f t="shared" si="2"/>
        <v>0</v>
      </c>
      <c r="AO30" s="13">
        <f t="shared" si="3"/>
        <v>0</v>
      </c>
    </row>
    <row r="31" spans="1:41" s="15" customFormat="1" ht="17" thickBot="1">
      <c r="A31" s="135"/>
      <c r="B31" s="4" t="s">
        <v>8</v>
      </c>
      <c r="C31" s="26">
        <v>2463</v>
      </c>
      <c r="D31" s="37">
        <v>15068</v>
      </c>
      <c r="E31" s="21">
        <v>0</v>
      </c>
      <c r="F31" s="21">
        <v>0</v>
      </c>
      <c r="G31" s="21">
        <v>0</v>
      </c>
      <c r="H31" s="21">
        <v>0</v>
      </c>
      <c r="I31" s="20">
        <v>0</v>
      </c>
      <c r="J31" s="21">
        <v>0</v>
      </c>
      <c r="K31" s="21">
        <v>0</v>
      </c>
      <c r="L31" s="21">
        <v>-35356</v>
      </c>
      <c r="M31" s="21">
        <v>-26297</v>
      </c>
      <c r="N31" s="20">
        <v>-26297</v>
      </c>
      <c r="O31" s="21">
        <v>-27557</v>
      </c>
      <c r="P31" s="21">
        <v>-51811</v>
      </c>
      <c r="Q31" s="21">
        <v>-48984</v>
      </c>
      <c r="R31" s="21">
        <v>-57961</v>
      </c>
      <c r="S31" s="21">
        <v>-52961</v>
      </c>
      <c r="T31" s="20">
        <f>N31+T30-T27</f>
        <v>-52961</v>
      </c>
      <c r="U31" s="22">
        <f>U30-U27</f>
        <v>-52961</v>
      </c>
      <c r="V31" s="21">
        <v>-53761</v>
      </c>
      <c r="W31" s="21">
        <v>-54143</v>
      </c>
      <c r="X31" s="21">
        <v>-54642</v>
      </c>
      <c r="Y31" s="21">
        <v>-54920</v>
      </c>
      <c r="Z31" s="20">
        <v>-54920</v>
      </c>
      <c r="AA31" s="21">
        <v>-57714</v>
      </c>
      <c r="AB31" s="21">
        <v>-58726</v>
      </c>
      <c r="AC31" s="21">
        <v>-58919</v>
      </c>
      <c r="AD31" s="21">
        <v>-59103</v>
      </c>
      <c r="AE31" s="20">
        <v>-59103</v>
      </c>
      <c r="AF31" s="21">
        <v>-59249</v>
      </c>
      <c r="AG31" s="21">
        <v>-59724</v>
      </c>
      <c r="AH31" s="21">
        <v>-59724</v>
      </c>
      <c r="AI31" s="21">
        <v>-59724</v>
      </c>
      <c r="AJ31" s="21">
        <v>-59724</v>
      </c>
      <c r="AK31" s="20">
        <f>AE31+AK30-AK27</f>
        <v>-59724</v>
      </c>
      <c r="AL31" s="22">
        <f>T31+AL30-AL27</f>
        <v>-112685</v>
      </c>
      <c r="AN31" s="13">
        <f t="shared" si="2"/>
        <v>0</v>
      </c>
      <c r="AO31" s="13">
        <f t="shared" si="3"/>
        <v>0</v>
      </c>
    </row>
    <row r="32" spans="1:41" s="15" customFormat="1" ht="17" thickBot="1">
      <c r="A32" s="46"/>
      <c r="B32" s="12" t="s">
        <v>9</v>
      </c>
      <c r="C32" s="26"/>
      <c r="D32" s="26"/>
      <c r="E32" s="19">
        <v>0</v>
      </c>
      <c r="F32" s="19">
        <v>0</v>
      </c>
      <c r="G32" s="19">
        <v>0</v>
      </c>
      <c r="H32" s="19">
        <v>0</v>
      </c>
      <c r="I32" s="23"/>
      <c r="J32" s="19">
        <v>0</v>
      </c>
      <c r="K32" s="19">
        <v>0</v>
      </c>
      <c r="L32" s="19">
        <v>-22357.404831162261</v>
      </c>
      <c r="M32" s="19">
        <v>-11775.479133082574</v>
      </c>
      <c r="N32" s="23"/>
      <c r="O32" s="19">
        <v>-13640.728640728641</v>
      </c>
      <c r="P32" s="19">
        <v>-6628.7110661898769</v>
      </c>
      <c r="Q32" s="19">
        <v>-70092.294483794802</v>
      </c>
      <c r="R32" s="19" t="e">
        <v>#DIV/0!</v>
      </c>
      <c r="S32" s="19" t="e">
        <v>#REF!</v>
      </c>
      <c r="T32" s="23"/>
      <c r="U32" s="24"/>
      <c r="V32" s="19">
        <v>-132448.87903424489</v>
      </c>
      <c r="W32" s="19">
        <v>-123783.72199359855</v>
      </c>
      <c r="X32" s="19">
        <v>-151007.32347657869</v>
      </c>
      <c r="Y32" s="19">
        <v>-157838.7699382095</v>
      </c>
      <c r="Z32" s="23"/>
      <c r="AA32" s="19">
        <v>-207157.2146446518</v>
      </c>
      <c r="AB32" s="19">
        <v>-233271.1022840119</v>
      </c>
      <c r="AC32" s="19">
        <v>-269837.41699106939</v>
      </c>
      <c r="AD32" s="19">
        <v>-282586.66029165668</v>
      </c>
      <c r="AE32" s="23"/>
      <c r="AF32" s="19">
        <v>-2494694.7368421052</v>
      </c>
      <c r="AG32" s="19">
        <v>-101545.52410099465</v>
      </c>
      <c r="AH32" s="19" t="e">
        <v>#DIV/0!</v>
      </c>
      <c r="AI32" s="19" t="e">
        <v>#DIV/0!</v>
      </c>
      <c r="AJ32" s="19" t="e">
        <v>#REF!</v>
      </c>
      <c r="AK32" s="23"/>
      <c r="AL32" s="24"/>
      <c r="AN32" s="13">
        <f t="shared" si="2"/>
        <v>0</v>
      </c>
      <c r="AO32" s="13">
        <f t="shared" si="3"/>
        <v>0</v>
      </c>
    </row>
    <row r="33" spans="1:41" s="15" customFormat="1">
      <c r="A33" s="133" t="s">
        <v>31</v>
      </c>
      <c r="B33" s="3" t="s">
        <v>5</v>
      </c>
      <c r="C33" s="26"/>
      <c r="D33" s="26"/>
      <c r="E33" s="27">
        <v>0</v>
      </c>
      <c r="F33" s="27">
        <v>3745</v>
      </c>
      <c r="G33" s="27">
        <v>50125</v>
      </c>
      <c r="H33" s="27">
        <v>24400</v>
      </c>
      <c r="I33" s="26">
        <v>78270</v>
      </c>
      <c r="J33" s="27">
        <v>25125</v>
      </c>
      <c r="K33" s="27">
        <v>32875</v>
      </c>
      <c r="L33" s="27">
        <v>81307</v>
      </c>
      <c r="M33" s="27">
        <v>9121</v>
      </c>
      <c r="N33" s="26">
        <v>148428</v>
      </c>
      <c r="O33" s="27">
        <v>12447</v>
      </c>
      <c r="P33" s="27">
        <v>89993</v>
      </c>
      <c r="Q33" s="27">
        <v>25400</v>
      </c>
      <c r="R33" s="27">
        <v>44183</v>
      </c>
      <c r="S33" s="27">
        <v>0</v>
      </c>
      <c r="T33" s="26">
        <f>SUM(O33:S33)</f>
        <v>172023</v>
      </c>
      <c r="U33" s="28">
        <f>T33+N33+I33+D37</f>
        <v>462242</v>
      </c>
      <c r="V33" s="27">
        <v>47052</v>
      </c>
      <c r="W33" s="27">
        <v>8401</v>
      </c>
      <c r="X33" s="27">
        <v>8044</v>
      </c>
      <c r="Y33" s="27">
        <v>7175</v>
      </c>
      <c r="Z33" s="26">
        <v>70672</v>
      </c>
      <c r="AA33" s="27">
        <v>14761</v>
      </c>
      <c r="AB33" s="27">
        <v>22759</v>
      </c>
      <c r="AC33" s="27">
        <v>11438</v>
      </c>
      <c r="AD33" s="27">
        <v>12678</v>
      </c>
      <c r="AE33" s="26">
        <v>61636</v>
      </c>
      <c r="AF33" s="27">
        <v>4875</v>
      </c>
      <c r="AG33" s="27">
        <v>3406</v>
      </c>
      <c r="AH33" s="27">
        <v>16</v>
      </c>
      <c r="AI33" s="27">
        <v>1967</v>
      </c>
      <c r="AJ33" s="27">
        <v>13</v>
      </c>
      <c r="AK33" s="26">
        <f>SUM(AF33:AJ33)</f>
        <v>10277</v>
      </c>
      <c r="AL33" s="28">
        <f>AK33+AE33+Z33</f>
        <v>142585</v>
      </c>
      <c r="AM33" s="15">
        <v>64</v>
      </c>
      <c r="AN33" s="13">
        <f t="shared" si="2"/>
        <v>29583488</v>
      </c>
      <c r="AO33" s="13">
        <f t="shared" si="3"/>
        <v>9125440</v>
      </c>
    </row>
    <row r="34" spans="1:41" s="15" customFormat="1">
      <c r="A34" s="134"/>
      <c r="B34" s="12" t="s">
        <v>6</v>
      </c>
      <c r="C34" s="26"/>
      <c r="D34" s="26"/>
      <c r="E34" s="27">
        <v>0</v>
      </c>
      <c r="F34" s="27">
        <v>3745</v>
      </c>
      <c r="G34" s="27">
        <v>50125</v>
      </c>
      <c r="H34" s="27">
        <v>24400</v>
      </c>
      <c r="I34" s="26">
        <v>78270</v>
      </c>
      <c r="J34" s="27">
        <v>25125</v>
      </c>
      <c r="K34" s="27">
        <v>32875</v>
      </c>
      <c r="L34" s="27">
        <v>0</v>
      </c>
      <c r="M34" s="27">
        <v>115000</v>
      </c>
      <c r="N34" s="26">
        <v>173000</v>
      </c>
      <c r="O34" s="27">
        <v>5000</v>
      </c>
      <c r="P34" s="27">
        <v>40000</v>
      </c>
      <c r="Q34" s="27">
        <v>40000</v>
      </c>
      <c r="R34" s="27">
        <v>60000</v>
      </c>
      <c r="S34" s="27">
        <v>40000</v>
      </c>
      <c r="T34" s="26">
        <f>SUM(O34:S34)</f>
        <v>185000</v>
      </c>
      <c r="U34" s="28"/>
      <c r="V34" s="27">
        <v>100000</v>
      </c>
      <c r="W34" s="27">
        <v>60000</v>
      </c>
      <c r="X34" s="27">
        <v>0</v>
      </c>
      <c r="Y34" s="27">
        <v>0</v>
      </c>
      <c r="Z34" s="26">
        <v>160000</v>
      </c>
      <c r="AA34" s="27">
        <v>0</v>
      </c>
      <c r="AB34" s="27">
        <v>0</v>
      </c>
      <c r="AC34" s="27">
        <v>0</v>
      </c>
      <c r="AD34" s="27">
        <v>0</v>
      </c>
      <c r="AE34" s="26">
        <v>0</v>
      </c>
      <c r="AF34" s="27">
        <v>0</v>
      </c>
      <c r="AG34" s="27">
        <v>0</v>
      </c>
      <c r="AH34" s="27">
        <v>0</v>
      </c>
      <c r="AI34" s="27">
        <v>0</v>
      </c>
      <c r="AJ34" s="27">
        <v>0</v>
      </c>
      <c r="AK34" s="26">
        <f>SUM(AF34:AJ34)</f>
        <v>0</v>
      </c>
      <c r="AL34" s="28"/>
      <c r="AN34" s="13">
        <f t="shared" si="2"/>
        <v>0</v>
      </c>
      <c r="AO34" s="13">
        <f t="shared" si="3"/>
        <v>0</v>
      </c>
    </row>
    <row r="35" spans="1:41" s="15" customFormat="1">
      <c r="A35" s="134"/>
      <c r="B35" s="12" t="s">
        <v>10</v>
      </c>
      <c r="C35" s="26">
        <v>0</v>
      </c>
      <c r="D35" s="26"/>
      <c r="E35" s="27">
        <v>0</v>
      </c>
      <c r="F35" s="27">
        <v>0</v>
      </c>
      <c r="G35" s="27">
        <v>0</v>
      </c>
      <c r="H35" s="27">
        <v>0</v>
      </c>
      <c r="I35" s="26">
        <v>0</v>
      </c>
      <c r="J35" s="27">
        <v>0</v>
      </c>
      <c r="K35" s="27">
        <v>0</v>
      </c>
      <c r="L35" s="27">
        <v>0</v>
      </c>
      <c r="M35" s="27">
        <v>0</v>
      </c>
      <c r="N35" s="26">
        <v>0</v>
      </c>
      <c r="O35" s="27">
        <v>0</v>
      </c>
      <c r="P35" s="27">
        <v>0</v>
      </c>
      <c r="Q35" s="27">
        <v>0</v>
      </c>
      <c r="R35" s="27">
        <v>0</v>
      </c>
      <c r="S35" s="27">
        <v>0</v>
      </c>
      <c r="T35" s="26">
        <f>SUM(O35:R35)</f>
        <v>0</v>
      </c>
      <c r="U35" s="28">
        <f>I35+N35+T35</f>
        <v>0</v>
      </c>
      <c r="V35" s="27">
        <v>0</v>
      </c>
      <c r="W35" s="27">
        <v>0</v>
      </c>
      <c r="X35" s="27">
        <v>0</v>
      </c>
      <c r="Y35" s="27">
        <v>0</v>
      </c>
      <c r="Z35" s="26">
        <v>0</v>
      </c>
      <c r="AA35" s="27">
        <v>0</v>
      </c>
      <c r="AB35" s="27">
        <v>0</v>
      </c>
      <c r="AC35" s="27">
        <v>0</v>
      </c>
      <c r="AD35" s="27">
        <v>0</v>
      </c>
      <c r="AE35" s="26">
        <v>0</v>
      </c>
      <c r="AF35" s="27">
        <v>0</v>
      </c>
      <c r="AG35" s="27">
        <v>0</v>
      </c>
      <c r="AH35" s="27">
        <v>0</v>
      </c>
      <c r="AI35" s="27">
        <v>0</v>
      </c>
      <c r="AJ35" s="27">
        <v>0</v>
      </c>
      <c r="AK35" s="26">
        <f>SUM(AF35:AI35)</f>
        <v>0</v>
      </c>
      <c r="AL35" s="28">
        <f>Z35+AE35+AK35</f>
        <v>0</v>
      </c>
      <c r="AN35" s="13">
        <f t="shared" si="2"/>
        <v>0</v>
      </c>
      <c r="AO35" s="13">
        <f t="shared" si="3"/>
        <v>0</v>
      </c>
    </row>
    <row r="36" spans="1:41" s="15" customFormat="1">
      <c r="A36" s="134"/>
      <c r="B36" s="12" t="s">
        <v>7</v>
      </c>
      <c r="C36" s="26"/>
      <c r="D36" s="26"/>
      <c r="E36" s="32">
        <v>0</v>
      </c>
      <c r="F36" s="27">
        <v>3745</v>
      </c>
      <c r="G36" s="27">
        <v>50125</v>
      </c>
      <c r="H36" s="27">
        <v>24400</v>
      </c>
      <c r="I36" s="26">
        <v>78270</v>
      </c>
      <c r="J36" s="32">
        <v>25125</v>
      </c>
      <c r="K36" s="27">
        <v>32875</v>
      </c>
      <c r="L36" s="27">
        <v>0</v>
      </c>
      <c r="M36" s="27">
        <v>115000</v>
      </c>
      <c r="N36" s="26">
        <v>173000</v>
      </c>
      <c r="O36" s="32">
        <v>5000</v>
      </c>
      <c r="P36" s="27">
        <v>40000</v>
      </c>
      <c r="Q36" s="27">
        <v>40000</v>
      </c>
      <c r="R36" s="27">
        <v>60000</v>
      </c>
      <c r="S36" s="27">
        <v>40000</v>
      </c>
      <c r="T36" s="26">
        <f>SUM(O36:S36)</f>
        <v>185000</v>
      </c>
      <c r="U36" s="28">
        <f>T36+N36+I36+D37</f>
        <v>499791</v>
      </c>
      <c r="V36" s="32">
        <v>100000</v>
      </c>
      <c r="W36" s="27">
        <v>60000</v>
      </c>
      <c r="X36" s="27">
        <v>0</v>
      </c>
      <c r="Y36" s="27">
        <v>0</v>
      </c>
      <c r="Z36" s="26">
        <v>197549</v>
      </c>
      <c r="AA36" s="32">
        <v>0</v>
      </c>
      <c r="AB36" s="27">
        <v>0</v>
      </c>
      <c r="AC36" s="27">
        <v>0</v>
      </c>
      <c r="AD36" s="27">
        <v>0</v>
      </c>
      <c r="AE36" s="26">
        <v>0</v>
      </c>
      <c r="AF36" s="32">
        <v>0</v>
      </c>
      <c r="AG36" s="27">
        <v>0</v>
      </c>
      <c r="AH36" s="27">
        <v>0</v>
      </c>
      <c r="AI36" s="27">
        <v>0</v>
      </c>
      <c r="AJ36" s="27">
        <v>0</v>
      </c>
      <c r="AK36" s="26">
        <f>SUM(AF36:AJ36)</f>
        <v>0</v>
      </c>
      <c r="AL36" s="28">
        <f>AK36+AE36+Z36</f>
        <v>197549</v>
      </c>
      <c r="AN36" s="13">
        <f t="shared" si="2"/>
        <v>0</v>
      </c>
      <c r="AO36" s="13">
        <f t="shared" si="3"/>
        <v>0</v>
      </c>
    </row>
    <row r="37" spans="1:41" s="15" customFormat="1" ht="17" thickBot="1">
      <c r="A37" s="135"/>
      <c r="B37" s="4" t="s">
        <v>8</v>
      </c>
      <c r="C37" s="26">
        <v>55116</v>
      </c>
      <c r="D37" s="37">
        <v>63521</v>
      </c>
      <c r="E37" s="21">
        <v>0</v>
      </c>
      <c r="F37" s="21">
        <v>0</v>
      </c>
      <c r="G37" s="21">
        <v>0</v>
      </c>
      <c r="H37" s="21">
        <v>0</v>
      </c>
      <c r="I37" s="20">
        <v>0</v>
      </c>
      <c r="J37" s="21">
        <v>0</v>
      </c>
      <c r="K37" s="21">
        <v>0</v>
      </c>
      <c r="L37" s="21">
        <v>-81307</v>
      </c>
      <c r="M37" s="21">
        <v>24572</v>
      </c>
      <c r="N37" s="20">
        <v>24572</v>
      </c>
      <c r="O37" s="21">
        <v>17125</v>
      </c>
      <c r="P37" s="21">
        <v>-32868</v>
      </c>
      <c r="Q37" s="21">
        <v>-18268</v>
      </c>
      <c r="R37" s="21">
        <v>-2451</v>
      </c>
      <c r="S37" s="21">
        <v>37549</v>
      </c>
      <c r="T37" s="20">
        <f>N37+T36-T33</f>
        <v>37549</v>
      </c>
      <c r="U37" s="22">
        <f>U36-U33</f>
        <v>37549</v>
      </c>
      <c r="V37" s="21">
        <v>90497</v>
      </c>
      <c r="W37" s="21">
        <v>142096</v>
      </c>
      <c r="X37" s="21">
        <v>134052</v>
      </c>
      <c r="Y37" s="21">
        <v>126877</v>
      </c>
      <c r="Z37" s="20">
        <v>126877</v>
      </c>
      <c r="AA37" s="21">
        <v>112116</v>
      </c>
      <c r="AB37" s="21">
        <v>89357</v>
      </c>
      <c r="AC37" s="21">
        <v>77919</v>
      </c>
      <c r="AD37" s="21">
        <v>65241</v>
      </c>
      <c r="AE37" s="20">
        <v>65241</v>
      </c>
      <c r="AF37" s="21">
        <v>60366</v>
      </c>
      <c r="AG37" s="21">
        <v>56960</v>
      </c>
      <c r="AH37" s="21">
        <v>56944</v>
      </c>
      <c r="AI37" s="21">
        <v>54977</v>
      </c>
      <c r="AJ37" s="21">
        <v>54964</v>
      </c>
      <c r="AK37" s="20">
        <f>AE37+AK36-AK33</f>
        <v>54964</v>
      </c>
      <c r="AL37" s="22">
        <f>T37+AL36-AL33</f>
        <v>92513</v>
      </c>
      <c r="AN37" s="13">
        <f t="shared" si="2"/>
        <v>0</v>
      </c>
      <c r="AO37" s="13">
        <f t="shared" si="3"/>
        <v>0</v>
      </c>
    </row>
    <row r="38" spans="1:41" s="15" customFormat="1" ht="17" thickBot="1">
      <c r="A38" s="46"/>
      <c r="B38" s="12" t="s">
        <v>9</v>
      </c>
      <c r="C38" s="26"/>
      <c r="D38" s="26"/>
      <c r="E38" s="19">
        <v>0</v>
      </c>
      <c r="F38" s="19">
        <v>0</v>
      </c>
      <c r="G38" s="19">
        <v>0</v>
      </c>
      <c r="H38" s="19">
        <v>0</v>
      </c>
      <c r="I38" s="23"/>
      <c r="J38" s="19">
        <v>0</v>
      </c>
      <c r="K38" s="19">
        <v>0</v>
      </c>
      <c r="L38" s="19">
        <v>-11873.014945860501</v>
      </c>
      <c r="M38" s="19">
        <v>2856.8272847235544</v>
      </c>
      <c r="N38" s="23"/>
      <c r="O38" s="19">
        <v>2146.3127287311377</v>
      </c>
      <c r="P38" s="19">
        <v>-1236.045691721901</v>
      </c>
      <c r="Q38" s="19">
        <v>-8269.2438268112164</v>
      </c>
      <c r="R38" s="19" t="e">
        <v>#DIV/0!</v>
      </c>
      <c r="S38" s="19" t="e">
        <v>#REF!</v>
      </c>
      <c r="T38" s="23"/>
      <c r="U38" s="24"/>
      <c r="V38" s="19">
        <v>19195.053663089126</v>
      </c>
      <c r="W38" s="19">
        <v>26156.649792913024</v>
      </c>
      <c r="X38" s="19">
        <v>34439.862807815334</v>
      </c>
      <c r="Y38" s="19">
        <v>35905.875028299757</v>
      </c>
      <c r="Z38" s="23"/>
      <c r="AA38" s="19">
        <v>20664.448765562938</v>
      </c>
      <c r="AB38" s="19">
        <v>20044.639852845514</v>
      </c>
      <c r="AC38" s="19">
        <v>20970.207497914256</v>
      </c>
      <c r="AD38" s="19">
        <v>21169.77091310273</v>
      </c>
      <c r="AE38" s="23"/>
      <c r="AF38" s="19">
        <v>223495.00185116622</v>
      </c>
      <c r="AG38" s="19">
        <v>7879.3202426321577</v>
      </c>
      <c r="AH38" s="19">
        <v>575191.91919191915</v>
      </c>
      <c r="AI38" s="19">
        <v>84580000</v>
      </c>
      <c r="AJ38" s="19" t="e">
        <v>#REF!</v>
      </c>
      <c r="AK38" s="23"/>
      <c r="AL38" s="24"/>
      <c r="AN38" s="13">
        <f t="shared" si="2"/>
        <v>0</v>
      </c>
      <c r="AO38" s="13">
        <f t="shared" si="3"/>
        <v>0</v>
      </c>
    </row>
    <row r="39" spans="1:41" s="15" customFormat="1">
      <c r="A39" s="133" t="s">
        <v>20</v>
      </c>
      <c r="B39" s="3" t="s">
        <v>5</v>
      </c>
      <c r="C39" s="26"/>
      <c r="D39" s="26"/>
      <c r="E39" s="27">
        <v>0</v>
      </c>
      <c r="F39" s="27">
        <v>0</v>
      </c>
      <c r="G39" s="27">
        <v>0</v>
      </c>
      <c r="H39" s="27">
        <v>0</v>
      </c>
      <c r="I39" s="26">
        <v>0</v>
      </c>
      <c r="J39" s="27">
        <v>0</v>
      </c>
      <c r="K39" s="27">
        <v>0</v>
      </c>
      <c r="L39" s="27">
        <v>0</v>
      </c>
      <c r="M39" s="27">
        <v>0</v>
      </c>
      <c r="N39" s="26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6">
        <f>SUM(O39:S39)</f>
        <v>0</v>
      </c>
      <c r="U39" s="28">
        <f>T39+N39+I39+D43</f>
        <v>154</v>
      </c>
      <c r="V39" s="27">
        <v>0</v>
      </c>
      <c r="W39" s="27">
        <v>0</v>
      </c>
      <c r="X39" s="27">
        <v>0</v>
      </c>
      <c r="Y39" s="27">
        <v>0</v>
      </c>
      <c r="Z39" s="26">
        <v>0</v>
      </c>
      <c r="AA39" s="27">
        <v>0</v>
      </c>
      <c r="AB39" s="27">
        <v>0</v>
      </c>
      <c r="AC39" s="27">
        <v>0</v>
      </c>
      <c r="AD39" s="27">
        <v>0</v>
      </c>
      <c r="AE39" s="26">
        <v>0</v>
      </c>
      <c r="AF39" s="27">
        <v>0</v>
      </c>
      <c r="AG39" s="27">
        <v>0</v>
      </c>
      <c r="AH39" s="27">
        <v>0</v>
      </c>
      <c r="AI39" s="27">
        <v>0</v>
      </c>
      <c r="AJ39" s="27">
        <v>0</v>
      </c>
      <c r="AK39" s="26">
        <f>SUM(AF39:AJ39)</f>
        <v>0</v>
      </c>
      <c r="AL39" s="28">
        <f>AK39+AE39+Z39</f>
        <v>0</v>
      </c>
      <c r="AM39" s="15">
        <v>128</v>
      </c>
      <c r="AN39" s="13">
        <f t="shared" si="2"/>
        <v>19712</v>
      </c>
      <c r="AO39" s="13">
        <f t="shared" si="3"/>
        <v>0</v>
      </c>
    </row>
    <row r="40" spans="1:41" s="15" customFormat="1">
      <c r="A40" s="134"/>
      <c r="B40" s="12" t="s">
        <v>6</v>
      </c>
      <c r="C40" s="26"/>
      <c r="D40" s="26"/>
      <c r="E40" s="27">
        <v>0</v>
      </c>
      <c r="F40" s="27">
        <v>0</v>
      </c>
      <c r="G40" s="27">
        <v>0</v>
      </c>
      <c r="H40" s="27">
        <v>0</v>
      </c>
      <c r="I40" s="26">
        <v>0</v>
      </c>
      <c r="J40" s="27">
        <v>0</v>
      </c>
      <c r="K40" s="27">
        <v>0</v>
      </c>
      <c r="L40" s="27">
        <v>0</v>
      </c>
      <c r="M40" s="27">
        <v>0</v>
      </c>
      <c r="N40" s="26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6">
        <f>SUM(O40:S40)</f>
        <v>0</v>
      </c>
      <c r="U40" s="28"/>
      <c r="V40" s="27">
        <v>0</v>
      </c>
      <c r="W40" s="27">
        <v>0</v>
      </c>
      <c r="X40" s="27">
        <v>0</v>
      </c>
      <c r="Y40" s="27">
        <v>0</v>
      </c>
      <c r="Z40" s="26">
        <v>0</v>
      </c>
      <c r="AA40" s="27">
        <v>0</v>
      </c>
      <c r="AB40" s="27">
        <v>0</v>
      </c>
      <c r="AC40" s="27">
        <v>0</v>
      </c>
      <c r="AD40" s="27">
        <v>0</v>
      </c>
      <c r="AE40" s="26">
        <v>0</v>
      </c>
      <c r="AF40" s="27">
        <v>0</v>
      </c>
      <c r="AG40" s="27">
        <v>0</v>
      </c>
      <c r="AH40" s="27">
        <v>0</v>
      </c>
      <c r="AI40" s="27">
        <v>0</v>
      </c>
      <c r="AJ40" s="27">
        <v>0</v>
      </c>
      <c r="AK40" s="26">
        <f>SUM(AF40:AJ40)</f>
        <v>0</v>
      </c>
      <c r="AL40" s="28"/>
      <c r="AN40" s="13">
        <f t="shared" si="2"/>
        <v>0</v>
      </c>
      <c r="AO40" s="13">
        <f t="shared" si="3"/>
        <v>0</v>
      </c>
    </row>
    <row r="41" spans="1:41" s="15" customFormat="1">
      <c r="A41" s="134"/>
      <c r="B41" s="12" t="s">
        <v>10</v>
      </c>
      <c r="C41" s="26">
        <v>0</v>
      </c>
      <c r="D41" s="26"/>
      <c r="E41" s="27">
        <v>0</v>
      </c>
      <c r="F41" s="27">
        <v>0</v>
      </c>
      <c r="G41" s="27">
        <v>0</v>
      </c>
      <c r="H41" s="27">
        <v>0</v>
      </c>
      <c r="I41" s="26">
        <v>0</v>
      </c>
      <c r="J41" s="27">
        <v>0</v>
      </c>
      <c r="K41" s="27">
        <v>0</v>
      </c>
      <c r="L41" s="27">
        <v>0</v>
      </c>
      <c r="M41" s="27">
        <v>0</v>
      </c>
      <c r="N41" s="26">
        <v>0</v>
      </c>
      <c r="O41" s="27">
        <v>0</v>
      </c>
      <c r="P41" s="27">
        <v>0</v>
      </c>
      <c r="Q41" s="27">
        <v>0</v>
      </c>
      <c r="R41" s="27">
        <v>0</v>
      </c>
      <c r="S41" s="27">
        <v>0</v>
      </c>
      <c r="T41" s="26">
        <f>SUM(O41:R41)</f>
        <v>0</v>
      </c>
      <c r="U41" s="28">
        <f>I41+N41+T41</f>
        <v>0</v>
      </c>
      <c r="V41" s="27">
        <v>0</v>
      </c>
      <c r="W41" s="27">
        <v>0</v>
      </c>
      <c r="X41" s="27">
        <v>0</v>
      </c>
      <c r="Y41" s="27">
        <v>0</v>
      </c>
      <c r="Z41" s="26">
        <v>0</v>
      </c>
      <c r="AA41" s="27">
        <v>0</v>
      </c>
      <c r="AB41" s="27">
        <v>0</v>
      </c>
      <c r="AC41" s="27">
        <v>0</v>
      </c>
      <c r="AD41" s="27">
        <v>0</v>
      </c>
      <c r="AE41" s="26">
        <v>0</v>
      </c>
      <c r="AF41" s="27">
        <v>0</v>
      </c>
      <c r="AG41" s="27">
        <v>0</v>
      </c>
      <c r="AH41" s="27">
        <v>0</v>
      </c>
      <c r="AI41" s="27">
        <v>0</v>
      </c>
      <c r="AJ41" s="27">
        <v>0</v>
      </c>
      <c r="AK41" s="26">
        <f>SUM(AF41:AI41)</f>
        <v>0</v>
      </c>
      <c r="AL41" s="28">
        <f>Z41+AE41+AK41</f>
        <v>0</v>
      </c>
      <c r="AN41" s="13">
        <f t="shared" si="2"/>
        <v>0</v>
      </c>
      <c r="AO41" s="13">
        <f t="shared" si="3"/>
        <v>0</v>
      </c>
    </row>
    <row r="42" spans="1:41" s="15" customFormat="1">
      <c r="A42" s="134"/>
      <c r="B42" s="12" t="s">
        <v>7</v>
      </c>
      <c r="C42" s="26"/>
      <c r="D42" s="26"/>
      <c r="E42" s="32">
        <v>0</v>
      </c>
      <c r="F42" s="27">
        <v>0</v>
      </c>
      <c r="G42" s="27">
        <v>0</v>
      </c>
      <c r="H42" s="27">
        <v>0</v>
      </c>
      <c r="I42" s="26">
        <v>0</v>
      </c>
      <c r="J42" s="32">
        <v>0</v>
      </c>
      <c r="K42" s="27">
        <v>0</v>
      </c>
      <c r="L42" s="27">
        <v>0</v>
      </c>
      <c r="M42" s="27">
        <v>0</v>
      </c>
      <c r="N42" s="26">
        <v>0</v>
      </c>
      <c r="O42" s="32">
        <v>0</v>
      </c>
      <c r="P42" s="27">
        <v>0</v>
      </c>
      <c r="Q42" s="27">
        <v>0</v>
      </c>
      <c r="R42" s="27">
        <v>0</v>
      </c>
      <c r="S42" s="27">
        <v>0</v>
      </c>
      <c r="T42" s="26">
        <f>SUM(O42:S42)</f>
        <v>0</v>
      </c>
      <c r="U42" s="28">
        <f>T42+N42+I42+D43</f>
        <v>154</v>
      </c>
      <c r="V42" s="32">
        <v>0</v>
      </c>
      <c r="W42" s="27">
        <v>0</v>
      </c>
      <c r="X42" s="27">
        <v>0</v>
      </c>
      <c r="Y42" s="27">
        <v>0</v>
      </c>
      <c r="Z42" s="26">
        <v>0</v>
      </c>
      <c r="AA42" s="32">
        <v>0</v>
      </c>
      <c r="AB42" s="27">
        <v>0</v>
      </c>
      <c r="AC42" s="27">
        <v>0</v>
      </c>
      <c r="AD42" s="27">
        <v>0</v>
      </c>
      <c r="AE42" s="26">
        <v>0</v>
      </c>
      <c r="AF42" s="32">
        <v>0</v>
      </c>
      <c r="AG42" s="27">
        <v>0</v>
      </c>
      <c r="AH42" s="27">
        <v>0</v>
      </c>
      <c r="AI42" s="27">
        <v>0</v>
      </c>
      <c r="AJ42" s="27">
        <v>0</v>
      </c>
      <c r="AK42" s="26">
        <f>SUM(AF42:AJ42)</f>
        <v>0</v>
      </c>
      <c r="AL42" s="28">
        <f>AK42+AE42+Z42</f>
        <v>0</v>
      </c>
      <c r="AN42" s="13">
        <f t="shared" si="2"/>
        <v>0</v>
      </c>
      <c r="AO42" s="13">
        <f t="shared" si="3"/>
        <v>0</v>
      </c>
    </row>
    <row r="43" spans="1:41" s="15" customFormat="1" ht="17" thickBot="1">
      <c r="A43" s="135"/>
      <c r="B43" s="4" t="s">
        <v>8</v>
      </c>
      <c r="C43" s="26">
        <v>0</v>
      </c>
      <c r="D43" s="37">
        <v>154</v>
      </c>
      <c r="E43" s="21">
        <v>0</v>
      </c>
      <c r="F43" s="21">
        <v>0</v>
      </c>
      <c r="G43" s="21">
        <v>0</v>
      </c>
      <c r="H43" s="21">
        <v>0</v>
      </c>
      <c r="I43" s="20">
        <v>0</v>
      </c>
      <c r="J43" s="21">
        <v>0</v>
      </c>
      <c r="K43" s="21">
        <v>0</v>
      </c>
      <c r="L43" s="21">
        <v>0</v>
      </c>
      <c r="M43" s="21">
        <v>0</v>
      </c>
      <c r="N43" s="20">
        <v>0</v>
      </c>
      <c r="O43" s="21">
        <v>0</v>
      </c>
      <c r="P43" s="21">
        <v>0</v>
      </c>
      <c r="Q43" s="21">
        <v>0</v>
      </c>
      <c r="R43" s="21">
        <v>0</v>
      </c>
      <c r="S43" s="21">
        <v>0</v>
      </c>
      <c r="T43" s="20">
        <f>N43+T42-T39</f>
        <v>0</v>
      </c>
      <c r="U43" s="22">
        <f>U42-U39</f>
        <v>0</v>
      </c>
      <c r="V43" s="21">
        <v>0</v>
      </c>
      <c r="W43" s="21">
        <v>0</v>
      </c>
      <c r="X43" s="21">
        <v>0</v>
      </c>
      <c r="Y43" s="21">
        <v>0</v>
      </c>
      <c r="Z43" s="20">
        <v>0</v>
      </c>
      <c r="AA43" s="21">
        <v>0</v>
      </c>
      <c r="AB43" s="21">
        <v>0</v>
      </c>
      <c r="AC43" s="21">
        <v>0</v>
      </c>
      <c r="AD43" s="21">
        <v>0</v>
      </c>
      <c r="AE43" s="20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0">
        <f>AE43+AK42-AK39</f>
        <v>0</v>
      </c>
      <c r="AL43" s="22">
        <f>T43+AL42-AL39</f>
        <v>0</v>
      </c>
      <c r="AN43" s="13">
        <f t="shared" si="2"/>
        <v>0</v>
      </c>
      <c r="AO43" s="13">
        <f t="shared" si="3"/>
        <v>0</v>
      </c>
    </row>
    <row r="44" spans="1:41" s="15" customFormat="1" ht="17" thickBot="1">
      <c r="A44" s="46"/>
      <c r="B44" s="12" t="s">
        <v>9</v>
      </c>
      <c r="C44" s="26"/>
      <c r="D44" s="26"/>
      <c r="E44" s="19" t="e">
        <v>#DIV/0!</v>
      </c>
      <c r="F44" s="19" t="e">
        <v>#DIV/0!</v>
      </c>
      <c r="G44" s="19" t="e">
        <v>#DIV/0!</v>
      </c>
      <c r="H44" s="19" t="e">
        <v>#DIV/0!</v>
      </c>
      <c r="I44" s="23"/>
      <c r="J44" s="19" t="e">
        <v>#DIV/0!</v>
      </c>
      <c r="K44" s="19" t="e">
        <v>#DIV/0!</v>
      </c>
      <c r="L44" s="19" t="e">
        <v>#DIV/0!</v>
      </c>
      <c r="M44" s="19" t="e">
        <v>#DIV/0!</v>
      </c>
      <c r="N44" s="23"/>
      <c r="O44" s="19" t="e">
        <v>#DIV/0!</v>
      </c>
      <c r="P44" s="19">
        <v>0</v>
      </c>
      <c r="Q44" s="19" t="e">
        <v>#DIV/0!</v>
      </c>
      <c r="R44" s="19" t="e">
        <v>#DIV/0!</v>
      </c>
      <c r="S44" s="19" t="e">
        <v>#REF!</v>
      </c>
      <c r="T44" s="23"/>
      <c r="U44" s="24"/>
      <c r="V44" s="19" t="e">
        <v>#DIV/0!</v>
      </c>
      <c r="W44" s="19" t="e">
        <v>#DIV/0!</v>
      </c>
      <c r="X44" s="19" t="e">
        <v>#DIV/0!</v>
      </c>
      <c r="Y44" s="19" t="e">
        <v>#DIV/0!</v>
      </c>
      <c r="Z44" s="23"/>
      <c r="AA44" s="19" t="e">
        <v>#DIV/0!</v>
      </c>
      <c r="AB44" s="19" t="e">
        <v>#DIV/0!</v>
      </c>
      <c r="AC44" s="19" t="e">
        <v>#DIV/0!</v>
      </c>
      <c r="AD44" s="19" t="e">
        <v>#DIV/0!</v>
      </c>
      <c r="AE44" s="23"/>
      <c r="AF44" s="19" t="e">
        <v>#DIV/0!</v>
      </c>
      <c r="AG44" s="19" t="e">
        <v>#DIV/0!</v>
      </c>
      <c r="AH44" s="19" t="e">
        <v>#DIV/0!</v>
      </c>
      <c r="AI44" s="19" t="e">
        <v>#DIV/0!</v>
      </c>
      <c r="AJ44" s="19" t="e">
        <v>#REF!</v>
      </c>
      <c r="AK44" s="23"/>
      <c r="AL44" s="24"/>
      <c r="AN44" s="13">
        <f t="shared" si="2"/>
        <v>0</v>
      </c>
      <c r="AO44" s="13">
        <f t="shared" si="3"/>
        <v>0</v>
      </c>
    </row>
    <row r="45" spans="1:41" s="15" customFormat="1">
      <c r="A45" s="133" t="s">
        <v>21</v>
      </c>
      <c r="B45" s="3" t="s">
        <v>5</v>
      </c>
      <c r="C45" s="26"/>
      <c r="D45" s="26"/>
      <c r="E45" s="27">
        <v>0</v>
      </c>
      <c r="F45" s="27">
        <v>0</v>
      </c>
      <c r="G45" s="27">
        <v>0</v>
      </c>
      <c r="H45" s="27">
        <v>0</v>
      </c>
      <c r="I45" s="26">
        <v>0</v>
      </c>
      <c r="J45" s="27">
        <v>0</v>
      </c>
      <c r="K45" s="27">
        <v>0</v>
      </c>
      <c r="L45" s="27">
        <v>0</v>
      </c>
      <c r="M45" s="27">
        <v>0</v>
      </c>
      <c r="N45" s="26">
        <v>0</v>
      </c>
      <c r="O45" s="27">
        <v>0</v>
      </c>
      <c r="P45" s="27">
        <v>0</v>
      </c>
      <c r="Q45" s="27">
        <v>0</v>
      </c>
      <c r="R45" s="27">
        <v>0</v>
      </c>
      <c r="S45" s="27">
        <v>0</v>
      </c>
      <c r="T45" s="26">
        <f>SUM(O45:S45)</f>
        <v>0</v>
      </c>
      <c r="U45" s="28">
        <f>T45+N45+I45+D49</f>
        <v>557</v>
      </c>
      <c r="V45" s="27">
        <v>0</v>
      </c>
      <c r="W45" s="27">
        <v>0</v>
      </c>
      <c r="X45" s="27">
        <v>0</v>
      </c>
      <c r="Y45" s="27">
        <v>0</v>
      </c>
      <c r="Z45" s="26">
        <v>0</v>
      </c>
      <c r="AA45" s="27">
        <v>0</v>
      </c>
      <c r="AB45" s="27">
        <v>0</v>
      </c>
      <c r="AC45" s="27">
        <v>0</v>
      </c>
      <c r="AD45" s="27">
        <v>0</v>
      </c>
      <c r="AE45" s="26">
        <v>0</v>
      </c>
      <c r="AF45" s="27">
        <v>0</v>
      </c>
      <c r="AG45" s="27">
        <v>0</v>
      </c>
      <c r="AH45" s="27">
        <v>0</v>
      </c>
      <c r="AI45" s="27">
        <v>0</v>
      </c>
      <c r="AJ45" s="27">
        <v>0</v>
      </c>
      <c r="AK45" s="26">
        <f>SUM(AF45:AJ45)</f>
        <v>0</v>
      </c>
      <c r="AL45" s="28">
        <f>AK45+AE45+Z45</f>
        <v>0</v>
      </c>
      <c r="AM45" s="15">
        <v>128</v>
      </c>
      <c r="AN45" s="13">
        <f t="shared" si="2"/>
        <v>71296</v>
      </c>
      <c r="AO45" s="13">
        <f t="shared" si="3"/>
        <v>0</v>
      </c>
    </row>
    <row r="46" spans="1:41" s="15" customFormat="1">
      <c r="A46" s="134"/>
      <c r="B46" s="12" t="s">
        <v>6</v>
      </c>
      <c r="C46" s="26"/>
      <c r="D46" s="26"/>
      <c r="E46" s="27">
        <v>0</v>
      </c>
      <c r="F46" s="27">
        <v>0</v>
      </c>
      <c r="G46" s="27">
        <v>0</v>
      </c>
      <c r="H46" s="27">
        <v>0</v>
      </c>
      <c r="I46" s="26">
        <v>0</v>
      </c>
      <c r="J46" s="27">
        <v>0</v>
      </c>
      <c r="K46" s="27">
        <v>0</v>
      </c>
      <c r="L46" s="27">
        <v>0</v>
      </c>
      <c r="M46" s="27">
        <v>20</v>
      </c>
      <c r="N46" s="26">
        <v>20</v>
      </c>
      <c r="O46" s="27">
        <v>0</v>
      </c>
      <c r="P46" s="27">
        <v>0</v>
      </c>
      <c r="Q46" s="27">
        <v>0</v>
      </c>
      <c r="R46" s="27">
        <v>0</v>
      </c>
      <c r="S46" s="27">
        <v>0</v>
      </c>
      <c r="T46" s="26">
        <f>SUM(O46:S46)</f>
        <v>0</v>
      </c>
      <c r="U46" s="28"/>
      <c r="V46" s="27">
        <v>0</v>
      </c>
      <c r="W46" s="27">
        <v>0</v>
      </c>
      <c r="X46" s="27">
        <v>0</v>
      </c>
      <c r="Y46" s="27">
        <v>0</v>
      </c>
      <c r="Z46" s="26">
        <v>0</v>
      </c>
      <c r="AA46" s="27">
        <v>0</v>
      </c>
      <c r="AB46" s="27">
        <v>0</v>
      </c>
      <c r="AC46" s="27">
        <v>0</v>
      </c>
      <c r="AD46" s="27">
        <v>0</v>
      </c>
      <c r="AE46" s="26">
        <v>0</v>
      </c>
      <c r="AF46" s="27">
        <v>0</v>
      </c>
      <c r="AG46" s="27">
        <v>0</v>
      </c>
      <c r="AH46" s="27">
        <v>0</v>
      </c>
      <c r="AI46" s="27">
        <v>0</v>
      </c>
      <c r="AJ46" s="27">
        <v>0</v>
      </c>
      <c r="AK46" s="26">
        <f>SUM(AF46:AJ46)</f>
        <v>0</v>
      </c>
      <c r="AL46" s="28"/>
      <c r="AN46" s="13">
        <f t="shared" si="2"/>
        <v>0</v>
      </c>
      <c r="AO46" s="13">
        <f t="shared" si="3"/>
        <v>0</v>
      </c>
    </row>
    <row r="47" spans="1:41" s="15" customFormat="1">
      <c r="A47" s="134"/>
      <c r="B47" s="12" t="s">
        <v>10</v>
      </c>
      <c r="C47" s="26">
        <v>0</v>
      </c>
      <c r="D47" s="26"/>
      <c r="E47" s="27">
        <v>0</v>
      </c>
      <c r="F47" s="27">
        <v>0</v>
      </c>
      <c r="G47" s="27">
        <v>0</v>
      </c>
      <c r="H47" s="27">
        <v>0</v>
      </c>
      <c r="I47" s="26">
        <v>0</v>
      </c>
      <c r="J47" s="27">
        <v>0</v>
      </c>
      <c r="K47" s="27">
        <v>0</v>
      </c>
      <c r="L47" s="27">
        <v>0</v>
      </c>
      <c r="M47" s="27">
        <v>0</v>
      </c>
      <c r="N47" s="26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6">
        <f>SUM(O47:R47)</f>
        <v>0</v>
      </c>
      <c r="U47" s="28">
        <f>I47+N47+T47</f>
        <v>0</v>
      </c>
      <c r="V47" s="27">
        <v>0</v>
      </c>
      <c r="W47" s="27">
        <v>0</v>
      </c>
      <c r="X47" s="27">
        <v>0</v>
      </c>
      <c r="Y47" s="27">
        <v>0</v>
      </c>
      <c r="Z47" s="26">
        <v>0</v>
      </c>
      <c r="AA47" s="27">
        <v>0</v>
      </c>
      <c r="AB47" s="27">
        <v>0</v>
      </c>
      <c r="AC47" s="27">
        <v>0</v>
      </c>
      <c r="AD47" s="27">
        <v>0</v>
      </c>
      <c r="AE47" s="26">
        <v>0</v>
      </c>
      <c r="AF47" s="27">
        <v>0</v>
      </c>
      <c r="AG47" s="27">
        <v>0</v>
      </c>
      <c r="AH47" s="27">
        <v>0</v>
      </c>
      <c r="AI47" s="27">
        <v>0</v>
      </c>
      <c r="AJ47" s="27">
        <v>0</v>
      </c>
      <c r="AK47" s="26">
        <f>SUM(AF47:AI47)</f>
        <v>0</v>
      </c>
      <c r="AL47" s="28">
        <f>Z47+AE47+AK47</f>
        <v>0</v>
      </c>
      <c r="AN47" s="13">
        <f t="shared" si="2"/>
        <v>0</v>
      </c>
      <c r="AO47" s="13">
        <f t="shared" si="3"/>
        <v>0</v>
      </c>
    </row>
    <row r="48" spans="1:41" s="15" customFormat="1">
      <c r="A48" s="134"/>
      <c r="B48" s="12" t="s">
        <v>7</v>
      </c>
      <c r="C48" s="26"/>
      <c r="D48" s="26"/>
      <c r="E48" s="32">
        <v>0</v>
      </c>
      <c r="F48" s="27">
        <v>0</v>
      </c>
      <c r="G48" s="27">
        <v>0</v>
      </c>
      <c r="H48" s="27">
        <v>0</v>
      </c>
      <c r="I48" s="26">
        <v>0</v>
      </c>
      <c r="J48" s="32">
        <v>0</v>
      </c>
      <c r="K48" s="27">
        <v>0</v>
      </c>
      <c r="L48" s="27">
        <v>0</v>
      </c>
      <c r="M48" s="27">
        <v>20</v>
      </c>
      <c r="N48" s="26">
        <v>20</v>
      </c>
      <c r="O48" s="32">
        <v>0</v>
      </c>
      <c r="P48" s="27">
        <v>0</v>
      </c>
      <c r="Q48" s="27">
        <v>0</v>
      </c>
      <c r="R48" s="27">
        <v>0</v>
      </c>
      <c r="S48" s="27">
        <v>0</v>
      </c>
      <c r="T48" s="26">
        <f>SUM(O48:S48)</f>
        <v>0</v>
      </c>
      <c r="U48" s="28">
        <f>T48+N48+I48+D49</f>
        <v>577</v>
      </c>
      <c r="V48" s="32">
        <v>0</v>
      </c>
      <c r="W48" s="27">
        <v>0</v>
      </c>
      <c r="X48" s="27">
        <v>0</v>
      </c>
      <c r="Y48" s="27">
        <v>0</v>
      </c>
      <c r="Z48" s="26">
        <v>20</v>
      </c>
      <c r="AA48" s="32">
        <v>0</v>
      </c>
      <c r="AB48" s="27">
        <v>0</v>
      </c>
      <c r="AC48" s="27">
        <v>0</v>
      </c>
      <c r="AD48" s="27">
        <v>0</v>
      </c>
      <c r="AE48" s="26">
        <v>0</v>
      </c>
      <c r="AF48" s="32">
        <v>0</v>
      </c>
      <c r="AG48" s="27">
        <v>0</v>
      </c>
      <c r="AH48" s="27">
        <v>0</v>
      </c>
      <c r="AI48" s="27">
        <v>0</v>
      </c>
      <c r="AJ48" s="27">
        <v>0</v>
      </c>
      <c r="AK48" s="26">
        <f>SUM(AF48:AJ48)</f>
        <v>0</v>
      </c>
      <c r="AL48" s="28">
        <f>AK48+AE48+Z48</f>
        <v>20</v>
      </c>
      <c r="AN48" s="13">
        <f t="shared" si="2"/>
        <v>0</v>
      </c>
      <c r="AO48" s="13">
        <f t="shared" si="3"/>
        <v>0</v>
      </c>
    </row>
    <row r="49" spans="1:41" s="15" customFormat="1" ht="17" thickBot="1">
      <c r="A49" s="135"/>
      <c r="B49" s="4" t="s">
        <v>8</v>
      </c>
      <c r="C49" s="26">
        <v>91</v>
      </c>
      <c r="D49" s="37">
        <v>557</v>
      </c>
      <c r="E49" s="21">
        <v>0</v>
      </c>
      <c r="F49" s="21">
        <v>0</v>
      </c>
      <c r="G49" s="21">
        <v>0</v>
      </c>
      <c r="H49" s="21">
        <v>0</v>
      </c>
      <c r="I49" s="20">
        <v>0</v>
      </c>
      <c r="J49" s="21">
        <v>0</v>
      </c>
      <c r="K49" s="21">
        <v>0</v>
      </c>
      <c r="L49" s="21">
        <v>0</v>
      </c>
      <c r="M49" s="21">
        <v>20</v>
      </c>
      <c r="N49" s="20">
        <v>20</v>
      </c>
      <c r="O49" s="21">
        <v>20</v>
      </c>
      <c r="P49" s="21">
        <v>20</v>
      </c>
      <c r="Q49" s="21">
        <v>20</v>
      </c>
      <c r="R49" s="21">
        <v>20</v>
      </c>
      <c r="S49" s="21">
        <v>20</v>
      </c>
      <c r="T49" s="20">
        <f>N49+T48-T45</f>
        <v>20</v>
      </c>
      <c r="U49" s="22">
        <f>U48-U45</f>
        <v>20</v>
      </c>
      <c r="V49" s="21">
        <v>20</v>
      </c>
      <c r="W49" s="21">
        <v>20</v>
      </c>
      <c r="X49" s="21">
        <v>20</v>
      </c>
      <c r="Y49" s="21">
        <v>20</v>
      </c>
      <c r="Z49" s="20">
        <v>20</v>
      </c>
      <c r="AA49" s="21">
        <v>20</v>
      </c>
      <c r="AB49" s="21">
        <v>20</v>
      </c>
      <c r="AC49" s="21">
        <v>20</v>
      </c>
      <c r="AD49" s="21">
        <v>20</v>
      </c>
      <c r="AE49" s="20">
        <v>20</v>
      </c>
      <c r="AF49" s="21">
        <v>20</v>
      </c>
      <c r="AG49" s="21">
        <v>20</v>
      </c>
      <c r="AH49" s="21">
        <v>20</v>
      </c>
      <c r="AI49" s="21">
        <v>20</v>
      </c>
      <c r="AJ49" s="21">
        <v>20</v>
      </c>
      <c r="AK49" s="20">
        <f>AE49+AK48-AK45</f>
        <v>20</v>
      </c>
      <c r="AL49" s="22">
        <f>T49+AL48-AL45</f>
        <v>40</v>
      </c>
      <c r="AN49" s="13">
        <f t="shared" si="2"/>
        <v>0</v>
      </c>
      <c r="AO49" s="13">
        <f t="shared" si="3"/>
        <v>0</v>
      </c>
    </row>
    <row r="50" spans="1:41" s="15" customFormat="1" ht="17" thickBot="1">
      <c r="A50" s="46"/>
      <c r="B50" s="12" t="s">
        <v>9</v>
      </c>
      <c r="C50" s="26"/>
      <c r="D50" s="26"/>
      <c r="E50" s="19" t="e">
        <v>#DIV/0!</v>
      </c>
      <c r="F50" s="19" t="e">
        <v>#DIV/0!</v>
      </c>
      <c r="G50" s="19" t="e">
        <v>#DIV/0!</v>
      </c>
      <c r="H50" s="19" t="e">
        <v>#DIV/0!</v>
      </c>
      <c r="I50" s="23"/>
      <c r="J50" s="19" t="e">
        <v>#DIV/0!</v>
      </c>
      <c r="K50" s="19" t="e">
        <v>#DIV/0!</v>
      </c>
      <c r="L50" s="19" t="e">
        <v>#DIV/0!</v>
      </c>
      <c r="M50" s="19" t="e">
        <v>#DIV/0!</v>
      </c>
      <c r="N50" s="23"/>
      <c r="O50" s="19" t="e">
        <v>#DIV/0!</v>
      </c>
      <c r="P50" s="19">
        <v>718.13285457809695</v>
      </c>
      <c r="Q50" s="19" t="e">
        <v>#DIV/0!</v>
      </c>
      <c r="R50" s="19" t="e">
        <v>#DIV/0!</v>
      </c>
      <c r="S50" s="19" t="e">
        <v>#REF!</v>
      </c>
      <c r="T50" s="23"/>
      <c r="U50" s="24"/>
      <c r="V50" s="19" t="e">
        <v>#DIV/0!</v>
      </c>
      <c r="W50" s="19" t="e">
        <v>#DIV/0!</v>
      </c>
      <c r="X50" s="19" t="e">
        <v>#DIV/0!</v>
      </c>
      <c r="Y50" s="19" t="e">
        <v>#DIV/0!</v>
      </c>
      <c r="Z50" s="23"/>
      <c r="AA50" s="19" t="e">
        <v>#DIV/0!</v>
      </c>
      <c r="AB50" s="19" t="e">
        <v>#DIV/0!</v>
      </c>
      <c r="AC50" s="19" t="e">
        <v>#DIV/0!</v>
      </c>
      <c r="AD50" s="19" t="e">
        <v>#DIV/0!</v>
      </c>
      <c r="AE50" s="23"/>
      <c r="AF50" s="19" t="e">
        <v>#DIV/0!</v>
      </c>
      <c r="AG50" s="19" t="e">
        <v>#DIV/0!</v>
      </c>
      <c r="AH50" s="19" t="e">
        <v>#DIV/0!</v>
      </c>
      <c r="AI50" s="19" t="e">
        <v>#DIV/0!</v>
      </c>
      <c r="AJ50" s="19" t="e">
        <v>#REF!</v>
      </c>
      <c r="AK50" s="23"/>
      <c r="AL50" s="24"/>
      <c r="AN50" s="13">
        <f t="shared" si="2"/>
        <v>0</v>
      </c>
      <c r="AO50" s="13">
        <f t="shared" si="3"/>
        <v>0</v>
      </c>
    </row>
    <row r="51" spans="1:41" s="15" customFormat="1">
      <c r="A51" s="133" t="s">
        <v>29</v>
      </c>
      <c r="B51" s="3" t="s">
        <v>5</v>
      </c>
      <c r="C51" s="26"/>
      <c r="D51" s="26"/>
      <c r="E51" s="27">
        <v>0</v>
      </c>
      <c r="F51" s="27">
        <v>1500</v>
      </c>
      <c r="G51" s="27">
        <v>0</v>
      </c>
      <c r="H51" s="27">
        <v>0</v>
      </c>
      <c r="I51" s="26">
        <v>1500</v>
      </c>
      <c r="J51" s="27">
        <v>0</v>
      </c>
      <c r="K51" s="27">
        <v>0</v>
      </c>
      <c r="L51" s="27">
        <v>4719</v>
      </c>
      <c r="M51" s="27">
        <v>31</v>
      </c>
      <c r="N51" s="26">
        <v>4750</v>
      </c>
      <c r="O51" s="27">
        <v>1</v>
      </c>
      <c r="P51" s="27">
        <v>2497</v>
      </c>
      <c r="Q51" s="27">
        <v>476</v>
      </c>
      <c r="R51" s="27">
        <v>30</v>
      </c>
      <c r="S51" s="27">
        <v>0</v>
      </c>
      <c r="T51" s="26">
        <f>SUM(O51:S51)</f>
        <v>3004</v>
      </c>
      <c r="U51" s="28">
        <f>T51+N51+I51+D55</f>
        <v>16053</v>
      </c>
      <c r="V51" s="27">
        <v>26</v>
      </c>
      <c r="W51" s="27">
        <v>0</v>
      </c>
      <c r="X51" s="27">
        <v>0</v>
      </c>
      <c r="Y51" s="27">
        <v>0</v>
      </c>
      <c r="Z51" s="26">
        <v>26</v>
      </c>
      <c r="AA51" s="27">
        <v>0</v>
      </c>
      <c r="AB51" s="27">
        <v>23</v>
      </c>
      <c r="AC51" s="27">
        <v>0</v>
      </c>
      <c r="AD51" s="27">
        <v>0</v>
      </c>
      <c r="AE51" s="26">
        <v>23</v>
      </c>
      <c r="AF51" s="27">
        <v>0</v>
      </c>
      <c r="AG51" s="27">
        <v>0</v>
      </c>
      <c r="AH51" s="27">
        <v>0</v>
      </c>
      <c r="AI51" s="27">
        <v>0</v>
      </c>
      <c r="AJ51" s="27">
        <v>0</v>
      </c>
      <c r="AK51" s="26">
        <f>SUM(AF51:AJ51)</f>
        <v>0</v>
      </c>
      <c r="AL51" s="28">
        <f>AK51+AE51+Z51</f>
        <v>49</v>
      </c>
      <c r="AM51" s="15">
        <v>128</v>
      </c>
      <c r="AN51" s="13">
        <f t="shared" si="2"/>
        <v>2054784</v>
      </c>
      <c r="AO51" s="13">
        <f t="shared" si="3"/>
        <v>6272</v>
      </c>
    </row>
    <row r="52" spans="1:41" s="15" customFormat="1">
      <c r="A52" s="134"/>
      <c r="B52" s="12" t="s">
        <v>6</v>
      </c>
      <c r="C52" s="26"/>
      <c r="D52" s="26"/>
      <c r="E52" s="27">
        <v>0</v>
      </c>
      <c r="F52" s="27">
        <v>1500</v>
      </c>
      <c r="G52" s="27">
        <v>0</v>
      </c>
      <c r="H52" s="27">
        <v>0</v>
      </c>
      <c r="I52" s="26">
        <v>1500</v>
      </c>
      <c r="J52" s="27">
        <v>0</v>
      </c>
      <c r="K52" s="27">
        <v>0</v>
      </c>
      <c r="L52" s="27">
        <v>0</v>
      </c>
      <c r="M52" s="27">
        <v>3000</v>
      </c>
      <c r="N52" s="26">
        <v>3000</v>
      </c>
      <c r="O52" s="27">
        <v>2000</v>
      </c>
      <c r="P52" s="27">
        <v>0</v>
      </c>
      <c r="Q52" s="27">
        <v>0</v>
      </c>
      <c r="R52" s="27">
        <v>0</v>
      </c>
      <c r="S52" s="27">
        <v>3000</v>
      </c>
      <c r="T52" s="26">
        <f>SUM(O52:S52)</f>
        <v>5000</v>
      </c>
      <c r="U52" s="28"/>
      <c r="V52" s="27">
        <v>2000</v>
      </c>
      <c r="W52" s="27">
        <v>0</v>
      </c>
      <c r="X52" s="27">
        <v>0</v>
      </c>
      <c r="Y52" s="27">
        <v>0</v>
      </c>
      <c r="Z52" s="26">
        <v>2000</v>
      </c>
      <c r="AA52" s="27">
        <v>0</v>
      </c>
      <c r="AB52" s="27">
        <v>0</v>
      </c>
      <c r="AC52" s="27">
        <v>0</v>
      </c>
      <c r="AD52" s="27">
        <v>0</v>
      </c>
      <c r="AE52" s="26">
        <v>0</v>
      </c>
      <c r="AF52" s="27">
        <v>0</v>
      </c>
      <c r="AG52" s="27">
        <v>0</v>
      </c>
      <c r="AH52" s="27">
        <v>0</v>
      </c>
      <c r="AI52" s="27">
        <v>0</v>
      </c>
      <c r="AJ52" s="27">
        <v>0</v>
      </c>
      <c r="AK52" s="26">
        <f>SUM(AF52:AJ52)</f>
        <v>0</v>
      </c>
      <c r="AL52" s="28"/>
      <c r="AN52" s="13">
        <f t="shared" si="2"/>
        <v>0</v>
      </c>
      <c r="AO52" s="13">
        <f t="shared" si="3"/>
        <v>0</v>
      </c>
    </row>
    <row r="53" spans="1:41" s="15" customFormat="1">
      <c r="A53" s="134"/>
      <c r="B53" s="12" t="s">
        <v>10</v>
      </c>
      <c r="C53" s="26">
        <v>0</v>
      </c>
      <c r="D53" s="26"/>
      <c r="E53" s="27">
        <v>0</v>
      </c>
      <c r="F53" s="27">
        <v>0</v>
      </c>
      <c r="G53" s="27">
        <v>0</v>
      </c>
      <c r="H53" s="27">
        <v>0</v>
      </c>
      <c r="I53" s="26">
        <v>0</v>
      </c>
      <c r="J53" s="27">
        <v>0</v>
      </c>
      <c r="K53" s="27">
        <v>0</v>
      </c>
      <c r="L53" s="27">
        <v>0</v>
      </c>
      <c r="M53" s="27">
        <v>0</v>
      </c>
      <c r="N53" s="26">
        <v>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6">
        <f>SUM(O53:R53)</f>
        <v>0</v>
      </c>
      <c r="U53" s="28">
        <f>I53+N53+T53</f>
        <v>0</v>
      </c>
      <c r="V53" s="27">
        <v>0</v>
      </c>
      <c r="W53" s="27">
        <v>0</v>
      </c>
      <c r="X53" s="27">
        <v>0</v>
      </c>
      <c r="Y53" s="27">
        <v>0</v>
      </c>
      <c r="Z53" s="26">
        <v>0</v>
      </c>
      <c r="AA53" s="27">
        <v>0</v>
      </c>
      <c r="AB53" s="27">
        <v>0</v>
      </c>
      <c r="AC53" s="27">
        <v>0</v>
      </c>
      <c r="AD53" s="27">
        <v>0</v>
      </c>
      <c r="AE53" s="26">
        <v>0</v>
      </c>
      <c r="AF53" s="27">
        <v>0</v>
      </c>
      <c r="AG53" s="27">
        <v>0</v>
      </c>
      <c r="AH53" s="27">
        <v>0</v>
      </c>
      <c r="AI53" s="27">
        <v>0</v>
      </c>
      <c r="AJ53" s="27">
        <v>0</v>
      </c>
      <c r="AK53" s="26">
        <f>SUM(AF53:AI53)</f>
        <v>0</v>
      </c>
      <c r="AL53" s="28">
        <f>Z53+AE53+AK53</f>
        <v>0</v>
      </c>
      <c r="AN53" s="13">
        <f t="shared" si="2"/>
        <v>0</v>
      </c>
      <c r="AO53" s="13">
        <f t="shared" si="3"/>
        <v>0</v>
      </c>
    </row>
    <row r="54" spans="1:41" s="15" customFormat="1">
      <c r="A54" s="134"/>
      <c r="B54" s="12" t="s">
        <v>7</v>
      </c>
      <c r="C54" s="26"/>
      <c r="D54" s="26"/>
      <c r="E54" s="32">
        <v>0</v>
      </c>
      <c r="F54" s="27">
        <v>1500</v>
      </c>
      <c r="G54" s="27">
        <v>0</v>
      </c>
      <c r="H54" s="27">
        <v>0</v>
      </c>
      <c r="I54" s="26">
        <v>1500</v>
      </c>
      <c r="J54" s="32">
        <v>0</v>
      </c>
      <c r="K54" s="27">
        <v>0</v>
      </c>
      <c r="L54" s="27">
        <v>0</v>
      </c>
      <c r="M54" s="27">
        <v>3000</v>
      </c>
      <c r="N54" s="26">
        <v>3000</v>
      </c>
      <c r="O54" s="32">
        <v>2000</v>
      </c>
      <c r="P54" s="27">
        <v>0</v>
      </c>
      <c r="Q54" s="27">
        <v>0</v>
      </c>
      <c r="R54" s="27">
        <v>0</v>
      </c>
      <c r="S54" s="27">
        <v>3000</v>
      </c>
      <c r="T54" s="26">
        <f>SUM(O54:S54)</f>
        <v>5000</v>
      </c>
      <c r="U54" s="28">
        <f>T54+N54+I54+D55</f>
        <v>16299</v>
      </c>
      <c r="V54" s="32">
        <v>2000</v>
      </c>
      <c r="W54" s="27">
        <v>0</v>
      </c>
      <c r="X54" s="27">
        <v>0</v>
      </c>
      <c r="Y54" s="27">
        <v>0</v>
      </c>
      <c r="Z54" s="26">
        <v>2246</v>
      </c>
      <c r="AA54" s="32">
        <v>0</v>
      </c>
      <c r="AB54" s="27">
        <v>0</v>
      </c>
      <c r="AC54" s="27">
        <v>0</v>
      </c>
      <c r="AD54" s="27">
        <v>0</v>
      </c>
      <c r="AE54" s="26">
        <v>0</v>
      </c>
      <c r="AF54" s="32">
        <v>0</v>
      </c>
      <c r="AG54" s="27">
        <v>0</v>
      </c>
      <c r="AH54" s="27">
        <v>0</v>
      </c>
      <c r="AI54" s="27">
        <v>0</v>
      </c>
      <c r="AJ54" s="27">
        <v>0</v>
      </c>
      <c r="AK54" s="26">
        <f>SUM(AF54:AJ54)</f>
        <v>0</v>
      </c>
      <c r="AL54" s="28">
        <f>AK54+AE54+Z54</f>
        <v>2246</v>
      </c>
      <c r="AN54" s="13">
        <f t="shared" si="2"/>
        <v>0</v>
      </c>
      <c r="AO54" s="13">
        <f t="shared" si="3"/>
        <v>0</v>
      </c>
    </row>
    <row r="55" spans="1:41" s="15" customFormat="1" ht="17" thickBot="1">
      <c r="A55" s="135"/>
      <c r="B55" s="4" t="s">
        <v>8</v>
      </c>
      <c r="C55" s="26">
        <v>2129</v>
      </c>
      <c r="D55" s="37">
        <v>6799</v>
      </c>
      <c r="E55" s="21">
        <v>0</v>
      </c>
      <c r="F55" s="21">
        <v>0</v>
      </c>
      <c r="G55" s="21">
        <v>0</v>
      </c>
      <c r="H55" s="21">
        <v>0</v>
      </c>
      <c r="I55" s="20">
        <v>0</v>
      </c>
      <c r="J55" s="21">
        <v>0</v>
      </c>
      <c r="K55" s="21">
        <v>0</v>
      </c>
      <c r="L55" s="21">
        <v>-4719</v>
      </c>
      <c r="M55" s="21">
        <v>-1750</v>
      </c>
      <c r="N55" s="20">
        <v>-1750</v>
      </c>
      <c r="O55" s="21">
        <v>249</v>
      </c>
      <c r="P55" s="21">
        <v>-2248</v>
      </c>
      <c r="Q55" s="21">
        <v>-2724</v>
      </c>
      <c r="R55" s="21">
        <v>-2754</v>
      </c>
      <c r="S55" s="21">
        <v>246</v>
      </c>
      <c r="T55" s="20">
        <f>N55+T54-T51</f>
        <v>246</v>
      </c>
      <c r="U55" s="22">
        <f>U54-U51</f>
        <v>246</v>
      </c>
      <c r="V55" s="21">
        <v>2220</v>
      </c>
      <c r="W55" s="21">
        <v>2220</v>
      </c>
      <c r="X55" s="21">
        <v>2220</v>
      </c>
      <c r="Y55" s="21">
        <v>2220</v>
      </c>
      <c r="Z55" s="20">
        <v>2220</v>
      </c>
      <c r="AA55" s="21">
        <v>2220</v>
      </c>
      <c r="AB55" s="21">
        <v>2197</v>
      </c>
      <c r="AC55" s="21">
        <v>2197</v>
      </c>
      <c r="AD55" s="21">
        <v>2197</v>
      </c>
      <c r="AE55" s="20">
        <v>2197</v>
      </c>
      <c r="AF55" s="21">
        <v>2197</v>
      </c>
      <c r="AG55" s="21">
        <v>2197</v>
      </c>
      <c r="AH55" s="21">
        <v>2197</v>
      </c>
      <c r="AI55" s="21">
        <v>2197</v>
      </c>
      <c r="AJ55" s="21">
        <v>2197</v>
      </c>
      <c r="AK55" s="20">
        <f>AE55+AK54-AK51</f>
        <v>2197</v>
      </c>
      <c r="AL55" s="22">
        <f>T55+AL54-AL51</f>
        <v>2443</v>
      </c>
      <c r="AN55" s="13">
        <f t="shared" si="2"/>
        <v>0</v>
      </c>
      <c r="AO55" s="13">
        <f t="shared" si="3"/>
        <v>0</v>
      </c>
    </row>
    <row r="56" spans="1:41" s="15" customFormat="1" ht="17" thickBot="1">
      <c r="A56" s="46"/>
      <c r="B56" s="12" t="s">
        <v>9</v>
      </c>
      <c r="C56" s="26"/>
      <c r="D56" s="26"/>
      <c r="E56" s="19">
        <v>0</v>
      </c>
      <c r="F56" s="19" t="e">
        <v>#DIV/0!</v>
      </c>
      <c r="G56" s="19">
        <v>0</v>
      </c>
      <c r="H56" s="19">
        <v>0</v>
      </c>
      <c r="I56" s="23"/>
      <c r="J56" s="19">
        <v>0</v>
      </c>
      <c r="K56" s="19">
        <v>0</v>
      </c>
      <c r="L56" s="19">
        <v>-31407.653910149751</v>
      </c>
      <c r="M56" s="19">
        <v>-11651.131824234355</v>
      </c>
      <c r="N56" s="23"/>
      <c r="O56" s="19">
        <v>1658.3416583416583</v>
      </c>
      <c r="P56" s="19">
        <v>-2715.1398031282083</v>
      </c>
      <c r="Q56" s="19">
        <v>-1816000</v>
      </c>
      <c r="R56" s="19" t="e">
        <v>#DIV/0!</v>
      </c>
      <c r="S56" s="19" t="e">
        <v>#REF!</v>
      </c>
      <c r="T56" s="23"/>
      <c r="U56" s="24"/>
      <c r="V56" s="19">
        <v>1707692.3076923075</v>
      </c>
      <c r="W56" s="19">
        <v>906122.44897959183</v>
      </c>
      <c r="X56" s="19">
        <v>1707692.3076923075</v>
      </c>
      <c r="Y56" s="19">
        <v>1707692.3076923075</v>
      </c>
      <c r="Z56" s="23"/>
      <c r="AA56" s="19">
        <v>965217.3913043479</v>
      </c>
      <c r="AB56" s="19">
        <v>1910434.7826086958</v>
      </c>
      <c r="AC56" s="19">
        <v>1910434.7826086958</v>
      </c>
      <c r="AD56" s="19">
        <v>1910434.7826086958</v>
      </c>
      <c r="AE56" s="23"/>
      <c r="AF56" s="19" t="e">
        <v>#DIV/0!</v>
      </c>
      <c r="AG56" s="19">
        <v>896734.69387755101</v>
      </c>
      <c r="AH56" s="19" t="e">
        <v>#DIV/0!</v>
      </c>
      <c r="AI56" s="19" t="e">
        <v>#DIV/0!</v>
      </c>
      <c r="AJ56" s="19" t="e">
        <v>#REF!</v>
      </c>
      <c r="AK56" s="23"/>
      <c r="AL56" s="24"/>
      <c r="AN56" s="13">
        <f t="shared" si="2"/>
        <v>0</v>
      </c>
      <c r="AO56" s="13">
        <f t="shared" si="3"/>
        <v>0</v>
      </c>
    </row>
    <row r="57" spans="1:41" s="15" customFormat="1">
      <c r="A57" s="133" t="s">
        <v>32</v>
      </c>
      <c r="B57" s="3" t="s">
        <v>5</v>
      </c>
      <c r="C57" s="26"/>
      <c r="D57" s="26"/>
      <c r="E57" s="27">
        <v>0</v>
      </c>
      <c r="F57" s="27">
        <v>0</v>
      </c>
      <c r="G57" s="27">
        <v>600</v>
      </c>
      <c r="H57" s="27">
        <v>1125</v>
      </c>
      <c r="I57" s="26">
        <v>1725</v>
      </c>
      <c r="J57" s="27">
        <v>0</v>
      </c>
      <c r="K57" s="27">
        <v>3174</v>
      </c>
      <c r="L57" s="27">
        <v>2838</v>
      </c>
      <c r="M57" s="27">
        <v>330</v>
      </c>
      <c r="N57" s="26">
        <v>6342</v>
      </c>
      <c r="O57" s="27">
        <v>0</v>
      </c>
      <c r="P57" s="27">
        <v>2890</v>
      </c>
      <c r="Q57" s="27">
        <v>1955</v>
      </c>
      <c r="R57" s="27">
        <v>1198</v>
      </c>
      <c r="S57" s="27">
        <v>0</v>
      </c>
      <c r="T57" s="26">
        <f>SUM(O57:S57)</f>
        <v>6043</v>
      </c>
      <c r="U57" s="28">
        <f>T57+N57+I57+D61</f>
        <v>17480</v>
      </c>
      <c r="V57" s="27">
        <v>32</v>
      </c>
      <c r="W57" s="27">
        <v>0</v>
      </c>
      <c r="X57" s="27">
        <v>1200</v>
      </c>
      <c r="Y57" s="27">
        <v>187</v>
      </c>
      <c r="Z57" s="26">
        <v>1419</v>
      </c>
      <c r="AA57" s="27">
        <v>0</v>
      </c>
      <c r="AB57" s="27">
        <v>445</v>
      </c>
      <c r="AC57" s="27">
        <v>0</v>
      </c>
      <c r="AD57" s="27">
        <v>300</v>
      </c>
      <c r="AE57" s="26">
        <v>745</v>
      </c>
      <c r="AF57" s="27">
        <v>0</v>
      </c>
      <c r="AG57" s="27">
        <v>0</v>
      </c>
      <c r="AH57" s="27">
        <v>0</v>
      </c>
      <c r="AI57" s="27">
        <v>0</v>
      </c>
      <c r="AJ57" s="27">
        <v>0</v>
      </c>
      <c r="AK57" s="26">
        <f>SUM(AF57:AJ57)</f>
        <v>0</v>
      </c>
      <c r="AL57" s="28">
        <f>AK57+AE57+Z57</f>
        <v>2164</v>
      </c>
      <c r="AM57" s="15">
        <v>128</v>
      </c>
      <c r="AN57" s="13">
        <f t="shared" si="2"/>
        <v>2237440</v>
      </c>
      <c r="AO57" s="13">
        <f t="shared" si="3"/>
        <v>276992</v>
      </c>
    </row>
    <row r="58" spans="1:41" s="15" customFormat="1">
      <c r="A58" s="134"/>
      <c r="B58" s="12" t="s">
        <v>6</v>
      </c>
      <c r="C58" s="26"/>
      <c r="D58" s="26"/>
      <c r="E58" s="27">
        <v>0</v>
      </c>
      <c r="F58" s="27">
        <v>0</v>
      </c>
      <c r="G58" s="27">
        <v>600</v>
      </c>
      <c r="H58" s="27">
        <v>1125</v>
      </c>
      <c r="I58" s="26">
        <v>1725</v>
      </c>
      <c r="J58" s="27">
        <v>0</v>
      </c>
      <c r="K58" s="27">
        <v>3174</v>
      </c>
      <c r="L58" s="27">
        <v>1106</v>
      </c>
      <c r="M58" s="27">
        <v>1000</v>
      </c>
      <c r="N58" s="26">
        <v>5280</v>
      </c>
      <c r="O58" s="27">
        <v>2000</v>
      </c>
      <c r="P58" s="27">
        <v>0</v>
      </c>
      <c r="Q58" s="27">
        <v>0</v>
      </c>
      <c r="R58" s="27">
        <v>0</v>
      </c>
      <c r="S58" s="27">
        <v>5000</v>
      </c>
      <c r="T58" s="26">
        <f>SUM(O58:S58)</f>
        <v>7000</v>
      </c>
      <c r="U58" s="28"/>
      <c r="V58" s="27">
        <v>2000</v>
      </c>
      <c r="W58" s="27">
        <v>0</v>
      </c>
      <c r="X58" s="27">
        <v>0</v>
      </c>
      <c r="Y58" s="27">
        <v>0</v>
      </c>
      <c r="Z58" s="26">
        <v>2000</v>
      </c>
      <c r="AA58" s="27">
        <v>0</v>
      </c>
      <c r="AB58" s="27">
        <v>0</v>
      </c>
      <c r="AC58" s="27">
        <v>0</v>
      </c>
      <c r="AD58" s="27">
        <v>0</v>
      </c>
      <c r="AE58" s="26">
        <v>0</v>
      </c>
      <c r="AF58" s="27">
        <v>0</v>
      </c>
      <c r="AG58" s="27">
        <v>0</v>
      </c>
      <c r="AH58" s="27">
        <v>0</v>
      </c>
      <c r="AI58" s="27">
        <v>0</v>
      </c>
      <c r="AJ58" s="27">
        <v>0</v>
      </c>
      <c r="AK58" s="26">
        <f>SUM(AF58:AJ58)</f>
        <v>0</v>
      </c>
      <c r="AL58" s="28"/>
      <c r="AN58" s="13">
        <f t="shared" si="2"/>
        <v>0</v>
      </c>
      <c r="AO58" s="13">
        <f t="shared" si="3"/>
        <v>0</v>
      </c>
    </row>
    <row r="59" spans="1:41" s="15" customFormat="1">
      <c r="A59" s="134"/>
      <c r="B59" s="12" t="s">
        <v>10</v>
      </c>
      <c r="C59" s="26">
        <v>0</v>
      </c>
      <c r="D59" s="26"/>
      <c r="E59" s="27">
        <v>0</v>
      </c>
      <c r="F59" s="27">
        <v>0</v>
      </c>
      <c r="G59" s="27">
        <v>0</v>
      </c>
      <c r="H59" s="27">
        <v>0</v>
      </c>
      <c r="I59" s="26">
        <v>0</v>
      </c>
      <c r="J59" s="27">
        <v>0</v>
      </c>
      <c r="K59" s="27">
        <v>0</v>
      </c>
      <c r="L59" s="27">
        <v>0</v>
      </c>
      <c r="M59" s="27">
        <v>0</v>
      </c>
      <c r="N59" s="26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6">
        <f>SUM(O59:R59)</f>
        <v>0</v>
      </c>
      <c r="U59" s="28">
        <f>I59+N59+T59</f>
        <v>0</v>
      </c>
      <c r="V59" s="27">
        <v>0</v>
      </c>
      <c r="W59" s="27">
        <v>0</v>
      </c>
      <c r="X59" s="27">
        <v>0</v>
      </c>
      <c r="Y59" s="27">
        <v>0</v>
      </c>
      <c r="Z59" s="26">
        <v>0</v>
      </c>
      <c r="AA59" s="27">
        <v>0</v>
      </c>
      <c r="AB59" s="27">
        <v>0</v>
      </c>
      <c r="AC59" s="27">
        <v>0</v>
      </c>
      <c r="AD59" s="27">
        <v>0</v>
      </c>
      <c r="AE59" s="26">
        <v>0</v>
      </c>
      <c r="AF59" s="27">
        <v>0</v>
      </c>
      <c r="AG59" s="27">
        <v>0</v>
      </c>
      <c r="AH59" s="27">
        <v>0</v>
      </c>
      <c r="AI59" s="27">
        <v>0</v>
      </c>
      <c r="AJ59" s="27">
        <v>0</v>
      </c>
      <c r="AK59" s="26">
        <f>SUM(AF59:AI59)</f>
        <v>0</v>
      </c>
      <c r="AL59" s="28">
        <f>Z59+AE59+AK59</f>
        <v>0</v>
      </c>
      <c r="AN59" s="13">
        <f t="shared" si="2"/>
        <v>0</v>
      </c>
      <c r="AO59" s="13">
        <f t="shared" si="3"/>
        <v>0</v>
      </c>
    </row>
    <row r="60" spans="1:41" s="15" customFormat="1">
      <c r="A60" s="134"/>
      <c r="B60" s="12" t="s">
        <v>7</v>
      </c>
      <c r="C60" s="26"/>
      <c r="D60" s="26"/>
      <c r="E60" s="32">
        <v>0</v>
      </c>
      <c r="F60" s="27">
        <v>0</v>
      </c>
      <c r="G60" s="27">
        <v>600</v>
      </c>
      <c r="H60" s="27">
        <v>1125</v>
      </c>
      <c r="I60" s="26">
        <v>1725</v>
      </c>
      <c r="J60" s="32">
        <v>0</v>
      </c>
      <c r="K60" s="27">
        <v>3174</v>
      </c>
      <c r="L60" s="27">
        <v>1106</v>
      </c>
      <c r="M60" s="27">
        <v>1000</v>
      </c>
      <c r="N60" s="26">
        <v>5280</v>
      </c>
      <c r="O60" s="32">
        <v>2000</v>
      </c>
      <c r="P60" s="27">
        <v>0</v>
      </c>
      <c r="Q60" s="27">
        <v>0</v>
      </c>
      <c r="R60" s="27">
        <v>0</v>
      </c>
      <c r="S60" s="27">
        <v>5000</v>
      </c>
      <c r="T60" s="26">
        <f>SUM(O60:S60)</f>
        <v>7000</v>
      </c>
      <c r="U60" s="28">
        <f>T60+N60+I60+D61</f>
        <v>17375</v>
      </c>
      <c r="V60" s="32">
        <v>2000</v>
      </c>
      <c r="W60" s="27">
        <v>0</v>
      </c>
      <c r="X60" s="27">
        <v>0</v>
      </c>
      <c r="Y60" s="27">
        <v>0</v>
      </c>
      <c r="Z60" s="26">
        <v>1895</v>
      </c>
      <c r="AA60" s="32">
        <v>0</v>
      </c>
      <c r="AB60" s="27">
        <v>0</v>
      </c>
      <c r="AC60" s="27">
        <v>0</v>
      </c>
      <c r="AD60" s="27">
        <v>0</v>
      </c>
      <c r="AE60" s="26">
        <v>0</v>
      </c>
      <c r="AF60" s="32">
        <v>0</v>
      </c>
      <c r="AG60" s="27">
        <v>0</v>
      </c>
      <c r="AH60" s="27">
        <v>0</v>
      </c>
      <c r="AI60" s="27">
        <v>0</v>
      </c>
      <c r="AJ60" s="27">
        <v>0</v>
      </c>
      <c r="AK60" s="26">
        <f>SUM(AF60:AJ60)</f>
        <v>0</v>
      </c>
      <c r="AL60" s="28">
        <f>AK60+AE60+Z60</f>
        <v>1895</v>
      </c>
      <c r="AN60" s="13">
        <f t="shared" si="2"/>
        <v>0</v>
      </c>
      <c r="AO60" s="13">
        <f t="shared" si="3"/>
        <v>0</v>
      </c>
    </row>
    <row r="61" spans="1:41" s="15" customFormat="1" ht="17" thickBot="1">
      <c r="A61" s="135"/>
      <c r="B61" s="4" t="s">
        <v>8</v>
      </c>
      <c r="C61" s="26">
        <v>5030</v>
      </c>
      <c r="D61" s="37">
        <v>3370</v>
      </c>
      <c r="E61" s="21">
        <v>0</v>
      </c>
      <c r="F61" s="21">
        <v>0</v>
      </c>
      <c r="G61" s="21">
        <v>0</v>
      </c>
      <c r="H61" s="21">
        <v>0</v>
      </c>
      <c r="I61" s="20">
        <v>0</v>
      </c>
      <c r="J61" s="21">
        <v>0</v>
      </c>
      <c r="K61" s="21">
        <v>0</v>
      </c>
      <c r="L61" s="21">
        <v>-1732</v>
      </c>
      <c r="M61" s="21">
        <v>-1062</v>
      </c>
      <c r="N61" s="20">
        <v>-1062</v>
      </c>
      <c r="O61" s="21">
        <v>938</v>
      </c>
      <c r="P61" s="21">
        <v>-1952</v>
      </c>
      <c r="Q61" s="21">
        <v>-3907</v>
      </c>
      <c r="R61" s="21">
        <v>-5105</v>
      </c>
      <c r="S61" s="21">
        <v>-105</v>
      </c>
      <c r="T61" s="20">
        <f>N61+T60-T57</f>
        <v>-105</v>
      </c>
      <c r="U61" s="22">
        <f>U60-U57</f>
        <v>-105</v>
      </c>
      <c r="V61" s="21">
        <v>1863</v>
      </c>
      <c r="W61" s="21">
        <v>1863</v>
      </c>
      <c r="X61" s="21">
        <v>663</v>
      </c>
      <c r="Y61" s="21">
        <v>476</v>
      </c>
      <c r="Z61" s="20">
        <v>476</v>
      </c>
      <c r="AA61" s="21">
        <v>476</v>
      </c>
      <c r="AB61" s="21">
        <v>31</v>
      </c>
      <c r="AC61" s="21">
        <v>31</v>
      </c>
      <c r="AD61" s="21">
        <v>-269</v>
      </c>
      <c r="AE61" s="20">
        <v>-269</v>
      </c>
      <c r="AF61" s="21">
        <v>-269</v>
      </c>
      <c r="AG61" s="21">
        <v>-269</v>
      </c>
      <c r="AH61" s="21">
        <v>-269</v>
      </c>
      <c r="AI61" s="21">
        <v>-269</v>
      </c>
      <c r="AJ61" s="21">
        <v>-269</v>
      </c>
      <c r="AK61" s="20">
        <f>AE61+AK60-AK57</f>
        <v>-269</v>
      </c>
      <c r="AL61" s="22">
        <f>T61+AL60-AL57</f>
        <v>-374</v>
      </c>
      <c r="AN61" s="13">
        <f t="shared" si="2"/>
        <v>0</v>
      </c>
      <c r="AO61" s="13">
        <f t="shared" si="3"/>
        <v>0</v>
      </c>
    </row>
    <row r="62" spans="1:41" s="15" customFormat="1" ht="17" thickBot="1">
      <c r="A62" s="46"/>
      <c r="B62" s="12" t="s">
        <v>9</v>
      </c>
      <c r="C62" s="26"/>
      <c r="D62" s="26"/>
      <c r="E62" s="19">
        <v>0</v>
      </c>
      <c r="F62" s="19">
        <v>0</v>
      </c>
      <c r="G62" s="19">
        <v>0</v>
      </c>
      <c r="H62" s="19">
        <v>0</v>
      </c>
      <c r="I62" s="23"/>
      <c r="J62" s="19">
        <v>0</v>
      </c>
      <c r="K62" s="19">
        <v>0</v>
      </c>
      <c r="L62" s="19">
        <v>-6693.7198067632853</v>
      </c>
      <c r="M62" s="19">
        <v>-3514.8105245738871</v>
      </c>
      <c r="N62" s="23"/>
      <c r="O62" s="19">
        <v>3104.418335263942</v>
      </c>
      <c r="P62" s="19">
        <v>-1892.1145737410943</v>
      </c>
      <c r="Q62" s="19">
        <v>-65225.375626043402</v>
      </c>
      <c r="R62" s="19" t="e">
        <v>#DIV/0!</v>
      </c>
      <c r="S62" s="19" t="e">
        <v>#REF!</v>
      </c>
      <c r="T62" s="23"/>
      <c r="U62" s="24"/>
      <c r="V62" s="19">
        <v>13278.688524590163</v>
      </c>
      <c r="W62" s="19">
        <v>11461.088895724391</v>
      </c>
      <c r="X62" s="19">
        <v>8256.5379825653799</v>
      </c>
      <c r="Y62" s="19">
        <v>6708.9499647639177</v>
      </c>
      <c r="Z62" s="23"/>
      <c r="AA62" s="19">
        <v>6389.2617449664422</v>
      </c>
      <c r="AB62" s="19">
        <v>593.3014354066986</v>
      </c>
      <c r="AC62" s="19">
        <v>593.3014354066986</v>
      </c>
      <c r="AD62" s="19">
        <v>-7221.4765100671138</v>
      </c>
      <c r="AE62" s="23"/>
      <c r="AF62" s="19" t="e">
        <v>#DIV/0!</v>
      </c>
      <c r="AG62" s="19">
        <v>-2486.1367837338262</v>
      </c>
      <c r="AH62" s="19" t="e">
        <v>#DIV/0!</v>
      </c>
      <c r="AI62" s="19" t="e">
        <v>#DIV/0!</v>
      </c>
      <c r="AJ62" s="19" t="e">
        <v>#REF!</v>
      </c>
      <c r="AK62" s="23"/>
      <c r="AL62" s="24"/>
      <c r="AN62" s="13">
        <f t="shared" si="2"/>
        <v>0</v>
      </c>
      <c r="AO62" s="13">
        <f t="shared" si="3"/>
        <v>0</v>
      </c>
    </row>
    <row r="63" spans="1:41" s="15" customFormat="1">
      <c r="A63" s="133" t="s">
        <v>22</v>
      </c>
      <c r="B63" s="3" t="s">
        <v>5</v>
      </c>
      <c r="C63" s="26"/>
      <c r="D63" s="26"/>
      <c r="E63" s="27">
        <v>0</v>
      </c>
      <c r="F63" s="27">
        <v>0</v>
      </c>
      <c r="G63" s="27">
        <v>0</v>
      </c>
      <c r="H63" s="27">
        <v>0</v>
      </c>
      <c r="I63" s="26">
        <v>0</v>
      </c>
      <c r="J63" s="27">
        <v>0</v>
      </c>
      <c r="K63" s="27">
        <v>0</v>
      </c>
      <c r="L63" s="27">
        <v>0</v>
      </c>
      <c r="M63" s="27">
        <v>0</v>
      </c>
      <c r="N63" s="26">
        <v>0</v>
      </c>
      <c r="O63" s="27">
        <v>0</v>
      </c>
      <c r="P63" s="27">
        <v>0</v>
      </c>
      <c r="Q63" s="27">
        <v>0</v>
      </c>
      <c r="R63" s="27">
        <v>0</v>
      </c>
      <c r="S63" s="27">
        <v>0</v>
      </c>
      <c r="T63" s="26">
        <f>SUM(O63:S63)</f>
        <v>0</v>
      </c>
      <c r="U63" s="28">
        <f>T63+N63+I63+D67</f>
        <v>0</v>
      </c>
      <c r="V63" s="27">
        <v>0</v>
      </c>
      <c r="W63" s="27">
        <v>0</v>
      </c>
      <c r="X63" s="27">
        <v>0</v>
      </c>
      <c r="Y63" s="27">
        <v>0</v>
      </c>
      <c r="Z63" s="26">
        <v>0</v>
      </c>
      <c r="AA63" s="27">
        <v>0</v>
      </c>
      <c r="AB63" s="27">
        <v>0</v>
      </c>
      <c r="AC63" s="27">
        <v>0</v>
      </c>
      <c r="AD63" s="27">
        <v>0</v>
      </c>
      <c r="AE63" s="26">
        <v>0</v>
      </c>
      <c r="AF63" s="27">
        <v>0</v>
      </c>
      <c r="AG63" s="27">
        <v>0</v>
      </c>
      <c r="AH63" s="27">
        <v>0</v>
      </c>
      <c r="AI63" s="27">
        <v>0</v>
      </c>
      <c r="AJ63" s="27">
        <v>0</v>
      </c>
      <c r="AK63" s="26">
        <f>SUM(AF63:AJ63)</f>
        <v>0</v>
      </c>
      <c r="AL63" s="28">
        <f>AK63+AE63+Z63</f>
        <v>0</v>
      </c>
      <c r="AM63" s="15">
        <v>256</v>
      </c>
      <c r="AN63" s="13">
        <f t="shared" si="2"/>
        <v>0</v>
      </c>
      <c r="AO63" s="13">
        <f t="shared" si="3"/>
        <v>0</v>
      </c>
    </row>
    <row r="64" spans="1:41" s="15" customFormat="1">
      <c r="A64" s="134"/>
      <c r="B64" s="12" t="s">
        <v>6</v>
      </c>
      <c r="C64" s="26"/>
      <c r="D64" s="26"/>
      <c r="E64" s="27">
        <v>0</v>
      </c>
      <c r="F64" s="27">
        <v>0</v>
      </c>
      <c r="G64" s="27">
        <v>0</v>
      </c>
      <c r="H64" s="27">
        <v>0</v>
      </c>
      <c r="I64" s="26">
        <v>0</v>
      </c>
      <c r="J64" s="27">
        <v>0</v>
      </c>
      <c r="K64" s="27">
        <v>0</v>
      </c>
      <c r="L64" s="27">
        <v>0</v>
      </c>
      <c r="M64" s="27">
        <v>0</v>
      </c>
      <c r="N64" s="26">
        <v>0</v>
      </c>
      <c r="O64" s="27">
        <v>0</v>
      </c>
      <c r="P64" s="27">
        <v>0</v>
      </c>
      <c r="Q64" s="27">
        <v>0</v>
      </c>
      <c r="R64" s="27">
        <v>0</v>
      </c>
      <c r="S64" s="27">
        <v>0</v>
      </c>
      <c r="T64" s="26">
        <f>SUM(O64:S64)</f>
        <v>0</v>
      </c>
      <c r="U64" s="28"/>
      <c r="V64" s="27">
        <v>0</v>
      </c>
      <c r="W64" s="27">
        <v>0</v>
      </c>
      <c r="X64" s="27">
        <v>0</v>
      </c>
      <c r="Y64" s="27">
        <v>0</v>
      </c>
      <c r="Z64" s="26">
        <v>0</v>
      </c>
      <c r="AA64" s="27">
        <v>0</v>
      </c>
      <c r="AB64" s="27">
        <v>0</v>
      </c>
      <c r="AC64" s="27">
        <v>0</v>
      </c>
      <c r="AD64" s="27">
        <v>0</v>
      </c>
      <c r="AE64" s="26">
        <v>0</v>
      </c>
      <c r="AF64" s="27">
        <v>0</v>
      </c>
      <c r="AG64" s="27">
        <v>0</v>
      </c>
      <c r="AH64" s="27">
        <v>0</v>
      </c>
      <c r="AI64" s="27">
        <v>0</v>
      </c>
      <c r="AJ64" s="27">
        <v>0</v>
      </c>
      <c r="AK64" s="26">
        <f>SUM(AF64:AJ64)</f>
        <v>0</v>
      </c>
      <c r="AL64" s="28"/>
      <c r="AN64" s="13">
        <f t="shared" si="2"/>
        <v>0</v>
      </c>
      <c r="AO64" s="13">
        <f t="shared" si="3"/>
        <v>0</v>
      </c>
    </row>
    <row r="65" spans="1:41" s="15" customFormat="1">
      <c r="A65" s="134"/>
      <c r="B65" s="12" t="s">
        <v>10</v>
      </c>
      <c r="C65" s="26">
        <v>0</v>
      </c>
      <c r="D65" s="26"/>
      <c r="E65" s="27">
        <v>0</v>
      </c>
      <c r="F65" s="27">
        <v>0</v>
      </c>
      <c r="G65" s="27">
        <v>0</v>
      </c>
      <c r="H65" s="27">
        <v>0</v>
      </c>
      <c r="I65" s="26">
        <v>0</v>
      </c>
      <c r="J65" s="27">
        <v>0</v>
      </c>
      <c r="K65" s="27">
        <v>0</v>
      </c>
      <c r="L65" s="27">
        <v>0</v>
      </c>
      <c r="M65" s="27">
        <v>0</v>
      </c>
      <c r="N65" s="26">
        <v>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6">
        <f>SUM(O65:R65)</f>
        <v>0</v>
      </c>
      <c r="U65" s="28">
        <f>I65+N65+T65</f>
        <v>0</v>
      </c>
      <c r="V65" s="27">
        <v>0</v>
      </c>
      <c r="W65" s="27">
        <v>0</v>
      </c>
      <c r="X65" s="27">
        <v>0</v>
      </c>
      <c r="Y65" s="27">
        <v>0</v>
      </c>
      <c r="Z65" s="26">
        <v>0</v>
      </c>
      <c r="AA65" s="27">
        <v>0</v>
      </c>
      <c r="AB65" s="27">
        <v>0</v>
      </c>
      <c r="AC65" s="27">
        <v>0</v>
      </c>
      <c r="AD65" s="27">
        <v>0</v>
      </c>
      <c r="AE65" s="26">
        <v>0</v>
      </c>
      <c r="AF65" s="27">
        <v>0</v>
      </c>
      <c r="AG65" s="27">
        <v>0</v>
      </c>
      <c r="AH65" s="27">
        <v>0</v>
      </c>
      <c r="AI65" s="27">
        <v>0</v>
      </c>
      <c r="AJ65" s="27">
        <v>0</v>
      </c>
      <c r="AK65" s="26">
        <f>SUM(AF65:AI65)</f>
        <v>0</v>
      </c>
      <c r="AL65" s="28">
        <f>Z65+AE65+AK65</f>
        <v>0</v>
      </c>
      <c r="AN65" s="13">
        <f t="shared" si="2"/>
        <v>0</v>
      </c>
      <c r="AO65" s="13">
        <f t="shared" si="3"/>
        <v>0</v>
      </c>
    </row>
    <row r="66" spans="1:41" s="15" customFormat="1">
      <c r="A66" s="134"/>
      <c r="B66" s="12" t="s">
        <v>7</v>
      </c>
      <c r="C66" s="26"/>
      <c r="D66" s="26"/>
      <c r="E66" s="32">
        <v>0</v>
      </c>
      <c r="F66" s="27">
        <v>0</v>
      </c>
      <c r="G66" s="27">
        <v>0</v>
      </c>
      <c r="H66" s="27">
        <v>0</v>
      </c>
      <c r="I66" s="26">
        <v>0</v>
      </c>
      <c r="J66" s="32">
        <v>0</v>
      </c>
      <c r="K66" s="27">
        <v>0</v>
      </c>
      <c r="L66" s="27">
        <v>0</v>
      </c>
      <c r="M66" s="27">
        <v>0</v>
      </c>
      <c r="N66" s="26">
        <v>0</v>
      </c>
      <c r="O66" s="32">
        <v>0</v>
      </c>
      <c r="P66" s="27">
        <v>0</v>
      </c>
      <c r="Q66" s="27">
        <v>0</v>
      </c>
      <c r="R66" s="27">
        <v>0</v>
      </c>
      <c r="S66" s="27">
        <v>0</v>
      </c>
      <c r="T66" s="26">
        <f>SUM(O66:S66)</f>
        <v>0</v>
      </c>
      <c r="U66" s="28">
        <f>T66+N66+I66+D67</f>
        <v>0</v>
      </c>
      <c r="V66" s="32">
        <v>0</v>
      </c>
      <c r="W66" s="27">
        <v>0</v>
      </c>
      <c r="X66" s="27">
        <v>0</v>
      </c>
      <c r="Y66" s="27">
        <v>0</v>
      </c>
      <c r="Z66" s="26">
        <v>0</v>
      </c>
      <c r="AA66" s="32">
        <v>0</v>
      </c>
      <c r="AB66" s="27">
        <v>0</v>
      </c>
      <c r="AC66" s="27">
        <v>0</v>
      </c>
      <c r="AD66" s="27">
        <v>0</v>
      </c>
      <c r="AE66" s="26">
        <v>0</v>
      </c>
      <c r="AF66" s="32">
        <v>0</v>
      </c>
      <c r="AG66" s="27">
        <v>0</v>
      </c>
      <c r="AH66" s="27">
        <v>0</v>
      </c>
      <c r="AI66" s="27">
        <v>0</v>
      </c>
      <c r="AJ66" s="27">
        <v>0</v>
      </c>
      <c r="AK66" s="26">
        <f>SUM(AF66:AJ66)</f>
        <v>0</v>
      </c>
      <c r="AL66" s="28">
        <f>AK66+AE66+Z66</f>
        <v>0</v>
      </c>
      <c r="AN66" s="13">
        <f t="shared" si="2"/>
        <v>0</v>
      </c>
      <c r="AO66" s="13">
        <f t="shared" si="3"/>
        <v>0</v>
      </c>
    </row>
    <row r="67" spans="1:41" s="15" customFormat="1" ht="17" thickBot="1">
      <c r="A67" s="135"/>
      <c r="B67" s="4" t="s">
        <v>8</v>
      </c>
      <c r="C67" s="26">
        <v>0</v>
      </c>
      <c r="D67" s="37">
        <v>0</v>
      </c>
      <c r="E67" s="21">
        <v>0</v>
      </c>
      <c r="F67" s="21">
        <v>0</v>
      </c>
      <c r="G67" s="21">
        <v>0</v>
      </c>
      <c r="H67" s="21">
        <v>0</v>
      </c>
      <c r="I67" s="20">
        <v>0</v>
      </c>
      <c r="J67" s="21">
        <v>0</v>
      </c>
      <c r="K67" s="21">
        <v>0</v>
      </c>
      <c r="L67" s="21">
        <v>0</v>
      </c>
      <c r="M67" s="21">
        <v>0</v>
      </c>
      <c r="N67" s="20">
        <v>0</v>
      </c>
      <c r="O67" s="21">
        <v>0</v>
      </c>
      <c r="P67" s="21">
        <v>0</v>
      </c>
      <c r="Q67" s="21">
        <v>0</v>
      </c>
      <c r="R67" s="21">
        <v>0</v>
      </c>
      <c r="S67" s="21">
        <v>0</v>
      </c>
      <c r="T67" s="20">
        <f>N67+T66-T63</f>
        <v>0</v>
      </c>
      <c r="U67" s="22">
        <f>U66-U63</f>
        <v>0</v>
      </c>
      <c r="V67" s="21">
        <v>0</v>
      </c>
      <c r="W67" s="21">
        <v>0</v>
      </c>
      <c r="X67" s="21">
        <v>0</v>
      </c>
      <c r="Y67" s="21">
        <v>0</v>
      </c>
      <c r="Z67" s="20">
        <v>0</v>
      </c>
      <c r="AA67" s="21">
        <v>0</v>
      </c>
      <c r="AB67" s="21">
        <v>0</v>
      </c>
      <c r="AC67" s="21">
        <v>0</v>
      </c>
      <c r="AD67" s="21">
        <v>0</v>
      </c>
      <c r="AE67" s="20">
        <v>0</v>
      </c>
      <c r="AF67" s="21">
        <v>0</v>
      </c>
      <c r="AG67" s="21">
        <v>0</v>
      </c>
      <c r="AH67" s="21">
        <v>0</v>
      </c>
      <c r="AI67" s="21">
        <v>0</v>
      </c>
      <c r="AJ67" s="21">
        <v>0</v>
      </c>
      <c r="AK67" s="20">
        <f>AE67+AK66-AK63</f>
        <v>0</v>
      </c>
      <c r="AL67" s="22">
        <f>T67+AL66-AL63</f>
        <v>0</v>
      </c>
      <c r="AN67" s="13">
        <f t="shared" si="2"/>
        <v>0</v>
      </c>
      <c r="AO67" s="13">
        <f t="shared" si="3"/>
        <v>0</v>
      </c>
    </row>
    <row r="68" spans="1:41" s="15" customFormat="1" ht="17" thickBot="1">
      <c r="A68" s="46"/>
      <c r="B68" s="12" t="s">
        <v>9</v>
      </c>
      <c r="C68" s="26"/>
      <c r="D68" s="26"/>
      <c r="E68" s="19" t="e">
        <v>#DIV/0!</v>
      </c>
      <c r="F68" s="19" t="e">
        <v>#DIV/0!</v>
      </c>
      <c r="G68" s="19" t="e">
        <v>#DIV/0!</v>
      </c>
      <c r="H68" s="19" t="e">
        <v>#DIV/0!</v>
      </c>
      <c r="I68" s="23"/>
      <c r="J68" s="19" t="e">
        <v>#DIV/0!</v>
      </c>
      <c r="K68" s="19" t="e">
        <v>#DIV/0!</v>
      </c>
      <c r="L68" s="19" t="e">
        <v>#DIV/0!</v>
      </c>
      <c r="M68" s="19" t="e">
        <v>#DIV/0!</v>
      </c>
      <c r="N68" s="23"/>
      <c r="O68" s="19" t="e">
        <v>#DIV/0!</v>
      </c>
      <c r="P68" s="19" t="e">
        <v>#DIV/0!</v>
      </c>
      <c r="Q68" s="19" t="e">
        <v>#DIV/0!</v>
      </c>
      <c r="R68" s="19" t="e">
        <v>#DIV/0!</v>
      </c>
      <c r="S68" s="19" t="e">
        <v>#REF!</v>
      </c>
      <c r="T68" s="23"/>
      <c r="U68" s="24"/>
      <c r="V68" s="19" t="e">
        <v>#DIV/0!</v>
      </c>
      <c r="W68" s="19" t="e">
        <v>#DIV/0!</v>
      </c>
      <c r="X68" s="19" t="e">
        <v>#DIV/0!</v>
      </c>
      <c r="Y68" s="19" t="e">
        <v>#DIV/0!</v>
      </c>
      <c r="Z68" s="23"/>
      <c r="AA68" s="19" t="e">
        <v>#DIV/0!</v>
      </c>
      <c r="AB68" s="19" t="e">
        <v>#DIV/0!</v>
      </c>
      <c r="AC68" s="19" t="e">
        <v>#DIV/0!</v>
      </c>
      <c r="AD68" s="19" t="e">
        <v>#DIV/0!</v>
      </c>
      <c r="AE68" s="23"/>
      <c r="AF68" s="19" t="e">
        <v>#DIV/0!</v>
      </c>
      <c r="AG68" s="19" t="e">
        <v>#DIV/0!</v>
      </c>
      <c r="AH68" s="19" t="e">
        <v>#DIV/0!</v>
      </c>
      <c r="AI68" s="19" t="e">
        <v>#DIV/0!</v>
      </c>
      <c r="AJ68" s="19" t="e">
        <v>#REF!</v>
      </c>
      <c r="AK68" s="23"/>
      <c r="AL68" s="24"/>
      <c r="AN68" s="13">
        <f t="shared" si="2"/>
        <v>0</v>
      </c>
      <c r="AO68" s="13">
        <f t="shared" si="3"/>
        <v>0</v>
      </c>
    </row>
    <row r="69" spans="1:41" s="15" customFormat="1">
      <c r="A69" s="133" t="s">
        <v>23</v>
      </c>
      <c r="B69" s="3" t="s">
        <v>5</v>
      </c>
      <c r="C69" s="26"/>
      <c r="D69" s="26"/>
      <c r="E69" s="27">
        <v>0</v>
      </c>
      <c r="F69" s="27">
        <v>0</v>
      </c>
      <c r="G69" s="27">
        <v>0</v>
      </c>
      <c r="H69" s="27">
        <v>0</v>
      </c>
      <c r="I69" s="26">
        <v>0</v>
      </c>
      <c r="J69" s="27">
        <v>0</v>
      </c>
      <c r="K69" s="27">
        <v>0</v>
      </c>
      <c r="L69" s="27">
        <v>0</v>
      </c>
      <c r="M69" s="27">
        <v>0</v>
      </c>
      <c r="N69" s="26">
        <v>0</v>
      </c>
      <c r="O69" s="27">
        <v>0</v>
      </c>
      <c r="P69" s="27">
        <v>0</v>
      </c>
      <c r="Q69" s="27">
        <v>0</v>
      </c>
      <c r="R69" s="27">
        <v>0</v>
      </c>
      <c r="S69" s="27">
        <v>0</v>
      </c>
      <c r="T69" s="26">
        <f>SUM(O69:S69)</f>
        <v>0</v>
      </c>
      <c r="U69" s="28">
        <f>T69+N69+I69+D73</f>
        <v>139</v>
      </c>
      <c r="V69" s="27">
        <v>0</v>
      </c>
      <c r="W69" s="27">
        <v>0</v>
      </c>
      <c r="X69" s="27">
        <v>0</v>
      </c>
      <c r="Y69" s="27">
        <v>0</v>
      </c>
      <c r="Z69" s="26">
        <v>0</v>
      </c>
      <c r="AA69" s="27">
        <v>0</v>
      </c>
      <c r="AB69" s="27">
        <v>0</v>
      </c>
      <c r="AC69" s="27">
        <v>0</v>
      </c>
      <c r="AD69" s="27">
        <v>0</v>
      </c>
      <c r="AE69" s="26">
        <v>0</v>
      </c>
      <c r="AF69" s="27">
        <v>0</v>
      </c>
      <c r="AG69" s="27">
        <v>0</v>
      </c>
      <c r="AH69" s="27">
        <v>0</v>
      </c>
      <c r="AI69" s="27">
        <v>0</v>
      </c>
      <c r="AJ69" s="27">
        <v>0</v>
      </c>
      <c r="AK69" s="26">
        <f>SUM(AF69:AJ69)</f>
        <v>0</v>
      </c>
      <c r="AL69" s="28">
        <f>AK69+AE69+Z69</f>
        <v>0</v>
      </c>
      <c r="AM69" s="15">
        <v>256</v>
      </c>
      <c r="AN69" s="13">
        <f t="shared" si="2"/>
        <v>35584</v>
      </c>
      <c r="AO69" s="13">
        <f t="shared" si="3"/>
        <v>0</v>
      </c>
    </row>
    <row r="70" spans="1:41" s="15" customFormat="1">
      <c r="A70" s="134"/>
      <c r="B70" s="12" t="s">
        <v>6</v>
      </c>
      <c r="C70" s="26"/>
      <c r="D70" s="26"/>
      <c r="E70" s="27">
        <v>0</v>
      </c>
      <c r="F70" s="27">
        <v>0</v>
      </c>
      <c r="G70" s="27">
        <v>0</v>
      </c>
      <c r="H70" s="27">
        <v>0</v>
      </c>
      <c r="I70" s="26">
        <v>0</v>
      </c>
      <c r="J70" s="27">
        <v>0</v>
      </c>
      <c r="K70" s="27">
        <v>0</v>
      </c>
      <c r="L70" s="27">
        <v>0</v>
      </c>
      <c r="M70" s="27">
        <v>0</v>
      </c>
      <c r="N70" s="26">
        <v>0</v>
      </c>
      <c r="O70" s="27">
        <v>0</v>
      </c>
      <c r="P70" s="27">
        <v>0</v>
      </c>
      <c r="Q70" s="27">
        <v>0</v>
      </c>
      <c r="R70" s="27">
        <v>0</v>
      </c>
      <c r="S70" s="27">
        <v>0</v>
      </c>
      <c r="T70" s="26">
        <f>SUM(O70:S70)</f>
        <v>0</v>
      </c>
      <c r="U70" s="28"/>
      <c r="V70" s="27">
        <v>0</v>
      </c>
      <c r="W70" s="27">
        <v>0</v>
      </c>
      <c r="X70" s="27">
        <v>0</v>
      </c>
      <c r="Y70" s="27">
        <v>0</v>
      </c>
      <c r="Z70" s="26">
        <v>0</v>
      </c>
      <c r="AA70" s="27">
        <v>0</v>
      </c>
      <c r="AB70" s="27">
        <v>0</v>
      </c>
      <c r="AC70" s="27">
        <v>0</v>
      </c>
      <c r="AD70" s="27">
        <v>0</v>
      </c>
      <c r="AE70" s="26">
        <v>0</v>
      </c>
      <c r="AF70" s="27">
        <v>0</v>
      </c>
      <c r="AG70" s="27">
        <v>0</v>
      </c>
      <c r="AH70" s="27">
        <v>0</v>
      </c>
      <c r="AI70" s="27">
        <v>0</v>
      </c>
      <c r="AJ70" s="27">
        <v>0</v>
      </c>
      <c r="AK70" s="26">
        <f>SUM(AF70:AJ70)</f>
        <v>0</v>
      </c>
      <c r="AL70" s="28"/>
      <c r="AN70" s="13">
        <f t="shared" si="2"/>
        <v>0</v>
      </c>
      <c r="AO70" s="13">
        <f t="shared" si="3"/>
        <v>0</v>
      </c>
    </row>
    <row r="71" spans="1:41" s="15" customFormat="1">
      <c r="A71" s="134"/>
      <c r="B71" s="12" t="s">
        <v>10</v>
      </c>
      <c r="C71" s="26">
        <v>0</v>
      </c>
      <c r="D71" s="26"/>
      <c r="E71" s="27">
        <v>0</v>
      </c>
      <c r="F71" s="27">
        <v>0</v>
      </c>
      <c r="G71" s="27">
        <v>0</v>
      </c>
      <c r="H71" s="27">
        <v>0</v>
      </c>
      <c r="I71" s="26">
        <v>0</v>
      </c>
      <c r="J71" s="27">
        <v>0</v>
      </c>
      <c r="K71" s="27">
        <v>0</v>
      </c>
      <c r="L71" s="27">
        <v>0</v>
      </c>
      <c r="M71" s="27">
        <v>0</v>
      </c>
      <c r="N71" s="26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6">
        <f>SUM(O71:R71)</f>
        <v>0</v>
      </c>
      <c r="U71" s="28">
        <f>I71+N71+T71</f>
        <v>0</v>
      </c>
      <c r="V71" s="27">
        <v>0</v>
      </c>
      <c r="W71" s="27">
        <v>0</v>
      </c>
      <c r="X71" s="27">
        <v>0</v>
      </c>
      <c r="Y71" s="27">
        <v>0</v>
      </c>
      <c r="Z71" s="26">
        <v>0</v>
      </c>
      <c r="AA71" s="27">
        <v>0</v>
      </c>
      <c r="AB71" s="27">
        <v>0</v>
      </c>
      <c r="AC71" s="27">
        <v>0</v>
      </c>
      <c r="AD71" s="27">
        <v>0</v>
      </c>
      <c r="AE71" s="26">
        <v>0</v>
      </c>
      <c r="AF71" s="27">
        <v>0</v>
      </c>
      <c r="AG71" s="27">
        <v>0</v>
      </c>
      <c r="AH71" s="27">
        <v>0</v>
      </c>
      <c r="AI71" s="27">
        <v>0</v>
      </c>
      <c r="AJ71" s="27">
        <v>0</v>
      </c>
      <c r="AK71" s="26">
        <f>SUM(AF71:AI71)</f>
        <v>0</v>
      </c>
      <c r="AL71" s="28">
        <f>Z71+AE71+AK71</f>
        <v>0</v>
      </c>
      <c r="AN71" s="13">
        <f t="shared" si="2"/>
        <v>0</v>
      </c>
      <c r="AO71" s="13">
        <f t="shared" si="3"/>
        <v>0</v>
      </c>
    </row>
    <row r="72" spans="1:41" s="15" customFormat="1">
      <c r="A72" s="134"/>
      <c r="B72" s="12" t="s">
        <v>7</v>
      </c>
      <c r="C72" s="26"/>
      <c r="D72" s="26"/>
      <c r="E72" s="32">
        <v>0</v>
      </c>
      <c r="F72" s="27">
        <v>0</v>
      </c>
      <c r="G72" s="27">
        <v>0</v>
      </c>
      <c r="H72" s="27">
        <v>0</v>
      </c>
      <c r="I72" s="26">
        <v>0</v>
      </c>
      <c r="J72" s="32">
        <v>0</v>
      </c>
      <c r="K72" s="27">
        <v>0</v>
      </c>
      <c r="L72" s="27">
        <v>0</v>
      </c>
      <c r="M72" s="27">
        <v>0</v>
      </c>
      <c r="N72" s="26">
        <v>0</v>
      </c>
      <c r="O72" s="32">
        <v>0</v>
      </c>
      <c r="P72" s="27">
        <v>0</v>
      </c>
      <c r="Q72" s="27">
        <v>0</v>
      </c>
      <c r="R72" s="27">
        <v>0</v>
      </c>
      <c r="S72" s="27">
        <v>0</v>
      </c>
      <c r="T72" s="26">
        <f>SUM(O72:S72)</f>
        <v>0</v>
      </c>
      <c r="U72" s="28">
        <f>T72+N72+I72+D73</f>
        <v>139</v>
      </c>
      <c r="V72" s="32">
        <v>0</v>
      </c>
      <c r="W72" s="27">
        <v>0</v>
      </c>
      <c r="X72" s="27">
        <v>0</v>
      </c>
      <c r="Y72" s="27">
        <v>0</v>
      </c>
      <c r="Z72" s="26">
        <v>0</v>
      </c>
      <c r="AA72" s="32">
        <v>0</v>
      </c>
      <c r="AB72" s="27">
        <v>0</v>
      </c>
      <c r="AC72" s="27">
        <v>0</v>
      </c>
      <c r="AD72" s="27">
        <v>0</v>
      </c>
      <c r="AE72" s="26">
        <v>0</v>
      </c>
      <c r="AF72" s="32">
        <v>0</v>
      </c>
      <c r="AG72" s="27">
        <v>0</v>
      </c>
      <c r="AH72" s="27">
        <v>0</v>
      </c>
      <c r="AI72" s="27">
        <v>0</v>
      </c>
      <c r="AJ72" s="27">
        <v>0</v>
      </c>
      <c r="AK72" s="26">
        <f>SUM(AF72:AJ72)</f>
        <v>0</v>
      </c>
      <c r="AL72" s="28">
        <f>AK72+AE72+Z72</f>
        <v>0</v>
      </c>
      <c r="AN72" s="13">
        <f t="shared" si="2"/>
        <v>0</v>
      </c>
      <c r="AO72" s="13">
        <f t="shared" si="3"/>
        <v>0</v>
      </c>
    </row>
    <row r="73" spans="1:41" s="15" customFormat="1" ht="17" thickBot="1">
      <c r="A73" s="135"/>
      <c r="B73" s="4" t="s">
        <v>8</v>
      </c>
      <c r="C73" s="26">
        <v>142</v>
      </c>
      <c r="D73" s="37">
        <v>139</v>
      </c>
      <c r="E73" s="21">
        <v>0</v>
      </c>
      <c r="F73" s="21">
        <v>0</v>
      </c>
      <c r="G73" s="21">
        <v>0</v>
      </c>
      <c r="H73" s="21">
        <v>0</v>
      </c>
      <c r="I73" s="20">
        <v>0</v>
      </c>
      <c r="J73" s="21">
        <v>0</v>
      </c>
      <c r="K73" s="21">
        <v>0</v>
      </c>
      <c r="L73" s="21">
        <v>0</v>
      </c>
      <c r="M73" s="21">
        <v>0</v>
      </c>
      <c r="N73" s="20">
        <v>0</v>
      </c>
      <c r="O73" s="21">
        <v>0</v>
      </c>
      <c r="P73" s="21">
        <v>0</v>
      </c>
      <c r="Q73" s="21">
        <v>0</v>
      </c>
      <c r="R73" s="21">
        <v>0</v>
      </c>
      <c r="S73" s="21">
        <v>0</v>
      </c>
      <c r="T73" s="20">
        <f>N73+T72-T69</f>
        <v>0</v>
      </c>
      <c r="U73" s="22">
        <f>U72-U69</f>
        <v>0</v>
      </c>
      <c r="V73" s="21">
        <v>0</v>
      </c>
      <c r="W73" s="21">
        <v>0</v>
      </c>
      <c r="X73" s="21">
        <v>0</v>
      </c>
      <c r="Y73" s="21">
        <v>0</v>
      </c>
      <c r="Z73" s="20">
        <v>0</v>
      </c>
      <c r="AA73" s="21">
        <v>0</v>
      </c>
      <c r="AB73" s="21">
        <v>0</v>
      </c>
      <c r="AC73" s="21">
        <v>0</v>
      </c>
      <c r="AD73" s="21">
        <v>0</v>
      </c>
      <c r="AE73" s="20">
        <v>0</v>
      </c>
      <c r="AF73" s="21">
        <v>0</v>
      </c>
      <c r="AG73" s="21">
        <v>0</v>
      </c>
      <c r="AH73" s="21">
        <v>0</v>
      </c>
      <c r="AI73" s="21">
        <v>0</v>
      </c>
      <c r="AJ73" s="21">
        <v>0</v>
      </c>
      <c r="AK73" s="20">
        <f>AE73+AK72-AK69</f>
        <v>0</v>
      </c>
      <c r="AL73" s="22">
        <f>T73+AL72-AL69</f>
        <v>0</v>
      </c>
      <c r="AN73" s="13">
        <f t="shared" si="2"/>
        <v>0</v>
      </c>
      <c r="AO73" s="13">
        <f t="shared" si="3"/>
        <v>0</v>
      </c>
    </row>
    <row r="74" spans="1:41" s="15" customFormat="1" ht="17" thickBot="1">
      <c r="A74" s="46"/>
      <c r="B74" s="12" t="s">
        <v>9</v>
      </c>
      <c r="C74" s="26"/>
      <c r="D74" s="26"/>
      <c r="E74" s="19" t="e">
        <v>#DIV/0!</v>
      </c>
      <c r="F74" s="19" t="e">
        <v>#DIV/0!</v>
      </c>
      <c r="G74" s="19" t="e">
        <v>#DIV/0!</v>
      </c>
      <c r="H74" s="19" t="e">
        <v>#DIV/0!</v>
      </c>
      <c r="I74" s="23"/>
      <c r="J74" s="19" t="e">
        <v>#DIV/0!</v>
      </c>
      <c r="K74" s="19" t="e">
        <v>#DIV/0!</v>
      </c>
      <c r="L74" s="19" t="e">
        <v>#DIV/0!</v>
      </c>
      <c r="M74" s="19" t="e">
        <v>#DIV/0!</v>
      </c>
      <c r="N74" s="23"/>
      <c r="O74" s="19" t="e">
        <v>#DIV/0!</v>
      </c>
      <c r="P74" s="19">
        <v>0</v>
      </c>
      <c r="Q74" s="19" t="e">
        <v>#DIV/0!</v>
      </c>
      <c r="R74" s="19" t="e">
        <v>#DIV/0!</v>
      </c>
      <c r="S74" s="19" t="e">
        <v>#REF!</v>
      </c>
      <c r="T74" s="23"/>
      <c r="U74" s="24"/>
      <c r="V74" s="19" t="e">
        <v>#DIV/0!</v>
      </c>
      <c r="W74" s="19" t="e">
        <v>#DIV/0!</v>
      </c>
      <c r="X74" s="19" t="e">
        <v>#DIV/0!</v>
      </c>
      <c r="Y74" s="19" t="e">
        <v>#DIV/0!</v>
      </c>
      <c r="Z74" s="23"/>
      <c r="AA74" s="19" t="e">
        <v>#DIV/0!</v>
      </c>
      <c r="AB74" s="19" t="e">
        <v>#DIV/0!</v>
      </c>
      <c r="AC74" s="19" t="e">
        <v>#DIV/0!</v>
      </c>
      <c r="AD74" s="19" t="e">
        <v>#DIV/0!</v>
      </c>
      <c r="AE74" s="23"/>
      <c r="AF74" s="19" t="e">
        <v>#DIV/0!</v>
      </c>
      <c r="AG74" s="19" t="e">
        <v>#DIV/0!</v>
      </c>
      <c r="AH74" s="19" t="e">
        <v>#DIV/0!</v>
      </c>
      <c r="AI74" s="19" t="e">
        <v>#DIV/0!</v>
      </c>
      <c r="AJ74" s="19" t="e">
        <v>#REF!</v>
      </c>
      <c r="AK74" s="23"/>
      <c r="AL74" s="24"/>
      <c r="AN74" s="13">
        <f t="shared" si="2"/>
        <v>0</v>
      </c>
      <c r="AO74" s="13">
        <f t="shared" si="3"/>
        <v>0</v>
      </c>
    </row>
    <row r="75" spans="1:41" s="15" customFormat="1">
      <c r="A75" s="133" t="s">
        <v>33</v>
      </c>
      <c r="B75" s="3" t="s">
        <v>5</v>
      </c>
      <c r="C75" s="26"/>
      <c r="D75" s="26"/>
      <c r="E75" s="27">
        <v>0</v>
      </c>
      <c r="F75" s="27">
        <v>538511</v>
      </c>
      <c r="G75" s="27">
        <v>69986</v>
      </c>
      <c r="H75" s="27">
        <v>0</v>
      </c>
      <c r="I75" s="26">
        <v>608497</v>
      </c>
      <c r="J75" s="27">
        <v>51375</v>
      </c>
      <c r="K75" s="27">
        <v>4500</v>
      </c>
      <c r="L75" s="27">
        <v>36382</v>
      </c>
      <c r="M75" s="27">
        <v>102907</v>
      </c>
      <c r="N75" s="26">
        <v>195164</v>
      </c>
      <c r="O75" s="27">
        <v>148230</v>
      </c>
      <c r="P75" s="27">
        <v>12941</v>
      </c>
      <c r="Q75" s="27">
        <v>301</v>
      </c>
      <c r="R75" s="27">
        <v>24524</v>
      </c>
      <c r="S75" s="27">
        <v>120000</v>
      </c>
      <c r="T75" s="26">
        <f>SUM(O75:S75)</f>
        <v>305996</v>
      </c>
      <c r="U75" s="28">
        <f>T75+N75+I75+D79</f>
        <v>1335704</v>
      </c>
      <c r="V75" s="27">
        <v>155785</v>
      </c>
      <c r="W75" s="27">
        <v>188</v>
      </c>
      <c r="X75" s="27">
        <v>2420</v>
      </c>
      <c r="Y75" s="27">
        <v>913</v>
      </c>
      <c r="Z75" s="26">
        <v>159306</v>
      </c>
      <c r="AA75" s="27">
        <v>3766</v>
      </c>
      <c r="AB75" s="27">
        <v>878</v>
      </c>
      <c r="AC75" s="27">
        <v>2676</v>
      </c>
      <c r="AD75" s="27">
        <v>927</v>
      </c>
      <c r="AE75" s="26">
        <v>8247</v>
      </c>
      <c r="AF75" s="27">
        <v>74</v>
      </c>
      <c r="AG75" s="27">
        <v>79</v>
      </c>
      <c r="AH75" s="27">
        <v>70</v>
      </c>
      <c r="AI75" s="27">
        <v>70</v>
      </c>
      <c r="AJ75" s="27">
        <v>52</v>
      </c>
      <c r="AK75" s="26">
        <f>SUM(AF75:AJ75)</f>
        <v>345</v>
      </c>
      <c r="AL75" s="28">
        <f>AK75+AE75+Z75</f>
        <v>167898</v>
      </c>
      <c r="AM75" s="15">
        <v>64</v>
      </c>
      <c r="AN75" s="13">
        <f t="shared" ref="AN75:AN86" si="4">U75*AM75</f>
        <v>85485056</v>
      </c>
      <c r="AO75" s="13">
        <f t="shared" ref="AO75:AO86" si="5">AL75*AM75</f>
        <v>10745472</v>
      </c>
    </row>
    <row r="76" spans="1:41" s="15" customFormat="1">
      <c r="A76" s="134"/>
      <c r="B76" s="12" t="s">
        <v>6</v>
      </c>
      <c r="C76" s="26"/>
      <c r="D76" s="26"/>
      <c r="E76" s="27">
        <v>0</v>
      </c>
      <c r="F76" s="27">
        <v>538511</v>
      </c>
      <c r="G76" s="27">
        <v>69986</v>
      </c>
      <c r="H76" s="27">
        <v>0</v>
      </c>
      <c r="I76" s="26">
        <v>608497</v>
      </c>
      <c r="J76" s="27">
        <v>51375</v>
      </c>
      <c r="K76" s="27">
        <v>4500</v>
      </c>
      <c r="L76" s="27">
        <v>0</v>
      </c>
      <c r="M76" s="27">
        <v>40000</v>
      </c>
      <c r="N76" s="26">
        <v>95875</v>
      </c>
      <c r="O76" s="27">
        <v>250000</v>
      </c>
      <c r="P76" s="27">
        <v>70000</v>
      </c>
      <c r="Q76" s="27">
        <v>100000</v>
      </c>
      <c r="R76" s="27">
        <v>90000</v>
      </c>
      <c r="S76" s="27">
        <v>120000</v>
      </c>
      <c r="T76" s="26">
        <f>SUM(O76:S76)</f>
        <v>630000</v>
      </c>
      <c r="U76" s="28"/>
      <c r="V76" s="27">
        <v>190000</v>
      </c>
      <c r="W76" s="27">
        <v>0</v>
      </c>
      <c r="X76" s="27">
        <v>0</v>
      </c>
      <c r="Y76" s="27">
        <v>0</v>
      </c>
      <c r="Z76" s="26">
        <v>190000</v>
      </c>
      <c r="AA76" s="27">
        <v>0</v>
      </c>
      <c r="AB76" s="27">
        <v>0</v>
      </c>
      <c r="AC76" s="27">
        <v>0</v>
      </c>
      <c r="AD76" s="27">
        <v>0</v>
      </c>
      <c r="AE76" s="26">
        <v>0</v>
      </c>
      <c r="AF76" s="27">
        <v>0</v>
      </c>
      <c r="AG76" s="27">
        <v>0</v>
      </c>
      <c r="AH76" s="27">
        <v>0</v>
      </c>
      <c r="AI76" s="27">
        <v>0</v>
      </c>
      <c r="AJ76" s="27">
        <v>0</v>
      </c>
      <c r="AK76" s="26">
        <f>SUM(AF76:AJ76)</f>
        <v>0</v>
      </c>
      <c r="AL76" s="28"/>
      <c r="AN76" s="13">
        <f t="shared" si="4"/>
        <v>0</v>
      </c>
      <c r="AO76" s="13">
        <f t="shared" si="5"/>
        <v>0</v>
      </c>
    </row>
    <row r="77" spans="1:41" s="15" customFormat="1">
      <c r="A77" s="134"/>
      <c r="B77" s="12" t="s">
        <v>10</v>
      </c>
      <c r="C77" s="26">
        <v>5000</v>
      </c>
      <c r="D77" s="26"/>
      <c r="E77" s="27">
        <v>0</v>
      </c>
      <c r="F77" s="27">
        <v>0</v>
      </c>
      <c r="G77" s="27">
        <v>0</v>
      </c>
      <c r="H77" s="27">
        <v>0</v>
      </c>
      <c r="I77" s="26">
        <v>0</v>
      </c>
      <c r="J77" s="27">
        <v>0</v>
      </c>
      <c r="K77" s="27">
        <v>0</v>
      </c>
      <c r="L77" s="27">
        <v>0</v>
      </c>
      <c r="M77" s="27">
        <v>5000</v>
      </c>
      <c r="N77" s="26">
        <v>5000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6">
        <f>SUM(O77:R77)</f>
        <v>0</v>
      </c>
      <c r="U77" s="28">
        <f>I77+N77+T77</f>
        <v>5000</v>
      </c>
      <c r="V77" s="27">
        <v>0</v>
      </c>
      <c r="W77" s="27">
        <v>0</v>
      </c>
      <c r="X77" s="27">
        <v>0</v>
      </c>
      <c r="Y77" s="27">
        <v>0</v>
      </c>
      <c r="Z77" s="26">
        <v>0</v>
      </c>
      <c r="AA77" s="27">
        <v>0</v>
      </c>
      <c r="AB77" s="27">
        <v>0</v>
      </c>
      <c r="AC77" s="27">
        <v>0</v>
      </c>
      <c r="AD77" s="27">
        <v>0</v>
      </c>
      <c r="AE77" s="26">
        <v>0</v>
      </c>
      <c r="AF77" s="27">
        <v>0</v>
      </c>
      <c r="AG77" s="27">
        <v>0</v>
      </c>
      <c r="AH77" s="27">
        <v>0</v>
      </c>
      <c r="AI77" s="27">
        <v>0</v>
      </c>
      <c r="AJ77" s="27">
        <v>0</v>
      </c>
      <c r="AK77" s="26">
        <f>SUM(AF77:AI77)</f>
        <v>0</v>
      </c>
      <c r="AL77" s="28">
        <f>Z77+AE77+AK77</f>
        <v>0</v>
      </c>
      <c r="AN77" s="13">
        <f t="shared" si="4"/>
        <v>0</v>
      </c>
      <c r="AO77" s="13">
        <f t="shared" si="5"/>
        <v>0</v>
      </c>
    </row>
    <row r="78" spans="1:41" s="15" customFormat="1">
      <c r="A78" s="134"/>
      <c r="B78" s="12" t="s">
        <v>7</v>
      </c>
      <c r="C78" s="26"/>
      <c r="D78" s="26"/>
      <c r="E78" s="32">
        <v>0</v>
      </c>
      <c r="F78" s="27">
        <v>538511</v>
      </c>
      <c r="G78" s="27">
        <v>69986</v>
      </c>
      <c r="H78" s="27">
        <v>0</v>
      </c>
      <c r="I78" s="26">
        <v>608497</v>
      </c>
      <c r="J78" s="32">
        <v>51375</v>
      </c>
      <c r="K78" s="27">
        <v>4500</v>
      </c>
      <c r="L78" s="27">
        <v>0</v>
      </c>
      <c r="M78" s="27">
        <v>45000</v>
      </c>
      <c r="N78" s="26">
        <v>100875</v>
      </c>
      <c r="O78" s="32">
        <v>250000</v>
      </c>
      <c r="P78" s="27">
        <v>70000</v>
      </c>
      <c r="Q78" s="27">
        <v>100000</v>
      </c>
      <c r="R78" s="27">
        <v>90000</v>
      </c>
      <c r="S78" s="27">
        <v>120000</v>
      </c>
      <c r="T78" s="26">
        <f>SUM(O78:S78)</f>
        <v>630000</v>
      </c>
      <c r="U78" s="28">
        <f>T78+N78+I78+D79</f>
        <v>1565419</v>
      </c>
      <c r="V78" s="32">
        <v>190000</v>
      </c>
      <c r="W78" s="27">
        <v>0</v>
      </c>
      <c r="X78" s="27">
        <v>0</v>
      </c>
      <c r="Y78" s="27">
        <v>0</v>
      </c>
      <c r="Z78" s="26">
        <v>419715</v>
      </c>
      <c r="AA78" s="32">
        <v>0</v>
      </c>
      <c r="AB78" s="27">
        <v>0</v>
      </c>
      <c r="AC78" s="27">
        <v>0</v>
      </c>
      <c r="AD78" s="27">
        <v>0</v>
      </c>
      <c r="AE78" s="26">
        <v>0</v>
      </c>
      <c r="AF78" s="32">
        <v>0</v>
      </c>
      <c r="AG78" s="27">
        <v>0</v>
      </c>
      <c r="AH78" s="27">
        <v>0</v>
      </c>
      <c r="AI78" s="27">
        <v>0</v>
      </c>
      <c r="AJ78" s="27">
        <v>0</v>
      </c>
      <c r="AK78" s="26">
        <f>SUM(AF78:AJ78)</f>
        <v>0</v>
      </c>
      <c r="AL78" s="28">
        <f>AK78+AE78+Z78</f>
        <v>419715</v>
      </c>
      <c r="AN78" s="13">
        <f t="shared" si="4"/>
        <v>0</v>
      </c>
      <c r="AO78" s="13">
        <f t="shared" si="5"/>
        <v>0</v>
      </c>
    </row>
    <row r="79" spans="1:41" s="15" customFormat="1" ht="17" thickBot="1">
      <c r="A79" s="135"/>
      <c r="B79" s="4" t="s">
        <v>8</v>
      </c>
      <c r="C79" s="26">
        <v>107336</v>
      </c>
      <c r="D79" s="37">
        <v>226047</v>
      </c>
      <c r="E79" s="21">
        <v>0</v>
      </c>
      <c r="F79" s="21">
        <v>0</v>
      </c>
      <c r="G79" s="21">
        <v>0</v>
      </c>
      <c r="H79" s="21">
        <v>0</v>
      </c>
      <c r="I79" s="20">
        <v>0</v>
      </c>
      <c r="J79" s="21">
        <v>0</v>
      </c>
      <c r="K79" s="21">
        <v>0</v>
      </c>
      <c r="L79" s="21">
        <v>-36382</v>
      </c>
      <c r="M79" s="21">
        <v>-94289</v>
      </c>
      <c r="N79" s="20">
        <v>-94289</v>
      </c>
      <c r="O79" s="21">
        <v>7481</v>
      </c>
      <c r="P79" s="21">
        <v>64540</v>
      </c>
      <c r="Q79" s="21">
        <v>164239</v>
      </c>
      <c r="R79" s="21">
        <v>229715</v>
      </c>
      <c r="S79" s="21">
        <v>229715</v>
      </c>
      <c r="T79" s="20">
        <f>N79+T78-T75</f>
        <v>229715</v>
      </c>
      <c r="U79" s="22">
        <f>U78-U75</f>
        <v>229715</v>
      </c>
      <c r="V79" s="21">
        <v>263930</v>
      </c>
      <c r="W79" s="21">
        <v>263742</v>
      </c>
      <c r="X79" s="21">
        <v>261322</v>
      </c>
      <c r="Y79" s="21">
        <v>260409</v>
      </c>
      <c r="Z79" s="20">
        <v>260409</v>
      </c>
      <c r="AA79" s="21">
        <v>256643</v>
      </c>
      <c r="AB79" s="21">
        <v>255765</v>
      </c>
      <c r="AC79" s="21">
        <v>253089</v>
      </c>
      <c r="AD79" s="21">
        <v>252162</v>
      </c>
      <c r="AE79" s="20">
        <v>252162</v>
      </c>
      <c r="AF79" s="21">
        <v>252088</v>
      </c>
      <c r="AG79" s="21">
        <v>252009</v>
      </c>
      <c r="AH79" s="21">
        <v>251939</v>
      </c>
      <c r="AI79" s="21">
        <v>251869</v>
      </c>
      <c r="AJ79" s="21">
        <v>251817</v>
      </c>
      <c r="AK79" s="20">
        <f>AE79+AK78-AK75</f>
        <v>251817</v>
      </c>
      <c r="AL79" s="22">
        <f>T79+AL78-AL75</f>
        <v>481532</v>
      </c>
      <c r="AN79" s="13">
        <f t="shared" si="4"/>
        <v>0</v>
      </c>
      <c r="AO79" s="13">
        <f t="shared" si="5"/>
        <v>0</v>
      </c>
    </row>
    <row r="80" spans="1:41" s="15" customFormat="1" ht="17" thickBot="1">
      <c r="A80" s="46"/>
      <c r="B80" s="12" t="s">
        <v>9</v>
      </c>
      <c r="C80" s="26"/>
      <c r="D80" s="26"/>
      <c r="E80" s="19">
        <v>0</v>
      </c>
      <c r="F80" s="19">
        <v>0</v>
      </c>
      <c r="G80" s="19">
        <v>0</v>
      </c>
      <c r="H80" s="19">
        <v>0</v>
      </c>
      <c r="I80" s="23"/>
      <c r="J80" s="19">
        <v>0</v>
      </c>
      <c r="K80" s="19">
        <v>0</v>
      </c>
      <c r="L80" s="19">
        <v>-2752.2609586994427</v>
      </c>
      <c r="M80" s="19">
        <v>-10138.820189681499</v>
      </c>
      <c r="N80" s="23"/>
      <c r="O80" s="19">
        <v>948.36656820861276</v>
      </c>
      <c r="P80" s="19">
        <v>871.85053450489659</v>
      </c>
      <c r="Q80" s="19">
        <v>22728.266585480611</v>
      </c>
      <c r="R80" s="19">
        <v>38285.833333333336</v>
      </c>
      <c r="S80" s="19" t="e">
        <v>#REF!</v>
      </c>
      <c r="T80" s="23"/>
      <c r="U80" s="24"/>
      <c r="V80" s="19">
        <v>32418.456398508846</v>
      </c>
      <c r="W80" s="19">
        <v>32258.664236746023</v>
      </c>
      <c r="X80" s="19">
        <v>32620.600552993088</v>
      </c>
      <c r="Y80" s="19">
        <v>32692.930586418592</v>
      </c>
      <c r="Z80" s="23"/>
      <c r="AA80" s="19">
        <v>403273.09868007549</v>
      </c>
      <c r="AB80" s="19">
        <v>428812.13848604239</v>
      </c>
      <c r="AC80" s="19">
        <v>551752.77959450625</v>
      </c>
      <c r="AD80" s="19">
        <v>611524.19061476889</v>
      </c>
      <c r="AE80" s="23"/>
      <c r="AF80" s="19">
        <v>18604280.442804426</v>
      </c>
      <c r="AG80" s="19">
        <v>29985.008031411744</v>
      </c>
      <c r="AH80" s="19">
        <v>41301475.409836061</v>
      </c>
      <c r="AI80" s="19">
        <v>96872692.307692304</v>
      </c>
      <c r="AJ80" s="19" t="e">
        <v>#REF!</v>
      </c>
      <c r="AK80" s="23"/>
      <c r="AL80" s="24"/>
      <c r="AN80" s="13">
        <f t="shared" si="4"/>
        <v>0</v>
      </c>
      <c r="AO80" s="13">
        <f t="shared" si="5"/>
        <v>0</v>
      </c>
    </row>
    <row r="81" spans="1:41" s="15" customFormat="1">
      <c r="A81" s="133" t="s">
        <v>34</v>
      </c>
      <c r="B81" s="3" t="s">
        <v>5</v>
      </c>
      <c r="C81" s="26"/>
      <c r="D81" s="26"/>
      <c r="E81" s="27">
        <v>0</v>
      </c>
      <c r="F81" s="27">
        <v>1250</v>
      </c>
      <c r="G81" s="27">
        <v>0</v>
      </c>
      <c r="H81" s="27">
        <v>7000</v>
      </c>
      <c r="I81" s="26">
        <v>8250</v>
      </c>
      <c r="J81" s="27">
        <v>0</v>
      </c>
      <c r="K81" s="27">
        <v>0</v>
      </c>
      <c r="L81" s="27">
        <v>9536</v>
      </c>
      <c r="M81" s="27">
        <v>2691</v>
      </c>
      <c r="N81" s="26">
        <v>12227</v>
      </c>
      <c r="O81" s="27">
        <v>212</v>
      </c>
      <c r="P81" s="27">
        <v>1865</v>
      </c>
      <c r="Q81" s="27">
        <v>585</v>
      </c>
      <c r="R81" s="27">
        <v>3279</v>
      </c>
      <c r="S81" s="27">
        <v>0</v>
      </c>
      <c r="T81" s="26">
        <f>SUM(O81:S81)</f>
        <v>5941</v>
      </c>
      <c r="U81" s="28">
        <f>T81+N81+I81+D85</f>
        <v>44467</v>
      </c>
      <c r="V81" s="27">
        <v>4140</v>
      </c>
      <c r="W81" s="27">
        <v>237</v>
      </c>
      <c r="X81" s="27">
        <v>1388</v>
      </c>
      <c r="Y81" s="27">
        <v>516</v>
      </c>
      <c r="Z81" s="26">
        <v>6281</v>
      </c>
      <c r="AA81" s="27">
        <v>144</v>
      </c>
      <c r="AB81" s="27">
        <v>377</v>
      </c>
      <c r="AC81" s="27">
        <v>1261</v>
      </c>
      <c r="AD81" s="27">
        <v>309</v>
      </c>
      <c r="AE81" s="26">
        <v>2091</v>
      </c>
      <c r="AF81" s="27">
        <v>63</v>
      </c>
      <c r="AG81" s="27">
        <v>70</v>
      </c>
      <c r="AH81" s="27">
        <v>67</v>
      </c>
      <c r="AI81" s="27">
        <v>67</v>
      </c>
      <c r="AJ81" s="27">
        <v>52</v>
      </c>
      <c r="AK81" s="26">
        <f>SUM(AF81:AJ81)</f>
        <v>319</v>
      </c>
      <c r="AL81" s="28">
        <f>AK81+AE81+Z81</f>
        <v>8691</v>
      </c>
      <c r="AM81" s="15">
        <v>128</v>
      </c>
      <c r="AN81" s="13">
        <f t="shared" si="4"/>
        <v>5691776</v>
      </c>
      <c r="AO81" s="13">
        <f t="shared" si="5"/>
        <v>1112448</v>
      </c>
    </row>
    <row r="82" spans="1:41" s="15" customFormat="1">
      <c r="A82" s="134"/>
      <c r="B82" s="12" t="s">
        <v>6</v>
      </c>
      <c r="C82" s="26"/>
      <c r="D82" s="26"/>
      <c r="E82" s="27">
        <v>0</v>
      </c>
      <c r="F82" s="27">
        <v>1250</v>
      </c>
      <c r="G82" s="27">
        <v>0</v>
      </c>
      <c r="H82" s="27">
        <v>7000</v>
      </c>
      <c r="I82" s="26">
        <v>8250</v>
      </c>
      <c r="J82" s="27">
        <v>0</v>
      </c>
      <c r="K82" s="27">
        <v>0</v>
      </c>
      <c r="L82" s="27">
        <v>2000</v>
      </c>
      <c r="M82" s="27">
        <v>16000</v>
      </c>
      <c r="N82" s="26">
        <v>18000</v>
      </c>
      <c r="O82" s="27">
        <v>0</v>
      </c>
      <c r="P82" s="27">
        <v>4000</v>
      </c>
      <c r="Q82" s="27">
        <v>4000</v>
      </c>
      <c r="R82" s="27">
        <v>5000</v>
      </c>
      <c r="S82" s="27">
        <v>5000</v>
      </c>
      <c r="T82" s="26">
        <f>SUM(O82:S82)</f>
        <v>18000</v>
      </c>
      <c r="U82" s="28"/>
      <c r="V82" s="27">
        <v>6000</v>
      </c>
      <c r="W82" s="27">
        <v>2000</v>
      </c>
      <c r="X82" s="27">
        <v>3000</v>
      </c>
      <c r="Y82" s="27">
        <v>0</v>
      </c>
      <c r="Z82" s="26">
        <v>11000</v>
      </c>
      <c r="AA82" s="27">
        <v>0</v>
      </c>
      <c r="AB82" s="27">
        <v>0</v>
      </c>
      <c r="AC82" s="27">
        <v>0</v>
      </c>
      <c r="AD82" s="27">
        <v>0</v>
      </c>
      <c r="AE82" s="26">
        <v>0</v>
      </c>
      <c r="AF82" s="27">
        <v>0</v>
      </c>
      <c r="AG82" s="27">
        <v>0</v>
      </c>
      <c r="AH82" s="27">
        <v>0</v>
      </c>
      <c r="AI82" s="27">
        <v>0</v>
      </c>
      <c r="AJ82" s="27">
        <v>0</v>
      </c>
      <c r="AK82" s="26">
        <f>SUM(AF82:AJ82)</f>
        <v>0</v>
      </c>
      <c r="AL82" s="28"/>
      <c r="AN82" s="13">
        <f t="shared" si="4"/>
        <v>0</v>
      </c>
      <c r="AO82" s="13">
        <f t="shared" si="5"/>
        <v>0</v>
      </c>
    </row>
    <row r="83" spans="1:41" s="15" customFormat="1">
      <c r="A83" s="134"/>
      <c r="B83" s="12" t="s">
        <v>10</v>
      </c>
      <c r="C83" s="26">
        <v>0</v>
      </c>
      <c r="D83" s="26"/>
      <c r="E83" s="27">
        <v>0</v>
      </c>
      <c r="F83" s="27">
        <v>0</v>
      </c>
      <c r="G83" s="27">
        <v>0</v>
      </c>
      <c r="H83" s="27">
        <v>0</v>
      </c>
      <c r="I83" s="26">
        <v>0</v>
      </c>
      <c r="J83" s="27">
        <v>0</v>
      </c>
      <c r="K83" s="27">
        <v>0</v>
      </c>
      <c r="L83" s="27">
        <v>0</v>
      </c>
      <c r="M83" s="27">
        <v>0</v>
      </c>
      <c r="N83" s="26">
        <v>0</v>
      </c>
      <c r="O83" s="27">
        <v>0</v>
      </c>
      <c r="P83" s="27">
        <v>0</v>
      </c>
      <c r="Q83" s="27">
        <v>0</v>
      </c>
      <c r="R83" s="27">
        <v>0</v>
      </c>
      <c r="S83" s="27">
        <v>0</v>
      </c>
      <c r="T83" s="26">
        <f>SUM(O83:R83)</f>
        <v>0</v>
      </c>
      <c r="U83" s="28">
        <f>I83+N83+T83</f>
        <v>0</v>
      </c>
      <c r="V83" s="27">
        <v>0</v>
      </c>
      <c r="W83" s="27">
        <v>0</v>
      </c>
      <c r="X83" s="27">
        <v>0</v>
      </c>
      <c r="Y83" s="27">
        <v>0</v>
      </c>
      <c r="Z83" s="26">
        <v>0</v>
      </c>
      <c r="AA83" s="27">
        <v>0</v>
      </c>
      <c r="AB83" s="27">
        <v>0</v>
      </c>
      <c r="AC83" s="27">
        <v>0</v>
      </c>
      <c r="AD83" s="27">
        <v>0</v>
      </c>
      <c r="AE83" s="26">
        <v>0</v>
      </c>
      <c r="AF83" s="27">
        <v>0</v>
      </c>
      <c r="AG83" s="27">
        <v>0</v>
      </c>
      <c r="AH83" s="27">
        <v>0</v>
      </c>
      <c r="AI83" s="27">
        <v>0</v>
      </c>
      <c r="AJ83" s="27">
        <v>0</v>
      </c>
      <c r="AK83" s="26">
        <f>SUM(AF83:AI83)</f>
        <v>0</v>
      </c>
      <c r="AL83" s="28">
        <f>Z83+AE83+AK83</f>
        <v>0</v>
      </c>
      <c r="AN83" s="13">
        <f t="shared" si="4"/>
        <v>0</v>
      </c>
      <c r="AO83" s="13">
        <f t="shared" si="5"/>
        <v>0</v>
      </c>
    </row>
    <row r="84" spans="1:41" s="15" customFormat="1">
      <c r="A84" s="134"/>
      <c r="B84" s="12" t="s">
        <v>7</v>
      </c>
      <c r="C84" s="26"/>
      <c r="D84" s="26"/>
      <c r="E84" s="32">
        <v>0</v>
      </c>
      <c r="F84" s="27">
        <v>1250</v>
      </c>
      <c r="G84" s="27">
        <v>0</v>
      </c>
      <c r="H84" s="27">
        <v>7000</v>
      </c>
      <c r="I84" s="26">
        <v>8250</v>
      </c>
      <c r="J84" s="32">
        <v>0</v>
      </c>
      <c r="K84" s="27">
        <v>0</v>
      </c>
      <c r="L84" s="27">
        <v>2000</v>
      </c>
      <c r="M84" s="27">
        <v>16000</v>
      </c>
      <c r="N84" s="26">
        <v>18000</v>
      </c>
      <c r="O84" s="32">
        <v>0</v>
      </c>
      <c r="P84" s="27">
        <v>4000</v>
      </c>
      <c r="Q84" s="27">
        <v>4000</v>
      </c>
      <c r="R84" s="27">
        <v>5000</v>
      </c>
      <c r="S84" s="27">
        <v>5000</v>
      </c>
      <c r="T84" s="26">
        <f>SUM(O84:S84)</f>
        <v>18000</v>
      </c>
      <c r="U84" s="28">
        <f>T84+N84+I84+D85</f>
        <v>62299</v>
      </c>
      <c r="V84" s="32">
        <v>6000</v>
      </c>
      <c r="W84" s="27">
        <v>2000</v>
      </c>
      <c r="X84" s="27">
        <v>3000</v>
      </c>
      <c r="Y84" s="27">
        <v>0</v>
      </c>
      <c r="Z84" s="26">
        <v>28832</v>
      </c>
      <c r="AA84" s="32">
        <v>0</v>
      </c>
      <c r="AB84" s="27">
        <v>0</v>
      </c>
      <c r="AC84" s="27">
        <v>0</v>
      </c>
      <c r="AD84" s="27">
        <v>0</v>
      </c>
      <c r="AE84" s="26">
        <v>0</v>
      </c>
      <c r="AF84" s="32">
        <v>0</v>
      </c>
      <c r="AG84" s="27">
        <v>0</v>
      </c>
      <c r="AH84" s="27">
        <v>0</v>
      </c>
      <c r="AI84" s="27">
        <v>0</v>
      </c>
      <c r="AJ84" s="27">
        <v>0</v>
      </c>
      <c r="AK84" s="26">
        <f>SUM(AF84:AJ84)</f>
        <v>0</v>
      </c>
      <c r="AL84" s="28">
        <f>AK84+AE84+Z84</f>
        <v>28832</v>
      </c>
      <c r="AN84" s="13">
        <f t="shared" si="4"/>
        <v>0</v>
      </c>
      <c r="AO84" s="13">
        <f t="shared" si="5"/>
        <v>0</v>
      </c>
    </row>
    <row r="85" spans="1:41" s="15" customFormat="1" ht="17" thickBot="1">
      <c r="A85" s="135"/>
      <c r="B85" s="4" t="s">
        <v>8</v>
      </c>
      <c r="C85" s="26">
        <v>1633</v>
      </c>
      <c r="D85" s="37">
        <v>18049</v>
      </c>
      <c r="E85" s="21">
        <v>0</v>
      </c>
      <c r="F85" s="21">
        <v>0</v>
      </c>
      <c r="G85" s="21">
        <v>0</v>
      </c>
      <c r="H85" s="21">
        <v>0</v>
      </c>
      <c r="I85" s="20">
        <v>0</v>
      </c>
      <c r="J85" s="21">
        <v>0</v>
      </c>
      <c r="K85" s="21">
        <v>0</v>
      </c>
      <c r="L85" s="21">
        <v>-7536</v>
      </c>
      <c r="M85" s="21">
        <v>5773</v>
      </c>
      <c r="N85" s="20">
        <v>5773</v>
      </c>
      <c r="O85" s="21">
        <v>5561</v>
      </c>
      <c r="P85" s="21">
        <v>7696</v>
      </c>
      <c r="Q85" s="21">
        <v>11111</v>
      </c>
      <c r="R85" s="21">
        <v>12832</v>
      </c>
      <c r="S85" s="21">
        <v>17832</v>
      </c>
      <c r="T85" s="20">
        <f>N85+T84-T81</f>
        <v>17832</v>
      </c>
      <c r="U85" s="22">
        <f>U84-U81</f>
        <v>17832</v>
      </c>
      <c r="V85" s="21">
        <v>19692</v>
      </c>
      <c r="W85" s="21">
        <v>21455</v>
      </c>
      <c r="X85" s="21">
        <v>23067</v>
      </c>
      <c r="Y85" s="21">
        <v>22551</v>
      </c>
      <c r="Z85" s="20">
        <v>22551</v>
      </c>
      <c r="AA85" s="21">
        <v>22407</v>
      </c>
      <c r="AB85" s="21">
        <v>22030</v>
      </c>
      <c r="AC85" s="21">
        <v>20769</v>
      </c>
      <c r="AD85" s="21">
        <v>20460</v>
      </c>
      <c r="AE85" s="20">
        <v>20460</v>
      </c>
      <c r="AF85" s="21">
        <v>20397</v>
      </c>
      <c r="AG85" s="21">
        <v>20327</v>
      </c>
      <c r="AH85" s="21">
        <v>20260</v>
      </c>
      <c r="AI85" s="21">
        <v>20193</v>
      </c>
      <c r="AJ85" s="21">
        <v>20141</v>
      </c>
      <c r="AK85" s="20">
        <f>AE85+AK84-AK81</f>
        <v>20141</v>
      </c>
      <c r="AL85" s="22">
        <f>T85+AL84-AL81</f>
        <v>37973</v>
      </c>
      <c r="AN85" s="13">
        <f t="shared" si="4"/>
        <v>0</v>
      </c>
      <c r="AO85" s="13">
        <f t="shared" si="5"/>
        <v>0</v>
      </c>
    </row>
    <row r="86" spans="1:41" s="15" customFormat="1" ht="17" thickBot="1">
      <c r="A86" s="46"/>
      <c r="B86" s="12" t="s">
        <v>9</v>
      </c>
      <c r="C86" s="26"/>
      <c r="D86" s="26"/>
      <c r="E86" s="19">
        <v>0</v>
      </c>
      <c r="F86" s="19">
        <v>0</v>
      </c>
      <c r="G86" s="19">
        <v>0</v>
      </c>
      <c r="H86" s="19">
        <v>0</v>
      </c>
      <c r="I86" s="23"/>
      <c r="J86" s="19">
        <v>0</v>
      </c>
      <c r="K86" s="19">
        <v>0</v>
      </c>
      <c r="L86" s="19">
        <v>-28156.17410797684</v>
      </c>
      <c r="M86" s="19">
        <v>19434.438646692473</v>
      </c>
      <c r="N86" s="23"/>
      <c r="O86" s="19">
        <v>19413.510211206143</v>
      </c>
      <c r="P86" s="19">
        <v>3184.7054685398602</v>
      </c>
      <c r="Q86" s="19">
        <v>67770.66178713023</v>
      </c>
      <c r="R86" s="19" t="e">
        <v>#DIV/0!</v>
      </c>
      <c r="S86" s="19" t="e">
        <v>#REF!</v>
      </c>
      <c r="T86" s="23"/>
      <c r="U86" s="24"/>
      <c r="V86" s="19">
        <v>46763.239135597243</v>
      </c>
      <c r="W86" s="19">
        <v>50116.795141322124</v>
      </c>
      <c r="X86" s="19">
        <v>67874.062086214515</v>
      </c>
      <c r="Y86" s="19">
        <v>71807.037096003827</v>
      </c>
      <c r="Z86" s="23"/>
      <c r="AA86" s="19">
        <v>110980.68350668647</v>
      </c>
      <c r="AB86" s="19">
        <v>118091.66443312785</v>
      </c>
      <c r="AC86" s="19">
        <v>173075</v>
      </c>
      <c r="AD86" s="19">
        <v>195695.83931133428</v>
      </c>
      <c r="AE86" s="23"/>
      <c r="AF86" s="19">
        <v>1593515.625</v>
      </c>
      <c r="AG86" s="19">
        <v>45797.00349217077</v>
      </c>
      <c r="AH86" s="19">
        <v>3405042.0168067226</v>
      </c>
      <c r="AI86" s="19">
        <v>7766538.461538461</v>
      </c>
      <c r="AJ86" s="19" t="e">
        <v>#REF!</v>
      </c>
      <c r="AK86" s="23"/>
      <c r="AL86" s="24"/>
      <c r="AN86" s="13">
        <f t="shared" si="4"/>
        <v>0</v>
      </c>
      <c r="AO86" s="13">
        <f t="shared" si="5"/>
        <v>0</v>
      </c>
    </row>
    <row r="87" spans="1:41" s="29" customFormat="1" ht="13">
      <c r="A87" s="133" t="s">
        <v>48</v>
      </c>
      <c r="B87" s="25" t="s">
        <v>5</v>
      </c>
      <c r="C87" s="26"/>
      <c r="D87" s="26"/>
      <c r="E87" s="27">
        <v>0</v>
      </c>
      <c r="F87" s="27">
        <v>0</v>
      </c>
      <c r="G87" s="27">
        <v>0</v>
      </c>
      <c r="H87" s="27">
        <v>0</v>
      </c>
      <c r="I87" s="26">
        <v>0</v>
      </c>
      <c r="J87" s="27">
        <v>0</v>
      </c>
      <c r="K87" s="27">
        <v>0</v>
      </c>
      <c r="L87" s="27">
        <v>0</v>
      </c>
      <c r="M87" s="27">
        <v>0</v>
      </c>
      <c r="N87" s="26">
        <v>0</v>
      </c>
      <c r="O87" s="27">
        <v>0</v>
      </c>
      <c r="P87" s="27">
        <v>84</v>
      </c>
      <c r="Q87" s="27">
        <v>0</v>
      </c>
      <c r="R87" s="27">
        <v>0</v>
      </c>
      <c r="S87" s="27">
        <v>0</v>
      </c>
      <c r="T87" s="26">
        <f>SUM(O87:S87)</f>
        <v>84</v>
      </c>
      <c r="U87" s="28">
        <f>T87+N87+I87+D91</f>
        <v>84</v>
      </c>
      <c r="V87" s="27">
        <v>0</v>
      </c>
      <c r="W87" s="27">
        <v>0</v>
      </c>
      <c r="X87" s="27">
        <v>0</v>
      </c>
      <c r="Y87" s="27">
        <v>0</v>
      </c>
      <c r="Z87" s="26">
        <v>0</v>
      </c>
      <c r="AA87" s="27">
        <v>0</v>
      </c>
      <c r="AB87" s="27">
        <v>0</v>
      </c>
      <c r="AC87" s="27">
        <v>0</v>
      </c>
      <c r="AD87" s="27">
        <v>0</v>
      </c>
      <c r="AE87" s="26">
        <v>0</v>
      </c>
      <c r="AF87" s="27">
        <v>0</v>
      </c>
      <c r="AG87" s="27">
        <v>0</v>
      </c>
      <c r="AH87" s="27">
        <v>0</v>
      </c>
      <c r="AI87" s="27">
        <v>0</v>
      </c>
      <c r="AJ87" s="27">
        <v>0</v>
      </c>
      <c r="AK87" s="26">
        <f>SUM(AF87:AJ87)</f>
        <v>0</v>
      </c>
      <c r="AL87" s="28">
        <f>AK87+AE87+Z87</f>
        <v>0</v>
      </c>
      <c r="AM87" s="29">
        <v>128</v>
      </c>
      <c r="AN87" s="30">
        <f t="shared" ref="AN87:AN104" si="6">AM87*U87</f>
        <v>10752</v>
      </c>
      <c r="AO87" s="30">
        <f t="shared" ref="AO87:AO114" si="7">AL87*AM87</f>
        <v>0</v>
      </c>
    </row>
    <row r="88" spans="1:41" s="29" customFormat="1" ht="13">
      <c r="A88" s="134"/>
      <c r="B88" s="31" t="s">
        <v>6</v>
      </c>
      <c r="C88" s="26"/>
      <c r="D88" s="26"/>
      <c r="E88" s="27">
        <v>0</v>
      </c>
      <c r="F88" s="27">
        <v>0</v>
      </c>
      <c r="G88" s="27">
        <v>0</v>
      </c>
      <c r="H88" s="27">
        <v>0</v>
      </c>
      <c r="I88" s="26">
        <v>0</v>
      </c>
      <c r="J88" s="27">
        <v>0</v>
      </c>
      <c r="K88" s="27">
        <v>0</v>
      </c>
      <c r="L88" s="27">
        <v>0</v>
      </c>
      <c r="M88" s="27">
        <v>0</v>
      </c>
      <c r="N88" s="26">
        <v>0</v>
      </c>
      <c r="O88" s="27">
        <v>0</v>
      </c>
      <c r="P88" s="27">
        <v>0</v>
      </c>
      <c r="Q88" s="27">
        <v>0</v>
      </c>
      <c r="R88" s="27">
        <v>0</v>
      </c>
      <c r="S88" s="27">
        <v>0</v>
      </c>
      <c r="T88" s="26">
        <f>SUM(O88:S88)</f>
        <v>0</v>
      </c>
      <c r="U88" s="28"/>
      <c r="V88" s="27">
        <v>0</v>
      </c>
      <c r="W88" s="27">
        <v>0</v>
      </c>
      <c r="X88" s="27">
        <v>0</v>
      </c>
      <c r="Y88" s="27">
        <v>0</v>
      </c>
      <c r="Z88" s="26">
        <v>0</v>
      </c>
      <c r="AA88" s="27">
        <v>0</v>
      </c>
      <c r="AB88" s="27">
        <v>0</v>
      </c>
      <c r="AC88" s="27">
        <v>0</v>
      </c>
      <c r="AD88" s="27">
        <v>0</v>
      </c>
      <c r="AE88" s="26">
        <v>0</v>
      </c>
      <c r="AF88" s="27">
        <v>0</v>
      </c>
      <c r="AG88" s="27">
        <v>0</v>
      </c>
      <c r="AH88" s="27">
        <v>0</v>
      </c>
      <c r="AI88" s="27">
        <v>0</v>
      </c>
      <c r="AJ88" s="27">
        <v>0</v>
      </c>
      <c r="AK88" s="26">
        <f>SUM(AF88:AJ88)</f>
        <v>0</v>
      </c>
      <c r="AL88" s="28"/>
      <c r="AN88" s="30">
        <f t="shared" si="6"/>
        <v>0</v>
      </c>
      <c r="AO88" s="30">
        <f t="shared" si="7"/>
        <v>0</v>
      </c>
    </row>
    <row r="89" spans="1:41" s="29" customFormat="1" ht="13">
      <c r="A89" s="134"/>
      <c r="B89" s="31" t="s">
        <v>10</v>
      </c>
      <c r="C89" s="26">
        <v>0</v>
      </c>
      <c r="D89" s="26"/>
      <c r="E89" s="27">
        <v>0</v>
      </c>
      <c r="F89" s="27">
        <v>0</v>
      </c>
      <c r="G89" s="27">
        <v>0</v>
      </c>
      <c r="H89" s="27">
        <v>0</v>
      </c>
      <c r="I89" s="26">
        <v>0</v>
      </c>
      <c r="J89" s="27">
        <v>0</v>
      </c>
      <c r="K89" s="27">
        <v>0</v>
      </c>
      <c r="L89" s="27">
        <v>0</v>
      </c>
      <c r="M89" s="27">
        <v>0</v>
      </c>
      <c r="N89" s="26">
        <v>0</v>
      </c>
      <c r="O89" s="27">
        <v>0</v>
      </c>
      <c r="P89" s="27">
        <v>0</v>
      </c>
      <c r="Q89" s="27">
        <v>0</v>
      </c>
      <c r="R89" s="27">
        <v>0</v>
      </c>
      <c r="S89" s="27">
        <v>0</v>
      </c>
      <c r="T89" s="26">
        <f>SUM(O89:R89)</f>
        <v>0</v>
      </c>
      <c r="U89" s="28">
        <f>I89+N89+T89</f>
        <v>0</v>
      </c>
      <c r="V89" s="27">
        <v>0</v>
      </c>
      <c r="W89" s="27">
        <v>0</v>
      </c>
      <c r="X89" s="27">
        <v>0</v>
      </c>
      <c r="Y89" s="27">
        <v>0</v>
      </c>
      <c r="Z89" s="26">
        <v>0</v>
      </c>
      <c r="AA89" s="27">
        <v>0</v>
      </c>
      <c r="AB89" s="27">
        <v>0</v>
      </c>
      <c r="AC89" s="27">
        <v>0</v>
      </c>
      <c r="AD89" s="27">
        <v>0</v>
      </c>
      <c r="AE89" s="26">
        <v>0</v>
      </c>
      <c r="AF89" s="27">
        <v>0</v>
      </c>
      <c r="AG89" s="27">
        <v>0</v>
      </c>
      <c r="AH89" s="27">
        <v>0</v>
      </c>
      <c r="AI89" s="27">
        <v>0</v>
      </c>
      <c r="AJ89" s="27">
        <v>0</v>
      </c>
      <c r="AK89" s="26">
        <f>SUM(AF89:AI89)</f>
        <v>0</v>
      </c>
      <c r="AL89" s="28">
        <f>Z89+AE89+AK89</f>
        <v>0</v>
      </c>
      <c r="AN89" s="30">
        <f t="shared" si="6"/>
        <v>0</v>
      </c>
      <c r="AO89" s="30">
        <f t="shared" si="7"/>
        <v>0</v>
      </c>
    </row>
    <row r="90" spans="1:41" s="29" customFormat="1" ht="13">
      <c r="A90" s="134"/>
      <c r="B90" s="31" t="s">
        <v>7</v>
      </c>
      <c r="C90" s="26"/>
      <c r="D90" s="26"/>
      <c r="E90" s="27">
        <v>0</v>
      </c>
      <c r="F90" s="27">
        <v>0</v>
      </c>
      <c r="G90" s="27">
        <v>0</v>
      </c>
      <c r="H90" s="27">
        <v>0</v>
      </c>
      <c r="I90" s="26">
        <v>0</v>
      </c>
      <c r="J90" s="27">
        <v>0</v>
      </c>
      <c r="K90" s="27">
        <v>0</v>
      </c>
      <c r="L90" s="27">
        <v>0</v>
      </c>
      <c r="M90" s="27">
        <v>0</v>
      </c>
      <c r="N90" s="26">
        <v>0</v>
      </c>
      <c r="O90" s="27">
        <v>0</v>
      </c>
      <c r="P90" s="27">
        <v>0</v>
      </c>
      <c r="Q90" s="27">
        <v>0</v>
      </c>
      <c r="R90" s="27">
        <v>0</v>
      </c>
      <c r="S90" s="27">
        <v>0</v>
      </c>
      <c r="T90" s="26">
        <f>SUM(O90:S90)</f>
        <v>0</v>
      </c>
      <c r="U90" s="28">
        <f>T90+N90+I90+D91</f>
        <v>0</v>
      </c>
      <c r="V90" s="27">
        <v>0</v>
      </c>
      <c r="W90" s="27">
        <v>0</v>
      </c>
      <c r="X90" s="27">
        <v>0</v>
      </c>
      <c r="Y90" s="27">
        <v>0</v>
      </c>
      <c r="Z90" s="26">
        <v>-84</v>
      </c>
      <c r="AA90" s="27">
        <v>0</v>
      </c>
      <c r="AB90" s="27">
        <v>0</v>
      </c>
      <c r="AC90" s="27">
        <v>0</v>
      </c>
      <c r="AD90" s="27">
        <v>0</v>
      </c>
      <c r="AE90" s="26">
        <v>0</v>
      </c>
      <c r="AF90" s="27">
        <v>0</v>
      </c>
      <c r="AG90" s="27">
        <v>0</v>
      </c>
      <c r="AH90" s="27">
        <v>0</v>
      </c>
      <c r="AI90" s="27">
        <v>0</v>
      </c>
      <c r="AJ90" s="27">
        <v>0</v>
      </c>
      <c r="AK90" s="26">
        <f>SUM(AF90:AJ90)</f>
        <v>0</v>
      </c>
      <c r="AL90" s="28">
        <f>AK90+AE90+Z90</f>
        <v>-84</v>
      </c>
      <c r="AN90" s="30">
        <f t="shared" si="6"/>
        <v>0</v>
      </c>
      <c r="AO90" s="30">
        <f t="shared" si="7"/>
        <v>0</v>
      </c>
    </row>
    <row r="91" spans="1:41" s="29" customFormat="1" ht="14" thickBot="1">
      <c r="A91" s="135"/>
      <c r="B91" s="33" t="s">
        <v>8</v>
      </c>
      <c r="C91" s="34">
        <v>0</v>
      </c>
      <c r="D91" s="35">
        <v>0</v>
      </c>
      <c r="E91" s="21">
        <v>0</v>
      </c>
      <c r="F91" s="21">
        <v>0</v>
      </c>
      <c r="G91" s="21">
        <v>0</v>
      </c>
      <c r="H91" s="21">
        <v>0</v>
      </c>
      <c r="I91" s="20">
        <v>0</v>
      </c>
      <c r="J91" s="21">
        <v>0</v>
      </c>
      <c r="K91" s="21">
        <v>0</v>
      </c>
      <c r="L91" s="21">
        <v>0</v>
      </c>
      <c r="M91" s="21">
        <v>0</v>
      </c>
      <c r="N91" s="20">
        <v>0</v>
      </c>
      <c r="O91" s="21">
        <v>0</v>
      </c>
      <c r="P91" s="21">
        <v>-84</v>
      </c>
      <c r="Q91" s="21">
        <v>-84</v>
      </c>
      <c r="R91" s="21">
        <v>-84</v>
      </c>
      <c r="S91" s="21">
        <v>-84</v>
      </c>
      <c r="T91" s="20">
        <f>N91+T90-T87</f>
        <v>-84</v>
      </c>
      <c r="U91" s="22">
        <f>U90-U87</f>
        <v>-84</v>
      </c>
      <c r="V91" s="21">
        <v>-84</v>
      </c>
      <c r="W91" s="21">
        <v>-84</v>
      </c>
      <c r="X91" s="21">
        <v>-84</v>
      </c>
      <c r="Y91" s="21">
        <v>-84</v>
      </c>
      <c r="Z91" s="20">
        <v>-84</v>
      </c>
      <c r="AA91" s="21">
        <v>-84</v>
      </c>
      <c r="AB91" s="21">
        <v>-84</v>
      </c>
      <c r="AC91" s="21">
        <v>-84</v>
      </c>
      <c r="AD91" s="21">
        <v>-84</v>
      </c>
      <c r="AE91" s="20">
        <v>-84</v>
      </c>
      <c r="AF91" s="21">
        <v>-84</v>
      </c>
      <c r="AG91" s="21">
        <v>-84</v>
      </c>
      <c r="AH91" s="21">
        <v>-84</v>
      </c>
      <c r="AI91" s="21">
        <v>-84</v>
      </c>
      <c r="AJ91" s="21">
        <v>-84</v>
      </c>
      <c r="AK91" s="20">
        <f>AE91+AK90-AK87</f>
        <v>-84</v>
      </c>
      <c r="AL91" s="22">
        <f>T91+AL90-AL87</f>
        <v>-168</v>
      </c>
      <c r="AN91" s="30">
        <f t="shared" si="6"/>
        <v>0</v>
      </c>
      <c r="AO91" s="30">
        <f t="shared" si="7"/>
        <v>0</v>
      </c>
    </row>
    <row r="92" spans="1:41" s="29" customFormat="1" ht="17" thickBot="1">
      <c r="A92" s="36"/>
      <c r="B92" s="31" t="s">
        <v>9</v>
      </c>
      <c r="C92" s="26"/>
      <c r="D92" s="26"/>
      <c r="E92" s="19" t="e">
        <v>#DIV/0!</v>
      </c>
      <c r="F92" s="19" t="e">
        <v>#DIV/0!</v>
      </c>
      <c r="G92" s="19" t="e">
        <v>#DIV/0!</v>
      </c>
      <c r="H92" s="19" t="e">
        <v>#DIV/0!</v>
      </c>
      <c r="I92" s="23"/>
      <c r="J92" s="19" t="e">
        <v>#DIV/0!</v>
      </c>
      <c r="K92" s="19">
        <v>0</v>
      </c>
      <c r="L92" s="19">
        <v>0</v>
      </c>
      <c r="M92" s="19">
        <v>0</v>
      </c>
      <c r="N92" s="23"/>
      <c r="O92" s="19">
        <v>0</v>
      </c>
      <c r="P92" s="19">
        <v>-20000</v>
      </c>
      <c r="Q92" s="19" t="e">
        <v>#DIV/0!</v>
      </c>
      <c r="R92" s="19" t="e">
        <v>#DIV/0!</v>
      </c>
      <c r="S92" s="19" t="e">
        <v>#REF!</v>
      </c>
      <c r="T92" s="23"/>
      <c r="U92" s="24"/>
      <c r="V92" s="19" t="e">
        <v>#DIV/0!</v>
      </c>
      <c r="W92" s="19" t="e">
        <v>#DIV/0!</v>
      </c>
      <c r="X92" s="19" t="e">
        <v>#DIV/0!</v>
      </c>
      <c r="Y92" s="19" t="e">
        <v>#DIV/0!</v>
      </c>
      <c r="Z92" s="23"/>
      <c r="AA92" s="19" t="e">
        <v>#DIV/0!</v>
      </c>
      <c r="AB92" s="19" t="e">
        <v>#DIV/0!</v>
      </c>
      <c r="AC92" s="19" t="e">
        <v>#DIV/0!</v>
      </c>
      <c r="AD92" s="19" t="e">
        <v>#DIV/0!</v>
      </c>
      <c r="AE92" s="23"/>
      <c r="AF92" s="19" t="e">
        <v>#DIV/0!</v>
      </c>
      <c r="AG92" s="19" t="e">
        <v>#DIV/0!</v>
      </c>
      <c r="AH92" s="19" t="e">
        <v>#DIV/0!</v>
      </c>
      <c r="AI92" s="19" t="e">
        <v>#DIV/0!</v>
      </c>
      <c r="AJ92" s="19" t="e">
        <v>#REF!</v>
      </c>
      <c r="AK92" s="23"/>
      <c r="AL92" s="24"/>
      <c r="AN92" s="30">
        <f t="shared" si="6"/>
        <v>0</v>
      </c>
      <c r="AO92" s="30">
        <f t="shared" si="7"/>
        <v>0</v>
      </c>
    </row>
    <row r="93" spans="1:41" s="29" customFormat="1" ht="13">
      <c r="A93" s="133" t="s">
        <v>54</v>
      </c>
      <c r="B93" s="25" t="s">
        <v>5</v>
      </c>
      <c r="C93" s="26"/>
      <c r="D93" s="26"/>
      <c r="E93" s="27">
        <v>0</v>
      </c>
      <c r="F93" s="27">
        <v>0</v>
      </c>
      <c r="G93" s="27">
        <v>0</v>
      </c>
      <c r="H93" s="27">
        <v>0</v>
      </c>
      <c r="I93" s="26">
        <v>0</v>
      </c>
      <c r="J93" s="27">
        <v>0</v>
      </c>
      <c r="K93" s="27">
        <v>0</v>
      </c>
      <c r="L93" s="27">
        <v>0</v>
      </c>
      <c r="M93" s="27">
        <v>0</v>
      </c>
      <c r="N93" s="26">
        <v>0</v>
      </c>
      <c r="O93" s="27">
        <v>0</v>
      </c>
      <c r="P93" s="27">
        <v>0</v>
      </c>
      <c r="Q93" s="27">
        <v>0</v>
      </c>
      <c r="R93" s="27">
        <v>0</v>
      </c>
      <c r="S93" s="27">
        <v>0</v>
      </c>
      <c r="T93" s="26">
        <f>SUM(O93:S93)</f>
        <v>0</v>
      </c>
      <c r="U93" s="28">
        <f>T93+N93+I93+D97</f>
        <v>702</v>
      </c>
      <c r="V93" s="27">
        <v>8024</v>
      </c>
      <c r="W93" s="27">
        <v>2</v>
      </c>
      <c r="X93" s="27">
        <v>2</v>
      </c>
      <c r="Y93" s="27">
        <v>7</v>
      </c>
      <c r="Z93" s="26">
        <v>8035</v>
      </c>
      <c r="AA93" s="27">
        <v>158270</v>
      </c>
      <c r="AB93" s="27">
        <v>136939</v>
      </c>
      <c r="AC93" s="27">
        <v>377</v>
      </c>
      <c r="AD93" s="27">
        <v>11715</v>
      </c>
      <c r="AE93" s="26">
        <v>307301</v>
      </c>
      <c r="AF93" s="27">
        <v>44</v>
      </c>
      <c r="AG93" s="27">
        <v>21695</v>
      </c>
      <c r="AH93" s="27">
        <v>36</v>
      </c>
      <c r="AI93" s="27">
        <v>36</v>
      </c>
      <c r="AJ93" s="27">
        <v>36</v>
      </c>
      <c r="AK93" s="26">
        <f>SUM(AF93:AJ93)</f>
        <v>21847</v>
      </c>
      <c r="AL93" s="28">
        <f>AK93+AE93+Z93</f>
        <v>337183</v>
      </c>
      <c r="AM93" s="29">
        <v>64</v>
      </c>
      <c r="AN93" s="30">
        <f t="shared" si="6"/>
        <v>44928</v>
      </c>
      <c r="AO93" s="30">
        <f t="shared" si="7"/>
        <v>21579712</v>
      </c>
    </row>
    <row r="94" spans="1:41" s="29" customFormat="1" ht="13">
      <c r="A94" s="134"/>
      <c r="B94" s="31" t="s">
        <v>6</v>
      </c>
      <c r="C94" s="26"/>
      <c r="D94" s="26"/>
      <c r="E94" s="27">
        <v>0</v>
      </c>
      <c r="F94" s="27">
        <v>0</v>
      </c>
      <c r="G94" s="27">
        <v>0</v>
      </c>
      <c r="H94" s="27">
        <v>0</v>
      </c>
      <c r="I94" s="26">
        <v>0</v>
      </c>
      <c r="J94" s="27">
        <v>0</v>
      </c>
      <c r="K94" s="27">
        <v>0</v>
      </c>
      <c r="L94" s="27">
        <v>0</v>
      </c>
      <c r="M94" s="27">
        <v>0</v>
      </c>
      <c r="N94" s="26">
        <v>0</v>
      </c>
      <c r="O94" s="27">
        <v>0</v>
      </c>
      <c r="P94" s="27">
        <v>0</v>
      </c>
      <c r="Q94" s="27">
        <v>0</v>
      </c>
      <c r="R94" s="27">
        <v>0</v>
      </c>
      <c r="S94" s="27">
        <v>2500</v>
      </c>
      <c r="T94" s="26">
        <f>SUM(O94:S94)</f>
        <v>2500</v>
      </c>
      <c r="U94" s="28"/>
      <c r="V94" s="27">
        <v>0</v>
      </c>
      <c r="W94" s="27">
        <v>0</v>
      </c>
      <c r="X94" s="27">
        <v>0</v>
      </c>
      <c r="Y94" s="27">
        <v>10000</v>
      </c>
      <c r="Z94" s="26">
        <v>10000</v>
      </c>
      <c r="AA94" s="27">
        <v>50000</v>
      </c>
      <c r="AB94" s="27">
        <v>75000</v>
      </c>
      <c r="AC94" s="27">
        <v>75000</v>
      </c>
      <c r="AD94" s="27">
        <v>100000</v>
      </c>
      <c r="AE94" s="26">
        <v>300000</v>
      </c>
      <c r="AF94" s="27">
        <v>0</v>
      </c>
      <c r="AG94" s="27">
        <v>10000</v>
      </c>
      <c r="AH94" s="27">
        <v>10000</v>
      </c>
      <c r="AI94" s="27">
        <v>10000</v>
      </c>
      <c r="AJ94" s="27">
        <v>10000</v>
      </c>
      <c r="AK94" s="26">
        <f>SUM(AF94:AJ94)</f>
        <v>40000</v>
      </c>
      <c r="AL94" s="28"/>
      <c r="AN94" s="30">
        <f t="shared" si="6"/>
        <v>0</v>
      </c>
      <c r="AO94" s="30">
        <f t="shared" si="7"/>
        <v>0</v>
      </c>
    </row>
    <row r="95" spans="1:41" s="29" customFormat="1" ht="13">
      <c r="A95" s="134"/>
      <c r="B95" s="31" t="s">
        <v>10</v>
      </c>
      <c r="C95" s="26">
        <v>0</v>
      </c>
      <c r="D95" s="26"/>
      <c r="E95" s="27">
        <v>0</v>
      </c>
      <c r="F95" s="27">
        <v>0</v>
      </c>
      <c r="G95" s="27">
        <v>0</v>
      </c>
      <c r="H95" s="27">
        <v>0</v>
      </c>
      <c r="I95" s="26">
        <v>0</v>
      </c>
      <c r="J95" s="27">
        <v>0</v>
      </c>
      <c r="K95" s="27">
        <v>0</v>
      </c>
      <c r="L95" s="27">
        <v>0</v>
      </c>
      <c r="M95" s="27">
        <v>0</v>
      </c>
      <c r="N95" s="26">
        <v>0</v>
      </c>
      <c r="O95" s="27">
        <v>0</v>
      </c>
      <c r="P95" s="27">
        <v>0</v>
      </c>
      <c r="Q95" s="27">
        <v>0</v>
      </c>
      <c r="R95" s="27">
        <v>0</v>
      </c>
      <c r="S95" s="27">
        <v>0</v>
      </c>
      <c r="T95" s="26">
        <f>SUM(O95:R95)</f>
        <v>0</v>
      </c>
      <c r="U95" s="28">
        <f>I95+N95+T95</f>
        <v>0</v>
      </c>
      <c r="V95" s="27">
        <v>0</v>
      </c>
      <c r="W95" s="27">
        <v>0</v>
      </c>
      <c r="X95" s="27">
        <v>0</v>
      </c>
      <c r="Y95" s="27">
        <v>0</v>
      </c>
      <c r="Z95" s="26">
        <v>0</v>
      </c>
      <c r="AA95" s="27">
        <v>0</v>
      </c>
      <c r="AB95" s="27">
        <v>0</v>
      </c>
      <c r="AC95" s="27">
        <v>0</v>
      </c>
      <c r="AD95" s="27">
        <v>0</v>
      </c>
      <c r="AE95" s="26">
        <v>0</v>
      </c>
      <c r="AF95" s="27">
        <v>0</v>
      </c>
      <c r="AG95" s="27">
        <v>0</v>
      </c>
      <c r="AH95" s="27">
        <v>0</v>
      </c>
      <c r="AI95" s="27">
        <v>0</v>
      </c>
      <c r="AJ95" s="27">
        <v>0</v>
      </c>
      <c r="AK95" s="26">
        <f>SUM(AF95:AI95)</f>
        <v>0</v>
      </c>
      <c r="AL95" s="28">
        <f>Z95+AE95+AK95</f>
        <v>0</v>
      </c>
      <c r="AN95" s="30">
        <f t="shared" si="6"/>
        <v>0</v>
      </c>
      <c r="AO95" s="30">
        <f t="shared" si="7"/>
        <v>0</v>
      </c>
    </row>
    <row r="96" spans="1:41" s="29" customFormat="1" ht="13">
      <c r="A96" s="134"/>
      <c r="B96" s="31" t="s">
        <v>7</v>
      </c>
      <c r="C96" s="26"/>
      <c r="D96" s="26"/>
      <c r="E96" s="32">
        <v>0</v>
      </c>
      <c r="F96" s="27">
        <v>0</v>
      </c>
      <c r="G96" s="27">
        <v>0</v>
      </c>
      <c r="H96" s="27">
        <v>0</v>
      </c>
      <c r="I96" s="26">
        <v>0</v>
      </c>
      <c r="J96" s="32">
        <v>0</v>
      </c>
      <c r="K96" s="27">
        <v>0</v>
      </c>
      <c r="L96" s="27">
        <v>0</v>
      </c>
      <c r="M96" s="27">
        <v>0</v>
      </c>
      <c r="N96" s="26">
        <v>0</v>
      </c>
      <c r="O96" s="32">
        <v>0</v>
      </c>
      <c r="P96" s="27">
        <v>0</v>
      </c>
      <c r="Q96" s="27">
        <v>0</v>
      </c>
      <c r="R96" s="27">
        <v>0</v>
      </c>
      <c r="S96" s="27">
        <v>2500</v>
      </c>
      <c r="T96" s="26">
        <f>SUM(O96:S96)</f>
        <v>2500</v>
      </c>
      <c r="U96" s="28">
        <f>T96+N96+I96+D97</f>
        <v>3202</v>
      </c>
      <c r="V96" s="32">
        <v>0</v>
      </c>
      <c r="W96" s="27">
        <v>0</v>
      </c>
      <c r="X96" s="27">
        <v>0</v>
      </c>
      <c r="Y96" s="27">
        <v>10000</v>
      </c>
      <c r="Z96" s="26">
        <v>12500</v>
      </c>
      <c r="AA96" s="32">
        <v>50000</v>
      </c>
      <c r="AB96" s="27">
        <v>75000</v>
      </c>
      <c r="AC96" s="27">
        <v>75000</v>
      </c>
      <c r="AD96" s="27">
        <v>100000</v>
      </c>
      <c r="AE96" s="26">
        <v>300000</v>
      </c>
      <c r="AF96" s="32">
        <v>0</v>
      </c>
      <c r="AG96" s="27">
        <v>10000</v>
      </c>
      <c r="AH96" s="27">
        <v>10000</v>
      </c>
      <c r="AI96" s="27">
        <v>10000</v>
      </c>
      <c r="AJ96" s="27">
        <v>10000</v>
      </c>
      <c r="AK96" s="26">
        <f>SUM(AF96:AJ96)</f>
        <v>40000</v>
      </c>
      <c r="AL96" s="28">
        <f>AK96+AE96+Z96</f>
        <v>352500</v>
      </c>
      <c r="AN96" s="30">
        <f t="shared" si="6"/>
        <v>0</v>
      </c>
      <c r="AO96" s="30">
        <f t="shared" si="7"/>
        <v>0</v>
      </c>
    </row>
    <row r="97" spans="1:41" s="29" customFormat="1" ht="14" thickBot="1">
      <c r="A97" s="135"/>
      <c r="B97" s="33" t="s">
        <v>8</v>
      </c>
      <c r="C97" s="34">
        <v>0</v>
      </c>
      <c r="D97" s="35">
        <v>702</v>
      </c>
      <c r="E97" s="21">
        <v>0</v>
      </c>
      <c r="F97" s="21">
        <v>0</v>
      </c>
      <c r="G97" s="21">
        <v>0</v>
      </c>
      <c r="H97" s="21">
        <v>0</v>
      </c>
      <c r="I97" s="20">
        <v>0</v>
      </c>
      <c r="J97" s="21">
        <v>0</v>
      </c>
      <c r="K97" s="21">
        <v>0</v>
      </c>
      <c r="L97" s="21">
        <v>0</v>
      </c>
      <c r="M97" s="21">
        <v>0</v>
      </c>
      <c r="N97" s="20">
        <v>0</v>
      </c>
      <c r="O97" s="21">
        <v>0</v>
      </c>
      <c r="P97" s="21">
        <v>0</v>
      </c>
      <c r="Q97" s="21">
        <v>0</v>
      </c>
      <c r="R97" s="21">
        <v>0</v>
      </c>
      <c r="S97" s="21">
        <v>2500</v>
      </c>
      <c r="T97" s="20">
        <f>N97+T96-T93</f>
        <v>2500</v>
      </c>
      <c r="U97" s="22">
        <f>U96-U93</f>
        <v>2500</v>
      </c>
      <c r="V97" s="21">
        <v>-5524</v>
      </c>
      <c r="W97" s="21">
        <v>-5526</v>
      </c>
      <c r="X97" s="21">
        <v>-5528</v>
      </c>
      <c r="Y97" s="21">
        <v>4465</v>
      </c>
      <c r="Z97" s="20">
        <v>4465</v>
      </c>
      <c r="AA97" s="21">
        <v>-103805</v>
      </c>
      <c r="AB97" s="21">
        <v>-165744</v>
      </c>
      <c r="AC97" s="21">
        <v>-91121</v>
      </c>
      <c r="AD97" s="21">
        <v>-2836</v>
      </c>
      <c r="AE97" s="20">
        <v>-2836</v>
      </c>
      <c r="AF97" s="21">
        <v>-2880</v>
      </c>
      <c r="AG97" s="21">
        <v>-14575</v>
      </c>
      <c r="AH97" s="21">
        <v>-4611</v>
      </c>
      <c r="AI97" s="21">
        <v>5353</v>
      </c>
      <c r="AJ97" s="21">
        <v>15317</v>
      </c>
      <c r="AK97" s="20">
        <f>AE97+AK96-AK93</f>
        <v>15317</v>
      </c>
      <c r="AL97" s="22">
        <f>T97+AL96-AL93</f>
        <v>17817</v>
      </c>
      <c r="AN97" s="30">
        <f t="shared" si="6"/>
        <v>0</v>
      </c>
      <c r="AO97" s="30">
        <f t="shared" si="7"/>
        <v>0</v>
      </c>
    </row>
    <row r="98" spans="1:41" s="29" customFormat="1" ht="17" thickBot="1">
      <c r="A98" s="36"/>
      <c r="B98" s="31" t="s">
        <v>9</v>
      </c>
      <c r="C98" s="26"/>
      <c r="D98" s="26"/>
      <c r="E98" s="19" t="e">
        <v>#DIV/0!</v>
      </c>
      <c r="F98" s="19" t="e">
        <v>#DIV/0!</v>
      </c>
      <c r="G98" s="19" t="e">
        <v>#DIV/0!</v>
      </c>
      <c r="H98" s="19" t="e">
        <v>#DIV/0!</v>
      </c>
      <c r="I98" s="23"/>
      <c r="J98" s="19" t="e">
        <v>#DIV/0!</v>
      </c>
      <c r="K98" s="19" t="e">
        <v>#DIV/0!</v>
      </c>
      <c r="L98" s="19" t="e">
        <v>#DIV/0!</v>
      </c>
      <c r="M98" s="19" t="e">
        <v>#DIV/0!</v>
      </c>
      <c r="N98" s="23"/>
      <c r="O98" s="19" t="e">
        <v>#DIV/0!</v>
      </c>
      <c r="P98" s="19">
        <v>0</v>
      </c>
      <c r="Q98" s="19" t="e">
        <v>#DIV/0!</v>
      </c>
      <c r="R98" s="19" t="e">
        <v>#DIV/0!</v>
      </c>
      <c r="S98" s="19" t="e">
        <v>#REF!</v>
      </c>
      <c r="T98" s="23"/>
      <c r="U98" s="24"/>
      <c r="V98" s="19">
        <v>-13731.046482724334</v>
      </c>
      <c r="W98" s="19">
        <v>-762.29626921777037</v>
      </c>
      <c r="X98" s="19">
        <v>-13747.823924396915</v>
      </c>
      <c r="Y98" s="19">
        <v>11113.876789047916</v>
      </c>
      <c r="Z98" s="23"/>
      <c r="AA98" s="19">
        <v>-4549.5384939035621</v>
      </c>
      <c r="AB98" s="19">
        <v>-9718.5477061638048</v>
      </c>
      <c r="AC98" s="19">
        <v>-5712.6288336635153</v>
      </c>
      <c r="AD98" s="19">
        <v>-184.5747329165867</v>
      </c>
      <c r="AE98" s="23"/>
      <c r="AF98" s="19">
        <v>-2641.8382791358981</v>
      </c>
      <c r="AG98" s="19">
        <v>-864.23889163956346</v>
      </c>
      <c r="AH98" s="19">
        <v>-1280833.3333333333</v>
      </c>
      <c r="AI98" s="19">
        <v>2973888.8888888885</v>
      </c>
      <c r="AJ98" s="19" t="e">
        <v>#REF!</v>
      </c>
      <c r="AK98" s="23"/>
      <c r="AL98" s="24"/>
      <c r="AN98" s="30">
        <f t="shared" si="6"/>
        <v>0</v>
      </c>
      <c r="AO98" s="30">
        <f t="shared" si="7"/>
        <v>0</v>
      </c>
    </row>
    <row r="99" spans="1:41" s="29" customFormat="1" ht="13">
      <c r="A99" s="133" t="s">
        <v>55</v>
      </c>
      <c r="B99" s="25" t="s">
        <v>5</v>
      </c>
      <c r="C99" s="26"/>
      <c r="D99" s="26"/>
      <c r="E99" s="27">
        <v>0</v>
      </c>
      <c r="F99" s="27">
        <v>0</v>
      </c>
      <c r="G99" s="27">
        <v>0</v>
      </c>
      <c r="H99" s="27">
        <v>0</v>
      </c>
      <c r="I99" s="26">
        <v>0</v>
      </c>
      <c r="J99" s="27">
        <v>0</v>
      </c>
      <c r="K99" s="27">
        <v>0</v>
      </c>
      <c r="L99" s="27">
        <v>0</v>
      </c>
      <c r="M99" s="27">
        <v>0</v>
      </c>
      <c r="N99" s="26">
        <v>0</v>
      </c>
      <c r="O99" s="27">
        <v>0</v>
      </c>
      <c r="P99" s="27">
        <v>0</v>
      </c>
      <c r="Q99" s="27">
        <v>8000</v>
      </c>
      <c r="R99" s="27">
        <v>0</v>
      </c>
      <c r="S99" s="27">
        <v>0</v>
      </c>
      <c r="T99" s="26">
        <f>SUM(O99:S99)</f>
        <v>8000</v>
      </c>
      <c r="U99" s="28">
        <f>T99+N99+I99+D103</f>
        <v>9034</v>
      </c>
      <c r="V99" s="27">
        <v>8109</v>
      </c>
      <c r="W99" s="27">
        <v>2</v>
      </c>
      <c r="X99" s="27">
        <v>479</v>
      </c>
      <c r="Y99" s="27">
        <v>838</v>
      </c>
      <c r="Z99" s="26">
        <v>9428</v>
      </c>
      <c r="AA99" s="27">
        <v>5413</v>
      </c>
      <c r="AB99" s="27">
        <v>360</v>
      </c>
      <c r="AC99" s="27">
        <v>911</v>
      </c>
      <c r="AD99" s="27">
        <v>5403</v>
      </c>
      <c r="AE99" s="26">
        <v>12087</v>
      </c>
      <c r="AF99" s="27">
        <v>82</v>
      </c>
      <c r="AG99" s="27">
        <v>5146</v>
      </c>
      <c r="AH99" s="27">
        <v>105</v>
      </c>
      <c r="AI99" s="27">
        <v>105</v>
      </c>
      <c r="AJ99" s="27">
        <v>80</v>
      </c>
      <c r="AK99" s="26">
        <f>SUM(AF99:AJ99)</f>
        <v>5518</v>
      </c>
      <c r="AL99" s="28">
        <f>AK99+AE99+Z99</f>
        <v>27033</v>
      </c>
      <c r="AM99" s="29">
        <v>128</v>
      </c>
      <c r="AN99" s="30">
        <f t="shared" si="6"/>
        <v>1156352</v>
      </c>
      <c r="AO99" s="30">
        <f t="shared" si="7"/>
        <v>3460224</v>
      </c>
    </row>
    <row r="100" spans="1:41" s="29" customFormat="1" ht="13">
      <c r="A100" s="134"/>
      <c r="B100" s="31" t="s">
        <v>6</v>
      </c>
      <c r="C100" s="26"/>
      <c r="D100" s="26"/>
      <c r="E100" s="27">
        <v>0</v>
      </c>
      <c r="F100" s="27">
        <v>0</v>
      </c>
      <c r="G100" s="27">
        <v>0</v>
      </c>
      <c r="H100" s="27">
        <v>0</v>
      </c>
      <c r="I100" s="26">
        <v>0</v>
      </c>
      <c r="J100" s="27">
        <v>0</v>
      </c>
      <c r="K100" s="27">
        <v>0</v>
      </c>
      <c r="L100" s="27">
        <v>0</v>
      </c>
      <c r="M100" s="27">
        <v>0</v>
      </c>
      <c r="N100" s="26">
        <v>0</v>
      </c>
      <c r="O100" s="27">
        <v>0</v>
      </c>
      <c r="P100" s="27">
        <v>0</v>
      </c>
      <c r="Q100" s="27">
        <v>0</v>
      </c>
      <c r="R100" s="27">
        <v>0</v>
      </c>
      <c r="S100" s="27">
        <v>10000</v>
      </c>
      <c r="T100" s="26">
        <f>SUM(O100:S100)</f>
        <v>10000</v>
      </c>
      <c r="U100" s="28"/>
      <c r="V100" s="27">
        <v>0</v>
      </c>
      <c r="W100" s="27">
        <v>0</v>
      </c>
      <c r="X100" s="27">
        <v>0</v>
      </c>
      <c r="Y100" s="27">
        <v>10000</v>
      </c>
      <c r="Z100" s="26">
        <v>10000</v>
      </c>
      <c r="AA100" s="27">
        <v>0</v>
      </c>
      <c r="AB100" s="27">
        <v>0</v>
      </c>
      <c r="AC100" s="27">
        <v>0</v>
      </c>
      <c r="AD100" s="27">
        <v>10000</v>
      </c>
      <c r="AE100" s="26">
        <v>10000</v>
      </c>
      <c r="AF100" s="27">
        <v>0</v>
      </c>
      <c r="AG100" s="27">
        <v>0</v>
      </c>
      <c r="AH100" s="27">
        <v>0</v>
      </c>
      <c r="AI100" s="27">
        <v>0</v>
      </c>
      <c r="AJ100" s="27">
        <v>10000</v>
      </c>
      <c r="AK100" s="26">
        <f>SUM(AF100:AJ100)</f>
        <v>10000</v>
      </c>
      <c r="AL100" s="28"/>
      <c r="AN100" s="30">
        <f t="shared" si="6"/>
        <v>0</v>
      </c>
      <c r="AO100" s="30">
        <f t="shared" si="7"/>
        <v>0</v>
      </c>
    </row>
    <row r="101" spans="1:41" s="29" customFormat="1" ht="13">
      <c r="A101" s="134"/>
      <c r="B101" s="31" t="s">
        <v>10</v>
      </c>
      <c r="C101" s="26">
        <v>0</v>
      </c>
      <c r="D101" s="26"/>
      <c r="E101" s="27">
        <v>0</v>
      </c>
      <c r="F101" s="27">
        <v>0</v>
      </c>
      <c r="G101" s="27">
        <v>0</v>
      </c>
      <c r="H101" s="27">
        <v>0</v>
      </c>
      <c r="I101" s="26">
        <v>0</v>
      </c>
      <c r="J101" s="27">
        <v>0</v>
      </c>
      <c r="K101" s="27">
        <v>0</v>
      </c>
      <c r="L101" s="27">
        <v>0</v>
      </c>
      <c r="M101" s="27">
        <v>0</v>
      </c>
      <c r="N101" s="26">
        <v>0</v>
      </c>
      <c r="O101" s="27">
        <v>0</v>
      </c>
      <c r="P101" s="27">
        <v>0</v>
      </c>
      <c r="Q101" s="27">
        <v>0</v>
      </c>
      <c r="R101" s="27">
        <v>0</v>
      </c>
      <c r="S101" s="27">
        <v>0</v>
      </c>
      <c r="T101" s="26">
        <f>SUM(O101:R101)</f>
        <v>0</v>
      </c>
      <c r="U101" s="28">
        <f>I101+N101+T101</f>
        <v>0</v>
      </c>
      <c r="V101" s="27">
        <v>0</v>
      </c>
      <c r="W101" s="27">
        <v>0</v>
      </c>
      <c r="X101" s="27">
        <v>0</v>
      </c>
      <c r="Y101" s="27">
        <v>0</v>
      </c>
      <c r="Z101" s="26">
        <v>0</v>
      </c>
      <c r="AA101" s="27">
        <v>0</v>
      </c>
      <c r="AB101" s="27">
        <v>0</v>
      </c>
      <c r="AC101" s="27">
        <v>0</v>
      </c>
      <c r="AD101" s="27">
        <v>0</v>
      </c>
      <c r="AE101" s="26">
        <v>0</v>
      </c>
      <c r="AF101" s="27">
        <v>0</v>
      </c>
      <c r="AG101" s="27">
        <v>0</v>
      </c>
      <c r="AH101" s="27">
        <v>0</v>
      </c>
      <c r="AI101" s="27">
        <v>0</v>
      </c>
      <c r="AJ101" s="27">
        <v>0</v>
      </c>
      <c r="AK101" s="26">
        <f>SUM(AF101:AI101)</f>
        <v>0</v>
      </c>
      <c r="AL101" s="28">
        <f>Z101+AE101+AK101</f>
        <v>0</v>
      </c>
      <c r="AN101" s="30">
        <f t="shared" si="6"/>
        <v>0</v>
      </c>
      <c r="AO101" s="30">
        <f t="shared" si="7"/>
        <v>0</v>
      </c>
    </row>
    <row r="102" spans="1:41" s="29" customFormat="1" ht="13">
      <c r="A102" s="134"/>
      <c r="B102" s="31" t="s">
        <v>7</v>
      </c>
      <c r="C102" s="26"/>
      <c r="D102" s="26"/>
      <c r="E102" s="32">
        <v>0</v>
      </c>
      <c r="F102" s="27">
        <v>0</v>
      </c>
      <c r="G102" s="27">
        <v>0</v>
      </c>
      <c r="H102" s="27">
        <v>0</v>
      </c>
      <c r="I102" s="26">
        <v>0</v>
      </c>
      <c r="J102" s="32">
        <v>0</v>
      </c>
      <c r="K102" s="27">
        <v>0</v>
      </c>
      <c r="L102" s="27">
        <v>0</v>
      </c>
      <c r="M102" s="27">
        <v>0</v>
      </c>
      <c r="N102" s="26">
        <v>0</v>
      </c>
      <c r="O102" s="32">
        <v>0</v>
      </c>
      <c r="P102" s="27">
        <v>0</v>
      </c>
      <c r="Q102" s="27">
        <v>0</v>
      </c>
      <c r="R102" s="27">
        <v>0</v>
      </c>
      <c r="S102" s="27">
        <v>10000</v>
      </c>
      <c r="T102" s="26">
        <f>SUM(O102:S102)</f>
        <v>10000</v>
      </c>
      <c r="U102" s="28">
        <f>T102+N102+I102+D103</f>
        <v>11034</v>
      </c>
      <c r="V102" s="32">
        <v>0</v>
      </c>
      <c r="W102" s="27">
        <v>0</v>
      </c>
      <c r="X102" s="27">
        <v>0</v>
      </c>
      <c r="Y102" s="27">
        <v>10000</v>
      </c>
      <c r="Z102" s="26">
        <v>12000</v>
      </c>
      <c r="AA102" s="32">
        <v>0</v>
      </c>
      <c r="AB102" s="27">
        <v>0</v>
      </c>
      <c r="AC102" s="27">
        <v>0</v>
      </c>
      <c r="AD102" s="27">
        <v>10000</v>
      </c>
      <c r="AE102" s="26">
        <v>10000</v>
      </c>
      <c r="AF102" s="32">
        <v>0</v>
      </c>
      <c r="AG102" s="27">
        <v>0</v>
      </c>
      <c r="AH102" s="27">
        <v>0</v>
      </c>
      <c r="AI102" s="27">
        <v>0</v>
      </c>
      <c r="AJ102" s="27">
        <v>10000</v>
      </c>
      <c r="AK102" s="26">
        <f>SUM(AF102:AJ102)</f>
        <v>10000</v>
      </c>
      <c r="AL102" s="28">
        <f>AK102+AE102+Z102</f>
        <v>32000</v>
      </c>
      <c r="AN102" s="30">
        <f t="shared" si="6"/>
        <v>0</v>
      </c>
      <c r="AO102" s="30">
        <f t="shared" si="7"/>
        <v>0</v>
      </c>
    </row>
    <row r="103" spans="1:41" s="29" customFormat="1" ht="14" thickBot="1">
      <c r="A103" s="135"/>
      <c r="B103" s="33" t="s">
        <v>8</v>
      </c>
      <c r="C103" s="34">
        <v>16</v>
      </c>
      <c r="D103" s="35">
        <v>1034</v>
      </c>
      <c r="E103" s="21">
        <v>0</v>
      </c>
      <c r="F103" s="21">
        <v>0</v>
      </c>
      <c r="G103" s="21">
        <v>0</v>
      </c>
      <c r="H103" s="21">
        <v>0</v>
      </c>
      <c r="I103" s="20">
        <v>0</v>
      </c>
      <c r="J103" s="21">
        <v>0</v>
      </c>
      <c r="K103" s="21">
        <v>0</v>
      </c>
      <c r="L103" s="21">
        <v>0</v>
      </c>
      <c r="M103" s="21">
        <v>0</v>
      </c>
      <c r="N103" s="20">
        <v>0</v>
      </c>
      <c r="O103" s="21">
        <v>0</v>
      </c>
      <c r="P103" s="21">
        <v>0</v>
      </c>
      <c r="Q103" s="21">
        <v>-8000</v>
      </c>
      <c r="R103" s="21">
        <v>-8000</v>
      </c>
      <c r="S103" s="21">
        <v>2000</v>
      </c>
      <c r="T103" s="20">
        <f>N103+T102-T99</f>
        <v>2000</v>
      </c>
      <c r="U103" s="22">
        <f>U102-U99</f>
        <v>2000</v>
      </c>
      <c r="V103" s="21">
        <v>-6109</v>
      </c>
      <c r="W103" s="21">
        <v>-6111</v>
      </c>
      <c r="X103" s="21">
        <v>-6590</v>
      </c>
      <c r="Y103" s="21">
        <v>2572</v>
      </c>
      <c r="Z103" s="20">
        <v>2572</v>
      </c>
      <c r="AA103" s="21">
        <v>-2841</v>
      </c>
      <c r="AB103" s="21">
        <v>-3201</v>
      </c>
      <c r="AC103" s="21">
        <v>-4112</v>
      </c>
      <c r="AD103" s="21">
        <v>485</v>
      </c>
      <c r="AE103" s="20">
        <v>485</v>
      </c>
      <c r="AF103" s="21">
        <v>403</v>
      </c>
      <c r="AG103" s="21">
        <v>-4743</v>
      </c>
      <c r="AH103" s="21">
        <v>-4848</v>
      </c>
      <c r="AI103" s="21">
        <v>-4953</v>
      </c>
      <c r="AJ103" s="21">
        <v>4967</v>
      </c>
      <c r="AK103" s="20">
        <f>AE103+AK102-AK99</f>
        <v>4967</v>
      </c>
      <c r="AL103" s="22">
        <f>T103+AL102-AL99</f>
        <v>6967</v>
      </c>
      <c r="AN103" s="30">
        <f t="shared" si="6"/>
        <v>0</v>
      </c>
      <c r="AO103" s="30">
        <f t="shared" si="7"/>
        <v>0</v>
      </c>
    </row>
    <row r="104" spans="1:41" s="29" customFormat="1" ht="17" thickBot="1">
      <c r="A104" s="36"/>
      <c r="B104" s="31" t="s">
        <v>9</v>
      </c>
      <c r="C104" s="26"/>
      <c r="D104" s="26"/>
      <c r="E104" s="19" t="e">
        <v>#DIV/0!</v>
      </c>
      <c r="F104" s="19" t="e">
        <v>#DIV/0!</v>
      </c>
      <c r="G104" s="19" t="e">
        <v>#DIV/0!</v>
      </c>
      <c r="H104" s="19" t="e">
        <v>#DIV/0!</v>
      </c>
      <c r="I104" s="23"/>
      <c r="J104" s="19" t="e">
        <v>#DIV/0!</v>
      </c>
      <c r="K104" s="19" t="e">
        <v>#DIV/0!</v>
      </c>
      <c r="L104" s="19">
        <v>0</v>
      </c>
      <c r="M104" s="19">
        <v>0</v>
      </c>
      <c r="N104" s="23"/>
      <c r="O104" s="19">
        <v>0</v>
      </c>
      <c r="P104" s="19">
        <v>0</v>
      </c>
      <c r="Q104" s="19" t="e">
        <v>#DIV/0!</v>
      </c>
      <c r="R104" s="19" t="e">
        <v>#DIV/0!</v>
      </c>
      <c r="S104" s="19" t="e">
        <v>#REF!</v>
      </c>
      <c r="T104" s="23"/>
      <c r="U104" s="24"/>
      <c r="V104" s="19">
        <v>-11368.754070903507</v>
      </c>
      <c r="W104" s="19">
        <v>-11005.853219270599</v>
      </c>
      <c r="X104" s="19">
        <v>-12838.496006234171</v>
      </c>
      <c r="Y104" s="19">
        <v>5456.0882477725927</v>
      </c>
      <c r="Z104" s="23"/>
      <c r="AA104" s="19">
        <v>-3028.6232077181389</v>
      </c>
      <c r="AB104" s="19">
        <v>-2718.8176837813739</v>
      </c>
      <c r="AC104" s="19">
        <v>-4702.1154945683247</v>
      </c>
      <c r="AD104" s="19">
        <v>802.51509886655083</v>
      </c>
      <c r="AE104" s="23"/>
      <c r="AF104" s="19">
        <v>1482.7078734363502</v>
      </c>
      <c r="AG104" s="19">
        <v>-3471.8003147531381</v>
      </c>
      <c r="AH104" s="19">
        <v>-524108.10810810811</v>
      </c>
      <c r="AI104" s="19">
        <v>-1238250</v>
      </c>
      <c r="AJ104" s="19" t="e">
        <v>#REF!</v>
      </c>
      <c r="AK104" s="23"/>
      <c r="AL104" s="24"/>
      <c r="AM104" s="29">
        <v>32</v>
      </c>
      <c r="AN104" s="30">
        <f t="shared" si="6"/>
        <v>0</v>
      </c>
      <c r="AO104" s="30">
        <f t="shared" si="7"/>
        <v>0</v>
      </c>
    </row>
    <row r="105" spans="1:41" s="48" customFormat="1">
      <c r="A105" s="111" t="s">
        <v>24</v>
      </c>
      <c r="B105" s="98" t="s">
        <v>64</v>
      </c>
      <c r="C105" s="7"/>
      <c r="D105" s="7"/>
      <c r="E105" s="71">
        <f>E81+E75+E69+E63+E57+E51+E45+E39+E33+E27+E21+E15+E9+E3+E87+E99+E93</f>
        <v>0</v>
      </c>
      <c r="F105" s="63">
        <f t="shared" ref="F105:H105" si="8">F81+F75+F69+F63+F57+F51+F45+F39+F33+F27+F21+F15+F9+F3+F87+F99+F93</f>
        <v>969450</v>
      </c>
      <c r="G105" s="63">
        <f t="shared" si="8"/>
        <v>249011</v>
      </c>
      <c r="H105" s="78">
        <f t="shared" si="8"/>
        <v>151525</v>
      </c>
      <c r="I105" s="88">
        <f>SUM(E105:H105)</f>
        <v>1369986</v>
      </c>
      <c r="J105" s="71">
        <f t="shared" ref="J105:M105" si="9">J81+J75+J69+J63+J57+J51+J45+J39+J33+J27+J21+J15+J9+J3+J87+J99+J93</f>
        <v>126250</v>
      </c>
      <c r="K105" s="63">
        <f t="shared" si="9"/>
        <v>161674</v>
      </c>
      <c r="L105" s="63">
        <f t="shared" si="9"/>
        <v>253763</v>
      </c>
      <c r="M105" s="78">
        <f t="shared" si="9"/>
        <v>121454</v>
      </c>
      <c r="N105" s="88">
        <f>SUM(J105:M105)</f>
        <v>663141</v>
      </c>
      <c r="O105" s="71">
        <f t="shared" ref="O105:S105" si="10">O81+O75+O69+O63+O57+O51+O45+O39+O33+O27+O21+O15+O9+O3+O87+O99+O93</f>
        <v>236815</v>
      </c>
      <c r="P105" s="63">
        <f t="shared" si="10"/>
        <v>220231</v>
      </c>
      <c r="Q105" s="63">
        <f t="shared" si="10"/>
        <v>49177</v>
      </c>
      <c r="R105" s="63">
        <f t="shared" si="10"/>
        <v>193149</v>
      </c>
      <c r="S105" s="78">
        <f t="shared" si="10"/>
        <v>144100</v>
      </c>
      <c r="T105" s="85">
        <f>SUM(O105:S105)</f>
        <v>843472</v>
      </c>
      <c r="U105" s="67">
        <f>T105+N105+I105+D109</f>
        <v>3396815</v>
      </c>
      <c r="V105" s="71">
        <f t="shared" ref="V105:Y105" si="11">V81+V75+V69+V63+V57+V51+V45+V39+V33+V27+V21+V15+V9+V3+V87+V99+V93</f>
        <v>338781</v>
      </c>
      <c r="W105" s="63">
        <f t="shared" si="11"/>
        <v>10934</v>
      </c>
      <c r="X105" s="63">
        <f t="shared" si="11"/>
        <v>21702</v>
      </c>
      <c r="Y105" s="78">
        <f t="shared" si="11"/>
        <v>14701</v>
      </c>
      <c r="Z105" s="88">
        <f>SUM(V105:Y105)</f>
        <v>386118</v>
      </c>
      <c r="AA105" s="71">
        <f t="shared" ref="AA105:AD105" si="12">AA81+AA75+AA69+AA63+AA57+AA51+AA45+AA39+AA33+AA27+AA21+AA15+AA9+AA3+AA87+AA99+AA93</f>
        <v>215442</v>
      </c>
      <c r="AB105" s="63">
        <f t="shared" si="12"/>
        <v>184970</v>
      </c>
      <c r="AC105" s="63">
        <f t="shared" si="12"/>
        <v>21859</v>
      </c>
      <c r="AD105" s="78">
        <f t="shared" si="12"/>
        <v>37993</v>
      </c>
      <c r="AE105" s="88">
        <f>SUM(AA105:AD105)</f>
        <v>460264</v>
      </c>
      <c r="AF105" s="71">
        <f t="shared" ref="AF105:AJ105" si="13">AF81+AF75+AF69+AF63+AF57+AF51+AF45+AF39+AF33+AF27+AF21+AF15+AF9+AF3+AF87+AF99+AF93</f>
        <v>14488</v>
      </c>
      <c r="AG105" s="63">
        <f t="shared" si="13"/>
        <v>61798</v>
      </c>
      <c r="AH105" s="63">
        <f t="shared" si="13"/>
        <v>295</v>
      </c>
      <c r="AI105" s="63">
        <f t="shared" si="13"/>
        <v>2246</v>
      </c>
      <c r="AJ105" s="78">
        <f t="shared" si="13"/>
        <v>234</v>
      </c>
      <c r="AK105" s="85">
        <f>SUM(AF105:AJ105)</f>
        <v>79061</v>
      </c>
      <c r="AL105" s="67">
        <f>AK105+AE105+Z105</f>
        <v>925443</v>
      </c>
      <c r="AN105" s="13">
        <f>SUM(AN3:AN104)</f>
        <v>209092320</v>
      </c>
      <c r="AO105" s="13">
        <f>SUM(AO3:AO104)</f>
        <v>57516608</v>
      </c>
    </row>
    <row r="106" spans="1:41" s="48" customFormat="1">
      <c r="A106" s="112"/>
      <c r="B106" s="99" t="s">
        <v>65</v>
      </c>
      <c r="C106" s="8"/>
      <c r="D106" s="8"/>
      <c r="E106" s="72">
        <f>E82+E76+E70+E64+E58+E52+E46+E40+E34+E28+E22+E16+E10+E4+E88+E100+E94</f>
        <v>0</v>
      </c>
      <c r="F106" s="9">
        <f t="shared" ref="F106:H106" si="14">F82+F76+F70+F64+F58+F52+F46+F40+F34+F28+F22+F16+F10+F4+F88+F100+F94</f>
        <v>969450</v>
      </c>
      <c r="G106" s="9">
        <f t="shared" si="14"/>
        <v>249011</v>
      </c>
      <c r="H106" s="79">
        <f t="shared" si="14"/>
        <v>151525</v>
      </c>
      <c r="I106" s="89">
        <f>SUM(E106:H106)</f>
        <v>1369986</v>
      </c>
      <c r="J106" s="72">
        <f t="shared" ref="J106:M106" si="15">J82+J76+J70+J64+J58+J52+J46+J40+J34+J28+J22+J16+J10+J4+J88+J100+J94</f>
        <v>126250</v>
      </c>
      <c r="K106" s="9">
        <f t="shared" si="15"/>
        <v>161674</v>
      </c>
      <c r="L106" s="9">
        <f t="shared" si="15"/>
        <v>56106</v>
      </c>
      <c r="M106" s="79">
        <f t="shared" si="15"/>
        <v>310020</v>
      </c>
      <c r="N106" s="89">
        <f>SUM(J106:M106)</f>
        <v>654050</v>
      </c>
      <c r="O106" s="72">
        <f t="shared" ref="O106:S106" si="16">O82+O76+O70+O64+O58+O52+O46+O40+O34+O28+O22+O16+O10+O4+O88+O100+O94</f>
        <v>282000</v>
      </c>
      <c r="P106" s="9">
        <f t="shared" si="16"/>
        <v>194000</v>
      </c>
      <c r="Q106" s="9">
        <f t="shared" si="16"/>
        <v>229000</v>
      </c>
      <c r="R106" s="9">
        <f t="shared" si="16"/>
        <v>250000</v>
      </c>
      <c r="S106" s="79">
        <f t="shared" si="16"/>
        <v>280500</v>
      </c>
      <c r="T106" s="86">
        <f>SUM(O106:S106)</f>
        <v>1235500</v>
      </c>
      <c r="U106" s="68"/>
      <c r="V106" s="72">
        <f t="shared" ref="V106:Y106" si="17">V82+V76+V70+V64+V58+V52+V46+V40+V34+V28+V22+V16+V10+V4+V88+V100+V94</f>
        <v>405000</v>
      </c>
      <c r="W106" s="9">
        <f t="shared" si="17"/>
        <v>62000</v>
      </c>
      <c r="X106" s="9">
        <f t="shared" si="17"/>
        <v>3000</v>
      </c>
      <c r="Y106" s="79">
        <f t="shared" si="17"/>
        <v>35000</v>
      </c>
      <c r="Z106" s="89">
        <f>SUM(V106:Y106)</f>
        <v>505000</v>
      </c>
      <c r="AA106" s="72">
        <f t="shared" ref="AA106:AD106" si="18">AA82+AA76+AA70+AA64+AA58+AA52+AA46+AA40+AA34+AA28+AA22+AA16+AA10+AA4+AA88+AA100+AA94</f>
        <v>50000</v>
      </c>
      <c r="AB106" s="9">
        <f t="shared" si="18"/>
        <v>75000</v>
      </c>
      <c r="AC106" s="9">
        <f t="shared" si="18"/>
        <v>75000</v>
      </c>
      <c r="AD106" s="79">
        <f t="shared" si="18"/>
        <v>110000</v>
      </c>
      <c r="AE106" s="89">
        <f>SUM(AA106:AD106)</f>
        <v>310000</v>
      </c>
      <c r="AF106" s="72">
        <f t="shared" ref="AF106:AJ106" si="19">AF82+AF76+AF70+AF64+AF58+AF52+AF46+AF40+AF34+AF28+AF22+AF16+AF10+AF4+AF88+AF100+AF94</f>
        <v>0</v>
      </c>
      <c r="AG106" s="9">
        <f t="shared" si="19"/>
        <v>20000</v>
      </c>
      <c r="AH106" s="9">
        <f t="shared" si="19"/>
        <v>20000</v>
      </c>
      <c r="AI106" s="9">
        <f t="shared" si="19"/>
        <v>20000</v>
      </c>
      <c r="AJ106" s="79">
        <f t="shared" si="19"/>
        <v>30000</v>
      </c>
      <c r="AK106" s="86">
        <f>SUM(AF106:AJ106)</f>
        <v>90000</v>
      </c>
      <c r="AL106" s="68"/>
      <c r="AN106" s="13">
        <f t="shared" ref="AN106:AN114" si="20">U106*AM106</f>
        <v>0</v>
      </c>
      <c r="AO106" s="13">
        <f t="shared" si="7"/>
        <v>0</v>
      </c>
    </row>
    <row r="107" spans="1:41" s="48" customFormat="1">
      <c r="A107" s="112"/>
      <c r="B107" s="99" t="s">
        <v>66</v>
      </c>
      <c r="C107" s="8">
        <f>C83+C77+C71+C65+C59+C53+C47+C41+C35+C29+C23+C17+C11+C5+C89+C101+C95</f>
        <v>19250</v>
      </c>
      <c r="D107" s="8"/>
      <c r="E107" s="72">
        <f>E83+E77+E71+E65+E59+E53+E47+E41+E35+E29+E23+E17+E11+E5+E89+E101+E95</f>
        <v>0</v>
      </c>
      <c r="F107" s="9">
        <f t="shared" ref="F107:H107" si="21">F83+F77+F71+F65+F59+F53+F47+F41+F35+F29+F23+F17+F11+F5+F89+F101+F95</f>
        <v>0</v>
      </c>
      <c r="G107" s="9">
        <f t="shared" si="21"/>
        <v>0</v>
      </c>
      <c r="H107" s="79">
        <f t="shared" si="21"/>
        <v>0</v>
      </c>
      <c r="I107" s="89">
        <f>SUM(E107:H107)</f>
        <v>0</v>
      </c>
      <c r="J107" s="72">
        <f t="shared" ref="J107:M107" si="22">J83+J77+J71+J65+J59+J53+J47+J41+J35+J29+J23+J17+J11+J5+J89+J101+J95</f>
        <v>0</v>
      </c>
      <c r="K107" s="9">
        <f t="shared" si="22"/>
        <v>0</v>
      </c>
      <c r="L107" s="9">
        <f t="shared" si="22"/>
        <v>0</v>
      </c>
      <c r="M107" s="79">
        <f t="shared" si="22"/>
        <v>19250</v>
      </c>
      <c r="N107" s="89">
        <f>SUM(J107:M107)</f>
        <v>19250</v>
      </c>
      <c r="O107" s="72">
        <f t="shared" ref="O107:S107" si="23">O83+O77+O71+O65+O59+O53+O47+O41+O35+O29+O23+O17+O11+O5+O89+O101+O95</f>
        <v>0</v>
      </c>
      <c r="P107" s="9">
        <f t="shared" si="23"/>
        <v>0</v>
      </c>
      <c r="Q107" s="9">
        <f t="shared" si="23"/>
        <v>0</v>
      </c>
      <c r="R107" s="9">
        <f t="shared" si="23"/>
        <v>0</v>
      </c>
      <c r="S107" s="79">
        <f t="shared" si="23"/>
        <v>0</v>
      </c>
      <c r="T107" s="86">
        <f>SUM(O107:S107)</f>
        <v>0</v>
      </c>
      <c r="U107" s="68">
        <f>H107+M107+T107</f>
        <v>19250</v>
      </c>
      <c r="V107" s="72">
        <f t="shared" ref="V107:Y107" si="24">V83+V77+V71+V65+V59+V53+V47+V41+V35+V29+V23+V17+V11+V5+V89+V101+V95</f>
        <v>0</v>
      </c>
      <c r="W107" s="9">
        <f t="shared" si="24"/>
        <v>0</v>
      </c>
      <c r="X107" s="9">
        <f t="shared" si="24"/>
        <v>0</v>
      </c>
      <c r="Y107" s="79">
        <f t="shared" si="24"/>
        <v>0</v>
      </c>
      <c r="Z107" s="89">
        <f>SUM(V107:Y107)</f>
        <v>0</v>
      </c>
      <c r="AA107" s="72">
        <f t="shared" ref="AA107:AD107" si="25">AA83+AA77+AA71+AA65+AA59+AA53+AA47+AA41+AA35+AA29+AA23+AA17+AA11+AA5+AA89+AA101+AA95</f>
        <v>0</v>
      </c>
      <c r="AB107" s="9">
        <f t="shared" si="25"/>
        <v>0</v>
      </c>
      <c r="AC107" s="9">
        <f t="shared" si="25"/>
        <v>0</v>
      </c>
      <c r="AD107" s="79">
        <f t="shared" si="25"/>
        <v>0</v>
      </c>
      <c r="AE107" s="89">
        <f>SUM(AA107:AD107)</f>
        <v>0</v>
      </c>
      <c r="AF107" s="72">
        <f t="shared" ref="AF107:AJ107" si="26">AF83+AF77+AF71+AF65+AF59+AF53+AF47+AF41+AF35+AF29+AF23+AF17+AF11+AF5+AF89+AF101+AF95</f>
        <v>0</v>
      </c>
      <c r="AG107" s="9">
        <f t="shared" si="26"/>
        <v>0</v>
      </c>
      <c r="AH107" s="9">
        <f t="shared" si="26"/>
        <v>0</v>
      </c>
      <c r="AI107" s="9">
        <f t="shared" si="26"/>
        <v>0</v>
      </c>
      <c r="AJ107" s="79">
        <f t="shared" si="26"/>
        <v>0</v>
      </c>
      <c r="AK107" s="86">
        <f>SUM(AF107:AJ107)</f>
        <v>0</v>
      </c>
      <c r="AL107" s="68">
        <f>Z107+AE107+AK107</f>
        <v>0</v>
      </c>
      <c r="AN107" s="13">
        <f t="shared" si="20"/>
        <v>0</v>
      </c>
      <c r="AO107" s="13">
        <f t="shared" si="7"/>
        <v>0</v>
      </c>
    </row>
    <row r="108" spans="1:41" s="48" customFormat="1">
      <c r="A108" s="112"/>
      <c r="B108" s="99" t="s">
        <v>7</v>
      </c>
      <c r="C108" s="8"/>
      <c r="D108" s="8"/>
      <c r="E108" s="72">
        <f>SUM(E106:E107)</f>
        <v>0</v>
      </c>
      <c r="F108" s="9">
        <f>F107+F106</f>
        <v>969450</v>
      </c>
      <c r="G108" s="9">
        <f>G107+G106</f>
        <v>249011</v>
      </c>
      <c r="H108" s="79">
        <f>H107+H106</f>
        <v>151525</v>
      </c>
      <c r="I108" s="89">
        <f>SUM(E108:H108)</f>
        <v>1369986</v>
      </c>
      <c r="J108" s="72">
        <f>J107+J106</f>
        <v>126250</v>
      </c>
      <c r="K108" s="9">
        <f>K107+K106</f>
        <v>161674</v>
      </c>
      <c r="L108" s="9">
        <f>L107+L106</f>
        <v>56106</v>
      </c>
      <c r="M108" s="79">
        <f>M107+M106</f>
        <v>329270</v>
      </c>
      <c r="N108" s="89">
        <f>SUM(J108:M108)</f>
        <v>673300</v>
      </c>
      <c r="O108" s="72">
        <f>O107+O106</f>
        <v>282000</v>
      </c>
      <c r="P108" s="9">
        <f>P107+P106</f>
        <v>194000</v>
      </c>
      <c r="Q108" s="9">
        <f>Q107+Q106</f>
        <v>229000</v>
      </c>
      <c r="R108" s="9">
        <f>R107+R106</f>
        <v>250000</v>
      </c>
      <c r="S108" s="79">
        <f>S107+S106</f>
        <v>280500</v>
      </c>
      <c r="T108" s="86">
        <f>SUM(O108:S108)</f>
        <v>1235500</v>
      </c>
      <c r="U108" s="68">
        <f>T108+N108+I108+D109</f>
        <v>3799002</v>
      </c>
      <c r="V108" s="72">
        <f>V107+V106</f>
        <v>405000</v>
      </c>
      <c r="W108" s="9">
        <f>W107+W106</f>
        <v>62000</v>
      </c>
      <c r="X108" s="9">
        <f>X107+X106</f>
        <v>3000</v>
      </c>
      <c r="Y108" s="79">
        <f>Y107+Y106</f>
        <v>35000</v>
      </c>
      <c r="Z108" s="89">
        <f>SUM(V108:Y108)</f>
        <v>505000</v>
      </c>
      <c r="AA108" s="72">
        <f>AA107+AA106</f>
        <v>50000</v>
      </c>
      <c r="AB108" s="9">
        <f>AB107+AB106</f>
        <v>75000</v>
      </c>
      <c r="AC108" s="9">
        <f>AC107+AC106</f>
        <v>75000</v>
      </c>
      <c r="AD108" s="79">
        <f>AD107+AD106</f>
        <v>110000</v>
      </c>
      <c r="AE108" s="89">
        <f>SUM(AA108:AD108)</f>
        <v>310000</v>
      </c>
      <c r="AF108" s="72">
        <f>AF107+AF106</f>
        <v>0</v>
      </c>
      <c r="AG108" s="9">
        <f>AG107+AG106</f>
        <v>20000</v>
      </c>
      <c r="AH108" s="9">
        <f>AH107+AH106</f>
        <v>20000</v>
      </c>
      <c r="AI108" s="9">
        <f>AI107+AI106</f>
        <v>20000</v>
      </c>
      <c r="AJ108" s="79">
        <f>AJ107+AJ106</f>
        <v>30000</v>
      </c>
      <c r="AK108" s="86">
        <f>SUM(AF108:AJ108)</f>
        <v>90000</v>
      </c>
      <c r="AL108" s="68">
        <f>AK108+AE108+Z108</f>
        <v>905000</v>
      </c>
      <c r="AN108" s="13">
        <f t="shared" si="20"/>
        <v>0</v>
      </c>
      <c r="AO108" s="13">
        <f t="shared" si="7"/>
        <v>0</v>
      </c>
    </row>
    <row r="109" spans="1:41" s="48" customFormat="1" ht="17" thickBot="1">
      <c r="A109" s="113"/>
      <c r="B109" s="100" t="s">
        <v>67</v>
      </c>
      <c r="C109" s="104">
        <f>C85+C79+C73+C67+C61+C55+C49+C43+C37+C31+C25+C19+C13+C7+C91+C103+C97</f>
        <v>378669</v>
      </c>
      <c r="D109" s="104">
        <f>D85+D79+D73+D67+D61+D55+D49+D43+D37+D31+D25+D19+D13+D7+D91+D103+D97</f>
        <v>520216</v>
      </c>
      <c r="E109" s="73">
        <f>E108-E105</f>
        <v>0</v>
      </c>
      <c r="F109" s="65">
        <f>E109+F108-F105</f>
        <v>0</v>
      </c>
      <c r="G109" s="65">
        <f>F109+G108-G105</f>
        <v>0</v>
      </c>
      <c r="H109" s="80">
        <f>G109+H108-H105</f>
        <v>0</v>
      </c>
      <c r="I109" s="90">
        <f>I108-I105</f>
        <v>0</v>
      </c>
      <c r="J109" s="73">
        <f>I109+J108-J105</f>
        <v>0</v>
      </c>
      <c r="K109" s="65">
        <f>J109+K108-K105</f>
        <v>0</v>
      </c>
      <c r="L109" s="65">
        <f>K109+L108-L105</f>
        <v>-197657</v>
      </c>
      <c r="M109" s="80">
        <f>L109+M108-M105</f>
        <v>10159</v>
      </c>
      <c r="N109" s="90">
        <f>I109+N108-N105</f>
        <v>10159</v>
      </c>
      <c r="O109" s="73">
        <f>N109+O108-O105</f>
        <v>55344</v>
      </c>
      <c r="P109" s="65">
        <f>O109+P108-P105</f>
        <v>29113</v>
      </c>
      <c r="Q109" s="65">
        <f>P109+Q108-Q105</f>
        <v>208936</v>
      </c>
      <c r="R109" s="65">
        <f>Q109+R108-R105</f>
        <v>265787</v>
      </c>
      <c r="S109" s="80">
        <f>R109+S108-S105</f>
        <v>402187</v>
      </c>
      <c r="T109" s="87">
        <f>N109+T108-T105</f>
        <v>402187</v>
      </c>
      <c r="U109" s="69">
        <f>U108-U105</f>
        <v>402187</v>
      </c>
      <c r="V109" s="73">
        <f>U109+V108-V105</f>
        <v>468406</v>
      </c>
      <c r="W109" s="65">
        <f>V109+W108-W105</f>
        <v>519472</v>
      </c>
      <c r="X109" s="65">
        <f>W109+X108-X105</f>
        <v>500770</v>
      </c>
      <c r="Y109" s="80">
        <f>W109+Y108-Y105</f>
        <v>539771</v>
      </c>
      <c r="Z109" s="87">
        <f>T109+Z108-Z105</f>
        <v>521069</v>
      </c>
      <c r="AA109" s="73">
        <f>Z109+AA108-AA105</f>
        <v>355627</v>
      </c>
      <c r="AB109" s="65">
        <f>AA109+AB108-AB105</f>
        <v>245657</v>
      </c>
      <c r="AC109" s="65">
        <f>AB109+AC108-AC105</f>
        <v>298798</v>
      </c>
      <c r="AD109" s="80">
        <f>AC109+AD108-AD105</f>
        <v>370805</v>
      </c>
      <c r="AE109" s="87">
        <f>Z109+AE108-AE105</f>
        <v>370805</v>
      </c>
      <c r="AF109" s="73">
        <f>AE109+AF108-AF105</f>
        <v>356317</v>
      </c>
      <c r="AG109" s="65">
        <f>AF109+AG108-AG105</f>
        <v>314519</v>
      </c>
      <c r="AH109" s="65">
        <f>AG109+AH108-AH105</f>
        <v>334224</v>
      </c>
      <c r="AI109" s="65">
        <f t="shared" ref="AI109:AJ109" si="27">AH109+AI108-AI105</f>
        <v>351978</v>
      </c>
      <c r="AJ109" s="80">
        <f t="shared" si="27"/>
        <v>381744</v>
      </c>
      <c r="AK109" s="87">
        <f>AE109+AK108-AK105</f>
        <v>381744</v>
      </c>
      <c r="AL109" s="69">
        <f>T109+AL108-AL105</f>
        <v>381744</v>
      </c>
      <c r="AN109" s="13">
        <f t="shared" si="20"/>
        <v>0</v>
      </c>
      <c r="AO109" s="13">
        <f t="shared" si="7"/>
        <v>0</v>
      </c>
    </row>
    <row r="110" spans="1:41" s="51" customFormat="1">
      <c r="A110" s="111" t="s">
        <v>110</v>
      </c>
      <c r="B110" s="101" t="s">
        <v>64</v>
      </c>
      <c r="C110" s="49"/>
      <c r="D110" s="49"/>
      <c r="E110" s="74">
        <f>E3*32+E9*32+E15*64+E21*64+E27*64+E33*64+E39*128+E45*128+E51*128+E57*128+E63*256+E69*256+E75*64+E81*128+E87*128+E93*64+E99*128</f>
        <v>0</v>
      </c>
      <c r="F110" s="66">
        <f t="shared" ref="F110:H110" si="28">F3*32+F9*32+F15*64+F21*64+F27*64+F33*64+F39*128+F45*128+F51*128+F57*128+F63*256+F69*256+F75*64+F81*128+F87*128+F93*64+F99*128</f>
        <v>60411200</v>
      </c>
      <c r="G110" s="66">
        <f t="shared" si="28"/>
        <v>15837504</v>
      </c>
      <c r="H110" s="81">
        <f t="shared" si="28"/>
        <v>9993600</v>
      </c>
      <c r="I110" s="88">
        <f>SUM(E110:H110)</f>
        <v>86242304</v>
      </c>
      <c r="J110" s="74">
        <f t="shared" ref="J110:M110" si="29">J3*32+J9*32+J15*64+J21*64+J27*64+J33*64+J39*128+J45*128+J51*128+J57*128+J63*256+J69*256+J75*64+J81*128+J87*128+J93*64+J99*128</f>
        <v>7280000</v>
      </c>
      <c r="K110" s="66">
        <f t="shared" si="29"/>
        <v>7894272</v>
      </c>
      <c r="L110" s="66">
        <f t="shared" si="29"/>
        <v>15380576</v>
      </c>
      <c r="M110" s="81">
        <f t="shared" si="29"/>
        <v>7886656</v>
      </c>
      <c r="N110" s="91">
        <f>SUM(J110:M110)</f>
        <v>38441504</v>
      </c>
      <c r="O110" s="74">
        <f t="shared" ref="O110:S110" si="30">O3*32+O9*32+O15*64+O21*64+O27*64+O33*64+O39*128+O45*128+O51*128+O57*128+O63*256+O69*256+O75*64+O81*128+O87*128+O93*64+O99*128</f>
        <v>15097248</v>
      </c>
      <c r="P110" s="66">
        <f t="shared" si="30"/>
        <v>12564192</v>
      </c>
      <c r="Q110" s="66">
        <f t="shared" si="30"/>
        <v>3646720</v>
      </c>
      <c r="R110" s="66">
        <f t="shared" si="30"/>
        <v>10254016</v>
      </c>
      <c r="S110" s="81">
        <f t="shared" si="30"/>
        <v>8451200</v>
      </c>
      <c r="T110" s="85">
        <f>SUM(O110:S110)</f>
        <v>50013376</v>
      </c>
      <c r="U110" s="67">
        <f>T110+N110+I110+D114</f>
        <v>209063840</v>
      </c>
      <c r="V110" s="74">
        <f t="shared" ref="V110:Y110" si="31">V3*32+V9*32+V15*64+V21*64+V27*64+V33*64+V39*128+V45*128+V51*128+V57*128+V63*256+V69*256+V75*64+V81*128+V87*128+V93*64+V99*128</f>
        <v>21627840</v>
      </c>
      <c r="W110" s="66">
        <f t="shared" si="31"/>
        <v>659968</v>
      </c>
      <c r="X110" s="66">
        <f t="shared" si="31"/>
        <v>1454912</v>
      </c>
      <c r="Y110" s="81">
        <f t="shared" si="31"/>
        <v>934656</v>
      </c>
      <c r="Z110" s="88">
        <f>SUM(V110:Y110)</f>
        <v>24677376</v>
      </c>
      <c r="AA110" s="74">
        <f t="shared" ref="AA110:AD110" si="32">AA3*32+AA9*32+AA15*64+AA21*64+AA27*64+AA33*64+AA39*128+AA45*128+AA51*128+AA57*128+AA63*256+AA69*256+AA75*64+AA81*128+AA87*128+AA93*64+AA99*128</f>
        <v>13192736</v>
      </c>
      <c r="AB110" s="66">
        <f t="shared" si="32"/>
        <v>11278048</v>
      </c>
      <c r="AC110" s="66">
        <f t="shared" si="32"/>
        <v>1478560</v>
      </c>
      <c r="AD110" s="81">
        <f t="shared" si="32"/>
        <v>2721248</v>
      </c>
      <c r="AE110" s="88">
        <f>SUM(AA110:AD110)</f>
        <v>28670592</v>
      </c>
      <c r="AF110" s="74">
        <f t="shared" ref="AF110:AJ110" si="33">AF3*32+AF9*32+AF15*64+AF21*64+AF27*64+AF33*64+AF39*128+AF45*128+AF51*128+AF57*128+AF63*256+AF69*256+AF75*64+AF81*128+AF87*128+AF93*64+AF99*128</f>
        <v>641984</v>
      </c>
      <c r="AG110" s="66">
        <f t="shared" si="33"/>
        <v>3318688</v>
      </c>
      <c r="AH110" s="66">
        <f t="shared" si="33"/>
        <v>29856</v>
      </c>
      <c r="AI110" s="66">
        <f t="shared" si="33"/>
        <v>154720</v>
      </c>
      <c r="AJ110" s="81">
        <f t="shared" si="33"/>
        <v>23392</v>
      </c>
      <c r="AK110" s="85">
        <f>SUM(AF110:AJ110)</f>
        <v>4168640</v>
      </c>
      <c r="AL110" s="70">
        <f>AK110+AE110+Z110</f>
        <v>57516608</v>
      </c>
      <c r="AN110" s="13">
        <f t="shared" si="20"/>
        <v>0</v>
      </c>
      <c r="AO110" s="13">
        <f t="shared" si="7"/>
        <v>0</v>
      </c>
    </row>
    <row r="111" spans="1:41" s="51" customFormat="1">
      <c r="A111" s="112"/>
      <c r="B111" s="102" t="s">
        <v>65</v>
      </c>
      <c r="C111" s="50"/>
      <c r="D111" s="50"/>
      <c r="E111" s="75">
        <f>E4*32+E10*32+E16*64+E22*64+E28*64+E34*64+E40*128+E46*128+E52*128+E58*128+E64*256+E70*256+E76*64+E82*128+E88*128+E94*64+E100*128</f>
        <v>0</v>
      </c>
      <c r="F111" s="62">
        <f t="shared" ref="F111:H111" si="34">F4*32+F10*32+F16*64+F22*64+F28*64+F34*64+F40*128+F46*128+F52*128+F58*128+F64*256+F70*256+F76*64+F82*128+F88*128+F94*64+F100*128</f>
        <v>60411200</v>
      </c>
      <c r="G111" s="62">
        <f t="shared" si="34"/>
        <v>15837504</v>
      </c>
      <c r="H111" s="82">
        <f t="shared" si="34"/>
        <v>9993600</v>
      </c>
      <c r="I111" s="89"/>
      <c r="J111" s="75">
        <f t="shared" ref="J111:M111" si="35">J4*32+J10*32+J16*64+J22*64+J28*64+J34*64+J40*128+J46*128+J52*128+J58*128+J64*256+J70*256+J76*64+J82*128+J88*128+J94*64+J100*128</f>
        <v>7280000</v>
      </c>
      <c r="K111" s="62">
        <f t="shared" si="35"/>
        <v>7894272</v>
      </c>
      <c r="L111" s="62">
        <f t="shared" si="35"/>
        <v>2093568</v>
      </c>
      <c r="M111" s="82">
        <f t="shared" si="35"/>
        <v>18882560</v>
      </c>
      <c r="N111" s="92">
        <f>SUM(J111:M111)</f>
        <v>36150400</v>
      </c>
      <c r="O111" s="75">
        <f t="shared" ref="O111:S111" si="36">O4*32+O10*32+O16*64+O22*64+O28*64+O34*64+O40*128+O46*128+O52*128+O58*128+O64*256+O70*256+O76*64+O82*128+O88*128+O94*64+O100*128</f>
        <v>17664000</v>
      </c>
      <c r="P111" s="62">
        <f t="shared" si="36"/>
        <v>11072000</v>
      </c>
      <c r="Q111" s="62">
        <f t="shared" si="36"/>
        <v>13312000</v>
      </c>
      <c r="R111" s="62">
        <f t="shared" si="36"/>
        <v>14720000</v>
      </c>
      <c r="S111" s="82">
        <f t="shared" si="36"/>
        <v>17824000</v>
      </c>
      <c r="T111" s="86"/>
      <c r="U111" s="68"/>
      <c r="V111" s="75">
        <f t="shared" ref="V111:Y111" si="37">V4*32+V10*32+V16*64+V22*64+V28*64+V34*64+V40*128+V46*128+V52*128+V58*128+V64*256+V70*256+V76*64+V82*128+V88*128+V94*64+V100*128</f>
        <v>24960000</v>
      </c>
      <c r="W111" s="62">
        <f t="shared" si="37"/>
        <v>4096000</v>
      </c>
      <c r="X111" s="62">
        <f t="shared" si="37"/>
        <v>384000</v>
      </c>
      <c r="Y111" s="82">
        <f t="shared" si="37"/>
        <v>2880000</v>
      </c>
      <c r="Z111" s="89"/>
      <c r="AA111" s="75">
        <f t="shared" ref="AA111:AD111" si="38">AA4*32+AA10*32+AA16*64+AA22*64+AA28*64+AA34*64+AA40*128+AA46*128+AA52*128+AA58*128+AA64*256+AA70*256+AA76*64+AA82*128+AA88*128+AA94*64+AA100*128</f>
        <v>3200000</v>
      </c>
      <c r="AB111" s="62">
        <f t="shared" si="38"/>
        <v>4800000</v>
      </c>
      <c r="AC111" s="62">
        <f t="shared" si="38"/>
        <v>4800000</v>
      </c>
      <c r="AD111" s="82">
        <f t="shared" si="38"/>
        <v>7680000</v>
      </c>
      <c r="AE111" s="89">
        <f>SUM(AA111:AD111)</f>
        <v>20480000</v>
      </c>
      <c r="AF111" s="75">
        <f t="shared" ref="AF111:AJ111" si="39">AF4*32+AF10*32+AF16*64+AF22*64+AF28*64+AF34*64+AF40*128+AF46*128+AF52*128+AF58*128+AF64*256+AF70*256+AF76*64+AF82*128+AF88*128+AF94*64+AF100*128</f>
        <v>0</v>
      </c>
      <c r="AG111" s="62">
        <f t="shared" si="39"/>
        <v>960000</v>
      </c>
      <c r="AH111" s="62">
        <f t="shared" si="39"/>
        <v>960000</v>
      </c>
      <c r="AI111" s="62">
        <f t="shared" si="39"/>
        <v>960000</v>
      </c>
      <c r="AJ111" s="82">
        <f t="shared" si="39"/>
        <v>2240000</v>
      </c>
      <c r="AK111" s="86"/>
      <c r="AL111" s="68"/>
      <c r="AN111" s="13">
        <f t="shared" si="20"/>
        <v>0</v>
      </c>
      <c r="AO111" s="13">
        <f t="shared" si="7"/>
        <v>0</v>
      </c>
    </row>
    <row r="112" spans="1:41" s="51" customFormat="1">
      <c r="A112" s="112"/>
      <c r="B112" s="102" t="s">
        <v>66</v>
      </c>
      <c r="C112" s="50">
        <f>C5*32+C11*32+C17*64+C23*64+C29*64+C35*64+C41*128+C47*128+C53*128+C59*128+C65*256+C71*256+C77*64+C83*128+C89*128+C95*64+C101*128</f>
        <v>1088000</v>
      </c>
      <c r="D112" s="50"/>
      <c r="E112" s="75">
        <f>E5*32+E11*32+E17*64+E23*64+E29*64+E35*64+E41*128+E47*128+E53*128+E59*128+E65*256+E71*256+E77*64+E83*128+E89*128+E95*64+E101*128</f>
        <v>0</v>
      </c>
      <c r="F112" s="62">
        <f t="shared" ref="F112:H112" si="40">F5*32+F11*32+F17*64+F23*64+F29*64+F35*64+F41*128+F47*128+F53*128+F59*128+F65*256+F71*256+F77*64+F83*128+F89*128+F95*64+F101*128</f>
        <v>0</v>
      </c>
      <c r="G112" s="62">
        <f t="shared" si="40"/>
        <v>0</v>
      </c>
      <c r="H112" s="82">
        <f t="shared" si="40"/>
        <v>0</v>
      </c>
      <c r="I112" s="89">
        <f>SUM(E112:H112)</f>
        <v>0</v>
      </c>
      <c r="J112" s="75">
        <f t="shared" ref="J112:M112" si="41">J5*32+J11*32+J17*64+J23*64+J29*64+J35*64+J41*128+J47*128+J53*128+J59*128+J65*256+J71*256+J77*64+J83*128+J89*128+J95*64+J101*128</f>
        <v>0</v>
      </c>
      <c r="K112" s="62">
        <f t="shared" si="41"/>
        <v>0</v>
      </c>
      <c r="L112" s="62">
        <f t="shared" si="41"/>
        <v>0</v>
      </c>
      <c r="M112" s="82">
        <f t="shared" si="41"/>
        <v>1088000</v>
      </c>
      <c r="N112" s="92">
        <f>SUM(J112:M112)</f>
        <v>1088000</v>
      </c>
      <c r="O112" s="75">
        <f t="shared" ref="O112:S112" si="42">O5*32+O11*32+O17*64+O23*64+O29*64+O35*64+O41*128+O47*128+O53*128+O59*128+O65*256+O71*256+O77*64+O83*128+O89*128+O95*64+O101*128</f>
        <v>0</v>
      </c>
      <c r="P112" s="62">
        <f t="shared" si="42"/>
        <v>0</v>
      </c>
      <c r="Q112" s="62">
        <f t="shared" si="42"/>
        <v>0</v>
      </c>
      <c r="R112" s="62">
        <f t="shared" si="42"/>
        <v>0</v>
      </c>
      <c r="S112" s="82">
        <f t="shared" si="42"/>
        <v>0</v>
      </c>
      <c r="T112" s="86">
        <f>SUM(O112:S112)</f>
        <v>0</v>
      </c>
      <c r="U112" s="68">
        <f>H112+M112+T112</f>
        <v>1088000</v>
      </c>
      <c r="V112" s="75">
        <f t="shared" ref="V112:Y112" si="43">V5*32+V11*32+V17*64+V23*64+V29*64+V35*64+V41*128+V47*128+V53*128+V59*128+V65*256+V71*256+V77*64+V83*128+V89*128+V95*64+V101*128</f>
        <v>0</v>
      </c>
      <c r="W112" s="62">
        <f t="shared" si="43"/>
        <v>0</v>
      </c>
      <c r="X112" s="62">
        <f t="shared" si="43"/>
        <v>0</v>
      </c>
      <c r="Y112" s="82">
        <f t="shared" si="43"/>
        <v>0</v>
      </c>
      <c r="Z112" s="89">
        <f>SUM(V112:Y112)</f>
        <v>0</v>
      </c>
      <c r="AA112" s="75">
        <f t="shared" ref="AA112:AD112" si="44">AA5*32+AA11*32+AA17*64+AA23*64+AA29*64+AA35*64+AA41*128+AA47*128+AA53*128+AA59*128+AA65*256+AA71*256+AA77*64+AA83*128+AA89*128+AA95*64+AA101*128</f>
        <v>0</v>
      </c>
      <c r="AB112" s="62">
        <f t="shared" si="44"/>
        <v>0</v>
      </c>
      <c r="AC112" s="62">
        <f t="shared" si="44"/>
        <v>0</v>
      </c>
      <c r="AD112" s="82">
        <f t="shared" si="44"/>
        <v>0</v>
      </c>
      <c r="AE112" s="89">
        <f>SUM(AA112:AD112)</f>
        <v>0</v>
      </c>
      <c r="AF112" s="75">
        <f t="shared" ref="AF112:AJ112" si="45">AF5*32+AF11*32+AF17*64+AF23*64+AF29*64+AF35*64+AF41*128+AF47*128+AF53*128+AF59*128+AF65*256+AF71*256+AF77*64+AF83*128+AF89*128+AF95*64+AF101*128</f>
        <v>0</v>
      </c>
      <c r="AG112" s="62">
        <f t="shared" si="45"/>
        <v>0</v>
      </c>
      <c r="AH112" s="62">
        <f t="shared" si="45"/>
        <v>0</v>
      </c>
      <c r="AI112" s="62">
        <f t="shared" si="45"/>
        <v>0</v>
      </c>
      <c r="AJ112" s="82">
        <f t="shared" si="45"/>
        <v>0</v>
      </c>
      <c r="AK112" s="86">
        <f>SUM(AF112:AJ112)</f>
        <v>0</v>
      </c>
      <c r="AL112" s="68">
        <f>Z112+AE112+AK112</f>
        <v>0</v>
      </c>
      <c r="AN112" s="13">
        <f t="shared" si="20"/>
        <v>0</v>
      </c>
      <c r="AO112" s="13">
        <f t="shared" si="7"/>
        <v>0</v>
      </c>
    </row>
    <row r="113" spans="1:41" s="51" customFormat="1">
      <c r="A113" s="112"/>
      <c r="B113" s="102" t="s">
        <v>7</v>
      </c>
      <c r="C113" s="50"/>
      <c r="D113" s="50"/>
      <c r="E113" s="76">
        <f>E112+E111</f>
        <v>0</v>
      </c>
      <c r="F113" s="10">
        <f>F112+F111</f>
        <v>60411200</v>
      </c>
      <c r="G113" s="10">
        <f>G112+G111</f>
        <v>15837504</v>
      </c>
      <c r="H113" s="83">
        <f>H112+H111</f>
        <v>9993600</v>
      </c>
      <c r="I113" s="89">
        <f>SUM(E113:H113)</f>
        <v>86242304</v>
      </c>
      <c r="J113" s="76">
        <f>J112+J111</f>
        <v>7280000</v>
      </c>
      <c r="K113" s="10">
        <f>K112+K111</f>
        <v>7894272</v>
      </c>
      <c r="L113" s="10">
        <f>L112+L111</f>
        <v>2093568</v>
      </c>
      <c r="M113" s="83">
        <f>M112+M111</f>
        <v>19970560</v>
      </c>
      <c r="N113" s="92">
        <f>SUM(J113:M113)</f>
        <v>37238400</v>
      </c>
      <c r="O113" s="76">
        <f>O112+O111</f>
        <v>17664000</v>
      </c>
      <c r="P113" s="10">
        <f>P112+P111</f>
        <v>11072000</v>
      </c>
      <c r="Q113" s="10">
        <f>Q112+Q111</f>
        <v>13312000</v>
      </c>
      <c r="R113" s="10">
        <f>R112+R111</f>
        <v>14720000</v>
      </c>
      <c r="S113" s="83">
        <f>S112+S111</f>
        <v>17824000</v>
      </c>
      <c r="T113" s="86">
        <f>SUM(O113:S113)</f>
        <v>74592000</v>
      </c>
      <c r="U113" s="68">
        <f>T113+N113+I113+D114</f>
        <v>232439360</v>
      </c>
      <c r="V113" s="76">
        <f>V112+V111</f>
        <v>24960000</v>
      </c>
      <c r="W113" s="10">
        <f>W112+W111</f>
        <v>4096000</v>
      </c>
      <c r="X113" s="10">
        <f>X112+X111</f>
        <v>384000</v>
      </c>
      <c r="Y113" s="83">
        <f>Y112+Y111</f>
        <v>2880000</v>
      </c>
      <c r="Z113" s="89">
        <f>SUM(V113:Y113)</f>
        <v>32320000</v>
      </c>
      <c r="AA113" s="76">
        <f>AA112+AA111</f>
        <v>3200000</v>
      </c>
      <c r="AB113" s="10">
        <f>AB112+AB111</f>
        <v>4800000</v>
      </c>
      <c r="AC113" s="10">
        <f>AC112+AC111</f>
        <v>4800000</v>
      </c>
      <c r="AD113" s="83">
        <f>AD112+AD111</f>
        <v>7680000</v>
      </c>
      <c r="AE113" s="89">
        <f>SUM(AA113:AD113)</f>
        <v>20480000</v>
      </c>
      <c r="AF113" s="76">
        <f>AF112+AF111</f>
        <v>0</v>
      </c>
      <c r="AG113" s="10">
        <f>AG112+AG111</f>
        <v>960000</v>
      </c>
      <c r="AH113" s="10">
        <f>AH112+AH111</f>
        <v>960000</v>
      </c>
      <c r="AI113" s="10">
        <f>AI112+AI111</f>
        <v>960000</v>
      </c>
      <c r="AJ113" s="83">
        <f>AJ112+AJ111</f>
        <v>2240000</v>
      </c>
      <c r="AK113" s="86">
        <f>SUM(AF113:AJ113)</f>
        <v>5120000</v>
      </c>
      <c r="AL113" s="68">
        <f>AK113+AE113+Z113</f>
        <v>57920000</v>
      </c>
      <c r="AN113" s="13">
        <f t="shared" si="20"/>
        <v>0</v>
      </c>
      <c r="AO113" s="13">
        <f t="shared" si="7"/>
        <v>0</v>
      </c>
    </row>
    <row r="114" spans="1:41" s="51" customFormat="1" ht="17" thickBot="1">
      <c r="A114" s="113"/>
      <c r="B114" s="103" t="s">
        <v>67</v>
      </c>
      <c r="C114" s="105">
        <f>C13*32+C19*64+C25*64+C31*64+C37*64+C43*128+C49*128+C55*128+C61*128+C67*256+C73*256+C79*64+C85*128+C91*128+C97*64+C103*128</f>
        <v>21421248</v>
      </c>
      <c r="D114" s="105">
        <f>D13*32+D19*64+D25*64+D31*64+D37*64+D43*128+D49*128+D55*128+D61*128+D67*256+D73*256+D79*64+D85*128+D91*128+D97*64+D103*128</f>
        <v>34366656</v>
      </c>
      <c r="E114" s="77">
        <f>E113-E110</f>
        <v>0</v>
      </c>
      <c r="F114" s="64">
        <f>E114+F113-F110</f>
        <v>0</v>
      </c>
      <c r="G114" s="64">
        <f>F114+G113-G110</f>
        <v>0</v>
      </c>
      <c r="H114" s="84">
        <f>G114+H113-H110</f>
        <v>0</v>
      </c>
      <c r="I114" s="90">
        <f>I113-I110</f>
        <v>0</v>
      </c>
      <c r="J114" s="77">
        <f>I114+J113-J110</f>
        <v>0</v>
      </c>
      <c r="K114" s="64">
        <f>J114+K113-K110</f>
        <v>0</v>
      </c>
      <c r="L114" s="64">
        <f>K114+L113-L110</f>
        <v>-13287008</v>
      </c>
      <c r="M114" s="84">
        <f>L114+M113-M110</f>
        <v>-1203104</v>
      </c>
      <c r="N114" s="90">
        <f>I114+N113-N110</f>
        <v>-1203104</v>
      </c>
      <c r="O114" s="77">
        <f>N114+O113-O110</f>
        <v>1363648</v>
      </c>
      <c r="P114" s="64">
        <f>O114+P113-P110</f>
        <v>-128544</v>
      </c>
      <c r="Q114" s="64">
        <f>P114+Q113-Q110</f>
        <v>9536736</v>
      </c>
      <c r="R114" s="64">
        <f>Q114+R113-R110</f>
        <v>14002720</v>
      </c>
      <c r="S114" s="84">
        <f>R114+S113-S110</f>
        <v>23375520</v>
      </c>
      <c r="T114" s="87">
        <f>N114+T113-T110</f>
        <v>23375520</v>
      </c>
      <c r="U114" s="69">
        <f>U113-U110</f>
        <v>23375520</v>
      </c>
      <c r="V114" s="77">
        <f>U114+V113-V110</f>
        <v>26707680</v>
      </c>
      <c r="W114" s="64">
        <f>V114+W113-W110</f>
        <v>30143712</v>
      </c>
      <c r="X114" s="64">
        <f>W114+X113-X110</f>
        <v>29072800</v>
      </c>
      <c r="Y114" s="84">
        <f>W114+Y113-Y110</f>
        <v>32089056</v>
      </c>
      <c r="Z114" s="87">
        <f>T114+Z113-Z110</f>
        <v>31018144</v>
      </c>
      <c r="AA114" s="77">
        <f>Z114+AA113-AA110</f>
        <v>21025408</v>
      </c>
      <c r="AB114" s="64">
        <f>AA114+AB113-AB110</f>
        <v>14547360</v>
      </c>
      <c r="AC114" s="64">
        <f>AB114+AC113-AC110</f>
        <v>17868800</v>
      </c>
      <c r="AD114" s="84">
        <f>AC114+AD113-AD110</f>
        <v>22827552</v>
      </c>
      <c r="AE114" s="87">
        <f>Z114+AE113-AE110</f>
        <v>22827552</v>
      </c>
      <c r="AF114" s="77">
        <f>AE114+AF113-AF110</f>
        <v>22185568</v>
      </c>
      <c r="AG114" s="64">
        <f>AF114+AG113-AG110</f>
        <v>19826880</v>
      </c>
      <c r="AH114" s="64">
        <f>AG114+AH113-AH110</f>
        <v>20757024</v>
      </c>
      <c r="AI114" s="64">
        <f t="shared" ref="AI114:AJ114" si="46">AH114+AI113-AI110</f>
        <v>21562304</v>
      </c>
      <c r="AJ114" s="84">
        <f t="shared" si="46"/>
        <v>23778912</v>
      </c>
      <c r="AK114" s="87">
        <f>AE114+AK113-AK110</f>
        <v>23778912</v>
      </c>
      <c r="AL114" s="69">
        <f>T114+AL113-AL110</f>
        <v>23778912</v>
      </c>
      <c r="AN114" s="13">
        <f t="shared" si="20"/>
        <v>0</v>
      </c>
      <c r="AO114" s="13">
        <f t="shared" si="7"/>
        <v>0</v>
      </c>
    </row>
  </sheetData>
  <autoFilter ref="A3:AO114" xr:uid="{00000000-0001-0000-0300-000000000000}"/>
  <mergeCells count="27">
    <mergeCell ref="V1:Y1"/>
    <mergeCell ref="AA1:AD1"/>
    <mergeCell ref="AF1:AJ1"/>
    <mergeCell ref="A3:A7"/>
    <mergeCell ref="A9:A13"/>
    <mergeCell ref="O1:S1"/>
    <mergeCell ref="J1:M1"/>
    <mergeCell ref="E1:H1"/>
    <mergeCell ref="A1:B1"/>
    <mergeCell ref="A2:B2"/>
    <mergeCell ref="A15:A19"/>
    <mergeCell ref="A21:A25"/>
    <mergeCell ref="A27:A31"/>
    <mergeCell ref="A33:A37"/>
    <mergeCell ref="A39:A43"/>
    <mergeCell ref="A75:A79"/>
    <mergeCell ref="A81:A85"/>
    <mergeCell ref="A45:A49"/>
    <mergeCell ref="A51:A55"/>
    <mergeCell ref="A57:A61"/>
    <mergeCell ref="A63:A67"/>
    <mergeCell ref="A69:A73"/>
    <mergeCell ref="A110:A114"/>
    <mergeCell ref="A99:A103"/>
    <mergeCell ref="A105:A109"/>
    <mergeCell ref="A87:A91"/>
    <mergeCell ref="A93:A97"/>
  </mergeCells>
  <phoneticPr fontId="3" type="noConversion"/>
  <conditionalFormatting sqref="E104:H104">
    <cfRule type="cellIs" dxfId="1007" priority="1006" stopIfTrue="1" operator="lessThanOrEqual">
      <formula>3000</formula>
    </cfRule>
    <cfRule type="cellIs" dxfId="1006" priority="1007" stopIfTrue="1" operator="between">
      <formula>3000</formula>
      <formula>9000</formula>
    </cfRule>
    <cfRule type="cellIs" dxfId="1005" priority="1008" stopIfTrue="1" operator="greaterThanOrEqual">
      <formula>9000</formula>
    </cfRule>
  </conditionalFormatting>
  <conditionalFormatting sqref="J104:M104">
    <cfRule type="cellIs" dxfId="1004" priority="1003" stopIfTrue="1" operator="lessThanOrEqual">
      <formula>3000</formula>
    </cfRule>
    <cfRule type="cellIs" dxfId="1003" priority="1004" stopIfTrue="1" operator="between">
      <formula>3000</formula>
      <formula>9000</formula>
    </cfRule>
    <cfRule type="cellIs" dxfId="1002" priority="1005" stopIfTrue="1" operator="greaterThanOrEqual">
      <formula>9000</formula>
    </cfRule>
  </conditionalFormatting>
  <conditionalFormatting sqref="O104">
    <cfRule type="cellIs" dxfId="1001" priority="1000" stopIfTrue="1" operator="lessThanOrEqual">
      <formula>3000</formula>
    </cfRule>
    <cfRule type="cellIs" dxfId="1000" priority="1001" stopIfTrue="1" operator="between">
      <formula>3000</formula>
      <formula>9000</formula>
    </cfRule>
    <cfRule type="cellIs" dxfId="999" priority="1002" stopIfTrue="1" operator="greaterThanOrEqual">
      <formula>9000</formula>
    </cfRule>
  </conditionalFormatting>
  <conditionalFormatting sqref="P104:S104">
    <cfRule type="cellIs" dxfId="998" priority="997" stopIfTrue="1" operator="lessThanOrEqual">
      <formula>3000</formula>
    </cfRule>
    <cfRule type="cellIs" dxfId="997" priority="998" stopIfTrue="1" operator="between">
      <formula>3000</formula>
      <formula>9000</formula>
    </cfRule>
    <cfRule type="cellIs" dxfId="996" priority="999" stopIfTrue="1" operator="greaterThanOrEqual">
      <formula>9000</formula>
    </cfRule>
  </conditionalFormatting>
  <conditionalFormatting sqref="P32:S32">
    <cfRule type="cellIs" dxfId="995" priority="853" stopIfTrue="1" operator="lessThanOrEqual">
      <formula>3000</formula>
    </cfRule>
    <cfRule type="cellIs" dxfId="994" priority="854" stopIfTrue="1" operator="between">
      <formula>3000</formula>
      <formula>9000</formula>
    </cfRule>
    <cfRule type="cellIs" dxfId="993" priority="855" stopIfTrue="1" operator="greaterThanOrEqual">
      <formula>9000</formula>
    </cfRule>
  </conditionalFormatting>
  <conditionalFormatting sqref="O32">
    <cfRule type="cellIs" dxfId="992" priority="856" stopIfTrue="1" operator="lessThanOrEqual">
      <formula>3000</formula>
    </cfRule>
    <cfRule type="cellIs" dxfId="991" priority="857" stopIfTrue="1" operator="between">
      <formula>3000</formula>
      <formula>9000</formula>
    </cfRule>
    <cfRule type="cellIs" dxfId="990" priority="858" stopIfTrue="1" operator="greaterThanOrEqual">
      <formula>9000</formula>
    </cfRule>
  </conditionalFormatting>
  <conditionalFormatting sqref="P26:S26">
    <cfRule type="cellIs" dxfId="989" priority="865" stopIfTrue="1" operator="lessThanOrEqual">
      <formula>3000</formula>
    </cfRule>
    <cfRule type="cellIs" dxfId="988" priority="866" stopIfTrue="1" operator="between">
      <formula>3000</formula>
      <formula>9000</formula>
    </cfRule>
    <cfRule type="cellIs" dxfId="987" priority="867" stopIfTrue="1" operator="greaterThanOrEqual">
      <formula>9000</formula>
    </cfRule>
  </conditionalFormatting>
  <conditionalFormatting sqref="E26:H26">
    <cfRule type="cellIs" dxfId="986" priority="874" stopIfTrue="1" operator="lessThanOrEqual">
      <formula>3000</formula>
    </cfRule>
    <cfRule type="cellIs" dxfId="985" priority="875" stopIfTrue="1" operator="between">
      <formula>3000</formula>
      <formula>9000</formula>
    </cfRule>
    <cfRule type="cellIs" dxfId="984" priority="876" stopIfTrue="1" operator="greaterThanOrEqual">
      <formula>9000</formula>
    </cfRule>
  </conditionalFormatting>
  <conditionalFormatting sqref="J20:M20">
    <cfRule type="cellIs" dxfId="983" priority="883" stopIfTrue="1" operator="lessThanOrEqual">
      <formula>3000</formula>
    </cfRule>
    <cfRule type="cellIs" dxfId="982" priority="884" stopIfTrue="1" operator="between">
      <formula>3000</formula>
      <formula>9000</formula>
    </cfRule>
    <cfRule type="cellIs" dxfId="981" priority="885" stopIfTrue="1" operator="greaterThanOrEqual">
      <formula>9000</formula>
    </cfRule>
  </conditionalFormatting>
  <conditionalFormatting sqref="O14">
    <cfRule type="cellIs" dxfId="980" priority="892" stopIfTrue="1" operator="lessThanOrEqual">
      <formula>3000</formula>
    </cfRule>
    <cfRule type="cellIs" dxfId="979" priority="893" stopIfTrue="1" operator="between">
      <formula>3000</formula>
      <formula>9000</formula>
    </cfRule>
    <cfRule type="cellIs" dxfId="978" priority="894" stopIfTrue="1" operator="greaterThanOrEqual">
      <formula>9000</formula>
    </cfRule>
  </conditionalFormatting>
  <conditionalFormatting sqref="P8:S8">
    <cfRule type="cellIs" dxfId="977" priority="901" stopIfTrue="1" operator="lessThanOrEqual">
      <formula>3000</formula>
    </cfRule>
    <cfRule type="cellIs" dxfId="976" priority="902" stopIfTrue="1" operator="between">
      <formula>3000</formula>
      <formula>9000</formula>
    </cfRule>
    <cfRule type="cellIs" dxfId="975" priority="903" stopIfTrue="1" operator="greaterThanOrEqual">
      <formula>9000</formula>
    </cfRule>
  </conditionalFormatting>
  <conditionalFormatting sqref="E8:H8">
    <cfRule type="cellIs" dxfId="974" priority="910" stopIfTrue="1" operator="lessThanOrEqual">
      <formula>3000</formula>
    </cfRule>
    <cfRule type="cellIs" dxfId="973" priority="911" stopIfTrue="1" operator="between">
      <formula>3000</formula>
      <formula>9000</formula>
    </cfRule>
    <cfRule type="cellIs" dxfId="972" priority="912" stopIfTrue="1" operator="greaterThanOrEqual">
      <formula>9000</formula>
    </cfRule>
  </conditionalFormatting>
  <conditionalFormatting sqref="J74:M74">
    <cfRule type="cellIs" dxfId="971" priority="775" stopIfTrue="1" operator="lessThanOrEqual">
      <formula>3000</formula>
    </cfRule>
    <cfRule type="cellIs" dxfId="970" priority="776" stopIfTrue="1" operator="between">
      <formula>3000</formula>
      <formula>9000</formula>
    </cfRule>
    <cfRule type="cellIs" dxfId="969" priority="777" stopIfTrue="1" operator="greaterThanOrEqual">
      <formula>9000</formula>
    </cfRule>
  </conditionalFormatting>
  <conditionalFormatting sqref="O68">
    <cfRule type="cellIs" dxfId="968" priority="784" stopIfTrue="1" operator="lessThanOrEqual">
      <formula>3000</formula>
    </cfRule>
    <cfRule type="cellIs" dxfId="967" priority="785" stopIfTrue="1" operator="between">
      <formula>3000</formula>
      <formula>9000</formula>
    </cfRule>
    <cfRule type="cellIs" dxfId="966" priority="786" stopIfTrue="1" operator="greaterThanOrEqual">
      <formula>9000</formula>
    </cfRule>
  </conditionalFormatting>
  <conditionalFormatting sqref="P62:S62">
    <cfRule type="cellIs" dxfId="965" priority="793" stopIfTrue="1" operator="lessThanOrEqual">
      <formula>3000</formula>
    </cfRule>
    <cfRule type="cellIs" dxfId="964" priority="794" stopIfTrue="1" operator="between">
      <formula>3000</formula>
      <formula>9000</formula>
    </cfRule>
    <cfRule type="cellIs" dxfId="963" priority="795" stopIfTrue="1" operator="greaterThanOrEqual">
      <formula>9000</formula>
    </cfRule>
  </conditionalFormatting>
  <conditionalFormatting sqref="E62:H62">
    <cfRule type="cellIs" dxfId="962" priority="802" stopIfTrue="1" operator="lessThanOrEqual">
      <formula>3000</formula>
    </cfRule>
    <cfRule type="cellIs" dxfId="961" priority="803" stopIfTrue="1" operator="between">
      <formula>3000</formula>
      <formula>9000</formula>
    </cfRule>
    <cfRule type="cellIs" dxfId="960" priority="804" stopIfTrue="1" operator="greaterThanOrEqual">
      <formula>9000</formula>
    </cfRule>
  </conditionalFormatting>
  <conditionalFormatting sqref="J56:M56">
    <cfRule type="cellIs" dxfId="959" priority="811" stopIfTrue="1" operator="lessThanOrEqual">
      <formula>3000</formula>
    </cfRule>
    <cfRule type="cellIs" dxfId="958" priority="812" stopIfTrue="1" operator="between">
      <formula>3000</formula>
      <formula>9000</formula>
    </cfRule>
    <cfRule type="cellIs" dxfId="957" priority="813" stopIfTrue="1" operator="greaterThanOrEqual">
      <formula>9000</formula>
    </cfRule>
  </conditionalFormatting>
  <conditionalFormatting sqref="O50">
    <cfRule type="cellIs" dxfId="956" priority="820" stopIfTrue="1" operator="lessThanOrEqual">
      <formula>3000</formula>
    </cfRule>
    <cfRule type="cellIs" dxfId="955" priority="821" stopIfTrue="1" operator="between">
      <formula>3000</formula>
      <formula>9000</formula>
    </cfRule>
    <cfRule type="cellIs" dxfId="954" priority="822" stopIfTrue="1" operator="greaterThanOrEqual">
      <formula>9000</formula>
    </cfRule>
  </conditionalFormatting>
  <conditionalFormatting sqref="P44:S44">
    <cfRule type="cellIs" dxfId="953" priority="829" stopIfTrue="1" operator="lessThanOrEqual">
      <formula>3000</formula>
    </cfRule>
    <cfRule type="cellIs" dxfId="952" priority="830" stopIfTrue="1" operator="between">
      <formula>3000</formula>
      <formula>9000</formula>
    </cfRule>
    <cfRule type="cellIs" dxfId="951" priority="831" stopIfTrue="1" operator="greaterThanOrEqual">
      <formula>9000</formula>
    </cfRule>
  </conditionalFormatting>
  <conditionalFormatting sqref="E44:H44">
    <cfRule type="cellIs" dxfId="950" priority="838" stopIfTrue="1" operator="lessThanOrEqual">
      <formula>3000</formula>
    </cfRule>
    <cfRule type="cellIs" dxfId="949" priority="839" stopIfTrue="1" operator="between">
      <formula>3000</formula>
      <formula>9000</formula>
    </cfRule>
    <cfRule type="cellIs" dxfId="948" priority="840" stopIfTrue="1" operator="greaterThanOrEqual">
      <formula>9000</formula>
    </cfRule>
  </conditionalFormatting>
  <conditionalFormatting sqref="J38:M38">
    <cfRule type="cellIs" dxfId="947" priority="847" stopIfTrue="1" operator="lessThanOrEqual">
      <formula>3000</formula>
    </cfRule>
    <cfRule type="cellIs" dxfId="946" priority="848" stopIfTrue="1" operator="between">
      <formula>3000</formula>
      <formula>9000</formula>
    </cfRule>
    <cfRule type="cellIs" dxfId="945" priority="849" stopIfTrue="1" operator="greaterThanOrEqual">
      <formula>9000</formula>
    </cfRule>
  </conditionalFormatting>
  <conditionalFormatting sqref="O38">
    <cfRule type="cellIs" dxfId="944" priority="844" stopIfTrue="1" operator="lessThanOrEqual">
      <formula>3000</formula>
    </cfRule>
    <cfRule type="cellIs" dxfId="943" priority="845" stopIfTrue="1" operator="between">
      <formula>3000</formula>
      <formula>9000</formula>
    </cfRule>
    <cfRule type="cellIs" dxfId="942" priority="846" stopIfTrue="1" operator="greaterThanOrEqual">
      <formula>9000</formula>
    </cfRule>
  </conditionalFormatting>
  <conditionalFormatting sqref="P38:S38">
    <cfRule type="cellIs" dxfId="941" priority="841" stopIfTrue="1" operator="lessThanOrEqual">
      <formula>3000</formula>
    </cfRule>
    <cfRule type="cellIs" dxfId="940" priority="842" stopIfTrue="1" operator="between">
      <formula>3000</formula>
      <formula>9000</formula>
    </cfRule>
    <cfRule type="cellIs" dxfId="939" priority="843" stopIfTrue="1" operator="greaterThanOrEqual">
      <formula>9000</formula>
    </cfRule>
  </conditionalFormatting>
  <conditionalFormatting sqref="E32:H32">
    <cfRule type="cellIs" dxfId="938" priority="862" stopIfTrue="1" operator="lessThanOrEqual">
      <formula>3000</formula>
    </cfRule>
    <cfRule type="cellIs" dxfId="937" priority="863" stopIfTrue="1" operator="between">
      <formula>3000</formula>
      <formula>9000</formula>
    </cfRule>
    <cfRule type="cellIs" dxfId="936" priority="864" stopIfTrue="1" operator="greaterThanOrEqual">
      <formula>9000</formula>
    </cfRule>
  </conditionalFormatting>
  <conditionalFormatting sqref="J26:M26">
    <cfRule type="cellIs" dxfId="935" priority="871" stopIfTrue="1" operator="lessThanOrEqual">
      <formula>3000</formula>
    </cfRule>
    <cfRule type="cellIs" dxfId="934" priority="872" stopIfTrue="1" operator="between">
      <formula>3000</formula>
      <formula>9000</formula>
    </cfRule>
    <cfRule type="cellIs" dxfId="933" priority="873" stopIfTrue="1" operator="greaterThanOrEqual">
      <formula>9000</formula>
    </cfRule>
  </conditionalFormatting>
  <conditionalFormatting sqref="O8">
    <cfRule type="cellIs" dxfId="932" priority="904" stopIfTrue="1" operator="lessThanOrEqual">
      <formula>3000</formula>
    </cfRule>
    <cfRule type="cellIs" dxfId="931" priority="905" stopIfTrue="1" operator="between">
      <formula>3000</formula>
      <formula>9000</formula>
    </cfRule>
    <cfRule type="cellIs" dxfId="930" priority="906" stopIfTrue="1" operator="greaterThanOrEqual">
      <formula>9000</formula>
    </cfRule>
  </conditionalFormatting>
  <conditionalFormatting sqref="E38:H38">
    <cfRule type="cellIs" dxfId="929" priority="850" stopIfTrue="1" operator="lessThanOrEqual">
      <formula>3000</formula>
    </cfRule>
    <cfRule type="cellIs" dxfId="928" priority="851" stopIfTrue="1" operator="between">
      <formula>3000</formula>
      <formula>9000</formula>
    </cfRule>
    <cfRule type="cellIs" dxfId="927" priority="852" stopIfTrue="1" operator="greaterThanOrEqual">
      <formula>9000</formula>
    </cfRule>
  </conditionalFormatting>
  <conditionalFormatting sqref="J8:M8">
    <cfRule type="cellIs" dxfId="926" priority="907" stopIfTrue="1" operator="lessThanOrEqual">
      <formula>3000</formula>
    </cfRule>
    <cfRule type="cellIs" dxfId="925" priority="908" stopIfTrue="1" operator="between">
      <formula>3000</formula>
      <formula>9000</formula>
    </cfRule>
    <cfRule type="cellIs" dxfId="924" priority="909" stopIfTrue="1" operator="greaterThanOrEqual">
      <formula>9000</formula>
    </cfRule>
  </conditionalFormatting>
  <conditionalFormatting sqref="E14:H14">
    <cfRule type="cellIs" dxfId="923" priority="898" stopIfTrue="1" operator="lessThanOrEqual">
      <formula>3000</formula>
    </cfRule>
    <cfRule type="cellIs" dxfId="922" priority="899" stopIfTrue="1" operator="between">
      <formula>3000</formula>
      <formula>9000</formula>
    </cfRule>
    <cfRule type="cellIs" dxfId="921" priority="900" stopIfTrue="1" operator="greaterThanOrEqual">
      <formula>9000</formula>
    </cfRule>
  </conditionalFormatting>
  <conditionalFormatting sqref="J14:M14">
    <cfRule type="cellIs" dxfId="920" priority="895" stopIfTrue="1" operator="lessThanOrEqual">
      <formula>3000</formula>
    </cfRule>
    <cfRule type="cellIs" dxfId="919" priority="896" stopIfTrue="1" operator="between">
      <formula>3000</formula>
      <formula>9000</formula>
    </cfRule>
    <cfRule type="cellIs" dxfId="918" priority="897" stopIfTrue="1" operator="greaterThanOrEqual">
      <formula>9000</formula>
    </cfRule>
  </conditionalFormatting>
  <conditionalFormatting sqref="P14:S14">
    <cfRule type="cellIs" dxfId="917" priority="889" stopIfTrue="1" operator="lessThanOrEqual">
      <formula>3000</formula>
    </cfRule>
    <cfRule type="cellIs" dxfId="916" priority="890" stopIfTrue="1" operator="between">
      <formula>3000</formula>
      <formula>9000</formula>
    </cfRule>
    <cfRule type="cellIs" dxfId="915" priority="891" stopIfTrue="1" operator="greaterThanOrEqual">
      <formula>9000</formula>
    </cfRule>
  </conditionalFormatting>
  <conditionalFormatting sqref="O20">
    <cfRule type="cellIs" dxfId="914" priority="880" stopIfTrue="1" operator="lessThanOrEqual">
      <formula>3000</formula>
    </cfRule>
    <cfRule type="cellIs" dxfId="913" priority="881" stopIfTrue="1" operator="between">
      <formula>3000</formula>
      <formula>9000</formula>
    </cfRule>
    <cfRule type="cellIs" dxfId="912" priority="882" stopIfTrue="1" operator="greaterThanOrEqual">
      <formula>9000</formula>
    </cfRule>
  </conditionalFormatting>
  <conditionalFormatting sqref="E20:H20">
    <cfRule type="cellIs" dxfId="911" priority="886" stopIfTrue="1" operator="lessThanOrEqual">
      <formula>3000</formula>
    </cfRule>
    <cfRule type="cellIs" dxfId="910" priority="887" stopIfTrue="1" operator="between">
      <formula>3000</formula>
      <formula>9000</formula>
    </cfRule>
    <cfRule type="cellIs" dxfId="909" priority="888" stopIfTrue="1" operator="greaterThanOrEqual">
      <formula>9000</formula>
    </cfRule>
  </conditionalFormatting>
  <conditionalFormatting sqref="P20:S20">
    <cfRule type="cellIs" dxfId="908" priority="877" stopIfTrue="1" operator="lessThanOrEqual">
      <formula>3000</formula>
    </cfRule>
    <cfRule type="cellIs" dxfId="907" priority="878" stopIfTrue="1" operator="between">
      <formula>3000</formula>
      <formula>9000</formula>
    </cfRule>
    <cfRule type="cellIs" dxfId="906" priority="879" stopIfTrue="1" operator="greaterThanOrEqual">
      <formula>9000</formula>
    </cfRule>
  </conditionalFormatting>
  <conditionalFormatting sqref="J32:M32">
    <cfRule type="cellIs" dxfId="905" priority="859" stopIfTrue="1" operator="lessThanOrEqual">
      <formula>3000</formula>
    </cfRule>
    <cfRule type="cellIs" dxfId="904" priority="860" stopIfTrue="1" operator="between">
      <formula>3000</formula>
      <formula>9000</formula>
    </cfRule>
    <cfRule type="cellIs" dxfId="903" priority="861" stopIfTrue="1" operator="greaterThanOrEqual">
      <formula>9000</formula>
    </cfRule>
  </conditionalFormatting>
  <conditionalFormatting sqref="O26">
    <cfRule type="cellIs" dxfId="902" priority="868" stopIfTrue="1" operator="lessThanOrEqual">
      <formula>3000</formula>
    </cfRule>
    <cfRule type="cellIs" dxfId="901" priority="869" stopIfTrue="1" operator="between">
      <formula>3000</formula>
      <formula>9000</formula>
    </cfRule>
    <cfRule type="cellIs" dxfId="900" priority="870" stopIfTrue="1" operator="greaterThanOrEqual">
      <formula>9000</formula>
    </cfRule>
  </conditionalFormatting>
  <conditionalFormatting sqref="O44">
    <cfRule type="cellIs" dxfId="899" priority="832" stopIfTrue="1" operator="lessThanOrEqual">
      <formula>3000</formula>
    </cfRule>
    <cfRule type="cellIs" dxfId="898" priority="833" stopIfTrue="1" operator="between">
      <formula>3000</formula>
      <formula>9000</formula>
    </cfRule>
    <cfRule type="cellIs" dxfId="897" priority="834" stopIfTrue="1" operator="greaterThanOrEqual">
      <formula>9000</formula>
    </cfRule>
  </conditionalFormatting>
  <conditionalFormatting sqref="J44:M44">
    <cfRule type="cellIs" dxfId="896" priority="835" stopIfTrue="1" operator="lessThanOrEqual">
      <formula>3000</formula>
    </cfRule>
    <cfRule type="cellIs" dxfId="895" priority="836" stopIfTrue="1" operator="between">
      <formula>3000</formula>
      <formula>9000</formula>
    </cfRule>
    <cfRule type="cellIs" dxfId="894" priority="837" stopIfTrue="1" operator="greaterThanOrEqual">
      <formula>9000</formula>
    </cfRule>
  </conditionalFormatting>
  <conditionalFormatting sqref="E50:H50">
    <cfRule type="cellIs" dxfId="893" priority="826" stopIfTrue="1" operator="lessThanOrEqual">
      <formula>3000</formula>
    </cfRule>
    <cfRule type="cellIs" dxfId="892" priority="827" stopIfTrue="1" operator="between">
      <formula>3000</formula>
      <formula>9000</formula>
    </cfRule>
    <cfRule type="cellIs" dxfId="891" priority="828" stopIfTrue="1" operator="greaterThanOrEqual">
      <formula>9000</formula>
    </cfRule>
  </conditionalFormatting>
  <conditionalFormatting sqref="J50:M50">
    <cfRule type="cellIs" dxfId="890" priority="823" stopIfTrue="1" operator="lessThanOrEqual">
      <formula>3000</formula>
    </cfRule>
    <cfRule type="cellIs" dxfId="889" priority="824" stopIfTrue="1" operator="between">
      <formula>3000</formula>
      <formula>9000</formula>
    </cfRule>
    <cfRule type="cellIs" dxfId="888" priority="825" stopIfTrue="1" operator="greaterThanOrEqual">
      <formula>9000</formula>
    </cfRule>
  </conditionalFormatting>
  <conditionalFormatting sqref="P50:S50">
    <cfRule type="cellIs" dxfId="887" priority="817" stopIfTrue="1" operator="lessThanOrEqual">
      <formula>3000</formula>
    </cfRule>
    <cfRule type="cellIs" dxfId="886" priority="818" stopIfTrue="1" operator="between">
      <formula>3000</formula>
      <formula>9000</formula>
    </cfRule>
    <cfRule type="cellIs" dxfId="885" priority="819" stopIfTrue="1" operator="greaterThanOrEqual">
      <formula>9000</formula>
    </cfRule>
  </conditionalFormatting>
  <conditionalFormatting sqref="E56:H56">
    <cfRule type="cellIs" dxfId="884" priority="814" stopIfTrue="1" operator="lessThanOrEqual">
      <formula>3000</formula>
    </cfRule>
    <cfRule type="cellIs" dxfId="883" priority="815" stopIfTrue="1" operator="between">
      <formula>3000</formula>
      <formula>9000</formula>
    </cfRule>
    <cfRule type="cellIs" dxfId="882" priority="816" stopIfTrue="1" operator="greaterThanOrEqual">
      <formula>9000</formula>
    </cfRule>
  </conditionalFormatting>
  <conditionalFormatting sqref="O56">
    <cfRule type="cellIs" dxfId="881" priority="808" stopIfTrue="1" operator="lessThanOrEqual">
      <formula>3000</formula>
    </cfRule>
    <cfRule type="cellIs" dxfId="880" priority="809" stopIfTrue="1" operator="between">
      <formula>3000</formula>
      <formula>9000</formula>
    </cfRule>
    <cfRule type="cellIs" dxfId="879" priority="810" stopIfTrue="1" operator="greaterThanOrEqual">
      <formula>9000</formula>
    </cfRule>
  </conditionalFormatting>
  <conditionalFormatting sqref="P56:S56">
    <cfRule type="cellIs" dxfId="878" priority="805" stopIfTrue="1" operator="lessThanOrEqual">
      <formula>3000</formula>
    </cfRule>
    <cfRule type="cellIs" dxfId="877" priority="806" stopIfTrue="1" operator="between">
      <formula>3000</formula>
      <formula>9000</formula>
    </cfRule>
    <cfRule type="cellIs" dxfId="876" priority="807" stopIfTrue="1" operator="greaterThanOrEqual">
      <formula>9000</formula>
    </cfRule>
  </conditionalFormatting>
  <conditionalFormatting sqref="J62:M62">
    <cfRule type="cellIs" dxfId="875" priority="799" stopIfTrue="1" operator="lessThanOrEqual">
      <formula>3000</formula>
    </cfRule>
    <cfRule type="cellIs" dxfId="874" priority="800" stopIfTrue="1" operator="between">
      <formula>3000</formula>
      <formula>9000</formula>
    </cfRule>
    <cfRule type="cellIs" dxfId="873" priority="801" stopIfTrue="1" operator="greaterThanOrEqual">
      <formula>9000</formula>
    </cfRule>
  </conditionalFormatting>
  <conditionalFormatting sqref="O62">
    <cfRule type="cellIs" dxfId="872" priority="796" stopIfTrue="1" operator="lessThanOrEqual">
      <formula>3000</formula>
    </cfRule>
    <cfRule type="cellIs" dxfId="871" priority="797" stopIfTrue="1" operator="between">
      <formula>3000</formula>
      <formula>9000</formula>
    </cfRule>
    <cfRule type="cellIs" dxfId="870" priority="798" stopIfTrue="1" operator="greaterThanOrEqual">
      <formula>9000</formula>
    </cfRule>
  </conditionalFormatting>
  <conditionalFormatting sqref="E68:H68">
    <cfRule type="cellIs" dxfId="869" priority="790" stopIfTrue="1" operator="lessThanOrEqual">
      <formula>3000</formula>
    </cfRule>
    <cfRule type="cellIs" dxfId="868" priority="791" stopIfTrue="1" operator="between">
      <formula>3000</formula>
      <formula>9000</formula>
    </cfRule>
    <cfRule type="cellIs" dxfId="867" priority="792" stopIfTrue="1" operator="greaterThanOrEqual">
      <formula>9000</formula>
    </cfRule>
  </conditionalFormatting>
  <conditionalFormatting sqref="J68:M68">
    <cfRule type="cellIs" dxfId="866" priority="787" stopIfTrue="1" operator="lessThanOrEqual">
      <formula>3000</formula>
    </cfRule>
    <cfRule type="cellIs" dxfId="865" priority="788" stopIfTrue="1" operator="between">
      <formula>3000</formula>
      <formula>9000</formula>
    </cfRule>
    <cfRule type="cellIs" dxfId="864" priority="789" stopIfTrue="1" operator="greaterThanOrEqual">
      <formula>9000</formula>
    </cfRule>
  </conditionalFormatting>
  <conditionalFormatting sqref="P68:S68">
    <cfRule type="cellIs" dxfId="863" priority="781" stopIfTrue="1" operator="lessThanOrEqual">
      <formula>3000</formula>
    </cfRule>
    <cfRule type="cellIs" dxfId="862" priority="782" stopIfTrue="1" operator="between">
      <formula>3000</formula>
      <formula>9000</formula>
    </cfRule>
    <cfRule type="cellIs" dxfId="861" priority="783" stopIfTrue="1" operator="greaterThanOrEqual">
      <formula>9000</formula>
    </cfRule>
  </conditionalFormatting>
  <conditionalFormatting sqref="E74:H74">
    <cfRule type="cellIs" dxfId="860" priority="778" stopIfTrue="1" operator="lessThanOrEqual">
      <formula>3000</formula>
    </cfRule>
    <cfRule type="cellIs" dxfId="859" priority="779" stopIfTrue="1" operator="between">
      <formula>3000</formula>
      <formula>9000</formula>
    </cfRule>
    <cfRule type="cellIs" dxfId="858" priority="780" stopIfTrue="1" operator="greaterThanOrEqual">
      <formula>9000</formula>
    </cfRule>
  </conditionalFormatting>
  <conditionalFormatting sqref="O74">
    <cfRule type="cellIs" dxfId="857" priority="772" stopIfTrue="1" operator="lessThanOrEqual">
      <formula>3000</formula>
    </cfRule>
    <cfRule type="cellIs" dxfId="856" priority="773" stopIfTrue="1" operator="between">
      <formula>3000</formula>
      <formula>9000</formula>
    </cfRule>
    <cfRule type="cellIs" dxfId="855" priority="774" stopIfTrue="1" operator="greaterThanOrEqual">
      <formula>9000</formula>
    </cfRule>
  </conditionalFormatting>
  <conditionalFormatting sqref="P74:S74">
    <cfRule type="cellIs" dxfId="854" priority="769" stopIfTrue="1" operator="lessThanOrEqual">
      <formula>3000</formula>
    </cfRule>
    <cfRule type="cellIs" dxfId="853" priority="770" stopIfTrue="1" operator="between">
      <formula>3000</formula>
      <formula>9000</formula>
    </cfRule>
    <cfRule type="cellIs" dxfId="852" priority="771" stopIfTrue="1" operator="greaterThanOrEqual">
      <formula>9000</formula>
    </cfRule>
  </conditionalFormatting>
  <conditionalFormatting sqref="E80:H80">
    <cfRule type="cellIs" dxfId="851" priority="646" stopIfTrue="1" operator="lessThanOrEqual">
      <formula>3000</formula>
    </cfRule>
    <cfRule type="cellIs" dxfId="850" priority="647" stopIfTrue="1" operator="between">
      <formula>3000</formula>
      <formula>9000</formula>
    </cfRule>
    <cfRule type="cellIs" dxfId="849" priority="648" stopIfTrue="1" operator="greaterThanOrEqual">
      <formula>9000</formula>
    </cfRule>
  </conditionalFormatting>
  <conditionalFormatting sqref="J80:M80">
    <cfRule type="cellIs" dxfId="848" priority="643" stopIfTrue="1" operator="lessThanOrEqual">
      <formula>3000</formula>
    </cfRule>
    <cfRule type="cellIs" dxfId="847" priority="644" stopIfTrue="1" operator="between">
      <formula>3000</formula>
      <formula>9000</formula>
    </cfRule>
    <cfRule type="cellIs" dxfId="846" priority="645" stopIfTrue="1" operator="greaterThanOrEqual">
      <formula>9000</formula>
    </cfRule>
  </conditionalFormatting>
  <conditionalFormatting sqref="O80">
    <cfRule type="cellIs" dxfId="845" priority="640" stopIfTrue="1" operator="lessThanOrEqual">
      <formula>3000</formula>
    </cfRule>
    <cfRule type="cellIs" dxfId="844" priority="641" stopIfTrue="1" operator="between">
      <formula>3000</formula>
      <formula>9000</formula>
    </cfRule>
    <cfRule type="cellIs" dxfId="843" priority="642" stopIfTrue="1" operator="greaterThanOrEqual">
      <formula>9000</formula>
    </cfRule>
  </conditionalFormatting>
  <conditionalFormatting sqref="P80:S80">
    <cfRule type="cellIs" dxfId="842" priority="637" stopIfTrue="1" operator="lessThanOrEqual">
      <formula>3000</formula>
    </cfRule>
    <cfRule type="cellIs" dxfId="841" priority="638" stopIfTrue="1" operator="between">
      <formula>3000</formula>
      <formula>9000</formula>
    </cfRule>
    <cfRule type="cellIs" dxfId="840" priority="639" stopIfTrue="1" operator="greaterThanOrEqual">
      <formula>9000</formula>
    </cfRule>
  </conditionalFormatting>
  <conditionalFormatting sqref="E86:H86">
    <cfRule type="cellIs" dxfId="839" priority="634" stopIfTrue="1" operator="lessThanOrEqual">
      <formula>3000</formula>
    </cfRule>
    <cfRule type="cellIs" dxfId="838" priority="635" stopIfTrue="1" operator="between">
      <formula>3000</formula>
      <formula>9000</formula>
    </cfRule>
    <cfRule type="cellIs" dxfId="837" priority="636" stopIfTrue="1" operator="greaterThanOrEqual">
      <formula>9000</formula>
    </cfRule>
  </conditionalFormatting>
  <conditionalFormatting sqref="J86:M86">
    <cfRule type="cellIs" dxfId="836" priority="631" stopIfTrue="1" operator="lessThanOrEqual">
      <formula>3000</formula>
    </cfRule>
    <cfRule type="cellIs" dxfId="835" priority="632" stopIfTrue="1" operator="between">
      <formula>3000</formula>
      <formula>9000</formula>
    </cfRule>
    <cfRule type="cellIs" dxfId="834" priority="633" stopIfTrue="1" operator="greaterThanOrEqual">
      <formula>9000</formula>
    </cfRule>
  </conditionalFormatting>
  <conditionalFormatting sqref="O86">
    <cfRule type="cellIs" dxfId="833" priority="628" stopIfTrue="1" operator="lessThanOrEqual">
      <formula>3000</formula>
    </cfRule>
    <cfRule type="cellIs" dxfId="832" priority="629" stopIfTrue="1" operator="between">
      <formula>3000</formula>
      <formula>9000</formula>
    </cfRule>
    <cfRule type="cellIs" dxfId="831" priority="630" stopIfTrue="1" operator="greaterThanOrEqual">
      <formula>9000</formula>
    </cfRule>
  </conditionalFormatting>
  <conditionalFormatting sqref="P86:S86">
    <cfRule type="cellIs" dxfId="830" priority="625" stopIfTrue="1" operator="lessThanOrEqual">
      <formula>3000</formula>
    </cfRule>
    <cfRule type="cellIs" dxfId="829" priority="626" stopIfTrue="1" operator="between">
      <formula>3000</formula>
      <formula>9000</formula>
    </cfRule>
    <cfRule type="cellIs" dxfId="828" priority="627" stopIfTrue="1" operator="greaterThanOrEqual">
      <formula>9000</formula>
    </cfRule>
  </conditionalFormatting>
  <conditionalFormatting sqref="E92:H92">
    <cfRule type="cellIs" dxfId="827" priority="574" stopIfTrue="1" operator="lessThanOrEqual">
      <formula>3000</formula>
    </cfRule>
    <cfRule type="cellIs" dxfId="826" priority="575" stopIfTrue="1" operator="between">
      <formula>3000</formula>
      <formula>9000</formula>
    </cfRule>
    <cfRule type="cellIs" dxfId="825" priority="576" stopIfTrue="1" operator="greaterThanOrEqual">
      <formula>9000</formula>
    </cfRule>
  </conditionalFormatting>
  <conditionalFormatting sqref="J92:M92">
    <cfRule type="cellIs" dxfId="824" priority="571" stopIfTrue="1" operator="lessThanOrEqual">
      <formula>3000</formula>
    </cfRule>
    <cfRule type="cellIs" dxfId="823" priority="572" stopIfTrue="1" operator="between">
      <formula>3000</formula>
      <formula>9000</formula>
    </cfRule>
    <cfRule type="cellIs" dxfId="822" priority="573" stopIfTrue="1" operator="greaterThanOrEqual">
      <formula>9000</formula>
    </cfRule>
  </conditionalFormatting>
  <conditionalFormatting sqref="O92">
    <cfRule type="cellIs" dxfId="821" priority="568" stopIfTrue="1" operator="lessThanOrEqual">
      <formula>3000</formula>
    </cfRule>
    <cfRule type="cellIs" dxfId="820" priority="569" stopIfTrue="1" operator="between">
      <formula>3000</formula>
      <formula>9000</formula>
    </cfRule>
    <cfRule type="cellIs" dxfId="819" priority="570" stopIfTrue="1" operator="greaterThanOrEqual">
      <formula>9000</formula>
    </cfRule>
  </conditionalFormatting>
  <conditionalFormatting sqref="P92:S92">
    <cfRule type="cellIs" dxfId="818" priority="565" stopIfTrue="1" operator="lessThanOrEqual">
      <formula>3000</formula>
    </cfRule>
    <cfRule type="cellIs" dxfId="817" priority="566" stopIfTrue="1" operator="between">
      <formula>3000</formula>
      <formula>9000</formula>
    </cfRule>
    <cfRule type="cellIs" dxfId="816" priority="567" stopIfTrue="1" operator="greaterThanOrEqual">
      <formula>9000</formula>
    </cfRule>
  </conditionalFormatting>
  <conditionalFormatting sqref="E98:H98">
    <cfRule type="cellIs" dxfId="815" priority="538" stopIfTrue="1" operator="lessThanOrEqual">
      <formula>3000</formula>
    </cfRule>
    <cfRule type="cellIs" dxfId="814" priority="539" stopIfTrue="1" operator="between">
      <formula>3000</formula>
      <formula>9000</formula>
    </cfRule>
    <cfRule type="cellIs" dxfId="813" priority="540" stopIfTrue="1" operator="greaterThanOrEqual">
      <formula>9000</formula>
    </cfRule>
  </conditionalFormatting>
  <conditionalFormatting sqref="J98:M98">
    <cfRule type="cellIs" dxfId="812" priority="535" stopIfTrue="1" operator="lessThanOrEqual">
      <formula>3000</formula>
    </cfRule>
    <cfRule type="cellIs" dxfId="811" priority="536" stopIfTrue="1" operator="between">
      <formula>3000</formula>
      <formula>9000</formula>
    </cfRule>
    <cfRule type="cellIs" dxfId="810" priority="537" stopIfTrue="1" operator="greaterThanOrEqual">
      <formula>9000</formula>
    </cfRule>
  </conditionalFormatting>
  <conditionalFormatting sqref="O98">
    <cfRule type="cellIs" dxfId="809" priority="532" stopIfTrue="1" operator="lessThanOrEqual">
      <formula>3000</formula>
    </cfRule>
    <cfRule type="cellIs" dxfId="808" priority="533" stopIfTrue="1" operator="between">
      <formula>3000</formula>
      <formula>9000</formula>
    </cfRule>
    <cfRule type="cellIs" dxfId="807" priority="534" stopIfTrue="1" operator="greaterThanOrEqual">
      <formula>9000</formula>
    </cfRule>
  </conditionalFormatting>
  <conditionalFormatting sqref="P98:S98">
    <cfRule type="cellIs" dxfId="806" priority="529" stopIfTrue="1" operator="lessThanOrEqual">
      <formula>3000</formula>
    </cfRule>
    <cfRule type="cellIs" dxfId="805" priority="530" stopIfTrue="1" operator="between">
      <formula>3000</formula>
      <formula>9000</formula>
    </cfRule>
    <cfRule type="cellIs" dxfId="804" priority="531" stopIfTrue="1" operator="greaterThanOrEqual">
      <formula>9000</formula>
    </cfRule>
  </conditionalFormatting>
  <conditionalFormatting sqref="V104:Y104">
    <cfRule type="cellIs" dxfId="803" priority="526" stopIfTrue="1" operator="lessThanOrEqual">
      <formula>3000</formula>
    </cfRule>
    <cfRule type="cellIs" dxfId="802" priority="527" stopIfTrue="1" operator="between">
      <formula>3000</formula>
      <formula>9000</formula>
    </cfRule>
    <cfRule type="cellIs" dxfId="801" priority="528" stopIfTrue="1" operator="greaterThanOrEqual">
      <formula>9000</formula>
    </cfRule>
  </conditionalFormatting>
  <conditionalFormatting sqref="AA104:AD104">
    <cfRule type="cellIs" dxfId="800" priority="523" stopIfTrue="1" operator="lessThanOrEqual">
      <formula>3000</formula>
    </cfRule>
    <cfRule type="cellIs" dxfId="799" priority="524" stopIfTrue="1" operator="between">
      <formula>3000</formula>
      <formula>9000</formula>
    </cfRule>
    <cfRule type="cellIs" dxfId="798" priority="525" stopIfTrue="1" operator="greaterThanOrEqual">
      <formula>9000</formula>
    </cfRule>
  </conditionalFormatting>
  <conditionalFormatting sqref="AF104">
    <cfRule type="cellIs" dxfId="797" priority="520" stopIfTrue="1" operator="lessThanOrEqual">
      <formula>3000</formula>
    </cfRule>
    <cfRule type="cellIs" dxfId="796" priority="521" stopIfTrue="1" operator="between">
      <formula>3000</formula>
      <formula>9000</formula>
    </cfRule>
    <cfRule type="cellIs" dxfId="795" priority="522" stopIfTrue="1" operator="greaterThanOrEqual">
      <formula>9000</formula>
    </cfRule>
  </conditionalFormatting>
  <conditionalFormatting sqref="AG104:AJ104">
    <cfRule type="cellIs" dxfId="794" priority="517" stopIfTrue="1" operator="lessThanOrEqual">
      <formula>3000</formula>
    </cfRule>
    <cfRule type="cellIs" dxfId="793" priority="518" stopIfTrue="1" operator="between">
      <formula>3000</formula>
      <formula>9000</formula>
    </cfRule>
    <cfRule type="cellIs" dxfId="792" priority="519" stopIfTrue="1" operator="greaterThanOrEqual">
      <formula>9000</formula>
    </cfRule>
  </conditionalFormatting>
  <conditionalFormatting sqref="AG32:AJ32">
    <cfRule type="cellIs" dxfId="791" priority="373" stopIfTrue="1" operator="lessThanOrEqual">
      <formula>3000</formula>
    </cfRule>
    <cfRule type="cellIs" dxfId="790" priority="374" stopIfTrue="1" operator="between">
      <formula>3000</formula>
      <formula>9000</formula>
    </cfRule>
    <cfRule type="cellIs" dxfId="789" priority="375" stopIfTrue="1" operator="greaterThanOrEqual">
      <formula>9000</formula>
    </cfRule>
  </conditionalFormatting>
  <conditionalFormatting sqref="AF32">
    <cfRule type="cellIs" dxfId="788" priority="376" stopIfTrue="1" operator="lessThanOrEqual">
      <formula>3000</formula>
    </cfRule>
    <cfRule type="cellIs" dxfId="787" priority="377" stopIfTrue="1" operator="between">
      <formula>3000</formula>
      <formula>9000</formula>
    </cfRule>
    <cfRule type="cellIs" dxfId="786" priority="378" stopIfTrue="1" operator="greaterThanOrEqual">
      <formula>9000</formula>
    </cfRule>
  </conditionalFormatting>
  <conditionalFormatting sqref="AG26:AJ26">
    <cfRule type="cellIs" dxfId="785" priority="385" stopIfTrue="1" operator="lessThanOrEqual">
      <formula>3000</formula>
    </cfRule>
    <cfRule type="cellIs" dxfId="784" priority="386" stopIfTrue="1" operator="between">
      <formula>3000</formula>
      <formula>9000</formula>
    </cfRule>
    <cfRule type="cellIs" dxfId="783" priority="387" stopIfTrue="1" operator="greaterThanOrEqual">
      <formula>9000</formula>
    </cfRule>
  </conditionalFormatting>
  <conditionalFormatting sqref="V26:Y26">
    <cfRule type="cellIs" dxfId="782" priority="394" stopIfTrue="1" operator="lessThanOrEqual">
      <formula>3000</formula>
    </cfRule>
    <cfRule type="cellIs" dxfId="781" priority="395" stopIfTrue="1" operator="between">
      <formula>3000</formula>
      <formula>9000</formula>
    </cfRule>
    <cfRule type="cellIs" dxfId="780" priority="396" stopIfTrue="1" operator="greaterThanOrEqual">
      <formula>9000</formula>
    </cfRule>
  </conditionalFormatting>
  <conditionalFormatting sqref="AA20:AD20">
    <cfRule type="cellIs" dxfId="779" priority="403" stopIfTrue="1" operator="lessThanOrEqual">
      <formula>3000</formula>
    </cfRule>
    <cfRule type="cellIs" dxfId="778" priority="404" stopIfTrue="1" operator="between">
      <formula>3000</formula>
      <formula>9000</formula>
    </cfRule>
    <cfRule type="cellIs" dxfId="777" priority="405" stopIfTrue="1" operator="greaterThanOrEqual">
      <formula>9000</formula>
    </cfRule>
  </conditionalFormatting>
  <conditionalFormatting sqref="AF14">
    <cfRule type="cellIs" dxfId="776" priority="412" stopIfTrue="1" operator="lessThanOrEqual">
      <formula>3000</formula>
    </cfRule>
    <cfRule type="cellIs" dxfId="775" priority="413" stopIfTrue="1" operator="between">
      <formula>3000</formula>
      <formula>9000</formula>
    </cfRule>
    <cfRule type="cellIs" dxfId="774" priority="414" stopIfTrue="1" operator="greaterThanOrEqual">
      <formula>9000</formula>
    </cfRule>
  </conditionalFormatting>
  <conditionalFormatting sqref="AG8:AJ8">
    <cfRule type="cellIs" dxfId="773" priority="421" stopIfTrue="1" operator="lessThanOrEqual">
      <formula>3000</formula>
    </cfRule>
    <cfRule type="cellIs" dxfId="772" priority="422" stopIfTrue="1" operator="between">
      <formula>3000</formula>
      <formula>9000</formula>
    </cfRule>
    <cfRule type="cellIs" dxfId="771" priority="423" stopIfTrue="1" operator="greaterThanOrEqual">
      <formula>9000</formula>
    </cfRule>
  </conditionalFormatting>
  <conditionalFormatting sqref="V8:Y8">
    <cfRule type="cellIs" dxfId="770" priority="430" stopIfTrue="1" operator="lessThanOrEqual">
      <formula>3000</formula>
    </cfRule>
    <cfRule type="cellIs" dxfId="769" priority="431" stopIfTrue="1" operator="between">
      <formula>3000</formula>
      <formula>9000</formula>
    </cfRule>
    <cfRule type="cellIs" dxfId="768" priority="432" stopIfTrue="1" operator="greaterThanOrEqual">
      <formula>9000</formula>
    </cfRule>
  </conditionalFormatting>
  <conditionalFormatting sqref="AA74:AD74">
    <cfRule type="cellIs" dxfId="767" priority="295" stopIfTrue="1" operator="lessThanOrEqual">
      <formula>3000</formula>
    </cfRule>
    <cfRule type="cellIs" dxfId="766" priority="296" stopIfTrue="1" operator="between">
      <formula>3000</formula>
      <formula>9000</formula>
    </cfRule>
    <cfRule type="cellIs" dxfId="765" priority="297" stopIfTrue="1" operator="greaterThanOrEqual">
      <formula>9000</formula>
    </cfRule>
  </conditionalFormatting>
  <conditionalFormatting sqref="AF68">
    <cfRule type="cellIs" dxfId="764" priority="304" stopIfTrue="1" operator="lessThanOrEqual">
      <formula>3000</formula>
    </cfRule>
    <cfRule type="cellIs" dxfId="763" priority="305" stopIfTrue="1" operator="between">
      <formula>3000</formula>
      <formula>9000</formula>
    </cfRule>
    <cfRule type="cellIs" dxfId="762" priority="306" stopIfTrue="1" operator="greaterThanOrEqual">
      <formula>9000</formula>
    </cfRule>
  </conditionalFormatting>
  <conditionalFormatting sqref="AG62:AJ62">
    <cfRule type="cellIs" dxfId="761" priority="313" stopIfTrue="1" operator="lessThanOrEqual">
      <formula>3000</formula>
    </cfRule>
    <cfRule type="cellIs" dxfId="760" priority="314" stopIfTrue="1" operator="between">
      <formula>3000</formula>
      <formula>9000</formula>
    </cfRule>
    <cfRule type="cellIs" dxfId="759" priority="315" stopIfTrue="1" operator="greaterThanOrEqual">
      <formula>9000</formula>
    </cfRule>
  </conditionalFormatting>
  <conditionalFormatting sqref="V62:Y62">
    <cfRule type="cellIs" dxfId="758" priority="322" stopIfTrue="1" operator="lessThanOrEqual">
      <formula>3000</formula>
    </cfRule>
    <cfRule type="cellIs" dxfId="757" priority="323" stopIfTrue="1" operator="between">
      <formula>3000</formula>
      <formula>9000</formula>
    </cfRule>
    <cfRule type="cellIs" dxfId="756" priority="324" stopIfTrue="1" operator="greaterThanOrEqual">
      <formula>9000</formula>
    </cfRule>
  </conditionalFormatting>
  <conditionalFormatting sqref="AA56:AD56">
    <cfRule type="cellIs" dxfId="755" priority="331" stopIfTrue="1" operator="lessThanOrEqual">
      <formula>3000</formula>
    </cfRule>
    <cfRule type="cellIs" dxfId="754" priority="332" stopIfTrue="1" operator="between">
      <formula>3000</formula>
      <formula>9000</formula>
    </cfRule>
    <cfRule type="cellIs" dxfId="753" priority="333" stopIfTrue="1" operator="greaterThanOrEqual">
      <formula>9000</formula>
    </cfRule>
  </conditionalFormatting>
  <conditionalFormatting sqref="AF50">
    <cfRule type="cellIs" dxfId="752" priority="340" stopIfTrue="1" operator="lessThanOrEqual">
      <formula>3000</formula>
    </cfRule>
    <cfRule type="cellIs" dxfId="751" priority="341" stopIfTrue="1" operator="between">
      <formula>3000</formula>
      <formula>9000</formula>
    </cfRule>
    <cfRule type="cellIs" dxfId="750" priority="342" stopIfTrue="1" operator="greaterThanOrEqual">
      <formula>9000</formula>
    </cfRule>
  </conditionalFormatting>
  <conditionalFormatting sqref="AG44:AJ44">
    <cfRule type="cellIs" dxfId="749" priority="349" stopIfTrue="1" operator="lessThanOrEqual">
      <formula>3000</formula>
    </cfRule>
    <cfRule type="cellIs" dxfId="748" priority="350" stopIfTrue="1" operator="between">
      <formula>3000</formula>
      <formula>9000</formula>
    </cfRule>
    <cfRule type="cellIs" dxfId="747" priority="351" stopIfTrue="1" operator="greaterThanOrEqual">
      <formula>9000</formula>
    </cfRule>
  </conditionalFormatting>
  <conditionalFormatting sqref="V44:Y44">
    <cfRule type="cellIs" dxfId="746" priority="358" stopIfTrue="1" operator="lessThanOrEqual">
      <formula>3000</formula>
    </cfRule>
    <cfRule type="cellIs" dxfId="745" priority="359" stopIfTrue="1" operator="between">
      <formula>3000</formula>
      <formula>9000</formula>
    </cfRule>
    <cfRule type="cellIs" dxfId="744" priority="360" stopIfTrue="1" operator="greaterThanOrEqual">
      <formula>9000</formula>
    </cfRule>
  </conditionalFormatting>
  <conditionalFormatting sqref="AA38:AD38">
    <cfRule type="cellIs" dxfId="743" priority="367" stopIfTrue="1" operator="lessThanOrEqual">
      <formula>3000</formula>
    </cfRule>
    <cfRule type="cellIs" dxfId="742" priority="368" stopIfTrue="1" operator="between">
      <formula>3000</formula>
      <formula>9000</formula>
    </cfRule>
    <cfRule type="cellIs" dxfId="741" priority="369" stopIfTrue="1" operator="greaterThanOrEqual">
      <formula>9000</formula>
    </cfRule>
  </conditionalFormatting>
  <conditionalFormatting sqref="AF38">
    <cfRule type="cellIs" dxfId="740" priority="364" stopIfTrue="1" operator="lessThanOrEqual">
      <formula>3000</formula>
    </cfRule>
    <cfRule type="cellIs" dxfId="739" priority="365" stopIfTrue="1" operator="between">
      <formula>3000</formula>
      <formula>9000</formula>
    </cfRule>
    <cfRule type="cellIs" dxfId="738" priority="366" stopIfTrue="1" operator="greaterThanOrEqual">
      <formula>9000</formula>
    </cfRule>
  </conditionalFormatting>
  <conditionalFormatting sqref="AG38:AJ38">
    <cfRule type="cellIs" dxfId="737" priority="361" stopIfTrue="1" operator="lessThanOrEqual">
      <formula>3000</formula>
    </cfRule>
    <cfRule type="cellIs" dxfId="736" priority="362" stopIfTrue="1" operator="between">
      <formula>3000</formula>
      <formula>9000</formula>
    </cfRule>
    <cfRule type="cellIs" dxfId="735" priority="363" stopIfTrue="1" operator="greaterThanOrEqual">
      <formula>9000</formula>
    </cfRule>
  </conditionalFormatting>
  <conditionalFormatting sqref="V32:Y32">
    <cfRule type="cellIs" dxfId="734" priority="382" stopIfTrue="1" operator="lessThanOrEqual">
      <formula>3000</formula>
    </cfRule>
    <cfRule type="cellIs" dxfId="733" priority="383" stopIfTrue="1" operator="between">
      <formula>3000</formula>
      <formula>9000</formula>
    </cfRule>
    <cfRule type="cellIs" dxfId="732" priority="384" stopIfTrue="1" operator="greaterThanOrEqual">
      <formula>9000</formula>
    </cfRule>
  </conditionalFormatting>
  <conditionalFormatting sqref="AA26:AD26">
    <cfRule type="cellIs" dxfId="731" priority="391" stopIfTrue="1" operator="lessThanOrEqual">
      <formula>3000</formula>
    </cfRule>
    <cfRule type="cellIs" dxfId="730" priority="392" stopIfTrue="1" operator="between">
      <formula>3000</formula>
      <formula>9000</formula>
    </cfRule>
    <cfRule type="cellIs" dxfId="729" priority="393" stopIfTrue="1" operator="greaterThanOrEqual">
      <formula>9000</formula>
    </cfRule>
  </conditionalFormatting>
  <conditionalFormatting sqref="AF8">
    <cfRule type="cellIs" dxfId="728" priority="424" stopIfTrue="1" operator="lessThanOrEqual">
      <formula>3000</formula>
    </cfRule>
    <cfRule type="cellIs" dxfId="727" priority="425" stopIfTrue="1" operator="between">
      <formula>3000</formula>
      <formula>9000</formula>
    </cfRule>
    <cfRule type="cellIs" dxfId="726" priority="426" stopIfTrue="1" operator="greaterThanOrEqual">
      <formula>9000</formula>
    </cfRule>
  </conditionalFormatting>
  <conditionalFormatting sqref="V38:Y38">
    <cfRule type="cellIs" dxfId="725" priority="370" stopIfTrue="1" operator="lessThanOrEqual">
      <formula>3000</formula>
    </cfRule>
    <cfRule type="cellIs" dxfId="724" priority="371" stopIfTrue="1" operator="between">
      <formula>3000</formula>
      <formula>9000</formula>
    </cfRule>
    <cfRule type="cellIs" dxfId="723" priority="372" stopIfTrue="1" operator="greaterThanOrEqual">
      <formula>9000</formula>
    </cfRule>
  </conditionalFormatting>
  <conditionalFormatting sqref="AA8:AD8">
    <cfRule type="cellIs" dxfId="722" priority="427" stopIfTrue="1" operator="lessThanOrEqual">
      <formula>3000</formula>
    </cfRule>
    <cfRule type="cellIs" dxfId="721" priority="428" stopIfTrue="1" operator="between">
      <formula>3000</formula>
      <formula>9000</formula>
    </cfRule>
    <cfRule type="cellIs" dxfId="720" priority="429" stopIfTrue="1" operator="greaterThanOrEqual">
      <formula>9000</formula>
    </cfRule>
  </conditionalFormatting>
  <conditionalFormatting sqref="V14:Y14">
    <cfRule type="cellIs" dxfId="719" priority="418" stopIfTrue="1" operator="lessThanOrEqual">
      <formula>3000</formula>
    </cfRule>
    <cfRule type="cellIs" dxfId="718" priority="419" stopIfTrue="1" operator="between">
      <formula>3000</formula>
      <formula>9000</formula>
    </cfRule>
    <cfRule type="cellIs" dxfId="717" priority="420" stopIfTrue="1" operator="greaterThanOrEqual">
      <formula>9000</formula>
    </cfRule>
  </conditionalFormatting>
  <conditionalFormatting sqref="AA14:AD14">
    <cfRule type="cellIs" dxfId="716" priority="415" stopIfTrue="1" operator="lessThanOrEqual">
      <formula>3000</formula>
    </cfRule>
    <cfRule type="cellIs" dxfId="715" priority="416" stopIfTrue="1" operator="between">
      <formula>3000</formula>
      <formula>9000</formula>
    </cfRule>
    <cfRule type="cellIs" dxfId="714" priority="417" stopIfTrue="1" operator="greaterThanOrEqual">
      <formula>9000</formula>
    </cfRule>
  </conditionalFormatting>
  <conditionalFormatting sqref="AG14:AJ14">
    <cfRule type="cellIs" dxfId="713" priority="409" stopIfTrue="1" operator="lessThanOrEqual">
      <formula>3000</formula>
    </cfRule>
    <cfRule type="cellIs" dxfId="712" priority="410" stopIfTrue="1" operator="between">
      <formula>3000</formula>
      <formula>9000</formula>
    </cfRule>
    <cfRule type="cellIs" dxfId="711" priority="411" stopIfTrue="1" operator="greaterThanOrEqual">
      <formula>9000</formula>
    </cfRule>
  </conditionalFormatting>
  <conditionalFormatting sqref="AF20">
    <cfRule type="cellIs" dxfId="710" priority="400" stopIfTrue="1" operator="lessThanOrEqual">
      <formula>3000</formula>
    </cfRule>
    <cfRule type="cellIs" dxfId="709" priority="401" stopIfTrue="1" operator="between">
      <formula>3000</formula>
      <formula>9000</formula>
    </cfRule>
    <cfRule type="cellIs" dxfId="708" priority="402" stopIfTrue="1" operator="greaterThanOrEqual">
      <formula>9000</formula>
    </cfRule>
  </conditionalFormatting>
  <conditionalFormatting sqref="V20:Y20">
    <cfRule type="cellIs" dxfId="707" priority="406" stopIfTrue="1" operator="lessThanOrEqual">
      <formula>3000</formula>
    </cfRule>
    <cfRule type="cellIs" dxfId="706" priority="407" stopIfTrue="1" operator="between">
      <formula>3000</formula>
      <formula>9000</formula>
    </cfRule>
    <cfRule type="cellIs" dxfId="705" priority="408" stopIfTrue="1" operator="greaterThanOrEqual">
      <formula>9000</formula>
    </cfRule>
  </conditionalFormatting>
  <conditionalFormatting sqref="AG20:AJ20">
    <cfRule type="cellIs" dxfId="704" priority="397" stopIfTrue="1" operator="lessThanOrEqual">
      <formula>3000</formula>
    </cfRule>
    <cfRule type="cellIs" dxfId="703" priority="398" stopIfTrue="1" operator="between">
      <formula>3000</formula>
      <formula>9000</formula>
    </cfRule>
    <cfRule type="cellIs" dxfId="702" priority="399" stopIfTrue="1" operator="greaterThanOrEqual">
      <formula>9000</formula>
    </cfRule>
  </conditionalFormatting>
  <conditionalFormatting sqref="AA32:AD32">
    <cfRule type="cellIs" dxfId="701" priority="379" stopIfTrue="1" operator="lessThanOrEqual">
      <formula>3000</formula>
    </cfRule>
    <cfRule type="cellIs" dxfId="700" priority="380" stopIfTrue="1" operator="between">
      <formula>3000</formula>
      <formula>9000</formula>
    </cfRule>
    <cfRule type="cellIs" dxfId="699" priority="381" stopIfTrue="1" operator="greaterThanOrEqual">
      <formula>9000</formula>
    </cfRule>
  </conditionalFormatting>
  <conditionalFormatting sqref="AF26">
    <cfRule type="cellIs" dxfId="698" priority="388" stopIfTrue="1" operator="lessThanOrEqual">
      <formula>3000</formula>
    </cfRule>
    <cfRule type="cellIs" dxfId="697" priority="389" stopIfTrue="1" operator="between">
      <formula>3000</formula>
      <formula>9000</formula>
    </cfRule>
    <cfRule type="cellIs" dxfId="696" priority="390" stopIfTrue="1" operator="greaterThanOrEqual">
      <formula>9000</formula>
    </cfRule>
  </conditionalFormatting>
  <conditionalFormatting sqref="AF44">
    <cfRule type="cellIs" dxfId="695" priority="352" stopIfTrue="1" operator="lessThanOrEqual">
      <formula>3000</formula>
    </cfRule>
    <cfRule type="cellIs" dxfId="694" priority="353" stopIfTrue="1" operator="between">
      <formula>3000</formula>
      <formula>9000</formula>
    </cfRule>
    <cfRule type="cellIs" dxfId="693" priority="354" stopIfTrue="1" operator="greaterThanOrEqual">
      <formula>9000</formula>
    </cfRule>
  </conditionalFormatting>
  <conditionalFormatting sqref="AA44:AD44">
    <cfRule type="cellIs" dxfId="692" priority="355" stopIfTrue="1" operator="lessThanOrEqual">
      <formula>3000</formula>
    </cfRule>
    <cfRule type="cellIs" dxfId="691" priority="356" stopIfTrue="1" operator="between">
      <formula>3000</formula>
      <formula>9000</formula>
    </cfRule>
    <cfRule type="cellIs" dxfId="690" priority="357" stopIfTrue="1" operator="greaterThanOrEqual">
      <formula>9000</formula>
    </cfRule>
  </conditionalFormatting>
  <conditionalFormatting sqref="V50:Y50">
    <cfRule type="cellIs" dxfId="689" priority="346" stopIfTrue="1" operator="lessThanOrEqual">
      <formula>3000</formula>
    </cfRule>
    <cfRule type="cellIs" dxfId="688" priority="347" stopIfTrue="1" operator="between">
      <formula>3000</formula>
      <formula>9000</formula>
    </cfRule>
    <cfRule type="cellIs" dxfId="687" priority="348" stopIfTrue="1" operator="greaterThanOrEqual">
      <formula>9000</formula>
    </cfRule>
  </conditionalFormatting>
  <conditionalFormatting sqref="AA50:AD50">
    <cfRule type="cellIs" dxfId="686" priority="343" stopIfTrue="1" operator="lessThanOrEqual">
      <formula>3000</formula>
    </cfRule>
    <cfRule type="cellIs" dxfId="685" priority="344" stopIfTrue="1" operator="between">
      <formula>3000</formula>
      <formula>9000</formula>
    </cfRule>
    <cfRule type="cellIs" dxfId="684" priority="345" stopIfTrue="1" operator="greaterThanOrEqual">
      <formula>9000</formula>
    </cfRule>
  </conditionalFormatting>
  <conditionalFormatting sqref="AG50:AJ50">
    <cfRule type="cellIs" dxfId="683" priority="337" stopIfTrue="1" operator="lessThanOrEqual">
      <formula>3000</formula>
    </cfRule>
    <cfRule type="cellIs" dxfId="682" priority="338" stopIfTrue="1" operator="between">
      <formula>3000</formula>
      <formula>9000</formula>
    </cfRule>
    <cfRule type="cellIs" dxfId="681" priority="339" stopIfTrue="1" operator="greaterThanOrEqual">
      <formula>9000</formula>
    </cfRule>
  </conditionalFormatting>
  <conditionalFormatting sqref="V56:Y56">
    <cfRule type="cellIs" dxfId="680" priority="334" stopIfTrue="1" operator="lessThanOrEqual">
      <formula>3000</formula>
    </cfRule>
    <cfRule type="cellIs" dxfId="679" priority="335" stopIfTrue="1" operator="between">
      <formula>3000</formula>
      <formula>9000</formula>
    </cfRule>
    <cfRule type="cellIs" dxfId="678" priority="336" stopIfTrue="1" operator="greaterThanOrEqual">
      <formula>9000</formula>
    </cfRule>
  </conditionalFormatting>
  <conditionalFormatting sqref="AF56">
    <cfRule type="cellIs" dxfId="677" priority="328" stopIfTrue="1" operator="lessThanOrEqual">
      <formula>3000</formula>
    </cfRule>
    <cfRule type="cellIs" dxfId="676" priority="329" stopIfTrue="1" operator="between">
      <formula>3000</formula>
      <formula>9000</formula>
    </cfRule>
    <cfRule type="cellIs" dxfId="675" priority="330" stopIfTrue="1" operator="greaterThanOrEqual">
      <formula>9000</formula>
    </cfRule>
  </conditionalFormatting>
  <conditionalFormatting sqref="AG56:AJ56">
    <cfRule type="cellIs" dxfId="674" priority="325" stopIfTrue="1" operator="lessThanOrEqual">
      <formula>3000</formula>
    </cfRule>
    <cfRule type="cellIs" dxfId="673" priority="326" stopIfTrue="1" operator="between">
      <formula>3000</formula>
      <formula>9000</formula>
    </cfRule>
    <cfRule type="cellIs" dxfId="672" priority="327" stopIfTrue="1" operator="greaterThanOrEqual">
      <formula>9000</formula>
    </cfRule>
  </conditionalFormatting>
  <conditionalFormatting sqref="AA62:AD62">
    <cfRule type="cellIs" dxfId="671" priority="319" stopIfTrue="1" operator="lessThanOrEqual">
      <formula>3000</formula>
    </cfRule>
    <cfRule type="cellIs" dxfId="670" priority="320" stopIfTrue="1" operator="between">
      <formula>3000</formula>
      <formula>9000</formula>
    </cfRule>
    <cfRule type="cellIs" dxfId="669" priority="321" stopIfTrue="1" operator="greaterThanOrEqual">
      <formula>9000</formula>
    </cfRule>
  </conditionalFormatting>
  <conditionalFormatting sqref="AF62">
    <cfRule type="cellIs" dxfId="668" priority="316" stopIfTrue="1" operator="lessThanOrEqual">
      <formula>3000</formula>
    </cfRule>
    <cfRule type="cellIs" dxfId="667" priority="317" stopIfTrue="1" operator="between">
      <formula>3000</formula>
      <formula>9000</formula>
    </cfRule>
    <cfRule type="cellIs" dxfId="666" priority="318" stopIfTrue="1" operator="greaterThanOrEqual">
      <formula>9000</formula>
    </cfRule>
  </conditionalFormatting>
  <conditionalFormatting sqref="V68:Y68">
    <cfRule type="cellIs" dxfId="665" priority="310" stopIfTrue="1" operator="lessThanOrEqual">
      <formula>3000</formula>
    </cfRule>
    <cfRule type="cellIs" dxfId="664" priority="311" stopIfTrue="1" operator="between">
      <formula>3000</formula>
      <formula>9000</formula>
    </cfRule>
    <cfRule type="cellIs" dxfId="663" priority="312" stopIfTrue="1" operator="greaterThanOrEqual">
      <formula>9000</formula>
    </cfRule>
  </conditionalFormatting>
  <conditionalFormatting sqref="AA68:AD68">
    <cfRule type="cellIs" dxfId="662" priority="307" stopIfTrue="1" operator="lessThanOrEqual">
      <formula>3000</formula>
    </cfRule>
    <cfRule type="cellIs" dxfId="661" priority="308" stopIfTrue="1" operator="between">
      <formula>3000</formula>
      <formula>9000</formula>
    </cfRule>
    <cfRule type="cellIs" dxfId="660" priority="309" stopIfTrue="1" operator="greaterThanOrEqual">
      <formula>9000</formula>
    </cfRule>
  </conditionalFormatting>
  <conditionalFormatting sqref="AG68:AJ68">
    <cfRule type="cellIs" dxfId="659" priority="301" stopIfTrue="1" operator="lessThanOrEqual">
      <formula>3000</formula>
    </cfRule>
    <cfRule type="cellIs" dxfId="658" priority="302" stopIfTrue="1" operator="between">
      <formula>3000</formula>
      <formula>9000</formula>
    </cfRule>
    <cfRule type="cellIs" dxfId="657" priority="303" stopIfTrue="1" operator="greaterThanOrEqual">
      <formula>9000</formula>
    </cfRule>
  </conditionalFormatting>
  <conditionalFormatting sqref="V74:Y74">
    <cfRule type="cellIs" dxfId="656" priority="298" stopIfTrue="1" operator="lessThanOrEqual">
      <formula>3000</formula>
    </cfRule>
    <cfRule type="cellIs" dxfId="655" priority="299" stopIfTrue="1" operator="between">
      <formula>3000</formula>
      <formula>9000</formula>
    </cfRule>
    <cfRule type="cellIs" dxfId="654" priority="300" stopIfTrue="1" operator="greaterThanOrEqual">
      <formula>9000</formula>
    </cfRule>
  </conditionalFormatting>
  <conditionalFormatting sqref="AF74">
    <cfRule type="cellIs" dxfId="653" priority="292" stopIfTrue="1" operator="lessThanOrEqual">
      <formula>3000</formula>
    </cfRule>
    <cfRule type="cellIs" dxfId="652" priority="293" stopIfTrue="1" operator="between">
      <formula>3000</formula>
      <formula>9000</formula>
    </cfRule>
    <cfRule type="cellIs" dxfId="651" priority="294" stopIfTrue="1" operator="greaterThanOrEqual">
      <formula>9000</formula>
    </cfRule>
  </conditionalFormatting>
  <conditionalFormatting sqref="AG74:AJ74">
    <cfRule type="cellIs" dxfId="650" priority="289" stopIfTrue="1" operator="lessThanOrEqual">
      <formula>3000</formula>
    </cfRule>
    <cfRule type="cellIs" dxfId="649" priority="290" stopIfTrue="1" operator="between">
      <formula>3000</formula>
      <formula>9000</formula>
    </cfRule>
    <cfRule type="cellIs" dxfId="648" priority="291" stopIfTrue="1" operator="greaterThanOrEqual">
      <formula>9000</formula>
    </cfRule>
  </conditionalFormatting>
  <conditionalFormatting sqref="V80:Y80">
    <cfRule type="cellIs" dxfId="647" priority="166" stopIfTrue="1" operator="lessThanOrEqual">
      <formula>3000</formula>
    </cfRule>
    <cfRule type="cellIs" dxfId="646" priority="167" stopIfTrue="1" operator="between">
      <formula>3000</formula>
      <formula>9000</formula>
    </cfRule>
    <cfRule type="cellIs" dxfId="645" priority="168" stopIfTrue="1" operator="greaterThanOrEqual">
      <formula>9000</formula>
    </cfRule>
  </conditionalFormatting>
  <conditionalFormatting sqref="AA80:AD80">
    <cfRule type="cellIs" dxfId="644" priority="163" stopIfTrue="1" operator="lessThanOrEqual">
      <formula>3000</formula>
    </cfRule>
    <cfRule type="cellIs" dxfId="643" priority="164" stopIfTrue="1" operator="between">
      <formula>3000</formula>
      <formula>9000</formula>
    </cfRule>
    <cfRule type="cellIs" dxfId="642" priority="165" stopIfTrue="1" operator="greaterThanOrEqual">
      <formula>9000</formula>
    </cfRule>
  </conditionalFormatting>
  <conditionalFormatting sqref="AF80">
    <cfRule type="cellIs" dxfId="641" priority="160" stopIfTrue="1" operator="lessThanOrEqual">
      <formula>3000</formula>
    </cfRule>
    <cfRule type="cellIs" dxfId="640" priority="161" stopIfTrue="1" operator="between">
      <formula>3000</formula>
      <formula>9000</formula>
    </cfRule>
    <cfRule type="cellIs" dxfId="639" priority="162" stopIfTrue="1" operator="greaterThanOrEqual">
      <formula>9000</formula>
    </cfRule>
  </conditionalFormatting>
  <conditionalFormatting sqref="AG80:AJ80">
    <cfRule type="cellIs" dxfId="638" priority="157" stopIfTrue="1" operator="lessThanOrEqual">
      <formula>3000</formula>
    </cfRule>
    <cfRule type="cellIs" dxfId="637" priority="158" stopIfTrue="1" operator="between">
      <formula>3000</formula>
      <formula>9000</formula>
    </cfRule>
    <cfRule type="cellIs" dxfId="636" priority="159" stopIfTrue="1" operator="greaterThanOrEqual">
      <formula>9000</formula>
    </cfRule>
  </conditionalFormatting>
  <conditionalFormatting sqref="V86:Y86">
    <cfRule type="cellIs" dxfId="635" priority="154" stopIfTrue="1" operator="lessThanOrEqual">
      <formula>3000</formula>
    </cfRule>
    <cfRule type="cellIs" dxfId="634" priority="155" stopIfTrue="1" operator="between">
      <formula>3000</formula>
      <formula>9000</formula>
    </cfRule>
    <cfRule type="cellIs" dxfId="633" priority="156" stopIfTrue="1" operator="greaterThanOrEqual">
      <formula>9000</formula>
    </cfRule>
  </conditionalFormatting>
  <conditionalFormatting sqref="AA86:AD86">
    <cfRule type="cellIs" dxfId="632" priority="151" stopIfTrue="1" operator="lessThanOrEqual">
      <formula>3000</formula>
    </cfRule>
    <cfRule type="cellIs" dxfId="631" priority="152" stopIfTrue="1" operator="between">
      <formula>3000</formula>
      <formula>9000</formula>
    </cfRule>
    <cfRule type="cellIs" dxfId="630" priority="153" stopIfTrue="1" operator="greaterThanOrEqual">
      <formula>9000</formula>
    </cfRule>
  </conditionalFormatting>
  <conditionalFormatting sqref="AF86">
    <cfRule type="cellIs" dxfId="629" priority="148" stopIfTrue="1" operator="lessThanOrEqual">
      <formula>3000</formula>
    </cfRule>
    <cfRule type="cellIs" dxfId="628" priority="149" stopIfTrue="1" operator="between">
      <formula>3000</formula>
      <formula>9000</formula>
    </cfRule>
    <cfRule type="cellIs" dxfId="627" priority="150" stopIfTrue="1" operator="greaterThanOrEqual">
      <formula>9000</formula>
    </cfRule>
  </conditionalFormatting>
  <conditionalFormatting sqref="AG86:AJ86">
    <cfRule type="cellIs" dxfId="626" priority="145" stopIfTrue="1" operator="lessThanOrEqual">
      <formula>3000</formula>
    </cfRule>
    <cfRule type="cellIs" dxfId="625" priority="146" stopIfTrue="1" operator="between">
      <formula>3000</formula>
      <formula>9000</formula>
    </cfRule>
    <cfRule type="cellIs" dxfId="624" priority="147" stopIfTrue="1" operator="greaterThanOrEqual">
      <formula>9000</formula>
    </cfRule>
  </conditionalFormatting>
  <conditionalFormatting sqref="V92:Y92">
    <cfRule type="cellIs" dxfId="623" priority="94" stopIfTrue="1" operator="lessThanOrEqual">
      <formula>3000</formula>
    </cfRule>
    <cfRule type="cellIs" dxfId="622" priority="95" stopIfTrue="1" operator="between">
      <formula>3000</formula>
      <formula>9000</formula>
    </cfRule>
    <cfRule type="cellIs" dxfId="621" priority="96" stopIfTrue="1" operator="greaterThanOrEqual">
      <formula>9000</formula>
    </cfRule>
  </conditionalFormatting>
  <conditionalFormatting sqref="AA92:AD92">
    <cfRule type="cellIs" dxfId="620" priority="91" stopIfTrue="1" operator="lessThanOrEqual">
      <formula>3000</formula>
    </cfRule>
    <cfRule type="cellIs" dxfId="619" priority="92" stopIfTrue="1" operator="between">
      <formula>3000</formula>
      <formula>9000</formula>
    </cfRule>
    <cfRule type="cellIs" dxfId="618" priority="93" stopIfTrue="1" operator="greaterThanOrEqual">
      <formula>9000</formula>
    </cfRule>
  </conditionalFormatting>
  <conditionalFormatting sqref="AF92">
    <cfRule type="cellIs" dxfId="617" priority="88" stopIfTrue="1" operator="lessThanOrEqual">
      <formula>3000</formula>
    </cfRule>
    <cfRule type="cellIs" dxfId="616" priority="89" stopIfTrue="1" operator="between">
      <formula>3000</formula>
      <formula>9000</formula>
    </cfRule>
    <cfRule type="cellIs" dxfId="615" priority="90" stopIfTrue="1" operator="greaterThanOrEqual">
      <formula>9000</formula>
    </cfRule>
  </conditionalFormatting>
  <conditionalFormatting sqref="AG92:AJ92">
    <cfRule type="cellIs" dxfId="614" priority="85" stopIfTrue="1" operator="lessThanOrEqual">
      <formula>3000</formula>
    </cfRule>
    <cfRule type="cellIs" dxfId="613" priority="86" stopIfTrue="1" operator="between">
      <formula>3000</formula>
      <formula>9000</formula>
    </cfRule>
    <cfRule type="cellIs" dxfId="612" priority="87" stopIfTrue="1" operator="greaterThanOrEqual">
      <formula>9000</formula>
    </cfRule>
  </conditionalFormatting>
  <conditionalFormatting sqref="V98:Y98">
    <cfRule type="cellIs" dxfId="611" priority="58" stopIfTrue="1" operator="lessThanOrEqual">
      <formula>3000</formula>
    </cfRule>
    <cfRule type="cellIs" dxfId="610" priority="59" stopIfTrue="1" operator="between">
      <formula>3000</formula>
      <formula>9000</formula>
    </cfRule>
    <cfRule type="cellIs" dxfId="609" priority="60" stopIfTrue="1" operator="greaterThanOrEqual">
      <formula>9000</formula>
    </cfRule>
  </conditionalFormatting>
  <conditionalFormatting sqref="AA98:AD98">
    <cfRule type="cellIs" dxfId="608" priority="55" stopIfTrue="1" operator="lessThanOrEqual">
      <formula>3000</formula>
    </cfRule>
    <cfRule type="cellIs" dxfId="607" priority="56" stopIfTrue="1" operator="between">
      <formula>3000</formula>
      <formula>9000</formula>
    </cfRule>
    <cfRule type="cellIs" dxfId="606" priority="57" stopIfTrue="1" operator="greaterThanOrEqual">
      <formula>9000</formula>
    </cfRule>
  </conditionalFormatting>
  <conditionalFormatting sqref="AF98">
    <cfRule type="cellIs" dxfId="605" priority="52" stopIfTrue="1" operator="lessThanOrEqual">
      <formula>3000</formula>
    </cfRule>
    <cfRule type="cellIs" dxfId="604" priority="53" stopIfTrue="1" operator="between">
      <formula>3000</formula>
      <formula>9000</formula>
    </cfRule>
    <cfRule type="cellIs" dxfId="603" priority="54" stopIfTrue="1" operator="greaterThanOrEqual">
      <formula>9000</formula>
    </cfRule>
  </conditionalFormatting>
  <conditionalFormatting sqref="AG98:AJ98">
    <cfRule type="cellIs" dxfId="602" priority="49" stopIfTrue="1" operator="lessThanOrEqual">
      <formula>3000</formula>
    </cfRule>
    <cfRule type="cellIs" dxfId="601" priority="50" stopIfTrue="1" operator="between">
      <formula>3000</formula>
      <formula>9000</formula>
    </cfRule>
    <cfRule type="cellIs" dxfId="600" priority="51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/>
  </sheetPr>
  <dimension ref="A1:AO162"/>
  <sheetViews>
    <sheetView tabSelected="1" zoomScale="109" zoomScaleNormal="55" workbookViewId="0">
      <pane xSplit="1" ySplit="2" topLeftCell="B3" activePane="bottomRight" state="frozen"/>
      <selection activeCell="A219" sqref="A219"/>
      <selection pane="topRight" activeCell="A219" sqref="A219"/>
      <selection pane="bottomLeft" activeCell="A219" sqref="A219"/>
      <selection pane="bottomRight" activeCell="D11" sqref="D11"/>
    </sheetView>
  </sheetViews>
  <sheetFormatPr baseColWidth="10" defaultColWidth="9" defaultRowHeight="16"/>
  <cols>
    <col min="1" max="1" width="45" style="16" customWidth="1"/>
    <col min="2" max="2" width="12.6640625" style="52" bestFit="1" customWidth="1"/>
    <col min="3" max="3" width="15.1640625" style="52" bestFit="1" customWidth="1"/>
    <col min="4" max="4" width="15.83203125" style="52" customWidth="1"/>
    <col min="5" max="20" width="11.33203125" style="52" customWidth="1"/>
    <col min="21" max="21" width="11.33203125" style="53" customWidth="1"/>
    <col min="22" max="36" width="11.33203125" style="52" customWidth="1"/>
    <col min="37" max="37" width="12.33203125" style="52" bestFit="1" customWidth="1"/>
    <col min="38" max="38" width="12.33203125" style="53" bestFit="1" customWidth="1"/>
    <col min="39" max="39" width="5.33203125" style="52" bestFit="1" customWidth="1"/>
    <col min="40" max="41" width="14.33203125" style="17" bestFit="1" customWidth="1"/>
    <col min="42" max="245" width="9" style="52"/>
    <col min="246" max="246" width="20.5" style="52" customWidth="1"/>
    <col min="247" max="247" width="8.5" style="52" customWidth="1"/>
    <col min="248" max="248" width="10" style="52" customWidth="1"/>
    <col min="249" max="249" width="8.5" style="52" customWidth="1"/>
    <col min="250" max="252" width="9.5" style="52" bestFit="1" customWidth="1"/>
    <col min="253" max="253" width="8.33203125" style="52" bestFit="1" customWidth="1"/>
    <col min="254" max="254" width="8.33203125" style="52" customWidth="1"/>
    <col min="255" max="257" width="9.5" style="52" bestFit="1" customWidth="1"/>
    <col min="258" max="258" width="8.33203125" style="52" bestFit="1" customWidth="1"/>
    <col min="259" max="259" width="8.33203125" style="52" customWidth="1"/>
    <col min="260" max="262" width="9.5" style="52" bestFit="1" customWidth="1"/>
    <col min="263" max="263" width="8.33203125" style="52" bestFit="1" customWidth="1"/>
    <col min="264" max="265" width="8.33203125" style="52" customWidth="1"/>
    <col min="266" max="266" width="9.1640625" style="52" bestFit="1" customWidth="1"/>
    <col min="267" max="501" width="9" style="52"/>
    <col min="502" max="502" width="20.5" style="52" customWidth="1"/>
    <col min="503" max="503" width="8.5" style="52" customWidth="1"/>
    <col min="504" max="504" width="10" style="52" customWidth="1"/>
    <col min="505" max="505" width="8.5" style="52" customWidth="1"/>
    <col min="506" max="508" width="9.5" style="52" bestFit="1" customWidth="1"/>
    <col min="509" max="509" width="8.33203125" style="52" bestFit="1" customWidth="1"/>
    <col min="510" max="510" width="8.33203125" style="52" customWidth="1"/>
    <col min="511" max="513" width="9.5" style="52" bestFit="1" customWidth="1"/>
    <col min="514" max="514" width="8.33203125" style="52" bestFit="1" customWidth="1"/>
    <col min="515" max="515" width="8.33203125" style="52" customWidth="1"/>
    <col min="516" max="518" width="9.5" style="52" bestFit="1" customWidth="1"/>
    <col min="519" max="519" width="8.33203125" style="52" bestFit="1" customWidth="1"/>
    <col min="520" max="521" width="8.33203125" style="52" customWidth="1"/>
    <col min="522" max="522" width="9.1640625" style="52" bestFit="1" customWidth="1"/>
    <col min="523" max="757" width="9" style="52"/>
    <col min="758" max="758" width="20.5" style="52" customWidth="1"/>
    <col min="759" max="759" width="8.5" style="52" customWidth="1"/>
    <col min="760" max="760" width="10" style="52" customWidth="1"/>
    <col min="761" max="761" width="8.5" style="52" customWidth="1"/>
    <col min="762" max="764" width="9.5" style="52" bestFit="1" customWidth="1"/>
    <col min="765" max="765" width="8.33203125" style="52" bestFit="1" customWidth="1"/>
    <col min="766" max="766" width="8.33203125" style="52" customWidth="1"/>
    <col min="767" max="769" width="9.5" style="52" bestFit="1" customWidth="1"/>
    <col min="770" max="770" width="8.33203125" style="52" bestFit="1" customWidth="1"/>
    <col min="771" max="771" width="8.33203125" style="52" customWidth="1"/>
    <col min="772" max="774" width="9.5" style="52" bestFit="1" customWidth="1"/>
    <col min="775" max="775" width="8.33203125" style="52" bestFit="1" customWidth="1"/>
    <col min="776" max="777" width="8.33203125" style="52" customWidth="1"/>
    <col min="778" max="778" width="9.1640625" style="52" bestFit="1" customWidth="1"/>
    <col min="779" max="1013" width="9" style="52"/>
    <col min="1014" max="1014" width="20.5" style="52" customWidth="1"/>
    <col min="1015" max="1015" width="8.5" style="52" customWidth="1"/>
    <col min="1016" max="1016" width="10" style="52" customWidth="1"/>
    <col min="1017" max="1017" width="8.5" style="52" customWidth="1"/>
    <col min="1018" max="1020" width="9.5" style="52" bestFit="1" customWidth="1"/>
    <col min="1021" max="1021" width="8.33203125" style="52" bestFit="1" customWidth="1"/>
    <col min="1022" max="1022" width="8.33203125" style="52" customWidth="1"/>
    <col min="1023" max="1025" width="9.5" style="52" bestFit="1" customWidth="1"/>
    <col min="1026" max="1026" width="8.33203125" style="52" bestFit="1" customWidth="1"/>
    <col min="1027" max="1027" width="8.33203125" style="52" customWidth="1"/>
    <col min="1028" max="1030" width="9.5" style="52" bestFit="1" customWidth="1"/>
    <col min="1031" max="1031" width="8.33203125" style="52" bestFit="1" customWidth="1"/>
    <col min="1032" max="1033" width="8.33203125" style="52" customWidth="1"/>
    <col min="1034" max="1034" width="9.1640625" style="52" bestFit="1" customWidth="1"/>
    <col min="1035" max="1269" width="9" style="52"/>
    <col min="1270" max="1270" width="20.5" style="52" customWidth="1"/>
    <col min="1271" max="1271" width="8.5" style="52" customWidth="1"/>
    <col min="1272" max="1272" width="10" style="52" customWidth="1"/>
    <col min="1273" max="1273" width="8.5" style="52" customWidth="1"/>
    <col min="1274" max="1276" width="9.5" style="52" bestFit="1" customWidth="1"/>
    <col min="1277" max="1277" width="8.33203125" style="52" bestFit="1" customWidth="1"/>
    <col min="1278" max="1278" width="8.33203125" style="52" customWidth="1"/>
    <col min="1279" max="1281" width="9.5" style="52" bestFit="1" customWidth="1"/>
    <col min="1282" max="1282" width="8.33203125" style="52" bestFit="1" customWidth="1"/>
    <col min="1283" max="1283" width="8.33203125" style="52" customWidth="1"/>
    <col min="1284" max="1286" width="9.5" style="52" bestFit="1" customWidth="1"/>
    <col min="1287" max="1287" width="8.33203125" style="52" bestFit="1" customWidth="1"/>
    <col min="1288" max="1289" width="8.33203125" style="52" customWidth="1"/>
    <col min="1290" max="1290" width="9.1640625" style="52" bestFit="1" customWidth="1"/>
    <col min="1291" max="1525" width="9" style="52"/>
    <col min="1526" max="1526" width="20.5" style="52" customWidth="1"/>
    <col min="1527" max="1527" width="8.5" style="52" customWidth="1"/>
    <col min="1528" max="1528" width="10" style="52" customWidth="1"/>
    <col min="1529" max="1529" width="8.5" style="52" customWidth="1"/>
    <col min="1530" max="1532" width="9.5" style="52" bestFit="1" customWidth="1"/>
    <col min="1533" max="1533" width="8.33203125" style="52" bestFit="1" customWidth="1"/>
    <col min="1534" max="1534" width="8.33203125" style="52" customWidth="1"/>
    <col min="1535" max="1537" width="9.5" style="52" bestFit="1" customWidth="1"/>
    <col min="1538" max="1538" width="8.33203125" style="52" bestFit="1" customWidth="1"/>
    <col min="1539" max="1539" width="8.33203125" style="52" customWidth="1"/>
    <col min="1540" max="1542" width="9.5" style="52" bestFit="1" customWidth="1"/>
    <col min="1543" max="1543" width="8.33203125" style="52" bestFit="1" customWidth="1"/>
    <col min="1544" max="1545" width="8.33203125" style="52" customWidth="1"/>
    <col min="1546" max="1546" width="9.1640625" style="52" bestFit="1" customWidth="1"/>
    <col min="1547" max="1781" width="9" style="52"/>
    <col min="1782" max="1782" width="20.5" style="52" customWidth="1"/>
    <col min="1783" max="1783" width="8.5" style="52" customWidth="1"/>
    <col min="1784" max="1784" width="10" style="52" customWidth="1"/>
    <col min="1785" max="1785" width="8.5" style="52" customWidth="1"/>
    <col min="1786" max="1788" width="9.5" style="52" bestFit="1" customWidth="1"/>
    <col min="1789" max="1789" width="8.33203125" style="52" bestFit="1" customWidth="1"/>
    <col min="1790" max="1790" width="8.33203125" style="52" customWidth="1"/>
    <col min="1791" max="1793" width="9.5" style="52" bestFit="1" customWidth="1"/>
    <col min="1794" max="1794" width="8.33203125" style="52" bestFit="1" customWidth="1"/>
    <col min="1795" max="1795" width="8.33203125" style="52" customWidth="1"/>
    <col min="1796" max="1798" width="9.5" style="52" bestFit="1" customWidth="1"/>
    <col min="1799" max="1799" width="8.33203125" style="52" bestFit="1" customWidth="1"/>
    <col min="1800" max="1801" width="8.33203125" style="52" customWidth="1"/>
    <col min="1802" max="1802" width="9.1640625" style="52" bestFit="1" customWidth="1"/>
    <col min="1803" max="2037" width="9" style="52"/>
    <col min="2038" max="2038" width="20.5" style="52" customWidth="1"/>
    <col min="2039" max="2039" width="8.5" style="52" customWidth="1"/>
    <col min="2040" max="2040" width="10" style="52" customWidth="1"/>
    <col min="2041" max="2041" width="8.5" style="52" customWidth="1"/>
    <col min="2042" max="2044" width="9.5" style="52" bestFit="1" customWidth="1"/>
    <col min="2045" max="2045" width="8.33203125" style="52" bestFit="1" customWidth="1"/>
    <col min="2046" max="2046" width="8.33203125" style="52" customWidth="1"/>
    <col min="2047" max="2049" width="9.5" style="52" bestFit="1" customWidth="1"/>
    <col min="2050" max="2050" width="8.33203125" style="52" bestFit="1" customWidth="1"/>
    <col min="2051" max="2051" width="8.33203125" style="52" customWidth="1"/>
    <col min="2052" max="2054" width="9.5" style="52" bestFit="1" customWidth="1"/>
    <col min="2055" max="2055" width="8.33203125" style="52" bestFit="1" customWidth="1"/>
    <col min="2056" max="2057" width="8.33203125" style="52" customWidth="1"/>
    <col min="2058" max="2058" width="9.1640625" style="52" bestFit="1" customWidth="1"/>
    <col min="2059" max="2293" width="9" style="52"/>
    <col min="2294" max="2294" width="20.5" style="52" customWidth="1"/>
    <col min="2295" max="2295" width="8.5" style="52" customWidth="1"/>
    <col min="2296" max="2296" width="10" style="52" customWidth="1"/>
    <col min="2297" max="2297" width="8.5" style="52" customWidth="1"/>
    <col min="2298" max="2300" width="9.5" style="52" bestFit="1" customWidth="1"/>
    <col min="2301" max="2301" width="8.33203125" style="52" bestFit="1" customWidth="1"/>
    <col min="2302" max="2302" width="8.33203125" style="52" customWidth="1"/>
    <col min="2303" max="2305" width="9.5" style="52" bestFit="1" customWidth="1"/>
    <col min="2306" max="2306" width="8.33203125" style="52" bestFit="1" customWidth="1"/>
    <col min="2307" max="2307" width="8.33203125" style="52" customWidth="1"/>
    <col min="2308" max="2310" width="9.5" style="52" bestFit="1" customWidth="1"/>
    <col min="2311" max="2311" width="8.33203125" style="52" bestFit="1" customWidth="1"/>
    <col min="2312" max="2313" width="8.33203125" style="52" customWidth="1"/>
    <col min="2314" max="2314" width="9.1640625" style="52" bestFit="1" customWidth="1"/>
    <col min="2315" max="2549" width="9" style="52"/>
    <col min="2550" max="2550" width="20.5" style="52" customWidth="1"/>
    <col min="2551" max="2551" width="8.5" style="52" customWidth="1"/>
    <col min="2552" max="2552" width="10" style="52" customWidth="1"/>
    <col min="2553" max="2553" width="8.5" style="52" customWidth="1"/>
    <col min="2554" max="2556" width="9.5" style="52" bestFit="1" customWidth="1"/>
    <col min="2557" max="2557" width="8.33203125" style="52" bestFit="1" customWidth="1"/>
    <col min="2558" max="2558" width="8.33203125" style="52" customWidth="1"/>
    <col min="2559" max="2561" width="9.5" style="52" bestFit="1" customWidth="1"/>
    <col min="2562" max="2562" width="8.33203125" style="52" bestFit="1" customWidth="1"/>
    <col min="2563" max="2563" width="8.33203125" style="52" customWidth="1"/>
    <col min="2564" max="2566" width="9.5" style="52" bestFit="1" customWidth="1"/>
    <col min="2567" max="2567" width="8.33203125" style="52" bestFit="1" customWidth="1"/>
    <col min="2568" max="2569" width="8.33203125" style="52" customWidth="1"/>
    <col min="2570" max="2570" width="9.1640625" style="52" bestFit="1" customWidth="1"/>
    <col min="2571" max="2805" width="9" style="52"/>
    <col min="2806" max="2806" width="20.5" style="52" customWidth="1"/>
    <col min="2807" max="2807" width="8.5" style="52" customWidth="1"/>
    <col min="2808" max="2808" width="10" style="52" customWidth="1"/>
    <col min="2809" max="2809" width="8.5" style="52" customWidth="1"/>
    <col min="2810" max="2812" width="9.5" style="52" bestFit="1" customWidth="1"/>
    <col min="2813" max="2813" width="8.33203125" style="52" bestFit="1" customWidth="1"/>
    <col min="2814" max="2814" width="8.33203125" style="52" customWidth="1"/>
    <col min="2815" max="2817" width="9.5" style="52" bestFit="1" customWidth="1"/>
    <col min="2818" max="2818" width="8.33203125" style="52" bestFit="1" customWidth="1"/>
    <col min="2819" max="2819" width="8.33203125" style="52" customWidth="1"/>
    <col min="2820" max="2822" width="9.5" style="52" bestFit="1" customWidth="1"/>
    <col min="2823" max="2823" width="8.33203125" style="52" bestFit="1" customWidth="1"/>
    <col min="2824" max="2825" width="8.33203125" style="52" customWidth="1"/>
    <col min="2826" max="2826" width="9.1640625" style="52" bestFit="1" customWidth="1"/>
    <col min="2827" max="3061" width="9" style="52"/>
    <col min="3062" max="3062" width="20.5" style="52" customWidth="1"/>
    <col min="3063" max="3063" width="8.5" style="52" customWidth="1"/>
    <col min="3064" max="3064" width="10" style="52" customWidth="1"/>
    <col min="3065" max="3065" width="8.5" style="52" customWidth="1"/>
    <col min="3066" max="3068" width="9.5" style="52" bestFit="1" customWidth="1"/>
    <col min="3069" max="3069" width="8.33203125" style="52" bestFit="1" customWidth="1"/>
    <col min="3070" max="3070" width="8.33203125" style="52" customWidth="1"/>
    <col min="3071" max="3073" width="9.5" style="52" bestFit="1" customWidth="1"/>
    <col min="3074" max="3074" width="8.33203125" style="52" bestFit="1" customWidth="1"/>
    <col min="3075" max="3075" width="8.33203125" style="52" customWidth="1"/>
    <col min="3076" max="3078" width="9.5" style="52" bestFit="1" customWidth="1"/>
    <col min="3079" max="3079" width="8.33203125" style="52" bestFit="1" customWidth="1"/>
    <col min="3080" max="3081" width="8.33203125" style="52" customWidth="1"/>
    <col min="3082" max="3082" width="9.1640625" style="52" bestFit="1" customWidth="1"/>
    <col min="3083" max="3317" width="9" style="52"/>
    <col min="3318" max="3318" width="20.5" style="52" customWidth="1"/>
    <col min="3319" max="3319" width="8.5" style="52" customWidth="1"/>
    <col min="3320" max="3320" width="10" style="52" customWidth="1"/>
    <col min="3321" max="3321" width="8.5" style="52" customWidth="1"/>
    <col min="3322" max="3324" width="9.5" style="52" bestFit="1" customWidth="1"/>
    <col min="3325" max="3325" width="8.33203125" style="52" bestFit="1" customWidth="1"/>
    <col min="3326" max="3326" width="8.33203125" style="52" customWidth="1"/>
    <col min="3327" max="3329" width="9.5" style="52" bestFit="1" customWidth="1"/>
    <col min="3330" max="3330" width="8.33203125" style="52" bestFit="1" customWidth="1"/>
    <col min="3331" max="3331" width="8.33203125" style="52" customWidth="1"/>
    <col min="3332" max="3334" width="9.5" style="52" bestFit="1" customWidth="1"/>
    <col min="3335" max="3335" width="8.33203125" style="52" bestFit="1" customWidth="1"/>
    <col min="3336" max="3337" width="8.33203125" style="52" customWidth="1"/>
    <col min="3338" max="3338" width="9.1640625" style="52" bestFit="1" customWidth="1"/>
    <col min="3339" max="3573" width="9" style="52"/>
    <col min="3574" max="3574" width="20.5" style="52" customWidth="1"/>
    <col min="3575" max="3575" width="8.5" style="52" customWidth="1"/>
    <col min="3576" max="3576" width="10" style="52" customWidth="1"/>
    <col min="3577" max="3577" width="8.5" style="52" customWidth="1"/>
    <col min="3578" max="3580" width="9.5" style="52" bestFit="1" customWidth="1"/>
    <col min="3581" max="3581" width="8.33203125" style="52" bestFit="1" customWidth="1"/>
    <col min="3582" max="3582" width="8.33203125" style="52" customWidth="1"/>
    <col min="3583" max="3585" width="9.5" style="52" bestFit="1" customWidth="1"/>
    <col min="3586" max="3586" width="8.33203125" style="52" bestFit="1" customWidth="1"/>
    <col min="3587" max="3587" width="8.33203125" style="52" customWidth="1"/>
    <col min="3588" max="3590" width="9.5" style="52" bestFit="1" customWidth="1"/>
    <col min="3591" max="3591" width="8.33203125" style="52" bestFit="1" customWidth="1"/>
    <col min="3592" max="3593" width="8.33203125" style="52" customWidth="1"/>
    <col min="3594" max="3594" width="9.1640625" style="52" bestFit="1" customWidth="1"/>
    <col min="3595" max="3829" width="9" style="52"/>
    <col min="3830" max="3830" width="20.5" style="52" customWidth="1"/>
    <col min="3831" max="3831" width="8.5" style="52" customWidth="1"/>
    <col min="3832" max="3832" width="10" style="52" customWidth="1"/>
    <col min="3833" max="3833" width="8.5" style="52" customWidth="1"/>
    <col min="3834" max="3836" width="9.5" style="52" bestFit="1" customWidth="1"/>
    <col min="3837" max="3837" width="8.33203125" style="52" bestFit="1" customWidth="1"/>
    <col min="3838" max="3838" width="8.33203125" style="52" customWidth="1"/>
    <col min="3839" max="3841" width="9.5" style="52" bestFit="1" customWidth="1"/>
    <col min="3842" max="3842" width="8.33203125" style="52" bestFit="1" customWidth="1"/>
    <col min="3843" max="3843" width="8.33203125" style="52" customWidth="1"/>
    <col min="3844" max="3846" width="9.5" style="52" bestFit="1" customWidth="1"/>
    <col min="3847" max="3847" width="8.33203125" style="52" bestFit="1" customWidth="1"/>
    <col min="3848" max="3849" width="8.33203125" style="52" customWidth="1"/>
    <col min="3850" max="3850" width="9.1640625" style="52" bestFit="1" customWidth="1"/>
    <col min="3851" max="4085" width="9" style="52"/>
    <col min="4086" max="4086" width="20.5" style="52" customWidth="1"/>
    <col min="4087" max="4087" width="8.5" style="52" customWidth="1"/>
    <col min="4088" max="4088" width="10" style="52" customWidth="1"/>
    <col min="4089" max="4089" width="8.5" style="52" customWidth="1"/>
    <col min="4090" max="4092" width="9.5" style="52" bestFit="1" customWidth="1"/>
    <col min="4093" max="4093" width="8.33203125" style="52" bestFit="1" customWidth="1"/>
    <col min="4094" max="4094" width="8.33203125" style="52" customWidth="1"/>
    <col min="4095" max="4097" width="9.5" style="52" bestFit="1" customWidth="1"/>
    <col min="4098" max="4098" width="8.33203125" style="52" bestFit="1" customWidth="1"/>
    <col min="4099" max="4099" width="8.33203125" style="52" customWidth="1"/>
    <col min="4100" max="4102" width="9.5" style="52" bestFit="1" customWidth="1"/>
    <col min="4103" max="4103" width="8.33203125" style="52" bestFit="1" customWidth="1"/>
    <col min="4104" max="4105" width="8.33203125" style="52" customWidth="1"/>
    <col min="4106" max="4106" width="9.1640625" style="52" bestFit="1" customWidth="1"/>
    <col min="4107" max="4341" width="9" style="52"/>
    <col min="4342" max="4342" width="20.5" style="52" customWidth="1"/>
    <col min="4343" max="4343" width="8.5" style="52" customWidth="1"/>
    <col min="4344" max="4344" width="10" style="52" customWidth="1"/>
    <col min="4345" max="4345" width="8.5" style="52" customWidth="1"/>
    <col min="4346" max="4348" width="9.5" style="52" bestFit="1" customWidth="1"/>
    <col min="4349" max="4349" width="8.33203125" style="52" bestFit="1" customWidth="1"/>
    <col min="4350" max="4350" width="8.33203125" style="52" customWidth="1"/>
    <col min="4351" max="4353" width="9.5" style="52" bestFit="1" customWidth="1"/>
    <col min="4354" max="4354" width="8.33203125" style="52" bestFit="1" customWidth="1"/>
    <col min="4355" max="4355" width="8.33203125" style="52" customWidth="1"/>
    <col min="4356" max="4358" width="9.5" style="52" bestFit="1" customWidth="1"/>
    <col min="4359" max="4359" width="8.33203125" style="52" bestFit="1" customWidth="1"/>
    <col min="4360" max="4361" width="8.33203125" style="52" customWidth="1"/>
    <col min="4362" max="4362" width="9.1640625" style="52" bestFit="1" customWidth="1"/>
    <col min="4363" max="4597" width="9" style="52"/>
    <col min="4598" max="4598" width="20.5" style="52" customWidth="1"/>
    <col min="4599" max="4599" width="8.5" style="52" customWidth="1"/>
    <col min="4600" max="4600" width="10" style="52" customWidth="1"/>
    <col min="4601" max="4601" width="8.5" style="52" customWidth="1"/>
    <col min="4602" max="4604" width="9.5" style="52" bestFit="1" customWidth="1"/>
    <col min="4605" max="4605" width="8.33203125" style="52" bestFit="1" customWidth="1"/>
    <col min="4606" max="4606" width="8.33203125" style="52" customWidth="1"/>
    <col min="4607" max="4609" width="9.5" style="52" bestFit="1" customWidth="1"/>
    <col min="4610" max="4610" width="8.33203125" style="52" bestFit="1" customWidth="1"/>
    <col min="4611" max="4611" width="8.33203125" style="52" customWidth="1"/>
    <col min="4612" max="4614" width="9.5" style="52" bestFit="1" customWidth="1"/>
    <col min="4615" max="4615" width="8.33203125" style="52" bestFit="1" customWidth="1"/>
    <col min="4616" max="4617" width="8.33203125" style="52" customWidth="1"/>
    <col min="4618" max="4618" width="9.1640625" style="52" bestFit="1" customWidth="1"/>
    <col min="4619" max="4853" width="9" style="52"/>
    <col min="4854" max="4854" width="20.5" style="52" customWidth="1"/>
    <col min="4855" max="4855" width="8.5" style="52" customWidth="1"/>
    <col min="4856" max="4856" width="10" style="52" customWidth="1"/>
    <col min="4857" max="4857" width="8.5" style="52" customWidth="1"/>
    <col min="4858" max="4860" width="9.5" style="52" bestFit="1" customWidth="1"/>
    <col min="4861" max="4861" width="8.33203125" style="52" bestFit="1" customWidth="1"/>
    <col min="4862" max="4862" width="8.33203125" style="52" customWidth="1"/>
    <col min="4863" max="4865" width="9.5" style="52" bestFit="1" customWidth="1"/>
    <col min="4866" max="4866" width="8.33203125" style="52" bestFit="1" customWidth="1"/>
    <col min="4867" max="4867" width="8.33203125" style="52" customWidth="1"/>
    <col min="4868" max="4870" width="9.5" style="52" bestFit="1" customWidth="1"/>
    <col min="4871" max="4871" width="8.33203125" style="52" bestFit="1" customWidth="1"/>
    <col min="4872" max="4873" width="8.33203125" style="52" customWidth="1"/>
    <col min="4874" max="4874" width="9.1640625" style="52" bestFit="1" customWidth="1"/>
    <col min="4875" max="5109" width="9" style="52"/>
    <col min="5110" max="5110" width="20.5" style="52" customWidth="1"/>
    <col min="5111" max="5111" width="8.5" style="52" customWidth="1"/>
    <col min="5112" max="5112" width="10" style="52" customWidth="1"/>
    <col min="5113" max="5113" width="8.5" style="52" customWidth="1"/>
    <col min="5114" max="5116" width="9.5" style="52" bestFit="1" customWidth="1"/>
    <col min="5117" max="5117" width="8.33203125" style="52" bestFit="1" customWidth="1"/>
    <col min="5118" max="5118" width="8.33203125" style="52" customWidth="1"/>
    <col min="5119" max="5121" width="9.5" style="52" bestFit="1" customWidth="1"/>
    <col min="5122" max="5122" width="8.33203125" style="52" bestFit="1" customWidth="1"/>
    <col min="5123" max="5123" width="8.33203125" style="52" customWidth="1"/>
    <col min="5124" max="5126" width="9.5" style="52" bestFit="1" customWidth="1"/>
    <col min="5127" max="5127" width="8.33203125" style="52" bestFit="1" customWidth="1"/>
    <col min="5128" max="5129" width="8.33203125" style="52" customWidth="1"/>
    <col min="5130" max="5130" width="9.1640625" style="52" bestFit="1" customWidth="1"/>
    <col min="5131" max="5365" width="9" style="52"/>
    <col min="5366" max="5366" width="20.5" style="52" customWidth="1"/>
    <col min="5367" max="5367" width="8.5" style="52" customWidth="1"/>
    <col min="5368" max="5368" width="10" style="52" customWidth="1"/>
    <col min="5369" max="5369" width="8.5" style="52" customWidth="1"/>
    <col min="5370" max="5372" width="9.5" style="52" bestFit="1" customWidth="1"/>
    <col min="5373" max="5373" width="8.33203125" style="52" bestFit="1" customWidth="1"/>
    <col min="5374" max="5374" width="8.33203125" style="52" customWidth="1"/>
    <col min="5375" max="5377" width="9.5" style="52" bestFit="1" customWidth="1"/>
    <col min="5378" max="5378" width="8.33203125" style="52" bestFit="1" customWidth="1"/>
    <col min="5379" max="5379" width="8.33203125" style="52" customWidth="1"/>
    <col min="5380" max="5382" width="9.5" style="52" bestFit="1" customWidth="1"/>
    <col min="5383" max="5383" width="8.33203125" style="52" bestFit="1" customWidth="1"/>
    <col min="5384" max="5385" width="8.33203125" style="52" customWidth="1"/>
    <col min="5386" max="5386" width="9.1640625" style="52" bestFit="1" customWidth="1"/>
    <col min="5387" max="5621" width="9" style="52"/>
    <col min="5622" max="5622" width="20.5" style="52" customWidth="1"/>
    <col min="5623" max="5623" width="8.5" style="52" customWidth="1"/>
    <col min="5624" max="5624" width="10" style="52" customWidth="1"/>
    <col min="5625" max="5625" width="8.5" style="52" customWidth="1"/>
    <col min="5626" max="5628" width="9.5" style="52" bestFit="1" customWidth="1"/>
    <col min="5629" max="5629" width="8.33203125" style="52" bestFit="1" customWidth="1"/>
    <col min="5630" max="5630" width="8.33203125" style="52" customWidth="1"/>
    <col min="5631" max="5633" width="9.5" style="52" bestFit="1" customWidth="1"/>
    <col min="5634" max="5634" width="8.33203125" style="52" bestFit="1" customWidth="1"/>
    <col min="5635" max="5635" width="8.33203125" style="52" customWidth="1"/>
    <col min="5636" max="5638" width="9.5" style="52" bestFit="1" customWidth="1"/>
    <col min="5639" max="5639" width="8.33203125" style="52" bestFit="1" customWidth="1"/>
    <col min="5640" max="5641" width="8.33203125" style="52" customWidth="1"/>
    <col min="5642" max="5642" width="9.1640625" style="52" bestFit="1" customWidth="1"/>
    <col min="5643" max="5877" width="9" style="52"/>
    <col min="5878" max="5878" width="20.5" style="52" customWidth="1"/>
    <col min="5879" max="5879" width="8.5" style="52" customWidth="1"/>
    <col min="5880" max="5880" width="10" style="52" customWidth="1"/>
    <col min="5881" max="5881" width="8.5" style="52" customWidth="1"/>
    <col min="5882" max="5884" width="9.5" style="52" bestFit="1" customWidth="1"/>
    <col min="5885" max="5885" width="8.33203125" style="52" bestFit="1" customWidth="1"/>
    <col min="5886" max="5886" width="8.33203125" style="52" customWidth="1"/>
    <col min="5887" max="5889" width="9.5" style="52" bestFit="1" customWidth="1"/>
    <col min="5890" max="5890" width="8.33203125" style="52" bestFit="1" customWidth="1"/>
    <col min="5891" max="5891" width="8.33203125" style="52" customWidth="1"/>
    <col min="5892" max="5894" width="9.5" style="52" bestFit="1" customWidth="1"/>
    <col min="5895" max="5895" width="8.33203125" style="52" bestFit="1" customWidth="1"/>
    <col min="5896" max="5897" width="8.33203125" style="52" customWidth="1"/>
    <col min="5898" max="5898" width="9.1640625" style="52" bestFit="1" customWidth="1"/>
    <col min="5899" max="6133" width="9" style="52"/>
    <col min="6134" max="6134" width="20.5" style="52" customWidth="1"/>
    <col min="6135" max="6135" width="8.5" style="52" customWidth="1"/>
    <col min="6136" max="6136" width="10" style="52" customWidth="1"/>
    <col min="6137" max="6137" width="8.5" style="52" customWidth="1"/>
    <col min="6138" max="6140" width="9.5" style="52" bestFit="1" customWidth="1"/>
    <col min="6141" max="6141" width="8.33203125" style="52" bestFit="1" customWidth="1"/>
    <col min="6142" max="6142" width="8.33203125" style="52" customWidth="1"/>
    <col min="6143" max="6145" width="9.5" style="52" bestFit="1" customWidth="1"/>
    <col min="6146" max="6146" width="8.33203125" style="52" bestFit="1" customWidth="1"/>
    <col min="6147" max="6147" width="8.33203125" style="52" customWidth="1"/>
    <col min="6148" max="6150" width="9.5" style="52" bestFit="1" customWidth="1"/>
    <col min="6151" max="6151" width="8.33203125" style="52" bestFit="1" customWidth="1"/>
    <col min="6152" max="6153" width="8.33203125" style="52" customWidth="1"/>
    <col min="6154" max="6154" width="9.1640625" style="52" bestFit="1" customWidth="1"/>
    <col min="6155" max="6389" width="9" style="52"/>
    <col min="6390" max="6390" width="20.5" style="52" customWidth="1"/>
    <col min="6391" max="6391" width="8.5" style="52" customWidth="1"/>
    <col min="6392" max="6392" width="10" style="52" customWidth="1"/>
    <col min="6393" max="6393" width="8.5" style="52" customWidth="1"/>
    <col min="6394" max="6396" width="9.5" style="52" bestFit="1" customWidth="1"/>
    <col min="6397" max="6397" width="8.33203125" style="52" bestFit="1" customWidth="1"/>
    <col min="6398" max="6398" width="8.33203125" style="52" customWidth="1"/>
    <col min="6399" max="6401" width="9.5" style="52" bestFit="1" customWidth="1"/>
    <col min="6402" max="6402" width="8.33203125" style="52" bestFit="1" customWidth="1"/>
    <col min="6403" max="6403" width="8.33203125" style="52" customWidth="1"/>
    <col min="6404" max="6406" width="9.5" style="52" bestFit="1" customWidth="1"/>
    <col min="6407" max="6407" width="8.33203125" style="52" bestFit="1" customWidth="1"/>
    <col min="6408" max="6409" width="8.33203125" style="52" customWidth="1"/>
    <col min="6410" max="6410" width="9.1640625" style="52" bestFit="1" customWidth="1"/>
    <col min="6411" max="6645" width="9" style="52"/>
    <col min="6646" max="6646" width="20.5" style="52" customWidth="1"/>
    <col min="6647" max="6647" width="8.5" style="52" customWidth="1"/>
    <col min="6648" max="6648" width="10" style="52" customWidth="1"/>
    <col min="6649" max="6649" width="8.5" style="52" customWidth="1"/>
    <col min="6650" max="6652" width="9.5" style="52" bestFit="1" customWidth="1"/>
    <col min="6653" max="6653" width="8.33203125" style="52" bestFit="1" customWidth="1"/>
    <col min="6654" max="6654" width="8.33203125" style="52" customWidth="1"/>
    <col min="6655" max="6657" width="9.5" style="52" bestFit="1" customWidth="1"/>
    <col min="6658" max="6658" width="8.33203125" style="52" bestFit="1" customWidth="1"/>
    <col min="6659" max="6659" width="8.33203125" style="52" customWidth="1"/>
    <col min="6660" max="6662" width="9.5" style="52" bestFit="1" customWidth="1"/>
    <col min="6663" max="6663" width="8.33203125" style="52" bestFit="1" customWidth="1"/>
    <col min="6664" max="6665" width="8.33203125" style="52" customWidth="1"/>
    <col min="6666" max="6666" width="9.1640625" style="52" bestFit="1" customWidth="1"/>
    <col min="6667" max="6901" width="9" style="52"/>
    <col min="6902" max="6902" width="20.5" style="52" customWidth="1"/>
    <col min="6903" max="6903" width="8.5" style="52" customWidth="1"/>
    <col min="6904" max="6904" width="10" style="52" customWidth="1"/>
    <col min="6905" max="6905" width="8.5" style="52" customWidth="1"/>
    <col min="6906" max="6908" width="9.5" style="52" bestFit="1" customWidth="1"/>
    <col min="6909" max="6909" width="8.33203125" style="52" bestFit="1" customWidth="1"/>
    <col min="6910" max="6910" width="8.33203125" style="52" customWidth="1"/>
    <col min="6911" max="6913" width="9.5" style="52" bestFit="1" customWidth="1"/>
    <col min="6914" max="6914" width="8.33203125" style="52" bestFit="1" customWidth="1"/>
    <col min="6915" max="6915" width="8.33203125" style="52" customWidth="1"/>
    <col min="6916" max="6918" width="9.5" style="52" bestFit="1" customWidth="1"/>
    <col min="6919" max="6919" width="8.33203125" style="52" bestFit="1" customWidth="1"/>
    <col min="6920" max="6921" width="8.33203125" style="52" customWidth="1"/>
    <col min="6922" max="6922" width="9.1640625" style="52" bestFit="1" customWidth="1"/>
    <col min="6923" max="7157" width="9" style="52"/>
    <col min="7158" max="7158" width="20.5" style="52" customWidth="1"/>
    <col min="7159" max="7159" width="8.5" style="52" customWidth="1"/>
    <col min="7160" max="7160" width="10" style="52" customWidth="1"/>
    <col min="7161" max="7161" width="8.5" style="52" customWidth="1"/>
    <col min="7162" max="7164" width="9.5" style="52" bestFit="1" customWidth="1"/>
    <col min="7165" max="7165" width="8.33203125" style="52" bestFit="1" customWidth="1"/>
    <col min="7166" max="7166" width="8.33203125" style="52" customWidth="1"/>
    <col min="7167" max="7169" width="9.5" style="52" bestFit="1" customWidth="1"/>
    <col min="7170" max="7170" width="8.33203125" style="52" bestFit="1" customWidth="1"/>
    <col min="7171" max="7171" width="8.33203125" style="52" customWidth="1"/>
    <col min="7172" max="7174" width="9.5" style="52" bestFit="1" customWidth="1"/>
    <col min="7175" max="7175" width="8.33203125" style="52" bestFit="1" customWidth="1"/>
    <col min="7176" max="7177" width="8.33203125" style="52" customWidth="1"/>
    <col min="7178" max="7178" width="9.1640625" style="52" bestFit="1" customWidth="1"/>
    <col min="7179" max="7413" width="9" style="52"/>
    <col min="7414" max="7414" width="20.5" style="52" customWidth="1"/>
    <col min="7415" max="7415" width="8.5" style="52" customWidth="1"/>
    <col min="7416" max="7416" width="10" style="52" customWidth="1"/>
    <col min="7417" max="7417" width="8.5" style="52" customWidth="1"/>
    <col min="7418" max="7420" width="9.5" style="52" bestFit="1" customWidth="1"/>
    <col min="7421" max="7421" width="8.33203125" style="52" bestFit="1" customWidth="1"/>
    <col min="7422" max="7422" width="8.33203125" style="52" customWidth="1"/>
    <col min="7423" max="7425" width="9.5" style="52" bestFit="1" customWidth="1"/>
    <col min="7426" max="7426" width="8.33203125" style="52" bestFit="1" customWidth="1"/>
    <col min="7427" max="7427" width="8.33203125" style="52" customWidth="1"/>
    <col min="7428" max="7430" width="9.5" style="52" bestFit="1" customWidth="1"/>
    <col min="7431" max="7431" width="8.33203125" style="52" bestFit="1" customWidth="1"/>
    <col min="7432" max="7433" width="8.33203125" style="52" customWidth="1"/>
    <col min="7434" max="7434" width="9.1640625" style="52" bestFit="1" customWidth="1"/>
    <col min="7435" max="7669" width="9" style="52"/>
    <col min="7670" max="7670" width="20.5" style="52" customWidth="1"/>
    <col min="7671" max="7671" width="8.5" style="52" customWidth="1"/>
    <col min="7672" max="7672" width="10" style="52" customWidth="1"/>
    <col min="7673" max="7673" width="8.5" style="52" customWidth="1"/>
    <col min="7674" max="7676" width="9.5" style="52" bestFit="1" customWidth="1"/>
    <col min="7677" max="7677" width="8.33203125" style="52" bestFit="1" customWidth="1"/>
    <col min="7678" max="7678" width="8.33203125" style="52" customWidth="1"/>
    <col min="7679" max="7681" width="9.5" style="52" bestFit="1" customWidth="1"/>
    <col min="7682" max="7682" width="8.33203125" style="52" bestFit="1" customWidth="1"/>
    <col min="7683" max="7683" width="8.33203125" style="52" customWidth="1"/>
    <col min="7684" max="7686" width="9.5" style="52" bestFit="1" customWidth="1"/>
    <col min="7687" max="7687" width="8.33203125" style="52" bestFit="1" customWidth="1"/>
    <col min="7688" max="7689" width="8.33203125" style="52" customWidth="1"/>
    <col min="7690" max="7690" width="9.1640625" style="52" bestFit="1" customWidth="1"/>
    <col min="7691" max="7925" width="9" style="52"/>
    <col min="7926" max="7926" width="20.5" style="52" customWidth="1"/>
    <col min="7927" max="7927" width="8.5" style="52" customWidth="1"/>
    <col min="7928" max="7928" width="10" style="52" customWidth="1"/>
    <col min="7929" max="7929" width="8.5" style="52" customWidth="1"/>
    <col min="7930" max="7932" width="9.5" style="52" bestFit="1" customWidth="1"/>
    <col min="7933" max="7933" width="8.33203125" style="52" bestFit="1" customWidth="1"/>
    <col min="7934" max="7934" width="8.33203125" style="52" customWidth="1"/>
    <col min="7935" max="7937" width="9.5" style="52" bestFit="1" customWidth="1"/>
    <col min="7938" max="7938" width="8.33203125" style="52" bestFit="1" customWidth="1"/>
    <col min="7939" max="7939" width="8.33203125" style="52" customWidth="1"/>
    <col min="7940" max="7942" width="9.5" style="52" bestFit="1" customWidth="1"/>
    <col min="7943" max="7943" width="8.33203125" style="52" bestFit="1" customWidth="1"/>
    <col min="7944" max="7945" width="8.33203125" style="52" customWidth="1"/>
    <col min="7946" max="7946" width="9.1640625" style="52" bestFit="1" customWidth="1"/>
    <col min="7947" max="8181" width="9" style="52"/>
    <col min="8182" max="8182" width="20.5" style="52" customWidth="1"/>
    <col min="8183" max="8183" width="8.5" style="52" customWidth="1"/>
    <col min="8184" max="8184" width="10" style="52" customWidth="1"/>
    <col min="8185" max="8185" width="8.5" style="52" customWidth="1"/>
    <col min="8186" max="8188" width="9.5" style="52" bestFit="1" customWidth="1"/>
    <col min="8189" max="8189" width="8.33203125" style="52" bestFit="1" customWidth="1"/>
    <col min="8190" max="8190" width="8.33203125" style="52" customWidth="1"/>
    <col min="8191" max="8193" width="9.5" style="52" bestFit="1" customWidth="1"/>
    <col min="8194" max="8194" width="8.33203125" style="52" bestFit="1" customWidth="1"/>
    <col min="8195" max="8195" width="8.33203125" style="52" customWidth="1"/>
    <col min="8196" max="8198" width="9.5" style="52" bestFit="1" customWidth="1"/>
    <col min="8199" max="8199" width="8.33203125" style="52" bestFit="1" customWidth="1"/>
    <col min="8200" max="8201" width="8.33203125" style="52" customWidth="1"/>
    <col min="8202" max="8202" width="9.1640625" style="52" bestFit="1" customWidth="1"/>
    <col min="8203" max="8437" width="9" style="52"/>
    <col min="8438" max="8438" width="20.5" style="52" customWidth="1"/>
    <col min="8439" max="8439" width="8.5" style="52" customWidth="1"/>
    <col min="8440" max="8440" width="10" style="52" customWidth="1"/>
    <col min="8441" max="8441" width="8.5" style="52" customWidth="1"/>
    <col min="8442" max="8444" width="9.5" style="52" bestFit="1" customWidth="1"/>
    <col min="8445" max="8445" width="8.33203125" style="52" bestFit="1" customWidth="1"/>
    <col min="8446" max="8446" width="8.33203125" style="52" customWidth="1"/>
    <col min="8447" max="8449" width="9.5" style="52" bestFit="1" customWidth="1"/>
    <col min="8450" max="8450" width="8.33203125" style="52" bestFit="1" customWidth="1"/>
    <col min="8451" max="8451" width="8.33203125" style="52" customWidth="1"/>
    <col min="8452" max="8454" width="9.5" style="52" bestFit="1" customWidth="1"/>
    <col min="8455" max="8455" width="8.33203125" style="52" bestFit="1" customWidth="1"/>
    <col min="8456" max="8457" width="8.33203125" style="52" customWidth="1"/>
    <col min="8458" max="8458" width="9.1640625" style="52" bestFit="1" customWidth="1"/>
    <col min="8459" max="8693" width="9" style="52"/>
    <col min="8694" max="8694" width="20.5" style="52" customWidth="1"/>
    <col min="8695" max="8695" width="8.5" style="52" customWidth="1"/>
    <col min="8696" max="8696" width="10" style="52" customWidth="1"/>
    <col min="8697" max="8697" width="8.5" style="52" customWidth="1"/>
    <col min="8698" max="8700" width="9.5" style="52" bestFit="1" customWidth="1"/>
    <col min="8701" max="8701" width="8.33203125" style="52" bestFit="1" customWidth="1"/>
    <col min="8702" max="8702" width="8.33203125" style="52" customWidth="1"/>
    <col min="8703" max="8705" width="9.5" style="52" bestFit="1" customWidth="1"/>
    <col min="8706" max="8706" width="8.33203125" style="52" bestFit="1" customWidth="1"/>
    <col min="8707" max="8707" width="8.33203125" style="52" customWidth="1"/>
    <col min="8708" max="8710" width="9.5" style="52" bestFit="1" customWidth="1"/>
    <col min="8711" max="8711" width="8.33203125" style="52" bestFit="1" customWidth="1"/>
    <col min="8712" max="8713" width="8.33203125" style="52" customWidth="1"/>
    <col min="8714" max="8714" width="9.1640625" style="52" bestFit="1" customWidth="1"/>
    <col min="8715" max="8949" width="9" style="52"/>
    <col min="8950" max="8950" width="20.5" style="52" customWidth="1"/>
    <col min="8951" max="8951" width="8.5" style="52" customWidth="1"/>
    <col min="8952" max="8952" width="10" style="52" customWidth="1"/>
    <col min="8953" max="8953" width="8.5" style="52" customWidth="1"/>
    <col min="8954" max="8956" width="9.5" style="52" bestFit="1" customWidth="1"/>
    <col min="8957" max="8957" width="8.33203125" style="52" bestFit="1" customWidth="1"/>
    <col min="8958" max="8958" width="8.33203125" style="52" customWidth="1"/>
    <col min="8959" max="8961" width="9.5" style="52" bestFit="1" customWidth="1"/>
    <col min="8962" max="8962" width="8.33203125" style="52" bestFit="1" customWidth="1"/>
    <col min="8963" max="8963" width="8.33203125" style="52" customWidth="1"/>
    <col min="8964" max="8966" width="9.5" style="52" bestFit="1" customWidth="1"/>
    <col min="8967" max="8967" width="8.33203125" style="52" bestFit="1" customWidth="1"/>
    <col min="8968" max="8969" width="8.33203125" style="52" customWidth="1"/>
    <col min="8970" max="8970" width="9.1640625" style="52" bestFit="1" customWidth="1"/>
    <col min="8971" max="9205" width="9" style="52"/>
    <col min="9206" max="9206" width="20.5" style="52" customWidth="1"/>
    <col min="9207" max="9207" width="8.5" style="52" customWidth="1"/>
    <col min="9208" max="9208" width="10" style="52" customWidth="1"/>
    <col min="9209" max="9209" width="8.5" style="52" customWidth="1"/>
    <col min="9210" max="9212" width="9.5" style="52" bestFit="1" customWidth="1"/>
    <col min="9213" max="9213" width="8.33203125" style="52" bestFit="1" customWidth="1"/>
    <col min="9214" max="9214" width="8.33203125" style="52" customWidth="1"/>
    <col min="9215" max="9217" width="9.5" style="52" bestFit="1" customWidth="1"/>
    <col min="9218" max="9218" width="8.33203125" style="52" bestFit="1" customWidth="1"/>
    <col min="9219" max="9219" width="8.33203125" style="52" customWidth="1"/>
    <col min="9220" max="9222" width="9.5" style="52" bestFit="1" customWidth="1"/>
    <col min="9223" max="9223" width="8.33203125" style="52" bestFit="1" customWidth="1"/>
    <col min="9224" max="9225" width="8.33203125" style="52" customWidth="1"/>
    <col min="9226" max="9226" width="9.1640625" style="52" bestFit="1" customWidth="1"/>
    <col min="9227" max="9461" width="9" style="52"/>
    <col min="9462" max="9462" width="20.5" style="52" customWidth="1"/>
    <col min="9463" max="9463" width="8.5" style="52" customWidth="1"/>
    <col min="9464" max="9464" width="10" style="52" customWidth="1"/>
    <col min="9465" max="9465" width="8.5" style="52" customWidth="1"/>
    <col min="9466" max="9468" width="9.5" style="52" bestFit="1" customWidth="1"/>
    <col min="9469" max="9469" width="8.33203125" style="52" bestFit="1" customWidth="1"/>
    <col min="9470" max="9470" width="8.33203125" style="52" customWidth="1"/>
    <col min="9471" max="9473" width="9.5" style="52" bestFit="1" customWidth="1"/>
    <col min="9474" max="9474" width="8.33203125" style="52" bestFit="1" customWidth="1"/>
    <col min="9475" max="9475" width="8.33203125" style="52" customWidth="1"/>
    <col min="9476" max="9478" width="9.5" style="52" bestFit="1" customWidth="1"/>
    <col min="9479" max="9479" width="8.33203125" style="52" bestFit="1" customWidth="1"/>
    <col min="9480" max="9481" width="8.33203125" style="52" customWidth="1"/>
    <col min="9482" max="9482" width="9.1640625" style="52" bestFit="1" customWidth="1"/>
    <col min="9483" max="9717" width="9" style="52"/>
    <col min="9718" max="9718" width="20.5" style="52" customWidth="1"/>
    <col min="9719" max="9719" width="8.5" style="52" customWidth="1"/>
    <col min="9720" max="9720" width="10" style="52" customWidth="1"/>
    <col min="9721" max="9721" width="8.5" style="52" customWidth="1"/>
    <col min="9722" max="9724" width="9.5" style="52" bestFit="1" customWidth="1"/>
    <col min="9725" max="9725" width="8.33203125" style="52" bestFit="1" customWidth="1"/>
    <col min="9726" max="9726" width="8.33203125" style="52" customWidth="1"/>
    <col min="9727" max="9729" width="9.5" style="52" bestFit="1" customWidth="1"/>
    <col min="9730" max="9730" width="8.33203125" style="52" bestFit="1" customWidth="1"/>
    <col min="9731" max="9731" width="8.33203125" style="52" customWidth="1"/>
    <col min="9732" max="9734" width="9.5" style="52" bestFit="1" customWidth="1"/>
    <col min="9735" max="9735" width="8.33203125" style="52" bestFit="1" customWidth="1"/>
    <col min="9736" max="9737" width="8.33203125" style="52" customWidth="1"/>
    <col min="9738" max="9738" width="9.1640625" style="52" bestFit="1" customWidth="1"/>
    <col min="9739" max="9973" width="9" style="52"/>
    <col min="9974" max="9974" width="20.5" style="52" customWidth="1"/>
    <col min="9975" max="9975" width="8.5" style="52" customWidth="1"/>
    <col min="9976" max="9976" width="10" style="52" customWidth="1"/>
    <col min="9977" max="9977" width="8.5" style="52" customWidth="1"/>
    <col min="9978" max="9980" width="9.5" style="52" bestFit="1" customWidth="1"/>
    <col min="9981" max="9981" width="8.33203125" style="52" bestFit="1" customWidth="1"/>
    <col min="9982" max="9982" width="8.33203125" style="52" customWidth="1"/>
    <col min="9983" max="9985" width="9.5" style="52" bestFit="1" customWidth="1"/>
    <col min="9986" max="9986" width="8.33203125" style="52" bestFit="1" customWidth="1"/>
    <col min="9987" max="9987" width="8.33203125" style="52" customWidth="1"/>
    <col min="9988" max="9990" width="9.5" style="52" bestFit="1" customWidth="1"/>
    <col min="9991" max="9991" width="8.33203125" style="52" bestFit="1" customWidth="1"/>
    <col min="9992" max="9993" width="8.33203125" style="52" customWidth="1"/>
    <col min="9994" max="9994" width="9.1640625" style="52" bestFit="1" customWidth="1"/>
    <col min="9995" max="10229" width="9" style="52"/>
    <col min="10230" max="10230" width="20.5" style="52" customWidth="1"/>
    <col min="10231" max="10231" width="8.5" style="52" customWidth="1"/>
    <col min="10232" max="10232" width="10" style="52" customWidth="1"/>
    <col min="10233" max="10233" width="8.5" style="52" customWidth="1"/>
    <col min="10234" max="10236" width="9.5" style="52" bestFit="1" customWidth="1"/>
    <col min="10237" max="10237" width="8.33203125" style="52" bestFit="1" customWidth="1"/>
    <col min="10238" max="10238" width="8.33203125" style="52" customWidth="1"/>
    <col min="10239" max="10241" width="9.5" style="52" bestFit="1" customWidth="1"/>
    <col min="10242" max="10242" width="8.33203125" style="52" bestFit="1" customWidth="1"/>
    <col min="10243" max="10243" width="8.33203125" style="52" customWidth="1"/>
    <col min="10244" max="10246" width="9.5" style="52" bestFit="1" customWidth="1"/>
    <col min="10247" max="10247" width="8.33203125" style="52" bestFit="1" customWidth="1"/>
    <col min="10248" max="10249" width="8.33203125" style="52" customWidth="1"/>
    <col min="10250" max="10250" width="9.1640625" style="52" bestFit="1" customWidth="1"/>
    <col min="10251" max="10485" width="9" style="52"/>
    <col min="10486" max="10486" width="20.5" style="52" customWidth="1"/>
    <col min="10487" max="10487" width="8.5" style="52" customWidth="1"/>
    <col min="10488" max="10488" width="10" style="52" customWidth="1"/>
    <col min="10489" max="10489" width="8.5" style="52" customWidth="1"/>
    <col min="10490" max="10492" width="9.5" style="52" bestFit="1" customWidth="1"/>
    <col min="10493" max="10493" width="8.33203125" style="52" bestFit="1" customWidth="1"/>
    <col min="10494" max="10494" width="8.33203125" style="52" customWidth="1"/>
    <col min="10495" max="10497" width="9.5" style="52" bestFit="1" customWidth="1"/>
    <col min="10498" max="10498" width="8.33203125" style="52" bestFit="1" customWidth="1"/>
    <col min="10499" max="10499" width="8.33203125" style="52" customWidth="1"/>
    <col min="10500" max="10502" width="9.5" style="52" bestFit="1" customWidth="1"/>
    <col min="10503" max="10503" width="8.33203125" style="52" bestFit="1" customWidth="1"/>
    <col min="10504" max="10505" width="8.33203125" style="52" customWidth="1"/>
    <col min="10506" max="10506" width="9.1640625" style="52" bestFit="1" customWidth="1"/>
    <col min="10507" max="10741" width="9" style="52"/>
    <col min="10742" max="10742" width="20.5" style="52" customWidth="1"/>
    <col min="10743" max="10743" width="8.5" style="52" customWidth="1"/>
    <col min="10744" max="10744" width="10" style="52" customWidth="1"/>
    <col min="10745" max="10745" width="8.5" style="52" customWidth="1"/>
    <col min="10746" max="10748" width="9.5" style="52" bestFit="1" customWidth="1"/>
    <col min="10749" max="10749" width="8.33203125" style="52" bestFit="1" customWidth="1"/>
    <col min="10750" max="10750" width="8.33203125" style="52" customWidth="1"/>
    <col min="10751" max="10753" width="9.5" style="52" bestFit="1" customWidth="1"/>
    <col min="10754" max="10754" width="8.33203125" style="52" bestFit="1" customWidth="1"/>
    <col min="10755" max="10755" width="8.33203125" style="52" customWidth="1"/>
    <col min="10756" max="10758" width="9.5" style="52" bestFit="1" customWidth="1"/>
    <col min="10759" max="10759" width="8.33203125" style="52" bestFit="1" customWidth="1"/>
    <col min="10760" max="10761" width="8.33203125" style="52" customWidth="1"/>
    <col min="10762" max="10762" width="9.1640625" style="52" bestFit="1" customWidth="1"/>
    <col min="10763" max="10997" width="9" style="52"/>
    <col min="10998" max="10998" width="20.5" style="52" customWidth="1"/>
    <col min="10999" max="10999" width="8.5" style="52" customWidth="1"/>
    <col min="11000" max="11000" width="10" style="52" customWidth="1"/>
    <col min="11001" max="11001" width="8.5" style="52" customWidth="1"/>
    <col min="11002" max="11004" width="9.5" style="52" bestFit="1" customWidth="1"/>
    <col min="11005" max="11005" width="8.33203125" style="52" bestFit="1" customWidth="1"/>
    <col min="11006" max="11006" width="8.33203125" style="52" customWidth="1"/>
    <col min="11007" max="11009" width="9.5" style="52" bestFit="1" customWidth="1"/>
    <col min="11010" max="11010" width="8.33203125" style="52" bestFit="1" customWidth="1"/>
    <col min="11011" max="11011" width="8.33203125" style="52" customWidth="1"/>
    <col min="11012" max="11014" width="9.5" style="52" bestFit="1" customWidth="1"/>
    <col min="11015" max="11015" width="8.33203125" style="52" bestFit="1" customWidth="1"/>
    <col min="11016" max="11017" width="8.33203125" style="52" customWidth="1"/>
    <col min="11018" max="11018" width="9.1640625" style="52" bestFit="1" customWidth="1"/>
    <col min="11019" max="11253" width="9" style="52"/>
    <col min="11254" max="11254" width="20.5" style="52" customWidth="1"/>
    <col min="11255" max="11255" width="8.5" style="52" customWidth="1"/>
    <col min="11256" max="11256" width="10" style="52" customWidth="1"/>
    <col min="11257" max="11257" width="8.5" style="52" customWidth="1"/>
    <col min="11258" max="11260" width="9.5" style="52" bestFit="1" customWidth="1"/>
    <col min="11261" max="11261" width="8.33203125" style="52" bestFit="1" customWidth="1"/>
    <col min="11262" max="11262" width="8.33203125" style="52" customWidth="1"/>
    <col min="11263" max="11265" width="9.5" style="52" bestFit="1" customWidth="1"/>
    <col min="11266" max="11266" width="8.33203125" style="52" bestFit="1" customWidth="1"/>
    <col min="11267" max="11267" width="8.33203125" style="52" customWidth="1"/>
    <col min="11268" max="11270" width="9.5" style="52" bestFit="1" customWidth="1"/>
    <col min="11271" max="11271" width="8.33203125" style="52" bestFit="1" customWidth="1"/>
    <col min="11272" max="11273" width="8.33203125" style="52" customWidth="1"/>
    <col min="11274" max="11274" width="9.1640625" style="52" bestFit="1" customWidth="1"/>
    <col min="11275" max="11509" width="9" style="52"/>
    <col min="11510" max="11510" width="20.5" style="52" customWidth="1"/>
    <col min="11511" max="11511" width="8.5" style="52" customWidth="1"/>
    <col min="11512" max="11512" width="10" style="52" customWidth="1"/>
    <col min="11513" max="11513" width="8.5" style="52" customWidth="1"/>
    <col min="11514" max="11516" width="9.5" style="52" bestFit="1" customWidth="1"/>
    <col min="11517" max="11517" width="8.33203125" style="52" bestFit="1" customWidth="1"/>
    <col min="11518" max="11518" width="8.33203125" style="52" customWidth="1"/>
    <col min="11519" max="11521" width="9.5" style="52" bestFit="1" customWidth="1"/>
    <col min="11522" max="11522" width="8.33203125" style="52" bestFit="1" customWidth="1"/>
    <col min="11523" max="11523" width="8.33203125" style="52" customWidth="1"/>
    <col min="11524" max="11526" width="9.5" style="52" bestFit="1" customWidth="1"/>
    <col min="11527" max="11527" width="8.33203125" style="52" bestFit="1" customWidth="1"/>
    <col min="11528" max="11529" width="8.33203125" style="52" customWidth="1"/>
    <col min="11530" max="11530" width="9.1640625" style="52" bestFit="1" customWidth="1"/>
    <col min="11531" max="11765" width="9" style="52"/>
    <col min="11766" max="11766" width="20.5" style="52" customWidth="1"/>
    <col min="11767" max="11767" width="8.5" style="52" customWidth="1"/>
    <col min="11768" max="11768" width="10" style="52" customWidth="1"/>
    <col min="11769" max="11769" width="8.5" style="52" customWidth="1"/>
    <col min="11770" max="11772" width="9.5" style="52" bestFit="1" customWidth="1"/>
    <col min="11773" max="11773" width="8.33203125" style="52" bestFit="1" customWidth="1"/>
    <col min="11774" max="11774" width="8.33203125" style="52" customWidth="1"/>
    <col min="11775" max="11777" width="9.5" style="52" bestFit="1" customWidth="1"/>
    <col min="11778" max="11778" width="8.33203125" style="52" bestFit="1" customWidth="1"/>
    <col min="11779" max="11779" width="8.33203125" style="52" customWidth="1"/>
    <col min="11780" max="11782" width="9.5" style="52" bestFit="1" customWidth="1"/>
    <col min="11783" max="11783" width="8.33203125" style="52" bestFit="1" customWidth="1"/>
    <col min="11784" max="11785" width="8.33203125" style="52" customWidth="1"/>
    <col min="11786" max="11786" width="9.1640625" style="52" bestFit="1" customWidth="1"/>
    <col min="11787" max="12021" width="9" style="52"/>
    <col min="12022" max="12022" width="20.5" style="52" customWidth="1"/>
    <col min="12023" max="12023" width="8.5" style="52" customWidth="1"/>
    <col min="12024" max="12024" width="10" style="52" customWidth="1"/>
    <col min="12025" max="12025" width="8.5" style="52" customWidth="1"/>
    <col min="12026" max="12028" width="9.5" style="52" bestFit="1" customWidth="1"/>
    <col min="12029" max="12029" width="8.33203125" style="52" bestFit="1" customWidth="1"/>
    <col min="12030" max="12030" width="8.33203125" style="52" customWidth="1"/>
    <col min="12031" max="12033" width="9.5" style="52" bestFit="1" customWidth="1"/>
    <col min="12034" max="12034" width="8.33203125" style="52" bestFit="1" customWidth="1"/>
    <col min="12035" max="12035" width="8.33203125" style="52" customWidth="1"/>
    <col min="12036" max="12038" width="9.5" style="52" bestFit="1" customWidth="1"/>
    <col min="12039" max="12039" width="8.33203125" style="52" bestFit="1" customWidth="1"/>
    <col min="12040" max="12041" width="8.33203125" style="52" customWidth="1"/>
    <col min="12042" max="12042" width="9.1640625" style="52" bestFit="1" customWidth="1"/>
    <col min="12043" max="12277" width="9" style="52"/>
    <col min="12278" max="12278" width="20.5" style="52" customWidth="1"/>
    <col min="12279" max="12279" width="8.5" style="52" customWidth="1"/>
    <col min="12280" max="12280" width="10" style="52" customWidth="1"/>
    <col min="12281" max="12281" width="8.5" style="52" customWidth="1"/>
    <col min="12282" max="12284" width="9.5" style="52" bestFit="1" customWidth="1"/>
    <col min="12285" max="12285" width="8.33203125" style="52" bestFit="1" customWidth="1"/>
    <col min="12286" max="12286" width="8.33203125" style="52" customWidth="1"/>
    <col min="12287" max="12289" width="9.5" style="52" bestFit="1" customWidth="1"/>
    <col min="12290" max="12290" width="8.33203125" style="52" bestFit="1" customWidth="1"/>
    <col min="12291" max="12291" width="8.33203125" style="52" customWidth="1"/>
    <col min="12292" max="12294" width="9.5" style="52" bestFit="1" customWidth="1"/>
    <col min="12295" max="12295" width="8.33203125" style="52" bestFit="1" customWidth="1"/>
    <col min="12296" max="12297" width="8.33203125" style="52" customWidth="1"/>
    <col min="12298" max="12298" width="9.1640625" style="52" bestFit="1" customWidth="1"/>
    <col min="12299" max="12533" width="9" style="52"/>
    <col min="12534" max="12534" width="20.5" style="52" customWidth="1"/>
    <col min="12535" max="12535" width="8.5" style="52" customWidth="1"/>
    <col min="12536" max="12536" width="10" style="52" customWidth="1"/>
    <col min="12537" max="12537" width="8.5" style="52" customWidth="1"/>
    <col min="12538" max="12540" width="9.5" style="52" bestFit="1" customWidth="1"/>
    <col min="12541" max="12541" width="8.33203125" style="52" bestFit="1" customWidth="1"/>
    <col min="12542" max="12542" width="8.33203125" style="52" customWidth="1"/>
    <col min="12543" max="12545" width="9.5" style="52" bestFit="1" customWidth="1"/>
    <col min="12546" max="12546" width="8.33203125" style="52" bestFit="1" customWidth="1"/>
    <col min="12547" max="12547" width="8.33203125" style="52" customWidth="1"/>
    <col min="12548" max="12550" width="9.5" style="52" bestFit="1" customWidth="1"/>
    <col min="12551" max="12551" width="8.33203125" style="52" bestFit="1" customWidth="1"/>
    <col min="12552" max="12553" width="8.33203125" style="52" customWidth="1"/>
    <col min="12554" max="12554" width="9.1640625" style="52" bestFit="1" customWidth="1"/>
    <col min="12555" max="12789" width="9" style="52"/>
    <col min="12790" max="12790" width="20.5" style="52" customWidth="1"/>
    <col min="12791" max="12791" width="8.5" style="52" customWidth="1"/>
    <col min="12792" max="12792" width="10" style="52" customWidth="1"/>
    <col min="12793" max="12793" width="8.5" style="52" customWidth="1"/>
    <col min="12794" max="12796" width="9.5" style="52" bestFit="1" customWidth="1"/>
    <col min="12797" max="12797" width="8.33203125" style="52" bestFit="1" customWidth="1"/>
    <col min="12798" max="12798" width="8.33203125" style="52" customWidth="1"/>
    <col min="12799" max="12801" width="9.5" style="52" bestFit="1" customWidth="1"/>
    <col min="12802" max="12802" width="8.33203125" style="52" bestFit="1" customWidth="1"/>
    <col min="12803" max="12803" width="8.33203125" style="52" customWidth="1"/>
    <col min="12804" max="12806" width="9.5" style="52" bestFit="1" customWidth="1"/>
    <col min="12807" max="12807" width="8.33203125" style="52" bestFit="1" customWidth="1"/>
    <col min="12808" max="12809" width="8.33203125" style="52" customWidth="1"/>
    <col min="12810" max="12810" width="9.1640625" style="52" bestFit="1" customWidth="1"/>
    <col min="12811" max="13045" width="9" style="52"/>
    <col min="13046" max="13046" width="20.5" style="52" customWidth="1"/>
    <col min="13047" max="13047" width="8.5" style="52" customWidth="1"/>
    <col min="13048" max="13048" width="10" style="52" customWidth="1"/>
    <col min="13049" max="13049" width="8.5" style="52" customWidth="1"/>
    <col min="13050" max="13052" width="9.5" style="52" bestFit="1" customWidth="1"/>
    <col min="13053" max="13053" width="8.33203125" style="52" bestFit="1" customWidth="1"/>
    <col min="13054" max="13054" width="8.33203125" style="52" customWidth="1"/>
    <col min="13055" max="13057" width="9.5" style="52" bestFit="1" customWidth="1"/>
    <col min="13058" max="13058" width="8.33203125" style="52" bestFit="1" customWidth="1"/>
    <col min="13059" max="13059" width="8.33203125" style="52" customWidth="1"/>
    <col min="13060" max="13062" width="9.5" style="52" bestFit="1" customWidth="1"/>
    <col min="13063" max="13063" width="8.33203125" style="52" bestFit="1" customWidth="1"/>
    <col min="13064" max="13065" width="8.33203125" style="52" customWidth="1"/>
    <col min="13066" max="13066" width="9.1640625" style="52" bestFit="1" customWidth="1"/>
    <col min="13067" max="13301" width="9" style="52"/>
    <col min="13302" max="13302" width="20.5" style="52" customWidth="1"/>
    <col min="13303" max="13303" width="8.5" style="52" customWidth="1"/>
    <col min="13304" max="13304" width="10" style="52" customWidth="1"/>
    <col min="13305" max="13305" width="8.5" style="52" customWidth="1"/>
    <col min="13306" max="13308" width="9.5" style="52" bestFit="1" customWidth="1"/>
    <col min="13309" max="13309" width="8.33203125" style="52" bestFit="1" customWidth="1"/>
    <col min="13310" max="13310" width="8.33203125" style="52" customWidth="1"/>
    <col min="13311" max="13313" width="9.5" style="52" bestFit="1" customWidth="1"/>
    <col min="13314" max="13314" width="8.33203125" style="52" bestFit="1" customWidth="1"/>
    <col min="13315" max="13315" width="8.33203125" style="52" customWidth="1"/>
    <col min="13316" max="13318" width="9.5" style="52" bestFit="1" customWidth="1"/>
    <col min="13319" max="13319" width="8.33203125" style="52" bestFit="1" customWidth="1"/>
    <col min="13320" max="13321" width="8.33203125" style="52" customWidth="1"/>
    <col min="13322" max="13322" width="9.1640625" style="52" bestFit="1" customWidth="1"/>
    <col min="13323" max="13557" width="9" style="52"/>
    <col min="13558" max="13558" width="20.5" style="52" customWidth="1"/>
    <col min="13559" max="13559" width="8.5" style="52" customWidth="1"/>
    <col min="13560" max="13560" width="10" style="52" customWidth="1"/>
    <col min="13561" max="13561" width="8.5" style="52" customWidth="1"/>
    <col min="13562" max="13564" width="9.5" style="52" bestFit="1" customWidth="1"/>
    <col min="13565" max="13565" width="8.33203125" style="52" bestFit="1" customWidth="1"/>
    <col min="13566" max="13566" width="8.33203125" style="52" customWidth="1"/>
    <col min="13567" max="13569" width="9.5" style="52" bestFit="1" customWidth="1"/>
    <col min="13570" max="13570" width="8.33203125" style="52" bestFit="1" customWidth="1"/>
    <col min="13571" max="13571" width="8.33203125" style="52" customWidth="1"/>
    <col min="13572" max="13574" width="9.5" style="52" bestFit="1" customWidth="1"/>
    <col min="13575" max="13575" width="8.33203125" style="52" bestFit="1" customWidth="1"/>
    <col min="13576" max="13577" width="8.33203125" style="52" customWidth="1"/>
    <col min="13578" max="13578" width="9.1640625" style="52" bestFit="1" customWidth="1"/>
    <col min="13579" max="13813" width="9" style="52"/>
    <col min="13814" max="13814" width="20.5" style="52" customWidth="1"/>
    <col min="13815" max="13815" width="8.5" style="52" customWidth="1"/>
    <col min="13816" max="13816" width="10" style="52" customWidth="1"/>
    <col min="13817" max="13817" width="8.5" style="52" customWidth="1"/>
    <col min="13818" max="13820" width="9.5" style="52" bestFit="1" customWidth="1"/>
    <col min="13821" max="13821" width="8.33203125" style="52" bestFit="1" customWidth="1"/>
    <col min="13822" max="13822" width="8.33203125" style="52" customWidth="1"/>
    <col min="13823" max="13825" width="9.5" style="52" bestFit="1" customWidth="1"/>
    <col min="13826" max="13826" width="8.33203125" style="52" bestFit="1" customWidth="1"/>
    <col min="13827" max="13827" width="8.33203125" style="52" customWidth="1"/>
    <col min="13828" max="13830" width="9.5" style="52" bestFit="1" customWidth="1"/>
    <col min="13831" max="13831" width="8.33203125" style="52" bestFit="1" customWidth="1"/>
    <col min="13832" max="13833" width="8.33203125" style="52" customWidth="1"/>
    <col min="13834" max="13834" width="9.1640625" style="52" bestFit="1" customWidth="1"/>
    <col min="13835" max="14069" width="9" style="52"/>
    <col min="14070" max="14070" width="20.5" style="52" customWidth="1"/>
    <col min="14071" max="14071" width="8.5" style="52" customWidth="1"/>
    <col min="14072" max="14072" width="10" style="52" customWidth="1"/>
    <col min="14073" max="14073" width="8.5" style="52" customWidth="1"/>
    <col min="14074" max="14076" width="9.5" style="52" bestFit="1" customWidth="1"/>
    <col min="14077" max="14077" width="8.33203125" style="52" bestFit="1" customWidth="1"/>
    <col min="14078" max="14078" width="8.33203125" style="52" customWidth="1"/>
    <col min="14079" max="14081" width="9.5" style="52" bestFit="1" customWidth="1"/>
    <col min="14082" max="14082" width="8.33203125" style="52" bestFit="1" customWidth="1"/>
    <col min="14083" max="14083" width="8.33203125" style="52" customWidth="1"/>
    <col min="14084" max="14086" width="9.5" style="52" bestFit="1" customWidth="1"/>
    <col min="14087" max="14087" width="8.33203125" style="52" bestFit="1" customWidth="1"/>
    <col min="14088" max="14089" width="8.33203125" style="52" customWidth="1"/>
    <col min="14090" max="14090" width="9.1640625" style="52" bestFit="1" customWidth="1"/>
    <col min="14091" max="14325" width="9" style="52"/>
    <col min="14326" max="14326" width="20.5" style="52" customWidth="1"/>
    <col min="14327" max="14327" width="8.5" style="52" customWidth="1"/>
    <col min="14328" max="14328" width="10" style="52" customWidth="1"/>
    <col min="14329" max="14329" width="8.5" style="52" customWidth="1"/>
    <col min="14330" max="14332" width="9.5" style="52" bestFit="1" customWidth="1"/>
    <col min="14333" max="14333" width="8.33203125" style="52" bestFit="1" customWidth="1"/>
    <col min="14334" max="14334" width="8.33203125" style="52" customWidth="1"/>
    <col min="14335" max="14337" width="9.5" style="52" bestFit="1" customWidth="1"/>
    <col min="14338" max="14338" width="8.33203125" style="52" bestFit="1" customWidth="1"/>
    <col min="14339" max="14339" width="8.33203125" style="52" customWidth="1"/>
    <col min="14340" max="14342" width="9.5" style="52" bestFit="1" customWidth="1"/>
    <col min="14343" max="14343" width="8.33203125" style="52" bestFit="1" customWidth="1"/>
    <col min="14344" max="14345" width="8.33203125" style="52" customWidth="1"/>
    <col min="14346" max="14346" width="9.1640625" style="52" bestFit="1" customWidth="1"/>
    <col min="14347" max="14581" width="9" style="52"/>
    <col min="14582" max="14582" width="20.5" style="52" customWidth="1"/>
    <col min="14583" max="14583" width="8.5" style="52" customWidth="1"/>
    <col min="14584" max="14584" width="10" style="52" customWidth="1"/>
    <col min="14585" max="14585" width="8.5" style="52" customWidth="1"/>
    <col min="14586" max="14588" width="9.5" style="52" bestFit="1" customWidth="1"/>
    <col min="14589" max="14589" width="8.33203125" style="52" bestFit="1" customWidth="1"/>
    <col min="14590" max="14590" width="8.33203125" style="52" customWidth="1"/>
    <col min="14591" max="14593" width="9.5" style="52" bestFit="1" customWidth="1"/>
    <col min="14594" max="14594" width="8.33203125" style="52" bestFit="1" customWidth="1"/>
    <col min="14595" max="14595" width="8.33203125" style="52" customWidth="1"/>
    <col min="14596" max="14598" width="9.5" style="52" bestFit="1" customWidth="1"/>
    <col min="14599" max="14599" width="8.33203125" style="52" bestFit="1" customWidth="1"/>
    <col min="14600" max="14601" width="8.33203125" style="52" customWidth="1"/>
    <col min="14602" max="14602" width="9.1640625" style="52" bestFit="1" customWidth="1"/>
    <col min="14603" max="14837" width="9" style="52"/>
    <col min="14838" max="14838" width="20.5" style="52" customWidth="1"/>
    <col min="14839" max="14839" width="8.5" style="52" customWidth="1"/>
    <col min="14840" max="14840" width="10" style="52" customWidth="1"/>
    <col min="14841" max="14841" width="8.5" style="52" customWidth="1"/>
    <col min="14842" max="14844" width="9.5" style="52" bestFit="1" customWidth="1"/>
    <col min="14845" max="14845" width="8.33203125" style="52" bestFit="1" customWidth="1"/>
    <col min="14846" max="14846" width="8.33203125" style="52" customWidth="1"/>
    <col min="14847" max="14849" width="9.5" style="52" bestFit="1" customWidth="1"/>
    <col min="14850" max="14850" width="8.33203125" style="52" bestFit="1" customWidth="1"/>
    <col min="14851" max="14851" width="8.33203125" style="52" customWidth="1"/>
    <col min="14852" max="14854" width="9.5" style="52" bestFit="1" customWidth="1"/>
    <col min="14855" max="14855" width="8.33203125" style="52" bestFit="1" customWidth="1"/>
    <col min="14856" max="14857" width="8.33203125" style="52" customWidth="1"/>
    <col min="14858" max="14858" width="9.1640625" style="52" bestFit="1" customWidth="1"/>
    <col min="14859" max="15093" width="9" style="52"/>
    <col min="15094" max="15094" width="20.5" style="52" customWidth="1"/>
    <col min="15095" max="15095" width="8.5" style="52" customWidth="1"/>
    <col min="15096" max="15096" width="10" style="52" customWidth="1"/>
    <col min="15097" max="15097" width="8.5" style="52" customWidth="1"/>
    <col min="15098" max="15100" width="9.5" style="52" bestFit="1" customWidth="1"/>
    <col min="15101" max="15101" width="8.33203125" style="52" bestFit="1" customWidth="1"/>
    <col min="15102" max="15102" width="8.33203125" style="52" customWidth="1"/>
    <col min="15103" max="15105" width="9.5" style="52" bestFit="1" customWidth="1"/>
    <col min="15106" max="15106" width="8.33203125" style="52" bestFit="1" customWidth="1"/>
    <col min="15107" max="15107" width="8.33203125" style="52" customWidth="1"/>
    <col min="15108" max="15110" width="9.5" style="52" bestFit="1" customWidth="1"/>
    <col min="15111" max="15111" width="8.33203125" style="52" bestFit="1" customWidth="1"/>
    <col min="15112" max="15113" width="8.33203125" style="52" customWidth="1"/>
    <col min="15114" max="15114" width="9.1640625" style="52" bestFit="1" customWidth="1"/>
    <col min="15115" max="15349" width="9" style="52"/>
    <col min="15350" max="15350" width="20.5" style="52" customWidth="1"/>
    <col min="15351" max="15351" width="8.5" style="52" customWidth="1"/>
    <col min="15352" max="15352" width="10" style="52" customWidth="1"/>
    <col min="15353" max="15353" width="8.5" style="52" customWidth="1"/>
    <col min="15354" max="15356" width="9.5" style="52" bestFit="1" customWidth="1"/>
    <col min="15357" max="15357" width="8.33203125" style="52" bestFit="1" customWidth="1"/>
    <col min="15358" max="15358" width="8.33203125" style="52" customWidth="1"/>
    <col min="15359" max="15361" width="9.5" style="52" bestFit="1" customWidth="1"/>
    <col min="15362" max="15362" width="8.33203125" style="52" bestFit="1" customWidth="1"/>
    <col min="15363" max="15363" width="8.33203125" style="52" customWidth="1"/>
    <col min="15364" max="15366" width="9.5" style="52" bestFit="1" customWidth="1"/>
    <col min="15367" max="15367" width="8.33203125" style="52" bestFit="1" customWidth="1"/>
    <col min="15368" max="15369" width="8.33203125" style="52" customWidth="1"/>
    <col min="15370" max="15370" width="9.1640625" style="52" bestFit="1" customWidth="1"/>
    <col min="15371" max="15605" width="9" style="52"/>
    <col min="15606" max="15606" width="20.5" style="52" customWidth="1"/>
    <col min="15607" max="15607" width="8.5" style="52" customWidth="1"/>
    <col min="15608" max="15608" width="10" style="52" customWidth="1"/>
    <col min="15609" max="15609" width="8.5" style="52" customWidth="1"/>
    <col min="15610" max="15612" width="9.5" style="52" bestFit="1" customWidth="1"/>
    <col min="15613" max="15613" width="8.33203125" style="52" bestFit="1" customWidth="1"/>
    <col min="15614" max="15614" width="8.33203125" style="52" customWidth="1"/>
    <col min="15615" max="15617" width="9.5" style="52" bestFit="1" customWidth="1"/>
    <col min="15618" max="15618" width="8.33203125" style="52" bestFit="1" customWidth="1"/>
    <col min="15619" max="15619" width="8.33203125" style="52" customWidth="1"/>
    <col min="15620" max="15622" width="9.5" style="52" bestFit="1" customWidth="1"/>
    <col min="15623" max="15623" width="8.33203125" style="52" bestFit="1" customWidth="1"/>
    <col min="15624" max="15625" width="8.33203125" style="52" customWidth="1"/>
    <col min="15626" max="15626" width="9.1640625" style="52" bestFit="1" customWidth="1"/>
    <col min="15627" max="15861" width="9" style="52"/>
    <col min="15862" max="15862" width="20.5" style="52" customWidth="1"/>
    <col min="15863" max="15863" width="8.5" style="52" customWidth="1"/>
    <col min="15864" max="15864" width="10" style="52" customWidth="1"/>
    <col min="15865" max="15865" width="8.5" style="52" customWidth="1"/>
    <col min="15866" max="15868" width="9.5" style="52" bestFit="1" customWidth="1"/>
    <col min="15869" max="15869" width="8.33203125" style="52" bestFit="1" customWidth="1"/>
    <col min="15870" max="15870" width="8.33203125" style="52" customWidth="1"/>
    <col min="15871" max="15873" width="9.5" style="52" bestFit="1" customWidth="1"/>
    <col min="15874" max="15874" width="8.33203125" style="52" bestFit="1" customWidth="1"/>
    <col min="15875" max="15875" width="8.33203125" style="52" customWidth="1"/>
    <col min="15876" max="15878" width="9.5" style="52" bestFit="1" customWidth="1"/>
    <col min="15879" max="15879" width="8.33203125" style="52" bestFit="1" customWidth="1"/>
    <col min="15880" max="15881" width="8.33203125" style="52" customWidth="1"/>
    <col min="15882" max="15882" width="9.1640625" style="52" bestFit="1" customWidth="1"/>
    <col min="15883" max="16117" width="9" style="52"/>
    <col min="16118" max="16118" width="20.5" style="52" customWidth="1"/>
    <col min="16119" max="16119" width="8.5" style="52" customWidth="1"/>
    <col min="16120" max="16120" width="10" style="52" customWidth="1"/>
    <col min="16121" max="16121" width="8.5" style="52" customWidth="1"/>
    <col min="16122" max="16124" width="9.5" style="52" bestFit="1" customWidth="1"/>
    <col min="16125" max="16125" width="8.33203125" style="52" bestFit="1" customWidth="1"/>
    <col min="16126" max="16126" width="8.33203125" style="52" customWidth="1"/>
    <col min="16127" max="16129" width="9.5" style="52" bestFit="1" customWidth="1"/>
    <col min="16130" max="16130" width="8.33203125" style="52" bestFit="1" customWidth="1"/>
    <col min="16131" max="16131" width="8.33203125" style="52" customWidth="1"/>
    <col min="16132" max="16134" width="9.5" style="52" bestFit="1" customWidth="1"/>
    <col min="16135" max="16135" width="8.33203125" style="52" bestFit="1" customWidth="1"/>
    <col min="16136" max="16137" width="8.33203125" style="52" customWidth="1"/>
    <col min="16138" max="16138" width="9.1640625" style="52" bestFit="1" customWidth="1"/>
    <col min="16139" max="16384" width="9" style="52"/>
  </cols>
  <sheetData>
    <row r="1" spans="1:41" s="47" customFormat="1" ht="14.25" customHeight="1" thickBot="1">
      <c r="A1" s="136" t="s">
        <v>0</v>
      </c>
      <c r="B1" s="137"/>
      <c r="C1" s="38" t="s">
        <v>1</v>
      </c>
      <c r="D1" s="18" t="s">
        <v>118</v>
      </c>
      <c r="E1" s="123" t="s">
        <v>58</v>
      </c>
      <c r="F1" s="123"/>
      <c r="G1" s="123"/>
      <c r="H1" s="123"/>
      <c r="I1" s="45" t="s">
        <v>58</v>
      </c>
      <c r="J1" s="124" t="s">
        <v>51</v>
      </c>
      <c r="K1" s="124"/>
      <c r="L1" s="124"/>
      <c r="M1" s="124"/>
      <c r="N1" s="39" t="s">
        <v>51</v>
      </c>
      <c r="O1" s="124" t="s">
        <v>52</v>
      </c>
      <c r="P1" s="124"/>
      <c r="Q1" s="124"/>
      <c r="R1" s="124"/>
      <c r="S1" s="124"/>
      <c r="T1" s="39" t="s">
        <v>52</v>
      </c>
      <c r="U1" s="40" t="s">
        <v>53</v>
      </c>
      <c r="V1" s="123" t="s">
        <v>111</v>
      </c>
      <c r="W1" s="123"/>
      <c r="X1" s="123"/>
      <c r="Y1" s="123"/>
      <c r="Z1" s="45" t="s">
        <v>111</v>
      </c>
      <c r="AA1" s="124" t="s">
        <v>112</v>
      </c>
      <c r="AB1" s="124"/>
      <c r="AC1" s="124"/>
      <c r="AD1" s="124"/>
      <c r="AE1" s="39" t="s">
        <v>112</v>
      </c>
      <c r="AF1" s="124" t="s">
        <v>113</v>
      </c>
      <c r="AG1" s="124"/>
      <c r="AH1" s="124"/>
      <c r="AI1" s="124"/>
      <c r="AJ1" s="124"/>
      <c r="AK1" s="39" t="s">
        <v>113</v>
      </c>
      <c r="AL1" s="40" t="s">
        <v>114</v>
      </c>
      <c r="AN1" s="41" t="s">
        <v>53</v>
      </c>
      <c r="AO1" s="41" t="s">
        <v>114</v>
      </c>
    </row>
    <row r="2" spans="1:41" s="47" customFormat="1" ht="17.25" customHeight="1" thickBot="1">
      <c r="A2" s="125" t="s">
        <v>2</v>
      </c>
      <c r="B2" s="126"/>
      <c r="C2" s="38" t="s">
        <v>3</v>
      </c>
      <c r="D2" s="18" t="s">
        <v>4</v>
      </c>
      <c r="E2" s="42" t="s">
        <v>61</v>
      </c>
      <c r="F2" s="109">
        <v>44927</v>
      </c>
      <c r="G2" s="109">
        <v>44935</v>
      </c>
      <c r="H2" s="109">
        <v>44942</v>
      </c>
      <c r="I2" s="43" t="s">
        <v>62</v>
      </c>
      <c r="J2" s="109">
        <v>44949</v>
      </c>
      <c r="K2" s="109">
        <v>44956</v>
      </c>
      <c r="L2" s="109">
        <v>44963</v>
      </c>
      <c r="M2" s="109">
        <v>44970</v>
      </c>
      <c r="N2" s="39" t="s">
        <v>0</v>
      </c>
      <c r="O2" s="109">
        <v>44977</v>
      </c>
      <c r="P2" s="109">
        <v>44984</v>
      </c>
      <c r="Q2" s="109">
        <v>44991</v>
      </c>
      <c r="R2" s="109">
        <v>44998</v>
      </c>
      <c r="S2" s="109">
        <v>45005</v>
      </c>
      <c r="T2" s="39" t="s">
        <v>0</v>
      </c>
      <c r="U2" s="40" t="s">
        <v>0</v>
      </c>
      <c r="V2" s="109">
        <v>45012</v>
      </c>
      <c r="W2" s="109">
        <v>45019</v>
      </c>
      <c r="X2" s="109">
        <v>45026</v>
      </c>
      <c r="Y2" s="109">
        <v>45033</v>
      </c>
      <c r="Z2" s="110" t="s">
        <v>62</v>
      </c>
      <c r="AA2" s="109">
        <v>45040</v>
      </c>
      <c r="AB2" s="109">
        <v>45047</v>
      </c>
      <c r="AC2" s="109">
        <v>45054</v>
      </c>
      <c r="AD2" s="109">
        <v>45061</v>
      </c>
      <c r="AE2" s="109" t="s">
        <v>0</v>
      </c>
      <c r="AF2" s="109">
        <v>45068</v>
      </c>
      <c r="AG2" s="109">
        <v>45075</v>
      </c>
      <c r="AH2" s="109">
        <v>45082</v>
      </c>
      <c r="AI2" s="109">
        <v>45089</v>
      </c>
      <c r="AJ2" s="109">
        <v>45096</v>
      </c>
      <c r="AK2" s="39" t="s">
        <v>0</v>
      </c>
      <c r="AL2" s="40" t="s">
        <v>0</v>
      </c>
      <c r="AN2" s="44"/>
      <c r="AO2" s="44"/>
    </row>
    <row r="3" spans="1:41" s="15" customFormat="1">
      <c r="A3" s="117" t="s">
        <v>11</v>
      </c>
      <c r="B3" s="3" t="s">
        <v>5</v>
      </c>
      <c r="C3" s="26"/>
      <c r="D3" s="26"/>
      <c r="E3" s="27">
        <v>0</v>
      </c>
      <c r="F3" s="27">
        <v>0</v>
      </c>
      <c r="G3" s="27">
        <v>0</v>
      </c>
      <c r="H3" s="27">
        <v>0</v>
      </c>
      <c r="I3" s="26">
        <v>0</v>
      </c>
      <c r="J3" s="27">
        <v>22400</v>
      </c>
      <c r="K3" s="27">
        <v>0</v>
      </c>
      <c r="L3" s="27">
        <v>4480</v>
      </c>
      <c r="M3" s="27">
        <v>0</v>
      </c>
      <c r="N3" s="26">
        <v>26880</v>
      </c>
      <c r="O3" s="27">
        <v>351</v>
      </c>
      <c r="P3" s="27">
        <v>11878</v>
      </c>
      <c r="Q3" s="27">
        <v>0</v>
      </c>
      <c r="R3" s="27">
        <v>0</v>
      </c>
      <c r="S3" s="27">
        <v>0</v>
      </c>
      <c r="T3" s="26">
        <f>SUM(O3:S3)</f>
        <v>12229</v>
      </c>
      <c r="U3" s="28">
        <f>T3+N3+I3+D7</f>
        <v>123747</v>
      </c>
      <c r="V3" s="27">
        <v>0</v>
      </c>
      <c r="W3" s="27">
        <v>2359</v>
      </c>
      <c r="X3" s="27">
        <v>0</v>
      </c>
      <c r="Y3" s="27">
        <v>0</v>
      </c>
      <c r="Z3" s="26">
        <v>2359</v>
      </c>
      <c r="AA3" s="27">
        <v>0</v>
      </c>
      <c r="AB3" s="27">
        <v>0</v>
      </c>
      <c r="AC3" s="27">
        <v>0</v>
      </c>
      <c r="AD3" s="27">
        <v>0</v>
      </c>
      <c r="AE3" s="26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6">
        <f>SUM(AF3:AJ3)</f>
        <v>0</v>
      </c>
      <c r="AL3" s="28">
        <f>AK3+AE3+Z3</f>
        <v>2359</v>
      </c>
      <c r="AM3" s="15">
        <v>8</v>
      </c>
      <c r="AN3" s="13">
        <f>U3*AM3</f>
        <v>989976</v>
      </c>
      <c r="AO3" s="13">
        <f>AL3*AM3</f>
        <v>18872</v>
      </c>
    </row>
    <row r="4" spans="1:41" s="15" customFormat="1">
      <c r="A4" s="118"/>
      <c r="B4" s="12" t="s">
        <v>6</v>
      </c>
      <c r="C4" s="26"/>
      <c r="D4" s="26"/>
      <c r="E4" s="27">
        <v>0</v>
      </c>
      <c r="F4" s="27">
        <v>0</v>
      </c>
      <c r="G4" s="27">
        <v>0</v>
      </c>
      <c r="H4" s="27">
        <v>0</v>
      </c>
      <c r="I4" s="26">
        <v>0</v>
      </c>
      <c r="J4" s="27">
        <v>22400</v>
      </c>
      <c r="K4" s="27">
        <v>0</v>
      </c>
      <c r="L4" s="27">
        <v>4480</v>
      </c>
      <c r="M4" s="27">
        <v>0</v>
      </c>
      <c r="N4" s="26">
        <v>26880</v>
      </c>
      <c r="O4" s="27">
        <v>0</v>
      </c>
      <c r="P4" s="27">
        <v>0</v>
      </c>
      <c r="Q4" s="27">
        <v>0</v>
      </c>
      <c r="R4" s="27">
        <v>0</v>
      </c>
      <c r="S4" s="27">
        <v>0</v>
      </c>
      <c r="T4" s="26">
        <f>SUM(O4:S4)</f>
        <v>0</v>
      </c>
      <c r="U4" s="28"/>
      <c r="V4" s="27">
        <v>0</v>
      </c>
      <c r="W4" s="27">
        <v>0</v>
      </c>
      <c r="X4" s="27">
        <v>0</v>
      </c>
      <c r="Y4" s="27">
        <v>0</v>
      </c>
      <c r="Z4" s="26">
        <v>0</v>
      </c>
      <c r="AA4" s="27">
        <v>0</v>
      </c>
      <c r="AB4" s="27">
        <v>0</v>
      </c>
      <c r="AC4" s="27">
        <v>0</v>
      </c>
      <c r="AD4" s="27">
        <v>0</v>
      </c>
      <c r="AE4" s="26">
        <v>0</v>
      </c>
      <c r="AF4" s="27">
        <v>0</v>
      </c>
      <c r="AG4" s="27">
        <v>0</v>
      </c>
      <c r="AH4" s="27">
        <v>0</v>
      </c>
      <c r="AI4" s="27">
        <v>0</v>
      </c>
      <c r="AJ4" s="27">
        <v>0</v>
      </c>
      <c r="AK4" s="26">
        <f>SUM(AF4:AJ4)</f>
        <v>0</v>
      </c>
      <c r="AL4" s="28"/>
      <c r="AN4" s="13">
        <f t="shared" ref="AN4:AN44" si="0">U4*AM4</f>
        <v>0</v>
      </c>
      <c r="AO4" s="13">
        <f t="shared" ref="AO4:AO44" si="1">AL4*AM4</f>
        <v>0</v>
      </c>
    </row>
    <row r="5" spans="1:41" s="15" customFormat="1">
      <c r="A5" s="118"/>
      <c r="B5" s="12" t="s">
        <v>10</v>
      </c>
      <c r="C5" s="26">
        <v>0</v>
      </c>
      <c r="D5" s="26"/>
      <c r="E5" s="27"/>
      <c r="F5" s="27"/>
      <c r="G5" s="27"/>
      <c r="H5" s="27"/>
      <c r="I5" s="26">
        <v>0</v>
      </c>
      <c r="J5" s="27"/>
      <c r="K5" s="27"/>
      <c r="L5" s="27"/>
      <c r="M5" s="27"/>
      <c r="N5" s="26">
        <v>0</v>
      </c>
      <c r="O5" s="27">
        <v>0</v>
      </c>
      <c r="P5" s="27">
        <v>0</v>
      </c>
      <c r="Q5" s="27">
        <v>0</v>
      </c>
      <c r="R5" s="27">
        <v>0</v>
      </c>
      <c r="S5" s="27">
        <v>0</v>
      </c>
      <c r="T5" s="26">
        <f>SUM(O5:R5)</f>
        <v>0</v>
      </c>
      <c r="U5" s="28">
        <f>I5+N5+T5</f>
        <v>0</v>
      </c>
      <c r="V5" s="27"/>
      <c r="W5" s="27"/>
      <c r="X5" s="27"/>
      <c r="Y5" s="27"/>
      <c r="Z5" s="26">
        <v>0</v>
      </c>
      <c r="AA5" s="27"/>
      <c r="AB5" s="27"/>
      <c r="AC5" s="27"/>
      <c r="AD5" s="27"/>
      <c r="AE5" s="26">
        <v>0</v>
      </c>
      <c r="AF5" s="27"/>
      <c r="AG5" s="27"/>
      <c r="AH5" s="27"/>
      <c r="AI5" s="27"/>
      <c r="AJ5" s="27"/>
      <c r="AK5" s="26">
        <f>SUM(AF5:AI5)</f>
        <v>0</v>
      </c>
      <c r="AL5" s="28">
        <f>Z5+AE5+AK5</f>
        <v>0</v>
      </c>
      <c r="AN5" s="13">
        <f t="shared" si="0"/>
        <v>0</v>
      </c>
      <c r="AO5" s="13">
        <f t="shared" si="1"/>
        <v>0</v>
      </c>
    </row>
    <row r="6" spans="1:41" s="15" customFormat="1">
      <c r="A6" s="118"/>
      <c r="B6" s="12" t="s">
        <v>7</v>
      </c>
      <c r="C6" s="26">
        <v>69788</v>
      </c>
      <c r="D6" s="26"/>
      <c r="E6" s="32">
        <v>0</v>
      </c>
      <c r="F6" s="27">
        <v>0</v>
      </c>
      <c r="G6" s="27">
        <v>0</v>
      </c>
      <c r="H6" s="27">
        <v>0</v>
      </c>
      <c r="I6" s="26">
        <v>0</v>
      </c>
      <c r="J6" s="32">
        <v>22400</v>
      </c>
      <c r="K6" s="27">
        <v>0</v>
      </c>
      <c r="L6" s="27">
        <v>4480</v>
      </c>
      <c r="M6" s="27">
        <v>0</v>
      </c>
      <c r="N6" s="26">
        <v>26880</v>
      </c>
      <c r="O6" s="32">
        <v>0</v>
      </c>
      <c r="P6" s="27">
        <v>0</v>
      </c>
      <c r="Q6" s="27">
        <v>0</v>
      </c>
      <c r="R6" s="27">
        <v>0</v>
      </c>
      <c r="S6" s="27">
        <v>0</v>
      </c>
      <c r="T6" s="26">
        <f>SUM(O6:S6)</f>
        <v>0</v>
      </c>
      <c r="U6" s="28">
        <f>T6+N6+I6+D7</f>
        <v>111518</v>
      </c>
      <c r="V6" s="32">
        <v>0</v>
      </c>
      <c r="W6" s="27">
        <v>0</v>
      </c>
      <c r="X6" s="27">
        <v>0</v>
      </c>
      <c r="Y6" s="27">
        <v>0</v>
      </c>
      <c r="Z6" s="26">
        <v>-12229</v>
      </c>
      <c r="AA6" s="32">
        <v>0</v>
      </c>
      <c r="AB6" s="27">
        <v>0</v>
      </c>
      <c r="AC6" s="27">
        <v>0</v>
      </c>
      <c r="AD6" s="27">
        <v>0</v>
      </c>
      <c r="AE6" s="26">
        <v>0</v>
      </c>
      <c r="AF6" s="32">
        <v>0</v>
      </c>
      <c r="AG6" s="27">
        <v>0</v>
      </c>
      <c r="AH6" s="27">
        <v>0</v>
      </c>
      <c r="AI6" s="27">
        <v>0</v>
      </c>
      <c r="AJ6" s="27">
        <v>0</v>
      </c>
      <c r="AK6" s="26">
        <f>SUM(AF6:AJ6)</f>
        <v>0</v>
      </c>
      <c r="AL6" s="28">
        <f>AK6+AE6+Z6</f>
        <v>-12229</v>
      </c>
      <c r="AN6" s="13">
        <f t="shared" si="0"/>
        <v>0</v>
      </c>
      <c r="AO6" s="13">
        <f t="shared" si="1"/>
        <v>0</v>
      </c>
    </row>
    <row r="7" spans="1:41" s="15" customFormat="1" ht="17" thickBot="1">
      <c r="A7" s="119"/>
      <c r="B7" s="4" t="s">
        <v>8</v>
      </c>
      <c r="C7" s="26">
        <v>69788</v>
      </c>
      <c r="D7" s="37">
        <v>84638</v>
      </c>
      <c r="E7" s="21">
        <v>0</v>
      </c>
      <c r="F7" s="21">
        <v>0</v>
      </c>
      <c r="G7" s="21">
        <v>0</v>
      </c>
      <c r="H7" s="21">
        <v>0</v>
      </c>
      <c r="I7" s="20">
        <v>0</v>
      </c>
      <c r="J7" s="21">
        <v>0</v>
      </c>
      <c r="K7" s="21">
        <v>0</v>
      </c>
      <c r="L7" s="21">
        <v>0</v>
      </c>
      <c r="M7" s="21">
        <v>0</v>
      </c>
      <c r="N7" s="20">
        <v>0</v>
      </c>
      <c r="O7" s="21">
        <v>-351</v>
      </c>
      <c r="P7" s="21">
        <v>-12229</v>
      </c>
      <c r="Q7" s="21">
        <v>-12229</v>
      </c>
      <c r="R7" s="21">
        <v>-12229</v>
      </c>
      <c r="S7" s="21">
        <v>-12229</v>
      </c>
      <c r="T7" s="20">
        <f>N7+T6-T3</f>
        <v>-12229</v>
      </c>
      <c r="U7" s="22">
        <f>U6-U3</f>
        <v>-12229</v>
      </c>
      <c r="V7" s="21">
        <v>-12229</v>
      </c>
      <c r="W7" s="21">
        <v>-14588</v>
      </c>
      <c r="X7" s="21">
        <v>-14588</v>
      </c>
      <c r="Y7" s="21">
        <v>-14588</v>
      </c>
      <c r="Z7" s="20">
        <v>-14588</v>
      </c>
      <c r="AA7" s="21">
        <v>-14588</v>
      </c>
      <c r="AB7" s="21">
        <v>-14588</v>
      </c>
      <c r="AC7" s="21">
        <v>-14588</v>
      </c>
      <c r="AD7" s="21">
        <v>-14588</v>
      </c>
      <c r="AE7" s="20">
        <v>-14588</v>
      </c>
      <c r="AF7" s="21">
        <v>-14588</v>
      </c>
      <c r="AG7" s="21">
        <v>-14588</v>
      </c>
      <c r="AH7" s="21">
        <v>-14588</v>
      </c>
      <c r="AI7" s="21">
        <v>-14588</v>
      </c>
      <c r="AJ7" s="21">
        <v>-14588</v>
      </c>
      <c r="AK7" s="20">
        <f>AE7+AK6-AK3</f>
        <v>-14588</v>
      </c>
      <c r="AL7" s="22">
        <f>T7+AL6-AL3</f>
        <v>-26817</v>
      </c>
      <c r="AN7" s="13">
        <f t="shared" si="0"/>
        <v>0</v>
      </c>
      <c r="AO7" s="13">
        <f t="shared" si="1"/>
        <v>0</v>
      </c>
    </row>
    <row r="8" spans="1:41" s="15" customFormat="1" ht="17" thickBot="1">
      <c r="A8" s="46"/>
      <c r="B8" s="12" t="s">
        <v>9</v>
      </c>
      <c r="C8" s="26"/>
      <c r="D8" s="26"/>
      <c r="E8" s="19">
        <v>0</v>
      </c>
      <c r="F8" s="19">
        <v>0</v>
      </c>
      <c r="G8" s="19">
        <v>0</v>
      </c>
      <c r="H8" s="19">
        <v>0</v>
      </c>
      <c r="I8" s="23"/>
      <c r="J8" s="19">
        <v>0</v>
      </c>
      <c r="K8" s="19">
        <v>0</v>
      </c>
      <c r="L8" s="19">
        <v>0</v>
      </c>
      <c r="M8" s="19">
        <v>0</v>
      </c>
      <c r="N8" s="23"/>
      <c r="O8" s="19">
        <v>-591.00858730426</v>
      </c>
      <c r="P8" s="19">
        <v>-1976.4519543908134</v>
      </c>
      <c r="Q8" s="19" t="e">
        <v>#DIV/0!</v>
      </c>
      <c r="R8" s="19" t="e">
        <v>#DIV/0!</v>
      </c>
      <c r="S8" s="19" t="e">
        <v>#REF!</v>
      </c>
      <c r="T8" s="23"/>
      <c r="U8" s="24"/>
      <c r="V8" s="19">
        <v>-51839.762611275968</v>
      </c>
      <c r="W8" s="19">
        <v>-123679.52522255194</v>
      </c>
      <c r="X8" s="19">
        <v>-123679.52522255194</v>
      </c>
      <c r="Y8" s="19">
        <v>-123679.52522255194</v>
      </c>
      <c r="Z8" s="23"/>
      <c r="AA8" s="19" t="e">
        <v>#DIV/0!</v>
      </c>
      <c r="AB8" s="19" t="e">
        <v>#DIV/0!</v>
      </c>
      <c r="AC8" s="19" t="e">
        <v>#DIV/0!</v>
      </c>
      <c r="AD8" s="19" t="e">
        <v>#DIV/0!</v>
      </c>
      <c r="AE8" s="23"/>
      <c r="AF8" s="19" t="e">
        <v>#DIV/0!</v>
      </c>
      <c r="AG8" s="19">
        <v>-123679.52522255194</v>
      </c>
      <c r="AH8" s="19" t="e">
        <v>#DIV/0!</v>
      </c>
      <c r="AI8" s="19" t="e">
        <v>#DIV/0!</v>
      </c>
      <c r="AJ8" s="19" t="e">
        <v>#REF!</v>
      </c>
      <c r="AK8" s="23"/>
      <c r="AL8" s="24"/>
      <c r="AN8" s="13">
        <f t="shared" si="0"/>
        <v>0</v>
      </c>
      <c r="AO8" s="13">
        <f t="shared" si="1"/>
        <v>0</v>
      </c>
    </row>
    <row r="9" spans="1:41" s="15" customFormat="1">
      <c r="A9" s="117" t="s">
        <v>12</v>
      </c>
      <c r="B9" s="3" t="s">
        <v>5</v>
      </c>
      <c r="C9" s="26"/>
      <c r="D9" s="26"/>
      <c r="E9" s="27">
        <v>0</v>
      </c>
      <c r="F9" s="27">
        <v>623919</v>
      </c>
      <c r="G9" s="27">
        <v>989600</v>
      </c>
      <c r="H9" s="27">
        <v>0</v>
      </c>
      <c r="I9" s="26">
        <v>1613519</v>
      </c>
      <c r="J9" s="27">
        <v>88800</v>
      </c>
      <c r="K9" s="27">
        <v>58459</v>
      </c>
      <c r="L9" s="27">
        <v>448413</v>
      </c>
      <c r="M9" s="27">
        <v>0</v>
      </c>
      <c r="N9" s="26">
        <v>595672</v>
      </c>
      <c r="O9" s="27">
        <v>640709</v>
      </c>
      <c r="P9" s="27">
        <v>21478</v>
      </c>
      <c r="Q9" s="27">
        <v>395921</v>
      </c>
      <c r="R9" s="27">
        <v>3170</v>
      </c>
      <c r="S9" s="27">
        <v>0</v>
      </c>
      <c r="T9" s="26">
        <f>SUM(O9:S9)</f>
        <v>1061278</v>
      </c>
      <c r="U9" s="28">
        <f>T9+N9+I9+D13</f>
        <v>4715532</v>
      </c>
      <c r="V9" s="27">
        <v>398753</v>
      </c>
      <c r="W9" s="27">
        <v>12975</v>
      </c>
      <c r="X9" s="27">
        <v>46798</v>
      </c>
      <c r="Y9" s="27">
        <v>0</v>
      </c>
      <c r="Z9" s="26">
        <v>458526</v>
      </c>
      <c r="AA9" s="27">
        <v>197319</v>
      </c>
      <c r="AB9" s="27">
        <v>27778</v>
      </c>
      <c r="AC9" s="27">
        <v>26897</v>
      </c>
      <c r="AD9" s="27">
        <v>0</v>
      </c>
      <c r="AE9" s="26">
        <v>251994</v>
      </c>
      <c r="AF9" s="27">
        <v>71033</v>
      </c>
      <c r="AG9" s="27">
        <v>978</v>
      </c>
      <c r="AH9" s="27">
        <v>4</v>
      </c>
      <c r="AI9" s="27">
        <v>0</v>
      </c>
      <c r="AJ9" s="27">
        <v>0</v>
      </c>
      <c r="AK9" s="26">
        <f>SUM(AF9:AJ9)</f>
        <v>72015</v>
      </c>
      <c r="AL9" s="28">
        <f>AK9+AE9+Z9</f>
        <v>782535</v>
      </c>
      <c r="AM9" s="15">
        <v>8</v>
      </c>
      <c r="AN9" s="13">
        <f>U9*AM9</f>
        <v>37724256</v>
      </c>
      <c r="AO9" s="13">
        <f>AL9*AM9</f>
        <v>6260280</v>
      </c>
    </row>
    <row r="10" spans="1:41" s="15" customFormat="1">
      <c r="A10" s="118"/>
      <c r="B10" s="12" t="s">
        <v>6</v>
      </c>
      <c r="C10" s="26"/>
      <c r="D10" s="26"/>
      <c r="E10" s="27">
        <v>0</v>
      </c>
      <c r="F10" s="27">
        <v>623919</v>
      </c>
      <c r="G10" s="27">
        <v>989600</v>
      </c>
      <c r="H10" s="27">
        <v>0</v>
      </c>
      <c r="I10" s="26">
        <v>1613519</v>
      </c>
      <c r="J10" s="27">
        <v>88800</v>
      </c>
      <c r="K10" s="27">
        <v>58459</v>
      </c>
      <c r="L10" s="27">
        <v>448413</v>
      </c>
      <c r="M10" s="27">
        <v>0</v>
      </c>
      <c r="N10" s="26">
        <v>595672</v>
      </c>
      <c r="O10" s="27">
        <v>870000</v>
      </c>
      <c r="P10" s="27">
        <v>0</v>
      </c>
      <c r="Q10" s="27">
        <v>400000</v>
      </c>
      <c r="R10" s="27">
        <v>450000</v>
      </c>
      <c r="S10" s="27">
        <v>0</v>
      </c>
      <c r="T10" s="26">
        <f>SUM(O10:S10)</f>
        <v>1720000</v>
      </c>
      <c r="U10" s="28"/>
      <c r="V10" s="27">
        <v>0</v>
      </c>
      <c r="W10" s="27">
        <v>0</v>
      </c>
      <c r="X10" s="27">
        <v>0</v>
      </c>
      <c r="Y10" s="27">
        <v>0</v>
      </c>
      <c r="Z10" s="26">
        <v>0</v>
      </c>
      <c r="AA10" s="27">
        <v>0</v>
      </c>
      <c r="AB10" s="27">
        <v>0</v>
      </c>
      <c r="AC10" s="27">
        <v>550000</v>
      </c>
      <c r="AD10" s="27">
        <v>0</v>
      </c>
      <c r="AE10" s="26">
        <v>550000</v>
      </c>
      <c r="AF10" s="27">
        <v>0</v>
      </c>
      <c r="AG10" s="27">
        <v>0</v>
      </c>
      <c r="AH10" s="27">
        <v>0</v>
      </c>
      <c r="AI10" s="27">
        <v>0</v>
      </c>
      <c r="AJ10" s="27">
        <v>0</v>
      </c>
      <c r="AK10" s="26">
        <f>SUM(AF10:AJ10)</f>
        <v>0</v>
      </c>
      <c r="AL10" s="28"/>
      <c r="AN10" s="13">
        <f t="shared" si="0"/>
        <v>0</v>
      </c>
      <c r="AO10" s="13">
        <f t="shared" si="1"/>
        <v>0</v>
      </c>
    </row>
    <row r="11" spans="1:41" s="15" customFormat="1">
      <c r="A11" s="118"/>
      <c r="B11" s="12" t="s">
        <v>10</v>
      </c>
      <c r="C11" s="26">
        <v>104000</v>
      </c>
      <c r="D11" s="26"/>
      <c r="E11" s="27"/>
      <c r="F11" s="27"/>
      <c r="G11" s="27"/>
      <c r="H11" s="27"/>
      <c r="I11" s="26">
        <v>0</v>
      </c>
      <c r="J11" s="27"/>
      <c r="K11" s="27"/>
      <c r="L11" s="27"/>
      <c r="M11" s="27"/>
      <c r="N11" s="26">
        <v>0</v>
      </c>
      <c r="O11" s="27">
        <v>0</v>
      </c>
      <c r="P11" s="27">
        <v>0</v>
      </c>
      <c r="Q11" s="27">
        <v>0</v>
      </c>
      <c r="R11" s="27">
        <v>0</v>
      </c>
      <c r="S11" s="27">
        <v>0</v>
      </c>
      <c r="T11" s="26">
        <f>SUM(O11:R11)</f>
        <v>0</v>
      </c>
      <c r="U11" s="28">
        <f>I11+N11+T11</f>
        <v>0</v>
      </c>
      <c r="V11" s="27"/>
      <c r="W11" s="27"/>
      <c r="X11" s="27"/>
      <c r="Y11" s="27"/>
      <c r="Z11" s="26">
        <v>0</v>
      </c>
      <c r="AA11" s="27"/>
      <c r="AB11" s="27"/>
      <c r="AC11" s="27"/>
      <c r="AD11" s="27"/>
      <c r="AE11" s="26">
        <v>0</v>
      </c>
      <c r="AF11" s="27"/>
      <c r="AG11" s="27"/>
      <c r="AH11" s="27"/>
      <c r="AI11" s="27"/>
      <c r="AJ11" s="27"/>
      <c r="AK11" s="26">
        <f>SUM(AF11:AI11)</f>
        <v>0</v>
      </c>
      <c r="AL11" s="28">
        <f>Z11+AE11+AK11</f>
        <v>0</v>
      </c>
      <c r="AN11" s="13">
        <f t="shared" si="0"/>
        <v>0</v>
      </c>
      <c r="AO11" s="13">
        <f t="shared" si="1"/>
        <v>0</v>
      </c>
    </row>
    <row r="12" spans="1:41" s="15" customFormat="1">
      <c r="A12" s="118"/>
      <c r="B12" s="12" t="s">
        <v>7</v>
      </c>
      <c r="C12" s="26"/>
      <c r="D12" s="26"/>
      <c r="E12" s="32">
        <v>0</v>
      </c>
      <c r="F12" s="27">
        <v>623919</v>
      </c>
      <c r="G12" s="27">
        <v>989600</v>
      </c>
      <c r="H12" s="27">
        <v>0</v>
      </c>
      <c r="I12" s="26">
        <v>1613519</v>
      </c>
      <c r="J12" s="32">
        <v>88800</v>
      </c>
      <c r="K12" s="27">
        <v>58459</v>
      </c>
      <c r="L12" s="27">
        <v>448413</v>
      </c>
      <c r="M12" s="27">
        <v>0</v>
      </c>
      <c r="N12" s="26">
        <v>595672</v>
      </c>
      <c r="O12" s="32">
        <v>870000</v>
      </c>
      <c r="P12" s="27">
        <v>0</v>
      </c>
      <c r="Q12" s="27">
        <v>400000</v>
      </c>
      <c r="R12" s="27">
        <v>450000</v>
      </c>
      <c r="S12" s="27">
        <v>0</v>
      </c>
      <c r="T12" s="26">
        <f>SUM(O12:S12)</f>
        <v>1720000</v>
      </c>
      <c r="U12" s="28">
        <f>T12+N12+I12+D13</f>
        <v>5374254</v>
      </c>
      <c r="V12" s="32">
        <v>0</v>
      </c>
      <c r="W12" s="27">
        <v>0</v>
      </c>
      <c r="X12" s="27">
        <v>0</v>
      </c>
      <c r="Y12" s="27">
        <v>0</v>
      </c>
      <c r="Z12" s="26">
        <v>658722</v>
      </c>
      <c r="AA12" s="32">
        <v>0</v>
      </c>
      <c r="AB12" s="27">
        <v>0</v>
      </c>
      <c r="AC12" s="27">
        <v>550000</v>
      </c>
      <c r="AD12" s="27">
        <v>0</v>
      </c>
      <c r="AE12" s="26">
        <v>550000</v>
      </c>
      <c r="AF12" s="32">
        <v>0</v>
      </c>
      <c r="AG12" s="27">
        <v>0</v>
      </c>
      <c r="AH12" s="27">
        <v>0</v>
      </c>
      <c r="AI12" s="27">
        <v>0</v>
      </c>
      <c r="AJ12" s="27">
        <v>0</v>
      </c>
      <c r="AK12" s="26">
        <f>SUM(AF12:AJ12)</f>
        <v>0</v>
      </c>
      <c r="AL12" s="28">
        <f>AK12+AE12+Z12</f>
        <v>1208722</v>
      </c>
      <c r="AN12" s="13">
        <f t="shared" si="0"/>
        <v>0</v>
      </c>
      <c r="AO12" s="13">
        <f t="shared" si="1"/>
        <v>0</v>
      </c>
    </row>
    <row r="13" spans="1:41" s="15" customFormat="1" ht="17" thickBot="1">
      <c r="A13" s="119"/>
      <c r="B13" s="4" t="s">
        <v>8</v>
      </c>
      <c r="C13" s="26">
        <v>2240747</v>
      </c>
      <c r="D13" s="37">
        <v>1445063</v>
      </c>
      <c r="E13" s="21">
        <v>0</v>
      </c>
      <c r="F13" s="21">
        <v>0</v>
      </c>
      <c r="G13" s="21">
        <v>0</v>
      </c>
      <c r="H13" s="21">
        <v>0</v>
      </c>
      <c r="I13" s="20">
        <v>0</v>
      </c>
      <c r="J13" s="21">
        <v>0</v>
      </c>
      <c r="K13" s="21">
        <v>0</v>
      </c>
      <c r="L13" s="21">
        <v>0</v>
      </c>
      <c r="M13" s="21">
        <v>0</v>
      </c>
      <c r="N13" s="20">
        <v>0</v>
      </c>
      <c r="O13" s="21">
        <v>229291</v>
      </c>
      <c r="P13" s="21">
        <v>207813</v>
      </c>
      <c r="Q13" s="21">
        <v>211892</v>
      </c>
      <c r="R13" s="21">
        <v>658722</v>
      </c>
      <c r="S13" s="21">
        <v>658722</v>
      </c>
      <c r="T13" s="20">
        <f>N13+T12-T9</f>
        <v>658722</v>
      </c>
      <c r="U13" s="22">
        <f>U12-U9</f>
        <v>658722</v>
      </c>
      <c r="V13" s="21">
        <v>259969</v>
      </c>
      <c r="W13" s="21">
        <v>246994</v>
      </c>
      <c r="X13" s="21">
        <v>200196</v>
      </c>
      <c r="Y13" s="21">
        <v>200196</v>
      </c>
      <c r="Z13" s="20">
        <v>200196</v>
      </c>
      <c r="AA13" s="21">
        <v>2877</v>
      </c>
      <c r="AB13" s="21">
        <v>-24901</v>
      </c>
      <c r="AC13" s="21">
        <v>498202</v>
      </c>
      <c r="AD13" s="21">
        <v>498202</v>
      </c>
      <c r="AE13" s="20">
        <v>498202</v>
      </c>
      <c r="AF13" s="21">
        <v>427169</v>
      </c>
      <c r="AG13" s="21">
        <v>426191</v>
      </c>
      <c r="AH13" s="21">
        <v>426187</v>
      </c>
      <c r="AI13" s="21">
        <v>426187</v>
      </c>
      <c r="AJ13" s="21">
        <v>426187</v>
      </c>
      <c r="AK13" s="20">
        <f>AE13+AK12-AK9</f>
        <v>426187</v>
      </c>
      <c r="AL13" s="22">
        <f>T13+AL12-AL9</f>
        <v>1084909</v>
      </c>
      <c r="AN13" s="13">
        <f t="shared" si="0"/>
        <v>0</v>
      </c>
      <c r="AO13" s="13">
        <f t="shared" si="1"/>
        <v>0</v>
      </c>
    </row>
    <row r="14" spans="1:41" s="15" customFormat="1" ht="17" thickBot="1">
      <c r="A14" s="46"/>
      <c r="B14" s="12" t="s">
        <v>9</v>
      </c>
      <c r="C14" s="26"/>
      <c r="D14" s="26"/>
      <c r="E14" s="19">
        <v>0</v>
      </c>
      <c r="F14" s="19">
        <v>0</v>
      </c>
      <c r="G14" s="19">
        <v>0</v>
      </c>
      <c r="H14" s="19">
        <v>0</v>
      </c>
      <c r="I14" s="23"/>
      <c r="J14" s="19">
        <v>0</v>
      </c>
      <c r="K14" s="19">
        <v>0</v>
      </c>
      <c r="L14" s="19">
        <v>0</v>
      </c>
      <c r="M14" s="19">
        <v>0</v>
      </c>
      <c r="N14" s="23"/>
      <c r="O14" s="19">
        <v>10903.846931181328</v>
      </c>
      <c r="P14" s="19">
        <v>812.62294405667831</v>
      </c>
      <c r="Q14" s="19">
        <v>1336858.0441640378</v>
      </c>
      <c r="R14" s="19" t="e">
        <v>#DIV/0!</v>
      </c>
      <c r="S14" s="19" t="e">
        <v>#REF!</v>
      </c>
      <c r="T14" s="23"/>
      <c r="U14" s="24"/>
      <c r="V14" s="19">
        <v>10031.622673398946</v>
      </c>
      <c r="W14" s="19">
        <v>9266.2942551331653</v>
      </c>
      <c r="X14" s="19">
        <v>8732.154774211278</v>
      </c>
      <c r="Y14" s="19">
        <v>8732.154774211278</v>
      </c>
      <c r="Z14" s="23"/>
      <c r="AA14" s="19">
        <v>187.62900717059762</v>
      </c>
      <c r="AB14" s="19">
        <v>-1779.4753974180776</v>
      </c>
      <c r="AC14" s="19">
        <v>39540.782717048816</v>
      </c>
      <c r="AD14" s="19">
        <v>39540.782717048816</v>
      </c>
      <c r="AE14" s="23"/>
      <c r="AF14" s="19">
        <v>8699979.6334012225</v>
      </c>
      <c r="AG14" s="19">
        <v>10892.517817003371</v>
      </c>
      <c r="AH14" s="19" t="e">
        <v>#DIV/0!</v>
      </c>
      <c r="AI14" s="19" t="e">
        <v>#DIV/0!</v>
      </c>
      <c r="AJ14" s="19" t="e">
        <v>#REF!</v>
      </c>
      <c r="AK14" s="23"/>
      <c r="AL14" s="24"/>
      <c r="AN14" s="13">
        <f t="shared" si="0"/>
        <v>0</v>
      </c>
      <c r="AO14" s="13">
        <f t="shared" si="1"/>
        <v>0</v>
      </c>
    </row>
    <row r="15" spans="1:41" s="15" customFormat="1">
      <c r="A15" s="117" t="s">
        <v>30</v>
      </c>
      <c r="B15" s="3" t="s">
        <v>5</v>
      </c>
      <c r="C15" s="26"/>
      <c r="D15" s="26"/>
      <c r="E15" s="27">
        <v>0</v>
      </c>
      <c r="F15" s="27">
        <v>0</v>
      </c>
      <c r="G15" s="27">
        <v>0</v>
      </c>
      <c r="H15" s="27">
        <v>0</v>
      </c>
      <c r="I15" s="26">
        <v>0</v>
      </c>
      <c r="J15" s="27">
        <v>0</v>
      </c>
      <c r="K15" s="27">
        <v>0</v>
      </c>
      <c r="L15" s="27">
        <v>0</v>
      </c>
      <c r="M15" s="27">
        <v>0</v>
      </c>
      <c r="N15" s="26">
        <v>0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6">
        <f>SUM(O15:S15)</f>
        <v>0</v>
      </c>
      <c r="U15" s="28">
        <f>T15+N15+I15+D19</f>
        <v>0</v>
      </c>
      <c r="V15" s="27">
        <v>0</v>
      </c>
      <c r="W15" s="27">
        <v>0</v>
      </c>
      <c r="X15" s="27">
        <v>0</v>
      </c>
      <c r="Y15" s="27">
        <v>0</v>
      </c>
      <c r="Z15" s="26">
        <v>0</v>
      </c>
      <c r="AA15" s="27">
        <v>0</v>
      </c>
      <c r="AB15" s="27">
        <v>0</v>
      </c>
      <c r="AC15" s="27">
        <v>0</v>
      </c>
      <c r="AD15" s="27">
        <v>0</v>
      </c>
      <c r="AE15" s="26">
        <v>0</v>
      </c>
      <c r="AF15" s="27">
        <v>0</v>
      </c>
      <c r="AG15" s="27">
        <v>0</v>
      </c>
      <c r="AH15" s="27">
        <v>0</v>
      </c>
      <c r="AI15" s="27">
        <v>0</v>
      </c>
      <c r="AJ15" s="27">
        <v>0</v>
      </c>
      <c r="AK15" s="26">
        <f>SUM(AF15:AJ15)</f>
        <v>0</v>
      </c>
      <c r="AL15" s="28">
        <f>AK15+AE15+Z15</f>
        <v>0</v>
      </c>
      <c r="AM15" s="15">
        <v>8</v>
      </c>
      <c r="AN15" s="13">
        <f t="shared" si="0"/>
        <v>0</v>
      </c>
      <c r="AO15" s="13">
        <f t="shared" si="1"/>
        <v>0</v>
      </c>
    </row>
    <row r="16" spans="1:41" s="15" customFormat="1">
      <c r="A16" s="118"/>
      <c r="B16" s="12" t="s">
        <v>6</v>
      </c>
      <c r="C16" s="26"/>
      <c r="D16" s="26"/>
      <c r="E16" s="27">
        <v>0</v>
      </c>
      <c r="F16" s="27">
        <v>0</v>
      </c>
      <c r="G16" s="27">
        <v>0</v>
      </c>
      <c r="H16" s="27">
        <v>0</v>
      </c>
      <c r="I16" s="26">
        <v>0</v>
      </c>
      <c r="J16" s="27">
        <v>0</v>
      </c>
      <c r="K16" s="27">
        <v>0</v>
      </c>
      <c r="L16" s="27">
        <v>0</v>
      </c>
      <c r="M16" s="27">
        <v>0</v>
      </c>
      <c r="N16" s="26">
        <v>0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  <c r="T16" s="26">
        <f>SUM(O16:S16)</f>
        <v>0</v>
      </c>
      <c r="U16" s="28"/>
      <c r="V16" s="27">
        <v>0</v>
      </c>
      <c r="W16" s="27">
        <v>0</v>
      </c>
      <c r="X16" s="27">
        <v>0</v>
      </c>
      <c r="Y16" s="27">
        <v>0</v>
      </c>
      <c r="Z16" s="26">
        <v>0</v>
      </c>
      <c r="AA16" s="27">
        <v>0</v>
      </c>
      <c r="AB16" s="27">
        <v>0</v>
      </c>
      <c r="AC16" s="27">
        <v>0</v>
      </c>
      <c r="AD16" s="27">
        <v>0</v>
      </c>
      <c r="AE16" s="26">
        <v>0</v>
      </c>
      <c r="AF16" s="27">
        <v>0</v>
      </c>
      <c r="AG16" s="27">
        <v>0</v>
      </c>
      <c r="AH16" s="27">
        <v>0</v>
      </c>
      <c r="AI16" s="27">
        <v>0</v>
      </c>
      <c r="AJ16" s="27">
        <v>0</v>
      </c>
      <c r="AK16" s="26">
        <f>SUM(AF16:AJ16)</f>
        <v>0</v>
      </c>
      <c r="AL16" s="28"/>
      <c r="AN16" s="13">
        <f t="shared" si="0"/>
        <v>0</v>
      </c>
      <c r="AO16" s="13">
        <f t="shared" si="1"/>
        <v>0</v>
      </c>
    </row>
    <row r="17" spans="1:41" s="15" customFormat="1">
      <c r="A17" s="118"/>
      <c r="B17" s="12" t="s">
        <v>10</v>
      </c>
      <c r="C17" s="26">
        <v>0</v>
      </c>
      <c r="D17" s="26"/>
      <c r="E17" s="27"/>
      <c r="F17" s="27"/>
      <c r="G17" s="27"/>
      <c r="H17" s="27"/>
      <c r="I17" s="26">
        <v>0</v>
      </c>
      <c r="J17" s="27"/>
      <c r="K17" s="27"/>
      <c r="L17" s="27">
        <v>0</v>
      </c>
      <c r="M17" s="27"/>
      <c r="N17" s="26">
        <v>0</v>
      </c>
      <c r="O17" s="27"/>
      <c r="P17" s="27"/>
      <c r="Q17" s="27"/>
      <c r="R17" s="27"/>
      <c r="S17" s="27"/>
      <c r="T17" s="26">
        <f>SUM(O17:R17)</f>
        <v>0</v>
      </c>
      <c r="U17" s="28">
        <f>I17+N17+T17</f>
        <v>0</v>
      </c>
      <c r="V17" s="27"/>
      <c r="W17" s="27"/>
      <c r="X17" s="27"/>
      <c r="Y17" s="27"/>
      <c r="Z17" s="26">
        <v>0</v>
      </c>
      <c r="AA17" s="27"/>
      <c r="AB17" s="27"/>
      <c r="AC17" s="27"/>
      <c r="AD17" s="27"/>
      <c r="AE17" s="26">
        <v>0</v>
      </c>
      <c r="AF17" s="27"/>
      <c r="AG17" s="27"/>
      <c r="AH17" s="27"/>
      <c r="AI17" s="27"/>
      <c r="AJ17" s="27"/>
      <c r="AK17" s="26">
        <f>SUM(AF17:AI17)</f>
        <v>0</v>
      </c>
      <c r="AL17" s="28">
        <f>Z17+AE17+AK17</f>
        <v>0</v>
      </c>
      <c r="AN17" s="13">
        <f t="shared" si="0"/>
        <v>0</v>
      </c>
      <c r="AO17" s="13">
        <f t="shared" si="1"/>
        <v>0</v>
      </c>
    </row>
    <row r="18" spans="1:41" s="15" customFormat="1">
      <c r="A18" s="118"/>
      <c r="B18" s="12" t="s">
        <v>7</v>
      </c>
      <c r="C18" s="26"/>
      <c r="D18" s="26"/>
      <c r="E18" s="32">
        <v>0</v>
      </c>
      <c r="F18" s="27">
        <v>0</v>
      </c>
      <c r="G18" s="27">
        <v>0</v>
      </c>
      <c r="H18" s="27">
        <v>0</v>
      </c>
      <c r="I18" s="26">
        <v>0</v>
      </c>
      <c r="J18" s="32">
        <v>0</v>
      </c>
      <c r="K18" s="27">
        <v>0</v>
      </c>
      <c r="L18" s="27">
        <v>0</v>
      </c>
      <c r="M18" s="27">
        <v>0</v>
      </c>
      <c r="N18" s="26">
        <v>0</v>
      </c>
      <c r="O18" s="32">
        <v>0</v>
      </c>
      <c r="P18" s="27">
        <v>0</v>
      </c>
      <c r="Q18" s="27">
        <v>0</v>
      </c>
      <c r="R18" s="27">
        <v>0</v>
      </c>
      <c r="S18" s="27">
        <v>0</v>
      </c>
      <c r="T18" s="26">
        <f>SUM(O18:S18)</f>
        <v>0</v>
      </c>
      <c r="U18" s="28">
        <f>T18+N18+I18+D19</f>
        <v>0</v>
      </c>
      <c r="V18" s="32">
        <v>0</v>
      </c>
      <c r="W18" s="27">
        <v>0</v>
      </c>
      <c r="X18" s="27">
        <v>0</v>
      </c>
      <c r="Y18" s="27">
        <v>0</v>
      </c>
      <c r="Z18" s="26">
        <v>0</v>
      </c>
      <c r="AA18" s="32">
        <v>0</v>
      </c>
      <c r="AB18" s="27">
        <v>0</v>
      </c>
      <c r="AC18" s="27">
        <v>0</v>
      </c>
      <c r="AD18" s="27">
        <v>0</v>
      </c>
      <c r="AE18" s="26">
        <v>0</v>
      </c>
      <c r="AF18" s="32">
        <v>0</v>
      </c>
      <c r="AG18" s="27">
        <v>0</v>
      </c>
      <c r="AH18" s="27">
        <v>0</v>
      </c>
      <c r="AI18" s="27">
        <v>0</v>
      </c>
      <c r="AJ18" s="27">
        <v>0</v>
      </c>
      <c r="AK18" s="26">
        <f>SUM(AF18:AJ18)</f>
        <v>0</v>
      </c>
      <c r="AL18" s="28">
        <f>AK18+AE18+Z18</f>
        <v>0</v>
      </c>
      <c r="AN18" s="13">
        <f t="shared" si="0"/>
        <v>0</v>
      </c>
      <c r="AO18" s="13">
        <f t="shared" si="1"/>
        <v>0</v>
      </c>
    </row>
    <row r="19" spans="1:41" s="15" customFormat="1" ht="17" thickBot="1">
      <c r="A19" s="119"/>
      <c r="B19" s="4" t="s">
        <v>8</v>
      </c>
      <c r="C19" s="26">
        <v>0</v>
      </c>
      <c r="D19" s="37">
        <v>0</v>
      </c>
      <c r="E19" s="21">
        <v>0</v>
      </c>
      <c r="F19" s="21">
        <v>0</v>
      </c>
      <c r="G19" s="21">
        <v>0</v>
      </c>
      <c r="H19" s="21">
        <v>0</v>
      </c>
      <c r="I19" s="20">
        <v>0</v>
      </c>
      <c r="J19" s="21">
        <v>0</v>
      </c>
      <c r="K19" s="21">
        <v>0</v>
      </c>
      <c r="L19" s="21">
        <v>0</v>
      </c>
      <c r="M19" s="21">
        <v>0</v>
      </c>
      <c r="N19" s="20">
        <v>0</v>
      </c>
      <c r="O19" s="21">
        <v>0</v>
      </c>
      <c r="P19" s="21">
        <v>0</v>
      </c>
      <c r="Q19" s="21">
        <v>0</v>
      </c>
      <c r="R19" s="21">
        <v>0</v>
      </c>
      <c r="S19" s="21">
        <v>0</v>
      </c>
      <c r="T19" s="20">
        <f>N19+T18-T15</f>
        <v>0</v>
      </c>
      <c r="U19" s="22">
        <f>U18-U15</f>
        <v>0</v>
      </c>
      <c r="V19" s="21">
        <v>0</v>
      </c>
      <c r="W19" s="21">
        <v>0</v>
      </c>
      <c r="X19" s="21">
        <v>0</v>
      </c>
      <c r="Y19" s="21">
        <v>0</v>
      </c>
      <c r="Z19" s="20">
        <v>0</v>
      </c>
      <c r="AA19" s="21">
        <v>0</v>
      </c>
      <c r="AB19" s="21">
        <v>0</v>
      </c>
      <c r="AC19" s="21">
        <v>0</v>
      </c>
      <c r="AD19" s="21">
        <v>0</v>
      </c>
      <c r="AE19" s="20">
        <v>0</v>
      </c>
      <c r="AF19" s="21">
        <v>0</v>
      </c>
      <c r="AG19" s="21">
        <v>0</v>
      </c>
      <c r="AH19" s="21">
        <v>0</v>
      </c>
      <c r="AI19" s="21">
        <v>0</v>
      </c>
      <c r="AJ19" s="21">
        <v>0</v>
      </c>
      <c r="AK19" s="20">
        <f>AE19+AK18-AK15</f>
        <v>0</v>
      </c>
      <c r="AL19" s="22">
        <f>T19+AL18-AL15</f>
        <v>0</v>
      </c>
      <c r="AN19" s="13">
        <f t="shared" si="0"/>
        <v>0</v>
      </c>
      <c r="AO19" s="13">
        <f t="shared" si="1"/>
        <v>0</v>
      </c>
    </row>
    <row r="20" spans="1:41" s="15" customFormat="1" ht="17" thickBot="1">
      <c r="A20" s="46"/>
      <c r="B20" s="12" t="s">
        <v>9</v>
      </c>
      <c r="C20" s="26"/>
      <c r="D20" s="26"/>
      <c r="E20" s="19" t="e">
        <v>#DIV/0!</v>
      </c>
      <c r="F20" s="19" t="e">
        <v>#DIV/0!</v>
      </c>
      <c r="G20" s="19" t="e">
        <v>#DIV/0!</v>
      </c>
      <c r="H20" s="19" t="e">
        <v>#DIV/0!</v>
      </c>
      <c r="I20" s="23"/>
      <c r="J20" s="19" t="e">
        <v>#DIV/0!</v>
      </c>
      <c r="K20" s="19" t="e">
        <v>#DIV/0!</v>
      </c>
      <c r="L20" s="19" t="e">
        <v>#DIV/0!</v>
      </c>
      <c r="M20" s="19" t="e">
        <v>#DIV/0!</v>
      </c>
      <c r="N20" s="23"/>
      <c r="O20" s="19" t="e">
        <v>#DIV/0!</v>
      </c>
      <c r="P20" s="19" t="e">
        <v>#DIV/0!</v>
      </c>
      <c r="Q20" s="19" t="e">
        <v>#DIV/0!</v>
      </c>
      <c r="R20" s="19" t="e">
        <v>#DIV/0!</v>
      </c>
      <c r="S20" s="19" t="e">
        <v>#REF!</v>
      </c>
      <c r="T20" s="23"/>
      <c r="U20" s="24"/>
      <c r="V20" s="19" t="e">
        <v>#DIV/0!</v>
      </c>
      <c r="W20" s="19" t="e">
        <v>#DIV/0!</v>
      </c>
      <c r="X20" s="19" t="e">
        <v>#DIV/0!</v>
      </c>
      <c r="Y20" s="19" t="e">
        <v>#DIV/0!</v>
      </c>
      <c r="Z20" s="23"/>
      <c r="AA20" s="19" t="e">
        <v>#DIV/0!</v>
      </c>
      <c r="AB20" s="19" t="e">
        <v>#DIV/0!</v>
      </c>
      <c r="AC20" s="19" t="e">
        <v>#DIV/0!</v>
      </c>
      <c r="AD20" s="19" t="e">
        <v>#DIV/0!</v>
      </c>
      <c r="AE20" s="23"/>
      <c r="AF20" s="19" t="e">
        <v>#DIV/0!</v>
      </c>
      <c r="AG20" s="19" t="e">
        <v>#DIV/0!</v>
      </c>
      <c r="AH20" s="19" t="e">
        <v>#DIV/0!</v>
      </c>
      <c r="AI20" s="19" t="e">
        <v>#DIV/0!</v>
      </c>
      <c r="AJ20" s="19" t="e">
        <v>#REF!</v>
      </c>
      <c r="AK20" s="23"/>
      <c r="AL20" s="24"/>
      <c r="AN20" s="13">
        <f t="shared" si="0"/>
        <v>0</v>
      </c>
      <c r="AO20" s="13">
        <f t="shared" si="1"/>
        <v>0</v>
      </c>
    </row>
    <row r="21" spans="1:41" s="11" customFormat="1">
      <c r="A21" s="138" t="s">
        <v>39</v>
      </c>
      <c r="B21" s="1" t="s">
        <v>5</v>
      </c>
      <c r="C21" s="20"/>
      <c r="D21" s="20"/>
      <c r="E21" s="27">
        <v>0</v>
      </c>
      <c r="F21" s="27">
        <v>1828044</v>
      </c>
      <c r="G21" s="27">
        <v>573652</v>
      </c>
      <c r="H21" s="27">
        <v>0</v>
      </c>
      <c r="I21" s="26">
        <v>2401696</v>
      </c>
      <c r="J21" s="27">
        <v>100006</v>
      </c>
      <c r="K21" s="27">
        <v>753807</v>
      </c>
      <c r="L21" s="27">
        <v>253560</v>
      </c>
      <c r="M21" s="27">
        <v>0</v>
      </c>
      <c r="N21" s="26">
        <v>1107373</v>
      </c>
      <c r="O21" s="27">
        <v>2302484</v>
      </c>
      <c r="P21" s="27">
        <v>360497</v>
      </c>
      <c r="Q21" s="27">
        <v>897688</v>
      </c>
      <c r="R21" s="27">
        <v>539286</v>
      </c>
      <c r="S21" s="27">
        <v>0</v>
      </c>
      <c r="T21" s="26">
        <f>SUM(O21:S21)</f>
        <v>4099955</v>
      </c>
      <c r="U21" s="28">
        <f>T21+N21+I21+D25</f>
        <v>9633281</v>
      </c>
      <c r="V21" s="27">
        <v>674105</v>
      </c>
      <c r="W21" s="27">
        <v>119344</v>
      </c>
      <c r="X21" s="27">
        <v>104577</v>
      </c>
      <c r="Y21" s="27">
        <v>0</v>
      </c>
      <c r="Z21" s="26">
        <v>898026</v>
      </c>
      <c r="AA21" s="27">
        <v>718084</v>
      </c>
      <c r="AB21" s="27">
        <v>197252</v>
      </c>
      <c r="AC21" s="27">
        <v>153813</v>
      </c>
      <c r="AD21" s="27">
        <v>0</v>
      </c>
      <c r="AE21" s="26">
        <v>1069149</v>
      </c>
      <c r="AF21" s="27">
        <v>83198</v>
      </c>
      <c r="AG21" s="27">
        <v>212</v>
      </c>
      <c r="AH21" s="27">
        <v>43611</v>
      </c>
      <c r="AI21" s="27">
        <v>189</v>
      </c>
      <c r="AJ21" s="27">
        <v>0</v>
      </c>
      <c r="AK21" s="26">
        <f>SUM(AF21:AJ21)</f>
        <v>127210</v>
      </c>
      <c r="AL21" s="28">
        <f>AK21+AE21+Z21</f>
        <v>2094385</v>
      </c>
      <c r="AM21" s="11">
        <v>16</v>
      </c>
      <c r="AN21" s="13">
        <f t="shared" si="0"/>
        <v>154132496</v>
      </c>
      <c r="AO21" s="13">
        <f t="shared" si="1"/>
        <v>33510160</v>
      </c>
    </row>
    <row r="22" spans="1:41" s="11" customFormat="1">
      <c r="A22" s="139"/>
      <c r="B22" s="6" t="s">
        <v>6</v>
      </c>
      <c r="C22" s="26"/>
      <c r="D22" s="20"/>
      <c r="E22" s="27">
        <v>0</v>
      </c>
      <c r="F22" s="27">
        <v>1828044</v>
      </c>
      <c r="G22" s="27">
        <v>573652</v>
      </c>
      <c r="H22" s="27">
        <v>0</v>
      </c>
      <c r="I22" s="26">
        <v>2401696</v>
      </c>
      <c r="J22" s="27">
        <v>100006</v>
      </c>
      <c r="K22" s="27">
        <v>753807</v>
      </c>
      <c r="L22" s="27">
        <v>253560</v>
      </c>
      <c r="M22" s="27">
        <v>0</v>
      </c>
      <c r="N22" s="26">
        <v>1107373</v>
      </c>
      <c r="O22" s="27">
        <v>2700000</v>
      </c>
      <c r="P22" s="27">
        <v>0</v>
      </c>
      <c r="Q22" s="27">
        <v>500000</v>
      </c>
      <c r="R22" s="27">
        <v>1050000</v>
      </c>
      <c r="S22" s="27">
        <v>0</v>
      </c>
      <c r="T22" s="26">
        <f>SUM(O22:S22)</f>
        <v>4250000</v>
      </c>
      <c r="U22" s="28"/>
      <c r="V22" s="27">
        <v>0</v>
      </c>
      <c r="W22" s="27">
        <v>600000</v>
      </c>
      <c r="X22" s="27">
        <v>300000</v>
      </c>
      <c r="Y22" s="27">
        <v>0</v>
      </c>
      <c r="Z22" s="26">
        <v>900000</v>
      </c>
      <c r="AA22" s="27">
        <v>0</v>
      </c>
      <c r="AB22" s="27">
        <v>0</v>
      </c>
      <c r="AC22" s="27">
        <v>300000</v>
      </c>
      <c r="AD22" s="27">
        <v>0</v>
      </c>
      <c r="AE22" s="26">
        <v>300000</v>
      </c>
      <c r="AF22" s="27">
        <v>0</v>
      </c>
      <c r="AG22" s="27">
        <v>0</v>
      </c>
      <c r="AH22" s="27">
        <v>0</v>
      </c>
      <c r="AI22" s="27">
        <v>0</v>
      </c>
      <c r="AJ22" s="27">
        <v>0</v>
      </c>
      <c r="AK22" s="26">
        <f>SUM(AF22:AJ22)</f>
        <v>0</v>
      </c>
      <c r="AL22" s="28"/>
      <c r="AN22" s="13">
        <f t="shared" si="0"/>
        <v>0</v>
      </c>
      <c r="AO22" s="13">
        <f t="shared" si="1"/>
        <v>0</v>
      </c>
    </row>
    <row r="23" spans="1:41" s="11" customFormat="1">
      <c r="A23" s="139"/>
      <c r="B23" s="6" t="s">
        <v>10</v>
      </c>
      <c r="C23" s="26">
        <v>257600</v>
      </c>
      <c r="D23" s="20"/>
      <c r="E23" s="27"/>
      <c r="F23" s="27"/>
      <c r="G23" s="27"/>
      <c r="H23" s="27"/>
      <c r="I23" s="26">
        <v>0</v>
      </c>
      <c r="J23" s="27"/>
      <c r="K23" s="27"/>
      <c r="L23" s="27">
        <v>257600</v>
      </c>
      <c r="M23" s="27"/>
      <c r="N23" s="26">
        <v>257600</v>
      </c>
      <c r="O23" s="27"/>
      <c r="P23" s="27"/>
      <c r="Q23" s="27"/>
      <c r="R23" s="27"/>
      <c r="S23" s="27"/>
      <c r="T23" s="26">
        <f>SUM(O23:R23)</f>
        <v>0</v>
      </c>
      <c r="U23" s="28">
        <f>I23+N23+T23</f>
        <v>257600</v>
      </c>
      <c r="V23" s="27"/>
      <c r="W23" s="27"/>
      <c r="X23" s="27"/>
      <c r="Y23" s="27"/>
      <c r="Z23" s="26">
        <v>0</v>
      </c>
      <c r="AA23" s="27"/>
      <c r="AB23" s="27"/>
      <c r="AC23" s="27"/>
      <c r="AD23" s="27"/>
      <c r="AE23" s="26">
        <v>0</v>
      </c>
      <c r="AF23" s="27"/>
      <c r="AG23" s="27"/>
      <c r="AH23" s="27"/>
      <c r="AI23" s="27"/>
      <c r="AJ23" s="27"/>
      <c r="AK23" s="26">
        <f>SUM(AF23:AI23)</f>
        <v>0</v>
      </c>
      <c r="AL23" s="28">
        <f>Z23+AE23+AK23</f>
        <v>0</v>
      </c>
      <c r="AN23" s="13">
        <f t="shared" si="0"/>
        <v>0</v>
      </c>
      <c r="AO23" s="13">
        <f t="shared" si="1"/>
        <v>0</v>
      </c>
    </row>
    <row r="24" spans="1:41" s="11" customFormat="1">
      <c r="A24" s="139"/>
      <c r="B24" s="6" t="s">
        <v>7</v>
      </c>
      <c r="C24" s="26"/>
      <c r="D24" s="20"/>
      <c r="E24" s="32">
        <v>0</v>
      </c>
      <c r="F24" s="27">
        <v>1828044</v>
      </c>
      <c r="G24" s="27">
        <v>573652</v>
      </c>
      <c r="H24" s="27">
        <v>0</v>
      </c>
      <c r="I24" s="26">
        <v>2401696</v>
      </c>
      <c r="J24" s="32">
        <v>100006</v>
      </c>
      <c r="K24" s="27">
        <v>753807</v>
      </c>
      <c r="L24" s="27">
        <v>511160</v>
      </c>
      <c r="M24" s="27">
        <v>0</v>
      </c>
      <c r="N24" s="26">
        <v>1364973</v>
      </c>
      <c r="O24" s="32">
        <v>2700000</v>
      </c>
      <c r="P24" s="27">
        <v>0</v>
      </c>
      <c r="Q24" s="27">
        <v>500000</v>
      </c>
      <c r="R24" s="27">
        <v>1050000</v>
      </c>
      <c r="S24" s="27">
        <v>0</v>
      </c>
      <c r="T24" s="26">
        <f>SUM(O24:S24)</f>
        <v>4250000</v>
      </c>
      <c r="U24" s="28">
        <f>T24+N24+I24+D25</f>
        <v>10040926</v>
      </c>
      <c r="V24" s="32">
        <v>0</v>
      </c>
      <c r="W24" s="27">
        <v>600000</v>
      </c>
      <c r="X24" s="27">
        <v>300000</v>
      </c>
      <c r="Y24" s="27">
        <v>0</v>
      </c>
      <c r="Z24" s="26">
        <v>1307645</v>
      </c>
      <c r="AA24" s="32">
        <v>0</v>
      </c>
      <c r="AB24" s="27">
        <v>0</v>
      </c>
      <c r="AC24" s="27">
        <v>300000</v>
      </c>
      <c r="AD24" s="27">
        <v>0</v>
      </c>
      <c r="AE24" s="26">
        <v>300000</v>
      </c>
      <c r="AF24" s="32">
        <v>0</v>
      </c>
      <c r="AG24" s="27">
        <v>0</v>
      </c>
      <c r="AH24" s="27">
        <v>0</v>
      </c>
      <c r="AI24" s="27">
        <v>0</v>
      </c>
      <c r="AJ24" s="27">
        <v>0</v>
      </c>
      <c r="AK24" s="26">
        <f>SUM(AF24:AJ24)</f>
        <v>0</v>
      </c>
      <c r="AL24" s="28">
        <f>AK24+AE24+Z24</f>
        <v>1607645</v>
      </c>
      <c r="AN24" s="13">
        <f t="shared" si="0"/>
        <v>0</v>
      </c>
      <c r="AO24" s="13">
        <f t="shared" si="1"/>
        <v>0</v>
      </c>
    </row>
    <row r="25" spans="1:41" s="11" customFormat="1" ht="17" thickBot="1">
      <c r="A25" s="140"/>
      <c r="B25" s="2" t="s">
        <v>8</v>
      </c>
      <c r="C25" s="26">
        <v>970721</v>
      </c>
      <c r="D25" s="37">
        <v>2024257</v>
      </c>
      <c r="E25" s="21">
        <v>0</v>
      </c>
      <c r="F25" s="21">
        <v>0</v>
      </c>
      <c r="G25" s="21">
        <v>0</v>
      </c>
      <c r="H25" s="21">
        <v>0</v>
      </c>
      <c r="I25" s="20">
        <v>0</v>
      </c>
      <c r="J25" s="21">
        <v>0</v>
      </c>
      <c r="K25" s="21">
        <v>0</v>
      </c>
      <c r="L25" s="21">
        <v>257600</v>
      </c>
      <c r="M25" s="21">
        <v>257600</v>
      </c>
      <c r="N25" s="20">
        <v>257600</v>
      </c>
      <c r="O25" s="21">
        <v>655116</v>
      </c>
      <c r="P25" s="21">
        <v>294619</v>
      </c>
      <c r="Q25" s="21">
        <v>-103069</v>
      </c>
      <c r="R25" s="21">
        <v>407645</v>
      </c>
      <c r="S25" s="21">
        <v>407645</v>
      </c>
      <c r="T25" s="20">
        <f>N25+T24-T21</f>
        <v>407645</v>
      </c>
      <c r="U25" s="22">
        <f>U24-U21</f>
        <v>407645</v>
      </c>
      <c r="V25" s="21">
        <v>-266460</v>
      </c>
      <c r="W25" s="21">
        <v>214196</v>
      </c>
      <c r="X25" s="21">
        <v>409619</v>
      </c>
      <c r="Y25" s="21">
        <v>409619</v>
      </c>
      <c r="Z25" s="20">
        <v>409619</v>
      </c>
      <c r="AA25" s="21">
        <v>-308465</v>
      </c>
      <c r="AB25" s="21">
        <v>-505717</v>
      </c>
      <c r="AC25" s="21">
        <v>-359530</v>
      </c>
      <c r="AD25" s="21">
        <v>-359530</v>
      </c>
      <c r="AE25" s="20">
        <v>-359530</v>
      </c>
      <c r="AF25" s="21">
        <v>-442728</v>
      </c>
      <c r="AG25" s="21">
        <v>-442940</v>
      </c>
      <c r="AH25" s="21">
        <v>-486551</v>
      </c>
      <c r="AI25" s="21">
        <v>-486740</v>
      </c>
      <c r="AJ25" s="21">
        <v>-486740</v>
      </c>
      <c r="AK25" s="20">
        <f>AE25+AK24-AK21</f>
        <v>-486740</v>
      </c>
      <c r="AL25" s="22">
        <f>T25+AL24-AL21</f>
        <v>-79095</v>
      </c>
      <c r="AN25" s="13">
        <f t="shared" si="0"/>
        <v>0</v>
      </c>
      <c r="AO25" s="13">
        <f t="shared" si="1"/>
        <v>0</v>
      </c>
    </row>
    <row r="26" spans="1:41" s="11" customFormat="1" ht="17" thickBot="1">
      <c r="A26" s="14"/>
      <c r="B26" s="6" t="s">
        <v>9</v>
      </c>
      <c r="C26" s="20"/>
      <c r="D26" s="20"/>
      <c r="E26" s="19">
        <v>0</v>
      </c>
      <c r="F26" s="19">
        <v>0</v>
      </c>
      <c r="G26" s="19">
        <v>0</v>
      </c>
      <c r="H26" s="19">
        <v>0</v>
      </c>
      <c r="I26" s="23"/>
      <c r="J26" s="19">
        <v>0</v>
      </c>
      <c r="K26" s="19">
        <v>0</v>
      </c>
      <c r="L26" s="19">
        <v>1446.9191042469827</v>
      </c>
      <c r="M26" s="19">
        <v>1256.5991577956343</v>
      </c>
      <c r="N26" s="23"/>
      <c r="O26" s="19">
        <v>7289.3081446098431</v>
      </c>
      <c r="P26" s="19">
        <v>532.27138850911751</v>
      </c>
      <c r="Q26" s="19">
        <v>-3822.424464940681</v>
      </c>
      <c r="R26" s="19" t="e">
        <v>#DIV/0!</v>
      </c>
      <c r="S26" s="19" t="e">
        <v>#REF!</v>
      </c>
      <c r="T26" s="23"/>
      <c r="U26" s="24"/>
      <c r="V26" s="19">
        <v>-4749.9569944034783</v>
      </c>
      <c r="W26" s="19">
        <v>3570.3647524075827</v>
      </c>
      <c r="X26" s="19">
        <v>9122.6534643763098</v>
      </c>
      <c r="Y26" s="19">
        <v>9122.6534643763098</v>
      </c>
      <c r="Z26" s="23"/>
      <c r="AA26" s="19">
        <v>-4343.9228172655676</v>
      </c>
      <c r="AB26" s="19">
        <v>-8268.9298497188465</v>
      </c>
      <c r="AC26" s="19">
        <v>-6725.5359168834284</v>
      </c>
      <c r="AD26" s="19">
        <v>-6725.5359168834284</v>
      </c>
      <c r="AE26" s="23"/>
      <c r="AF26" s="19">
        <v>-201185.13132781969</v>
      </c>
      <c r="AG26" s="19">
        <v>-4143.140093116358</v>
      </c>
      <c r="AH26" s="19">
        <v>-51486878.306878306</v>
      </c>
      <c r="AI26" s="19" t="e">
        <v>#DIV/0!</v>
      </c>
      <c r="AJ26" s="19" t="e">
        <v>#REF!</v>
      </c>
      <c r="AK26" s="23"/>
      <c r="AL26" s="24"/>
      <c r="AN26" s="13">
        <f t="shared" si="0"/>
        <v>0</v>
      </c>
      <c r="AO26" s="13">
        <f t="shared" si="1"/>
        <v>0</v>
      </c>
    </row>
    <row r="27" spans="1:41" s="15" customFormat="1">
      <c r="A27" s="130" t="s">
        <v>13</v>
      </c>
      <c r="B27" s="3" t="s">
        <v>5</v>
      </c>
      <c r="C27" s="26"/>
      <c r="D27" s="26"/>
      <c r="E27" s="27">
        <v>0</v>
      </c>
      <c r="F27" s="27">
        <v>0</v>
      </c>
      <c r="G27" s="27">
        <v>0</v>
      </c>
      <c r="H27" s="27">
        <v>0</v>
      </c>
      <c r="I27" s="26">
        <v>0</v>
      </c>
      <c r="J27" s="27">
        <v>0</v>
      </c>
      <c r="K27" s="27">
        <v>0</v>
      </c>
      <c r="L27" s="27">
        <v>0</v>
      </c>
      <c r="M27" s="27">
        <v>0</v>
      </c>
      <c r="N27" s="26">
        <v>0</v>
      </c>
      <c r="O27" s="27">
        <v>3</v>
      </c>
      <c r="P27" s="27">
        <v>0</v>
      </c>
      <c r="Q27" s="27">
        <v>0</v>
      </c>
      <c r="R27" s="27">
        <v>0</v>
      </c>
      <c r="S27" s="27">
        <v>0</v>
      </c>
      <c r="T27" s="26">
        <f>SUM(O27:S27)</f>
        <v>3</v>
      </c>
      <c r="U27" s="28">
        <f>T27+N27+I27+D31</f>
        <v>14389</v>
      </c>
      <c r="V27" s="27">
        <v>0</v>
      </c>
      <c r="W27" s="27">
        <v>0</v>
      </c>
      <c r="X27" s="27">
        <v>0</v>
      </c>
      <c r="Y27" s="27">
        <v>0</v>
      </c>
      <c r="Z27" s="26">
        <v>0</v>
      </c>
      <c r="AA27" s="27">
        <v>0</v>
      </c>
      <c r="AB27" s="27">
        <v>0</v>
      </c>
      <c r="AC27" s="27">
        <v>0</v>
      </c>
      <c r="AD27" s="27">
        <v>0</v>
      </c>
      <c r="AE27" s="26">
        <v>0</v>
      </c>
      <c r="AF27" s="27">
        <v>0</v>
      </c>
      <c r="AG27" s="27">
        <v>0</v>
      </c>
      <c r="AH27" s="27">
        <v>0</v>
      </c>
      <c r="AI27" s="27">
        <v>0</v>
      </c>
      <c r="AJ27" s="27">
        <v>0</v>
      </c>
      <c r="AK27" s="26">
        <f>SUM(AF27:AJ27)</f>
        <v>0</v>
      </c>
      <c r="AL27" s="28">
        <f>AK27+AE27+Z27</f>
        <v>0</v>
      </c>
      <c r="AM27" s="11">
        <v>16</v>
      </c>
      <c r="AN27" s="13">
        <f t="shared" si="0"/>
        <v>230224</v>
      </c>
      <c r="AO27" s="13">
        <f t="shared" si="1"/>
        <v>0</v>
      </c>
    </row>
    <row r="28" spans="1:41" s="15" customFormat="1">
      <c r="A28" s="131"/>
      <c r="B28" s="12" t="s">
        <v>6</v>
      </c>
      <c r="C28" s="26"/>
      <c r="D28" s="26"/>
      <c r="E28" s="27">
        <v>0</v>
      </c>
      <c r="F28" s="27">
        <v>0</v>
      </c>
      <c r="G28" s="27">
        <v>0</v>
      </c>
      <c r="H28" s="27">
        <v>0</v>
      </c>
      <c r="I28" s="26">
        <v>0</v>
      </c>
      <c r="J28" s="27">
        <v>0</v>
      </c>
      <c r="K28" s="27">
        <v>0</v>
      </c>
      <c r="L28" s="27">
        <v>0</v>
      </c>
      <c r="M28" s="27">
        <v>0</v>
      </c>
      <c r="N28" s="26">
        <v>0</v>
      </c>
      <c r="O28" s="27">
        <v>0</v>
      </c>
      <c r="P28" s="27">
        <v>0</v>
      </c>
      <c r="Q28" s="27">
        <v>0</v>
      </c>
      <c r="R28" s="27">
        <v>0</v>
      </c>
      <c r="S28" s="27">
        <v>0</v>
      </c>
      <c r="T28" s="26">
        <f>SUM(O28:S28)</f>
        <v>0</v>
      </c>
      <c r="U28" s="28"/>
      <c r="V28" s="27">
        <v>0</v>
      </c>
      <c r="W28" s="27">
        <v>0</v>
      </c>
      <c r="X28" s="27">
        <v>0</v>
      </c>
      <c r="Y28" s="27">
        <v>0</v>
      </c>
      <c r="Z28" s="26">
        <v>0</v>
      </c>
      <c r="AA28" s="27">
        <v>0</v>
      </c>
      <c r="AB28" s="27">
        <v>0</v>
      </c>
      <c r="AC28" s="27">
        <v>0</v>
      </c>
      <c r="AD28" s="27">
        <v>0</v>
      </c>
      <c r="AE28" s="26">
        <v>0</v>
      </c>
      <c r="AF28" s="27">
        <v>0</v>
      </c>
      <c r="AG28" s="27">
        <v>0</v>
      </c>
      <c r="AH28" s="27">
        <v>0</v>
      </c>
      <c r="AI28" s="27">
        <v>0</v>
      </c>
      <c r="AJ28" s="27">
        <v>0</v>
      </c>
      <c r="AK28" s="26">
        <f>SUM(AF28:AJ28)</f>
        <v>0</v>
      </c>
      <c r="AL28" s="28"/>
      <c r="AN28" s="13">
        <f t="shared" si="0"/>
        <v>0</v>
      </c>
      <c r="AO28" s="13">
        <f t="shared" si="1"/>
        <v>0</v>
      </c>
    </row>
    <row r="29" spans="1:41" s="15" customFormat="1">
      <c r="A29" s="131"/>
      <c r="B29" s="12" t="s">
        <v>10</v>
      </c>
      <c r="C29" s="26">
        <v>0</v>
      </c>
      <c r="D29" s="26"/>
      <c r="E29" s="27"/>
      <c r="F29" s="27"/>
      <c r="G29" s="27"/>
      <c r="H29" s="27"/>
      <c r="I29" s="26">
        <v>0</v>
      </c>
      <c r="J29" s="27"/>
      <c r="K29" s="27"/>
      <c r="L29" s="27">
        <v>0</v>
      </c>
      <c r="M29" s="27"/>
      <c r="N29" s="26">
        <v>0</v>
      </c>
      <c r="O29" s="27"/>
      <c r="P29" s="27"/>
      <c r="Q29" s="27"/>
      <c r="R29" s="27"/>
      <c r="S29" s="27"/>
      <c r="T29" s="26">
        <f>SUM(O29:R29)</f>
        <v>0</v>
      </c>
      <c r="U29" s="28">
        <f>I29+N29+T29</f>
        <v>0</v>
      </c>
      <c r="V29" s="27"/>
      <c r="W29" s="27"/>
      <c r="X29" s="27"/>
      <c r="Y29" s="27"/>
      <c r="Z29" s="26">
        <v>0</v>
      </c>
      <c r="AA29" s="27"/>
      <c r="AB29" s="27"/>
      <c r="AC29" s="27"/>
      <c r="AD29" s="27"/>
      <c r="AE29" s="26">
        <v>0</v>
      </c>
      <c r="AF29" s="27"/>
      <c r="AG29" s="27"/>
      <c r="AH29" s="27"/>
      <c r="AI29" s="27"/>
      <c r="AJ29" s="27"/>
      <c r="AK29" s="26">
        <f>SUM(AF29:AI29)</f>
        <v>0</v>
      </c>
      <c r="AL29" s="28">
        <f>Z29+AE29+AK29</f>
        <v>0</v>
      </c>
      <c r="AN29" s="13">
        <f t="shared" si="0"/>
        <v>0</v>
      </c>
      <c r="AO29" s="13">
        <f t="shared" si="1"/>
        <v>0</v>
      </c>
    </row>
    <row r="30" spans="1:41" s="15" customFormat="1">
      <c r="A30" s="131"/>
      <c r="B30" s="12" t="s">
        <v>7</v>
      </c>
      <c r="C30" s="26"/>
      <c r="D30" s="26"/>
      <c r="E30" s="32">
        <v>0</v>
      </c>
      <c r="F30" s="27">
        <v>0</v>
      </c>
      <c r="G30" s="27">
        <v>0</v>
      </c>
      <c r="H30" s="27">
        <v>0</v>
      </c>
      <c r="I30" s="26">
        <v>0</v>
      </c>
      <c r="J30" s="32">
        <v>0</v>
      </c>
      <c r="K30" s="27">
        <v>0</v>
      </c>
      <c r="L30" s="27">
        <v>0</v>
      </c>
      <c r="M30" s="27">
        <v>0</v>
      </c>
      <c r="N30" s="26">
        <v>0</v>
      </c>
      <c r="O30" s="32">
        <v>0</v>
      </c>
      <c r="P30" s="27">
        <v>0</v>
      </c>
      <c r="Q30" s="27">
        <v>0</v>
      </c>
      <c r="R30" s="27">
        <v>0</v>
      </c>
      <c r="S30" s="27">
        <v>0</v>
      </c>
      <c r="T30" s="26">
        <f>SUM(O30:S30)</f>
        <v>0</v>
      </c>
      <c r="U30" s="28">
        <f>T30+N30+I30+D31</f>
        <v>14386</v>
      </c>
      <c r="V30" s="32">
        <v>0</v>
      </c>
      <c r="W30" s="27">
        <v>0</v>
      </c>
      <c r="X30" s="27">
        <v>0</v>
      </c>
      <c r="Y30" s="27">
        <v>0</v>
      </c>
      <c r="Z30" s="26">
        <v>-3</v>
      </c>
      <c r="AA30" s="32">
        <v>0</v>
      </c>
      <c r="AB30" s="27">
        <v>0</v>
      </c>
      <c r="AC30" s="27">
        <v>0</v>
      </c>
      <c r="AD30" s="27">
        <v>0</v>
      </c>
      <c r="AE30" s="26">
        <v>0</v>
      </c>
      <c r="AF30" s="32">
        <v>0</v>
      </c>
      <c r="AG30" s="27">
        <v>0</v>
      </c>
      <c r="AH30" s="27">
        <v>0</v>
      </c>
      <c r="AI30" s="27">
        <v>0</v>
      </c>
      <c r="AJ30" s="27">
        <v>0</v>
      </c>
      <c r="AK30" s="26">
        <f>SUM(AF30:AJ30)</f>
        <v>0</v>
      </c>
      <c r="AL30" s="28">
        <f>AK30+AE30+Z30</f>
        <v>-3</v>
      </c>
      <c r="AN30" s="13">
        <f t="shared" si="0"/>
        <v>0</v>
      </c>
      <c r="AO30" s="13">
        <f t="shared" si="1"/>
        <v>0</v>
      </c>
    </row>
    <row r="31" spans="1:41" s="15" customFormat="1" ht="17" thickBot="1">
      <c r="A31" s="132"/>
      <c r="B31" s="4" t="s">
        <v>8</v>
      </c>
      <c r="C31" s="26">
        <v>12173</v>
      </c>
      <c r="D31" s="37">
        <v>14386</v>
      </c>
      <c r="E31" s="21">
        <v>0</v>
      </c>
      <c r="F31" s="21">
        <v>0</v>
      </c>
      <c r="G31" s="21">
        <v>0</v>
      </c>
      <c r="H31" s="21">
        <v>0</v>
      </c>
      <c r="I31" s="20">
        <v>0</v>
      </c>
      <c r="J31" s="21">
        <v>0</v>
      </c>
      <c r="K31" s="21">
        <v>0</v>
      </c>
      <c r="L31" s="21">
        <v>0</v>
      </c>
      <c r="M31" s="21">
        <v>0</v>
      </c>
      <c r="N31" s="20">
        <v>0</v>
      </c>
      <c r="O31" s="21">
        <v>-3</v>
      </c>
      <c r="P31" s="21">
        <v>-3</v>
      </c>
      <c r="Q31" s="21">
        <v>-3</v>
      </c>
      <c r="R31" s="21">
        <v>-3</v>
      </c>
      <c r="S31" s="21">
        <v>-3</v>
      </c>
      <c r="T31" s="20">
        <f>N31+T30-T27</f>
        <v>-3</v>
      </c>
      <c r="U31" s="22">
        <f>U30-U27</f>
        <v>-3</v>
      </c>
      <c r="V31" s="21">
        <v>-3</v>
      </c>
      <c r="W31" s="21">
        <v>-3</v>
      </c>
      <c r="X31" s="21">
        <v>-3</v>
      </c>
      <c r="Y31" s="21">
        <v>-3</v>
      </c>
      <c r="Z31" s="20">
        <v>-3</v>
      </c>
      <c r="AA31" s="21">
        <v>-3</v>
      </c>
      <c r="AB31" s="21">
        <v>-3</v>
      </c>
      <c r="AC31" s="21">
        <v>-3</v>
      </c>
      <c r="AD31" s="21">
        <v>-3</v>
      </c>
      <c r="AE31" s="20">
        <v>-3</v>
      </c>
      <c r="AF31" s="21">
        <v>-3</v>
      </c>
      <c r="AG31" s="21">
        <v>-3</v>
      </c>
      <c r="AH31" s="21">
        <v>-3</v>
      </c>
      <c r="AI31" s="21">
        <v>-3</v>
      </c>
      <c r="AJ31" s="21">
        <v>-3</v>
      </c>
      <c r="AK31" s="20">
        <f>AE31+AK30-AK27</f>
        <v>-3</v>
      </c>
      <c r="AL31" s="22">
        <f>T31+AL30-AL27</f>
        <v>-6</v>
      </c>
      <c r="AN31" s="13">
        <f t="shared" si="0"/>
        <v>0</v>
      </c>
      <c r="AO31" s="13">
        <f t="shared" si="1"/>
        <v>0</v>
      </c>
    </row>
    <row r="32" spans="1:41" s="15" customFormat="1" ht="17" thickBot="1">
      <c r="A32" s="46"/>
      <c r="B32" s="12" t="s">
        <v>9</v>
      </c>
      <c r="C32" s="26"/>
      <c r="D32" s="26"/>
      <c r="E32" s="19" t="e">
        <v>#DIV/0!</v>
      </c>
      <c r="F32" s="19" t="e">
        <v>#DIV/0!</v>
      </c>
      <c r="G32" s="19" t="e">
        <v>#DIV/0!</v>
      </c>
      <c r="H32" s="19" t="e">
        <v>#DIV/0!</v>
      </c>
      <c r="I32" s="23"/>
      <c r="J32" s="19">
        <v>0</v>
      </c>
      <c r="K32" s="19">
        <v>0</v>
      </c>
      <c r="L32" s="19">
        <v>0</v>
      </c>
      <c r="M32" s="19">
        <v>0</v>
      </c>
      <c r="N32" s="23"/>
      <c r="O32" s="19" t="e">
        <v>#DIV/0!</v>
      </c>
      <c r="P32" s="19">
        <v>-4.1698519702550554</v>
      </c>
      <c r="Q32" s="19" t="e">
        <v>#DIV/0!</v>
      </c>
      <c r="R32" s="19" t="e">
        <v>#DIV/0!</v>
      </c>
      <c r="S32" s="19" t="e">
        <v>#REF!</v>
      </c>
      <c r="T32" s="23"/>
      <c r="U32" s="24"/>
      <c r="V32" s="19" t="e">
        <v>#DIV/0!</v>
      </c>
      <c r="W32" s="19" t="e">
        <v>#DIV/0!</v>
      </c>
      <c r="X32" s="19" t="e">
        <v>#DIV/0!</v>
      </c>
      <c r="Y32" s="19" t="e">
        <v>#DIV/0!</v>
      </c>
      <c r="Z32" s="23"/>
      <c r="AA32" s="19" t="e">
        <v>#DIV/0!</v>
      </c>
      <c r="AB32" s="19" t="e">
        <v>#DIV/0!</v>
      </c>
      <c r="AC32" s="19" t="e">
        <v>#DIV/0!</v>
      </c>
      <c r="AD32" s="19" t="e">
        <v>#DIV/0!</v>
      </c>
      <c r="AE32" s="23"/>
      <c r="AF32" s="19" t="e">
        <v>#DIV/0!</v>
      </c>
      <c r="AG32" s="19" t="e">
        <v>#DIV/0!</v>
      </c>
      <c r="AH32" s="19" t="e">
        <v>#DIV/0!</v>
      </c>
      <c r="AI32" s="19" t="e">
        <v>#DIV/0!</v>
      </c>
      <c r="AJ32" s="19" t="e">
        <v>#REF!</v>
      </c>
      <c r="AK32" s="23"/>
      <c r="AL32" s="24"/>
      <c r="AN32" s="13">
        <f t="shared" si="0"/>
        <v>0</v>
      </c>
      <c r="AO32" s="13">
        <f t="shared" si="1"/>
        <v>0</v>
      </c>
    </row>
    <row r="33" spans="1:41" s="15" customFormat="1">
      <c r="A33" s="117" t="s">
        <v>14</v>
      </c>
      <c r="B33" s="3" t="s">
        <v>5</v>
      </c>
      <c r="C33" s="26"/>
      <c r="D33" s="26"/>
      <c r="E33" s="27">
        <v>0</v>
      </c>
      <c r="F33" s="27">
        <v>102400</v>
      </c>
      <c r="G33" s="27">
        <v>411702</v>
      </c>
      <c r="H33" s="27">
        <v>0</v>
      </c>
      <c r="I33" s="26">
        <v>514102</v>
      </c>
      <c r="J33" s="27">
        <v>0</v>
      </c>
      <c r="K33" s="27">
        <v>300000</v>
      </c>
      <c r="L33" s="27">
        <v>40960</v>
      </c>
      <c r="M33" s="27">
        <v>0</v>
      </c>
      <c r="N33" s="26">
        <v>340960</v>
      </c>
      <c r="O33" s="27">
        <v>197808</v>
      </c>
      <c r="P33" s="27">
        <v>2036</v>
      </c>
      <c r="Q33" s="27">
        <v>152698</v>
      </c>
      <c r="R33" s="27">
        <v>54947</v>
      </c>
      <c r="S33" s="27">
        <v>0</v>
      </c>
      <c r="T33" s="26">
        <f>SUM(O33:S33)</f>
        <v>407489</v>
      </c>
      <c r="U33" s="28">
        <f>T33+N33+I33+D37</f>
        <v>2273489</v>
      </c>
      <c r="V33" s="27">
        <v>20680</v>
      </c>
      <c r="W33" s="27">
        <v>1162</v>
      </c>
      <c r="X33" s="27">
        <v>7048</v>
      </c>
      <c r="Y33" s="27">
        <v>0</v>
      </c>
      <c r="Z33" s="26">
        <v>28890</v>
      </c>
      <c r="AA33" s="27">
        <v>40501</v>
      </c>
      <c r="AB33" s="27">
        <v>0</v>
      </c>
      <c r="AC33" s="27">
        <v>27401</v>
      </c>
      <c r="AD33" s="27">
        <v>0</v>
      </c>
      <c r="AE33" s="26">
        <v>67902</v>
      </c>
      <c r="AF33" s="27">
        <v>4212</v>
      </c>
      <c r="AG33" s="27">
        <v>0</v>
      </c>
      <c r="AH33" s="27">
        <v>0</v>
      </c>
      <c r="AI33" s="27">
        <v>0</v>
      </c>
      <c r="AJ33" s="27">
        <v>0</v>
      </c>
      <c r="AK33" s="26">
        <f>SUM(AF33:AJ33)</f>
        <v>4212</v>
      </c>
      <c r="AL33" s="28">
        <f>AK33+AE33+Z33</f>
        <v>101004</v>
      </c>
      <c r="AM33" s="11">
        <v>16</v>
      </c>
      <c r="AN33" s="13">
        <f t="shared" si="0"/>
        <v>36375824</v>
      </c>
      <c r="AO33" s="13">
        <f t="shared" si="1"/>
        <v>1616064</v>
      </c>
    </row>
    <row r="34" spans="1:41" s="15" customFormat="1">
      <c r="A34" s="118"/>
      <c r="B34" s="12" t="s">
        <v>6</v>
      </c>
      <c r="C34" s="26"/>
      <c r="D34" s="26"/>
      <c r="E34" s="27">
        <v>0</v>
      </c>
      <c r="F34" s="27">
        <v>102400</v>
      </c>
      <c r="G34" s="27">
        <v>411702</v>
      </c>
      <c r="H34" s="27">
        <v>0</v>
      </c>
      <c r="I34" s="26">
        <v>514102</v>
      </c>
      <c r="J34" s="27">
        <v>0</v>
      </c>
      <c r="K34" s="27">
        <v>300000</v>
      </c>
      <c r="L34" s="27">
        <v>40960</v>
      </c>
      <c r="M34" s="27">
        <v>0</v>
      </c>
      <c r="N34" s="26">
        <v>340960</v>
      </c>
      <c r="O34" s="27">
        <v>350000</v>
      </c>
      <c r="P34" s="27">
        <v>0</v>
      </c>
      <c r="Q34" s="27">
        <v>0</v>
      </c>
      <c r="R34" s="27">
        <v>200000</v>
      </c>
      <c r="S34" s="27">
        <v>0</v>
      </c>
      <c r="T34" s="26">
        <f>SUM(O34:S34)</f>
        <v>550000</v>
      </c>
      <c r="U34" s="28"/>
      <c r="V34" s="27">
        <v>50000</v>
      </c>
      <c r="W34" s="27">
        <v>0</v>
      </c>
      <c r="X34" s="27">
        <v>0</v>
      </c>
      <c r="Y34" s="27">
        <v>0</v>
      </c>
      <c r="Z34" s="26">
        <v>50000</v>
      </c>
      <c r="AA34" s="27">
        <v>0</v>
      </c>
      <c r="AB34" s="27">
        <v>0</v>
      </c>
      <c r="AC34" s="27">
        <v>0</v>
      </c>
      <c r="AD34" s="27">
        <v>0</v>
      </c>
      <c r="AE34" s="26">
        <v>0</v>
      </c>
      <c r="AF34" s="27">
        <v>0</v>
      </c>
      <c r="AG34" s="27">
        <v>0</v>
      </c>
      <c r="AH34" s="27">
        <v>0</v>
      </c>
      <c r="AI34" s="27">
        <v>0</v>
      </c>
      <c r="AJ34" s="27">
        <v>0</v>
      </c>
      <c r="AK34" s="26">
        <f>SUM(AF34:AJ34)</f>
        <v>0</v>
      </c>
      <c r="AL34" s="28"/>
      <c r="AN34" s="13">
        <f t="shared" si="0"/>
        <v>0</v>
      </c>
      <c r="AO34" s="13">
        <f t="shared" si="1"/>
        <v>0</v>
      </c>
    </row>
    <row r="35" spans="1:41" s="15" customFormat="1">
      <c r="A35" s="118"/>
      <c r="B35" s="12" t="s">
        <v>10</v>
      </c>
      <c r="C35" s="26">
        <v>0</v>
      </c>
      <c r="D35" s="26"/>
      <c r="E35" s="27"/>
      <c r="F35" s="27"/>
      <c r="G35" s="27"/>
      <c r="H35" s="27"/>
      <c r="I35" s="26">
        <v>0</v>
      </c>
      <c r="J35" s="27"/>
      <c r="K35" s="27"/>
      <c r="L35" s="27">
        <v>0</v>
      </c>
      <c r="M35" s="27"/>
      <c r="N35" s="26">
        <v>0</v>
      </c>
      <c r="O35" s="27"/>
      <c r="P35" s="27"/>
      <c r="Q35" s="27"/>
      <c r="R35" s="27"/>
      <c r="S35" s="27"/>
      <c r="T35" s="26">
        <f>SUM(O35:R35)</f>
        <v>0</v>
      </c>
      <c r="U35" s="28">
        <f>I35+N35+T35</f>
        <v>0</v>
      </c>
      <c r="V35" s="27"/>
      <c r="W35" s="27"/>
      <c r="X35" s="27"/>
      <c r="Y35" s="27"/>
      <c r="Z35" s="26">
        <v>0</v>
      </c>
      <c r="AA35" s="27"/>
      <c r="AB35" s="27"/>
      <c r="AC35" s="27"/>
      <c r="AD35" s="27"/>
      <c r="AE35" s="26">
        <v>0</v>
      </c>
      <c r="AF35" s="27"/>
      <c r="AG35" s="27"/>
      <c r="AH35" s="27"/>
      <c r="AI35" s="27"/>
      <c r="AJ35" s="27"/>
      <c r="AK35" s="26">
        <f>SUM(AF35:AI35)</f>
        <v>0</v>
      </c>
      <c r="AL35" s="28">
        <f>Z35+AE35+AK35</f>
        <v>0</v>
      </c>
      <c r="AN35" s="13">
        <f t="shared" si="0"/>
        <v>0</v>
      </c>
      <c r="AO35" s="13">
        <f t="shared" si="1"/>
        <v>0</v>
      </c>
    </row>
    <row r="36" spans="1:41" s="15" customFormat="1">
      <c r="A36" s="118"/>
      <c r="B36" s="12" t="s">
        <v>7</v>
      </c>
      <c r="C36" s="26"/>
      <c r="D36" s="26"/>
      <c r="E36" s="32">
        <v>0</v>
      </c>
      <c r="F36" s="27">
        <v>102400</v>
      </c>
      <c r="G36" s="27">
        <v>411702</v>
      </c>
      <c r="H36" s="27">
        <v>0</v>
      </c>
      <c r="I36" s="26">
        <v>514102</v>
      </c>
      <c r="J36" s="32">
        <v>0</v>
      </c>
      <c r="K36" s="27">
        <v>300000</v>
      </c>
      <c r="L36" s="27">
        <v>40960</v>
      </c>
      <c r="M36" s="27">
        <v>0</v>
      </c>
      <c r="N36" s="26">
        <v>340960</v>
      </c>
      <c r="O36" s="32">
        <v>350000</v>
      </c>
      <c r="P36" s="27">
        <v>0</v>
      </c>
      <c r="Q36" s="27">
        <v>0</v>
      </c>
      <c r="R36" s="27">
        <v>200000</v>
      </c>
      <c r="S36" s="27">
        <v>0</v>
      </c>
      <c r="T36" s="26">
        <f>SUM(O36:S36)</f>
        <v>550000</v>
      </c>
      <c r="U36" s="28">
        <f>T36+N36+I36+D37</f>
        <v>2416000</v>
      </c>
      <c r="V36" s="32">
        <v>50000</v>
      </c>
      <c r="W36" s="27">
        <v>0</v>
      </c>
      <c r="X36" s="27">
        <v>0</v>
      </c>
      <c r="Y36" s="27">
        <v>0</v>
      </c>
      <c r="Z36" s="26">
        <v>192511</v>
      </c>
      <c r="AA36" s="32">
        <v>0</v>
      </c>
      <c r="AB36" s="27">
        <v>0</v>
      </c>
      <c r="AC36" s="27">
        <v>0</v>
      </c>
      <c r="AD36" s="27">
        <v>0</v>
      </c>
      <c r="AE36" s="26">
        <v>0</v>
      </c>
      <c r="AF36" s="32">
        <v>0</v>
      </c>
      <c r="AG36" s="27">
        <v>0</v>
      </c>
      <c r="AH36" s="27">
        <v>0</v>
      </c>
      <c r="AI36" s="27">
        <v>0</v>
      </c>
      <c r="AJ36" s="27">
        <v>0</v>
      </c>
      <c r="AK36" s="26">
        <f>SUM(AF36:AJ36)</f>
        <v>0</v>
      </c>
      <c r="AL36" s="28">
        <f>AK36+AE36+Z36</f>
        <v>192511</v>
      </c>
      <c r="AN36" s="13">
        <f t="shared" si="0"/>
        <v>0</v>
      </c>
      <c r="AO36" s="13">
        <f t="shared" si="1"/>
        <v>0</v>
      </c>
    </row>
    <row r="37" spans="1:41" s="15" customFormat="1" ht="17" thickBot="1">
      <c r="A37" s="119"/>
      <c r="B37" s="4" t="s">
        <v>8</v>
      </c>
      <c r="C37" s="26">
        <v>571116</v>
      </c>
      <c r="D37" s="37">
        <v>1010938</v>
      </c>
      <c r="E37" s="21">
        <v>0</v>
      </c>
      <c r="F37" s="21">
        <v>0</v>
      </c>
      <c r="G37" s="21">
        <v>0</v>
      </c>
      <c r="H37" s="21">
        <v>0</v>
      </c>
      <c r="I37" s="20">
        <v>0</v>
      </c>
      <c r="J37" s="21">
        <v>0</v>
      </c>
      <c r="K37" s="21">
        <v>0</v>
      </c>
      <c r="L37" s="21">
        <v>0</v>
      </c>
      <c r="M37" s="21">
        <v>0</v>
      </c>
      <c r="N37" s="20">
        <v>0</v>
      </c>
      <c r="O37" s="21">
        <v>152192</v>
      </c>
      <c r="P37" s="21">
        <v>150156</v>
      </c>
      <c r="Q37" s="21">
        <v>-2542</v>
      </c>
      <c r="R37" s="21">
        <v>142511</v>
      </c>
      <c r="S37" s="21">
        <v>142511</v>
      </c>
      <c r="T37" s="20">
        <f>N37+T36-T33</f>
        <v>142511</v>
      </c>
      <c r="U37" s="22">
        <f>U36-U33</f>
        <v>142511</v>
      </c>
      <c r="V37" s="21">
        <v>171831</v>
      </c>
      <c r="W37" s="21">
        <v>170669</v>
      </c>
      <c r="X37" s="21">
        <v>163621</v>
      </c>
      <c r="Y37" s="21">
        <v>163621</v>
      </c>
      <c r="Z37" s="20">
        <v>163621</v>
      </c>
      <c r="AA37" s="21">
        <v>123120</v>
      </c>
      <c r="AB37" s="21">
        <v>123120</v>
      </c>
      <c r="AC37" s="21">
        <v>95719</v>
      </c>
      <c r="AD37" s="21">
        <v>95719</v>
      </c>
      <c r="AE37" s="20">
        <v>95719</v>
      </c>
      <c r="AF37" s="21">
        <v>91507</v>
      </c>
      <c r="AG37" s="21">
        <v>91507</v>
      </c>
      <c r="AH37" s="21">
        <v>91507</v>
      </c>
      <c r="AI37" s="21">
        <v>91507</v>
      </c>
      <c r="AJ37" s="21">
        <v>91507</v>
      </c>
      <c r="AK37" s="20">
        <f>AE37+AK36-AK33</f>
        <v>91507</v>
      </c>
      <c r="AL37" s="22">
        <f>T37+AL36-AL33</f>
        <v>234018</v>
      </c>
      <c r="AN37" s="13">
        <f t="shared" si="0"/>
        <v>0</v>
      </c>
      <c r="AO37" s="13">
        <f t="shared" si="1"/>
        <v>0</v>
      </c>
    </row>
    <row r="38" spans="1:41" s="15" customFormat="1" ht="17" thickBot="1">
      <c r="A38" s="46"/>
      <c r="B38" s="12" t="s">
        <v>9</v>
      </c>
      <c r="C38" s="26"/>
      <c r="D38" s="26"/>
      <c r="E38" s="19">
        <v>0</v>
      </c>
      <c r="F38" s="19">
        <v>0</v>
      </c>
      <c r="G38" s="19">
        <v>0</v>
      </c>
      <c r="H38" s="19">
        <v>0</v>
      </c>
      <c r="I38" s="23"/>
      <c r="J38" s="19">
        <v>0</v>
      </c>
      <c r="K38" s="19">
        <v>0</v>
      </c>
      <c r="L38" s="19">
        <v>0</v>
      </c>
      <c r="M38" s="19">
        <v>0</v>
      </c>
      <c r="N38" s="23"/>
      <c r="O38" s="19">
        <v>14516.527486992147</v>
      </c>
      <c r="P38" s="19">
        <v>1210.3820269280097</v>
      </c>
      <c r="Q38" s="19">
        <v>-925.25524596429284</v>
      </c>
      <c r="R38" s="19" t="e">
        <v>#DIV/0!</v>
      </c>
      <c r="S38" s="19" t="e">
        <v>#REF!</v>
      </c>
      <c r="T38" s="23"/>
      <c r="U38" s="24"/>
      <c r="V38" s="19">
        <v>92631.266846361192</v>
      </c>
      <c r="W38" s="19">
        <v>94979.687239134058</v>
      </c>
      <c r="X38" s="19">
        <v>113271.7203184493</v>
      </c>
      <c r="Y38" s="19">
        <v>113271.7203184493</v>
      </c>
      <c r="Z38" s="23"/>
      <c r="AA38" s="19">
        <v>25837.591681269216</v>
      </c>
      <c r="AB38" s="19">
        <v>25837.591681269216</v>
      </c>
      <c r="AC38" s="19">
        <v>28193.278548496361</v>
      </c>
      <c r="AD38" s="19">
        <v>28193.278548496361</v>
      </c>
      <c r="AE38" s="23"/>
      <c r="AF38" s="19" t="e">
        <v>#DIV/0!</v>
      </c>
      <c r="AG38" s="19">
        <v>18119.480416617163</v>
      </c>
      <c r="AH38" s="19" t="e">
        <v>#DIV/0!</v>
      </c>
      <c r="AI38" s="19" t="e">
        <v>#DIV/0!</v>
      </c>
      <c r="AJ38" s="19" t="e">
        <v>#REF!</v>
      </c>
      <c r="AK38" s="23"/>
      <c r="AL38" s="24"/>
      <c r="AN38" s="13">
        <f t="shared" si="0"/>
        <v>0</v>
      </c>
      <c r="AO38" s="13">
        <f t="shared" si="1"/>
        <v>0</v>
      </c>
    </row>
    <row r="39" spans="1:41" s="15" customFormat="1">
      <c r="A39" s="117" t="s">
        <v>15</v>
      </c>
      <c r="B39" s="3" t="s">
        <v>5</v>
      </c>
      <c r="C39" s="26"/>
      <c r="D39" s="26"/>
      <c r="E39" s="27">
        <v>0</v>
      </c>
      <c r="F39" s="27">
        <v>0</v>
      </c>
      <c r="G39" s="27">
        <v>0</v>
      </c>
      <c r="H39" s="27">
        <v>0</v>
      </c>
      <c r="I39" s="26">
        <v>0</v>
      </c>
      <c r="J39" s="27">
        <v>0</v>
      </c>
      <c r="K39" s="27">
        <v>0</v>
      </c>
      <c r="L39" s="27">
        <v>0</v>
      </c>
      <c r="M39" s="27">
        <v>0</v>
      </c>
      <c r="N39" s="26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6">
        <f>SUM(O39:S39)</f>
        <v>0</v>
      </c>
      <c r="U39" s="28">
        <f>T39+N39+I39+D43</f>
        <v>13788</v>
      </c>
      <c r="V39" s="27">
        <v>0</v>
      </c>
      <c r="W39" s="27">
        <v>0</v>
      </c>
      <c r="X39" s="27">
        <v>0</v>
      </c>
      <c r="Y39" s="27">
        <v>0</v>
      </c>
      <c r="Z39" s="26">
        <v>0</v>
      </c>
      <c r="AA39" s="27">
        <v>0</v>
      </c>
      <c r="AB39" s="27">
        <v>0</v>
      </c>
      <c r="AC39" s="27">
        <v>0</v>
      </c>
      <c r="AD39" s="27">
        <v>0</v>
      </c>
      <c r="AE39" s="26">
        <v>0</v>
      </c>
      <c r="AF39" s="27">
        <v>0</v>
      </c>
      <c r="AG39" s="27">
        <v>0</v>
      </c>
      <c r="AH39" s="27">
        <v>0</v>
      </c>
      <c r="AI39" s="27">
        <v>0</v>
      </c>
      <c r="AJ39" s="27">
        <v>0</v>
      </c>
      <c r="AK39" s="26">
        <f>SUM(AF39:AJ39)</f>
        <v>0</v>
      </c>
      <c r="AL39" s="28">
        <f>AK39+AE39+Z39</f>
        <v>0</v>
      </c>
      <c r="AM39" s="15">
        <v>32</v>
      </c>
      <c r="AN39" s="13">
        <f t="shared" si="0"/>
        <v>441216</v>
      </c>
      <c r="AO39" s="13">
        <f t="shared" si="1"/>
        <v>0</v>
      </c>
    </row>
    <row r="40" spans="1:41" s="15" customFormat="1">
      <c r="A40" s="118"/>
      <c r="B40" s="12" t="s">
        <v>6</v>
      </c>
      <c r="C40" s="26"/>
      <c r="D40" s="26"/>
      <c r="E40" s="27">
        <v>0</v>
      </c>
      <c r="F40" s="27">
        <v>0</v>
      </c>
      <c r="G40" s="27">
        <v>0</v>
      </c>
      <c r="H40" s="27">
        <v>0</v>
      </c>
      <c r="I40" s="26">
        <v>0</v>
      </c>
      <c r="J40" s="27">
        <v>0</v>
      </c>
      <c r="K40" s="27">
        <v>0</v>
      </c>
      <c r="L40" s="27">
        <v>0</v>
      </c>
      <c r="M40" s="27">
        <v>0</v>
      </c>
      <c r="N40" s="26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6">
        <f>SUM(O40:S40)</f>
        <v>0</v>
      </c>
      <c r="U40" s="28"/>
      <c r="V40" s="27">
        <v>0</v>
      </c>
      <c r="W40" s="27">
        <v>0</v>
      </c>
      <c r="X40" s="27">
        <v>0</v>
      </c>
      <c r="Y40" s="27">
        <v>0</v>
      </c>
      <c r="Z40" s="26">
        <v>0</v>
      </c>
      <c r="AA40" s="27">
        <v>0</v>
      </c>
      <c r="AB40" s="27">
        <v>0</v>
      </c>
      <c r="AC40" s="27">
        <v>0</v>
      </c>
      <c r="AD40" s="27">
        <v>0</v>
      </c>
      <c r="AE40" s="26">
        <v>0</v>
      </c>
      <c r="AF40" s="27">
        <v>0</v>
      </c>
      <c r="AG40" s="27">
        <v>0</v>
      </c>
      <c r="AH40" s="27">
        <v>0</v>
      </c>
      <c r="AI40" s="27">
        <v>0</v>
      </c>
      <c r="AJ40" s="27">
        <v>0</v>
      </c>
      <c r="AK40" s="26">
        <f>SUM(AF40:AJ40)</f>
        <v>0</v>
      </c>
      <c r="AL40" s="28"/>
      <c r="AN40" s="13">
        <f t="shared" si="0"/>
        <v>0</v>
      </c>
      <c r="AO40" s="13">
        <f t="shared" si="1"/>
        <v>0</v>
      </c>
    </row>
    <row r="41" spans="1:41" s="15" customFormat="1">
      <c r="A41" s="118"/>
      <c r="B41" s="12" t="s">
        <v>10</v>
      </c>
      <c r="C41" s="26">
        <v>0</v>
      </c>
      <c r="D41" s="26"/>
      <c r="E41" s="27"/>
      <c r="F41" s="27"/>
      <c r="G41" s="27"/>
      <c r="H41" s="27"/>
      <c r="I41" s="26">
        <v>0</v>
      </c>
      <c r="J41" s="27"/>
      <c r="K41" s="27"/>
      <c r="L41" s="27">
        <v>0</v>
      </c>
      <c r="M41" s="27"/>
      <c r="N41" s="26">
        <v>0</v>
      </c>
      <c r="O41" s="27"/>
      <c r="P41" s="27"/>
      <c r="Q41" s="27"/>
      <c r="R41" s="27"/>
      <c r="S41" s="27"/>
      <c r="T41" s="26">
        <f>SUM(O41:R41)</f>
        <v>0</v>
      </c>
      <c r="U41" s="28">
        <f>I41+N41+T41</f>
        <v>0</v>
      </c>
      <c r="V41" s="27"/>
      <c r="W41" s="27"/>
      <c r="X41" s="27"/>
      <c r="Y41" s="27"/>
      <c r="Z41" s="26">
        <v>0</v>
      </c>
      <c r="AA41" s="27"/>
      <c r="AB41" s="27"/>
      <c r="AC41" s="27"/>
      <c r="AD41" s="27"/>
      <c r="AE41" s="26">
        <v>0</v>
      </c>
      <c r="AF41" s="27"/>
      <c r="AG41" s="27"/>
      <c r="AH41" s="27"/>
      <c r="AI41" s="27"/>
      <c r="AJ41" s="27"/>
      <c r="AK41" s="26">
        <f>SUM(AF41:AI41)</f>
        <v>0</v>
      </c>
      <c r="AL41" s="28">
        <f>Z41+AE41+AK41</f>
        <v>0</v>
      </c>
      <c r="AN41" s="13">
        <f t="shared" si="0"/>
        <v>0</v>
      </c>
      <c r="AO41" s="13">
        <f t="shared" si="1"/>
        <v>0</v>
      </c>
    </row>
    <row r="42" spans="1:41" s="15" customFormat="1">
      <c r="A42" s="118"/>
      <c r="B42" s="12" t="s">
        <v>7</v>
      </c>
      <c r="C42" s="26"/>
      <c r="D42" s="26"/>
      <c r="E42" s="32">
        <v>0</v>
      </c>
      <c r="F42" s="27">
        <v>0</v>
      </c>
      <c r="G42" s="27">
        <v>0</v>
      </c>
      <c r="H42" s="27">
        <v>0</v>
      </c>
      <c r="I42" s="26">
        <v>0</v>
      </c>
      <c r="J42" s="32">
        <v>0</v>
      </c>
      <c r="K42" s="27">
        <v>0</v>
      </c>
      <c r="L42" s="27">
        <v>0</v>
      </c>
      <c r="M42" s="27">
        <v>0</v>
      </c>
      <c r="N42" s="26">
        <v>0</v>
      </c>
      <c r="O42" s="32">
        <v>0</v>
      </c>
      <c r="P42" s="27">
        <v>0</v>
      </c>
      <c r="Q42" s="27">
        <v>0</v>
      </c>
      <c r="R42" s="27">
        <v>0</v>
      </c>
      <c r="S42" s="27">
        <v>0</v>
      </c>
      <c r="T42" s="26">
        <f>SUM(O42:S42)</f>
        <v>0</v>
      </c>
      <c r="U42" s="28">
        <f>T42+N42+I42+D43</f>
        <v>13788</v>
      </c>
      <c r="V42" s="32">
        <v>0</v>
      </c>
      <c r="W42" s="27">
        <v>0</v>
      </c>
      <c r="X42" s="27">
        <v>0</v>
      </c>
      <c r="Y42" s="27">
        <v>0</v>
      </c>
      <c r="Z42" s="26">
        <v>0</v>
      </c>
      <c r="AA42" s="32">
        <v>0</v>
      </c>
      <c r="AB42" s="27">
        <v>0</v>
      </c>
      <c r="AC42" s="27">
        <v>0</v>
      </c>
      <c r="AD42" s="27">
        <v>0</v>
      </c>
      <c r="AE42" s="26">
        <v>0</v>
      </c>
      <c r="AF42" s="32">
        <v>0</v>
      </c>
      <c r="AG42" s="27">
        <v>0</v>
      </c>
      <c r="AH42" s="27">
        <v>0</v>
      </c>
      <c r="AI42" s="27">
        <v>0</v>
      </c>
      <c r="AJ42" s="27">
        <v>0</v>
      </c>
      <c r="AK42" s="26">
        <f>SUM(AF42:AJ42)</f>
        <v>0</v>
      </c>
      <c r="AL42" s="28">
        <f>AK42+AE42+Z42</f>
        <v>0</v>
      </c>
      <c r="AN42" s="13">
        <f t="shared" si="0"/>
        <v>0</v>
      </c>
      <c r="AO42" s="13">
        <f t="shared" si="1"/>
        <v>0</v>
      </c>
    </row>
    <row r="43" spans="1:41" s="15" customFormat="1" ht="17" thickBot="1">
      <c r="A43" s="119"/>
      <c r="B43" s="4" t="s">
        <v>8</v>
      </c>
      <c r="C43" s="26">
        <v>4742</v>
      </c>
      <c r="D43" s="37">
        <v>13788</v>
      </c>
      <c r="E43" s="21">
        <v>0</v>
      </c>
      <c r="F43" s="21">
        <v>0</v>
      </c>
      <c r="G43" s="21">
        <v>0</v>
      </c>
      <c r="H43" s="21">
        <v>0</v>
      </c>
      <c r="I43" s="20">
        <v>0</v>
      </c>
      <c r="J43" s="21">
        <v>0</v>
      </c>
      <c r="K43" s="21">
        <v>0</v>
      </c>
      <c r="L43" s="21">
        <v>0</v>
      </c>
      <c r="M43" s="21">
        <v>0</v>
      </c>
      <c r="N43" s="20">
        <v>0</v>
      </c>
      <c r="O43" s="21">
        <v>0</v>
      </c>
      <c r="P43" s="21">
        <v>0</v>
      </c>
      <c r="Q43" s="21">
        <v>0</v>
      </c>
      <c r="R43" s="21">
        <v>0</v>
      </c>
      <c r="S43" s="21">
        <v>0</v>
      </c>
      <c r="T43" s="20">
        <f>N43+T42-T39</f>
        <v>0</v>
      </c>
      <c r="U43" s="22">
        <f>U42-U39</f>
        <v>0</v>
      </c>
      <c r="V43" s="21">
        <v>0</v>
      </c>
      <c r="W43" s="21">
        <v>0</v>
      </c>
      <c r="X43" s="21">
        <v>0</v>
      </c>
      <c r="Y43" s="21">
        <v>0</v>
      </c>
      <c r="Z43" s="20">
        <v>0</v>
      </c>
      <c r="AA43" s="21">
        <v>0</v>
      </c>
      <c r="AB43" s="21">
        <v>0</v>
      </c>
      <c r="AC43" s="21">
        <v>0</v>
      </c>
      <c r="AD43" s="21">
        <v>0</v>
      </c>
      <c r="AE43" s="20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0">
        <f>AE43+AK42-AK39</f>
        <v>0</v>
      </c>
      <c r="AL43" s="22">
        <f>T43+AL42-AL39</f>
        <v>0</v>
      </c>
      <c r="AN43" s="13">
        <f t="shared" si="0"/>
        <v>0</v>
      </c>
      <c r="AO43" s="13">
        <f t="shared" si="1"/>
        <v>0</v>
      </c>
    </row>
    <row r="44" spans="1:41" s="15" customFormat="1" ht="17" thickBot="1">
      <c r="A44" s="46"/>
      <c r="B44" s="12" t="s">
        <v>9</v>
      </c>
      <c r="C44" s="26"/>
      <c r="D44" s="26"/>
      <c r="E44" s="19" t="e">
        <v>#DIV/0!</v>
      </c>
      <c r="F44" s="19" t="e">
        <v>#DIV/0!</v>
      </c>
      <c r="G44" s="19" t="e">
        <v>#DIV/0!</v>
      </c>
      <c r="H44" s="19" t="e">
        <v>#DIV/0!</v>
      </c>
      <c r="I44" s="23"/>
      <c r="J44" s="19" t="e">
        <v>#DIV/0!</v>
      </c>
      <c r="K44" s="19" t="e">
        <v>#DIV/0!</v>
      </c>
      <c r="L44" s="19" t="e">
        <v>#DIV/0!</v>
      </c>
      <c r="M44" s="19" t="e">
        <v>#DIV/0!</v>
      </c>
      <c r="N44" s="23"/>
      <c r="O44" s="19" t="e">
        <v>#DIV/0!</v>
      </c>
      <c r="P44" s="19">
        <v>0</v>
      </c>
      <c r="Q44" s="19" t="e">
        <v>#DIV/0!</v>
      </c>
      <c r="R44" s="19" t="e">
        <v>#DIV/0!</v>
      </c>
      <c r="S44" s="19" t="e">
        <v>#REF!</v>
      </c>
      <c r="T44" s="23"/>
      <c r="U44" s="24"/>
      <c r="V44" s="19" t="e">
        <v>#DIV/0!</v>
      </c>
      <c r="W44" s="19" t="e">
        <v>#DIV/0!</v>
      </c>
      <c r="X44" s="19" t="e">
        <v>#DIV/0!</v>
      </c>
      <c r="Y44" s="19" t="e">
        <v>#DIV/0!</v>
      </c>
      <c r="Z44" s="23"/>
      <c r="AA44" s="19" t="e">
        <v>#DIV/0!</v>
      </c>
      <c r="AB44" s="19" t="e">
        <v>#DIV/0!</v>
      </c>
      <c r="AC44" s="19" t="e">
        <v>#DIV/0!</v>
      </c>
      <c r="AD44" s="19" t="e">
        <v>#DIV/0!</v>
      </c>
      <c r="AE44" s="23"/>
      <c r="AF44" s="19" t="e">
        <v>#DIV/0!</v>
      </c>
      <c r="AG44" s="19" t="e">
        <v>#DIV/0!</v>
      </c>
      <c r="AH44" s="19" t="e">
        <v>#DIV/0!</v>
      </c>
      <c r="AI44" s="19" t="e">
        <v>#DIV/0!</v>
      </c>
      <c r="AJ44" s="19" t="e">
        <v>#REF!</v>
      </c>
      <c r="AK44" s="23"/>
      <c r="AL44" s="24"/>
      <c r="AN44" s="13">
        <f t="shared" si="0"/>
        <v>0</v>
      </c>
      <c r="AO44" s="13">
        <f t="shared" si="1"/>
        <v>0</v>
      </c>
    </row>
    <row r="45" spans="1:41" s="15" customFormat="1">
      <c r="A45" s="117" t="s">
        <v>25</v>
      </c>
      <c r="B45" s="3" t="s">
        <v>5</v>
      </c>
      <c r="C45" s="26"/>
      <c r="D45" s="26"/>
      <c r="E45" s="27">
        <v>0</v>
      </c>
      <c r="F45" s="27">
        <v>60000</v>
      </c>
      <c r="G45" s="27">
        <v>66288</v>
      </c>
      <c r="H45" s="27">
        <v>0</v>
      </c>
      <c r="I45" s="26">
        <v>126288</v>
      </c>
      <c r="J45" s="27">
        <v>29392</v>
      </c>
      <c r="K45" s="27">
        <v>0</v>
      </c>
      <c r="L45" s="27">
        <v>53000</v>
      </c>
      <c r="M45" s="27">
        <v>0</v>
      </c>
      <c r="N45" s="26">
        <v>82392</v>
      </c>
      <c r="O45" s="27">
        <v>382588</v>
      </c>
      <c r="P45" s="27">
        <v>2249</v>
      </c>
      <c r="Q45" s="27">
        <v>8289</v>
      </c>
      <c r="R45" s="27">
        <v>0</v>
      </c>
      <c r="S45" s="27">
        <v>0</v>
      </c>
      <c r="T45" s="26">
        <f>SUM(O45:S45)</f>
        <v>393126</v>
      </c>
      <c r="U45" s="28">
        <f>T45+N45+I45+D49</f>
        <v>779312</v>
      </c>
      <c r="V45" s="27">
        <v>76244</v>
      </c>
      <c r="W45" s="27">
        <v>204</v>
      </c>
      <c r="X45" s="27">
        <v>15783</v>
      </c>
      <c r="Y45" s="27">
        <v>0</v>
      </c>
      <c r="Z45" s="26">
        <v>92231</v>
      </c>
      <c r="AA45" s="27">
        <v>117254</v>
      </c>
      <c r="AB45" s="27">
        <v>0</v>
      </c>
      <c r="AC45" s="27">
        <v>13391</v>
      </c>
      <c r="AD45" s="27">
        <v>0</v>
      </c>
      <c r="AE45" s="26">
        <v>130645</v>
      </c>
      <c r="AF45" s="27">
        <v>356</v>
      </c>
      <c r="AG45" s="27">
        <v>0</v>
      </c>
      <c r="AH45" s="27">
        <v>0</v>
      </c>
      <c r="AI45" s="27">
        <v>0</v>
      </c>
      <c r="AJ45" s="27">
        <v>0</v>
      </c>
      <c r="AK45" s="26">
        <f>SUM(AF45:AJ45)</f>
        <v>356</v>
      </c>
      <c r="AL45" s="28">
        <f>AK45+AE45+Z45</f>
        <v>223232</v>
      </c>
      <c r="AM45" s="15">
        <v>16</v>
      </c>
      <c r="AN45" s="13">
        <f t="shared" ref="AN45:AN58" si="2">U45*AM45</f>
        <v>12468992</v>
      </c>
      <c r="AO45" s="13">
        <f t="shared" ref="AO45:AO59" si="3">AL45*AM45</f>
        <v>3571712</v>
      </c>
    </row>
    <row r="46" spans="1:41" s="15" customFormat="1">
      <c r="A46" s="118"/>
      <c r="B46" s="12" t="s">
        <v>6</v>
      </c>
      <c r="C46" s="26"/>
      <c r="D46" s="26"/>
      <c r="E46" s="27">
        <v>0</v>
      </c>
      <c r="F46" s="27">
        <v>60000</v>
      </c>
      <c r="G46" s="27">
        <v>66288</v>
      </c>
      <c r="H46" s="27">
        <v>0</v>
      </c>
      <c r="I46" s="26">
        <v>126288</v>
      </c>
      <c r="J46" s="27">
        <v>29392</v>
      </c>
      <c r="K46" s="27">
        <v>0</v>
      </c>
      <c r="L46" s="27">
        <v>53000</v>
      </c>
      <c r="M46" s="27">
        <v>0</v>
      </c>
      <c r="N46" s="26">
        <v>82392</v>
      </c>
      <c r="O46" s="27">
        <v>150000</v>
      </c>
      <c r="P46" s="27">
        <v>0</v>
      </c>
      <c r="Q46" s="27">
        <v>0</v>
      </c>
      <c r="R46" s="27">
        <v>100000</v>
      </c>
      <c r="S46" s="27">
        <v>0</v>
      </c>
      <c r="T46" s="26">
        <f>SUM(O46:S46)</f>
        <v>250000</v>
      </c>
      <c r="U46" s="28"/>
      <c r="V46" s="27">
        <v>0</v>
      </c>
      <c r="W46" s="27">
        <v>0</v>
      </c>
      <c r="X46" s="27">
        <v>0</v>
      </c>
      <c r="Y46" s="27">
        <v>0</v>
      </c>
      <c r="Z46" s="26">
        <v>0</v>
      </c>
      <c r="AA46" s="27">
        <v>0</v>
      </c>
      <c r="AB46" s="27">
        <v>0</v>
      </c>
      <c r="AC46" s="27">
        <v>0</v>
      </c>
      <c r="AD46" s="27">
        <v>0</v>
      </c>
      <c r="AE46" s="26">
        <v>0</v>
      </c>
      <c r="AF46" s="27">
        <v>0</v>
      </c>
      <c r="AG46" s="27">
        <v>0</v>
      </c>
      <c r="AH46" s="27">
        <v>0</v>
      </c>
      <c r="AI46" s="27">
        <v>0</v>
      </c>
      <c r="AJ46" s="27">
        <v>0</v>
      </c>
      <c r="AK46" s="26">
        <f>SUM(AF46:AJ46)</f>
        <v>0</v>
      </c>
      <c r="AL46" s="28"/>
      <c r="AN46" s="13">
        <f t="shared" si="2"/>
        <v>0</v>
      </c>
      <c r="AO46" s="13">
        <f t="shared" si="3"/>
        <v>0</v>
      </c>
    </row>
    <row r="47" spans="1:41" s="15" customFormat="1">
      <c r="A47" s="118"/>
      <c r="B47" s="12" t="s">
        <v>10</v>
      </c>
      <c r="C47" s="27">
        <v>0</v>
      </c>
      <c r="D47" s="26"/>
      <c r="E47" s="27">
        <v>0</v>
      </c>
      <c r="F47" s="27">
        <v>0</v>
      </c>
      <c r="G47" s="27">
        <v>0</v>
      </c>
      <c r="H47" s="27">
        <v>0</v>
      </c>
      <c r="I47" s="26">
        <v>0</v>
      </c>
      <c r="J47" s="27">
        <v>0</v>
      </c>
      <c r="K47" s="27">
        <v>0</v>
      </c>
      <c r="L47" s="27">
        <v>0</v>
      </c>
      <c r="M47" s="27">
        <v>0</v>
      </c>
      <c r="N47" s="26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6">
        <f>SUM(O47:R47)</f>
        <v>0</v>
      </c>
      <c r="U47" s="28">
        <f>I47+N47+T47</f>
        <v>0</v>
      </c>
      <c r="V47" s="27">
        <v>0</v>
      </c>
      <c r="W47" s="27">
        <v>0</v>
      </c>
      <c r="X47" s="27">
        <v>0</v>
      </c>
      <c r="Y47" s="27">
        <v>0</v>
      </c>
      <c r="Z47" s="26">
        <v>0</v>
      </c>
      <c r="AA47" s="27">
        <v>0</v>
      </c>
      <c r="AB47" s="27">
        <v>0</v>
      </c>
      <c r="AC47" s="27">
        <v>0</v>
      </c>
      <c r="AD47" s="27">
        <v>0</v>
      </c>
      <c r="AE47" s="26">
        <v>0</v>
      </c>
      <c r="AF47" s="27">
        <v>0</v>
      </c>
      <c r="AG47" s="27">
        <v>0</v>
      </c>
      <c r="AH47" s="27">
        <v>0</v>
      </c>
      <c r="AI47" s="27">
        <v>0</v>
      </c>
      <c r="AJ47" s="27">
        <v>0</v>
      </c>
      <c r="AK47" s="26">
        <f>SUM(AF47:AI47)</f>
        <v>0</v>
      </c>
      <c r="AL47" s="28">
        <f>Z47+AE47+AK47</f>
        <v>0</v>
      </c>
      <c r="AN47" s="13">
        <f t="shared" si="2"/>
        <v>0</v>
      </c>
      <c r="AO47" s="13">
        <f t="shared" si="3"/>
        <v>0</v>
      </c>
    </row>
    <row r="48" spans="1:41" s="15" customFormat="1">
      <c r="A48" s="118"/>
      <c r="B48" s="12" t="s">
        <v>7</v>
      </c>
      <c r="C48" s="26"/>
      <c r="D48" s="26"/>
      <c r="E48" s="32">
        <v>0</v>
      </c>
      <c r="F48" s="27">
        <v>60000</v>
      </c>
      <c r="G48" s="27">
        <v>66288</v>
      </c>
      <c r="H48" s="27">
        <v>0</v>
      </c>
      <c r="I48" s="26">
        <v>126288</v>
      </c>
      <c r="J48" s="32">
        <v>29392</v>
      </c>
      <c r="K48" s="27">
        <v>0</v>
      </c>
      <c r="L48" s="27">
        <v>53000</v>
      </c>
      <c r="M48" s="27">
        <v>0</v>
      </c>
      <c r="N48" s="26">
        <v>82392</v>
      </c>
      <c r="O48" s="32">
        <v>150000</v>
      </c>
      <c r="P48" s="27">
        <v>0</v>
      </c>
      <c r="Q48" s="27">
        <v>0</v>
      </c>
      <c r="R48" s="27">
        <v>100000</v>
      </c>
      <c r="S48" s="27">
        <v>0</v>
      </c>
      <c r="T48" s="26">
        <f>SUM(O48:S48)</f>
        <v>250000</v>
      </c>
      <c r="U48" s="28">
        <f>T48+N48+I48+D49</f>
        <v>636186</v>
      </c>
      <c r="V48" s="32">
        <v>0</v>
      </c>
      <c r="W48" s="27">
        <v>0</v>
      </c>
      <c r="X48" s="27">
        <v>0</v>
      </c>
      <c r="Y48" s="27">
        <v>0</v>
      </c>
      <c r="Z48" s="26">
        <v>-143126</v>
      </c>
      <c r="AA48" s="32">
        <v>0</v>
      </c>
      <c r="AB48" s="27">
        <v>0</v>
      </c>
      <c r="AC48" s="27">
        <v>0</v>
      </c>
      <c r="AD48" s="27">
        <v>0</v>
      </c>
      <c r="AE48" s="26">
        <v>0</v>
      </c>
      <c r="AF48" s="32">
        <v>0</v>
      </c>
      <c r="AG48" s="27">
        <v>0</v>
      </c>
      <c r="AH48" s="27">
        <v>0</v>
      </c>
      <c r="AI48" s="27">
        <v>0</v>
      </c>
      <c r="AJ48" s="27">
        <v>0</v>
      </c>
      <c r="AK48" s="26">
        <f>SUM(AF48:AJ48)</f>
        <v>0</v>
      </c>
      <c r="AL48" s="28">
        <f>AK48+AE48+Z48</f>
        <v>-143126</v>
      </c>
      <c r="AN48" s="13">
        <f t="shared" si="2"/>
        <v>0</v>
      </c>
      <c r="AO48" s="13">
        <f t="shared" si="3"/>
        <v>0</v>
      </c>
    </row>
    <row r="49" spans="1:41" s="15" customFormat="1" ht="17" thickBot="1">
      <c r="A49" s="119"/>
      <c r="B49" s="4" t="s">
        <v>8</v>
      </c>
      <c r="C49" s="26">
        <v>94136</v>
      </c>
      <c r="D49" s="37">
        <v>177506</v>
      </c>
      <c r="E49" s="21">
        <v>0</v>
      </c>
      <c r="F49" s="21">
        <v>0</v>
      </c>
      <c r="G49" s="21">
        <v>0</v>
      </c>
      <c r="H49" s="21">
        <v>0</v>
      </c>
      <c r="I49" s="20">
        <v>0</v>
      </c>
      <c r="J49" s="21">
        <v>0</v>
      </c>
      <c r="K49" s="21">
        <v>0</v>
      </c>
      <c r="L49" s="21">
        <v>0</v>
      </c>
      <c r="M49" s="21">
        <v>0</v>
      </c>
      <c r="N49" s="20">
        <v>0</v>
      </c>
      <c r="O49" s="21">
        <v>-232588</v>
      </c>
      <c r="P49" s="21">
        <v>-234837</v>
      </c>
      <c r="Q49" s="21">
        <v>-243126</v>
      </c>
      <c r="R49" s="21">
        <v>-143126</v>
      </c>
      <c r="S49" s="21">
        <v>-143126</v>
      </c>
      <c r="T49" s="20">
        <f>N49+T48-T45</f>
        <v>-143126</v>
      </c>
      <c r="U49" s="22">
        <f>U48-U45</f>
        <v>-143126</v>
      </c>
      <c r="V49" s="21">
        <v>-219370</v>
      </c>
      <c r="W49" s="21">
        <v>-219574</v>
      </c>
      <c r="X49" s="21">
        <v>-235357</v>
      </c>
      <c r="Y49" s="21">
        <v>-235357</v>
      </c>
      <c r="Z49" s="20">
        <v>-235357</v>
      </c>
      <c r="AA49" s="21">
        <v>-352611</v>
      </c>
      <c r="AB49" s="21">
        <v>-352611</v>
      </c>
      <c r="AC49" s="21">
        <v>-366002</v>
      </c>
      <c r="AD49" s="21">
        <v>-366002</v>
      </c>
      <c r="AE49" s="20">
        <v>-366002</v>
      </c>
      <c r="AF49" s="21">
        <v>-366358</v>
      </c>
      <c r="AG49" s="21">
        <v>-366358</v>
      </c>
      <c r="AH49" s="21">
        <v>-366358</v>
      </c>
      <c r="AI49" s="21">
        <v>-366358</v>
      </c>
      <c r="AJ49" s="21">
        <v>-366358</v>
      </c>
      <c r="AK49" s="20">
        <f>AE49+AK48-AK45</f>
        <v>-366358</v>
      </c>
      <c r="AL49" s="22">
        <f>T49+AL48-AL45</f>
        <v>-509484</v>
      </c>
      <c r="AN49" s="13">
        <f t="shared" si="2"/>
        <v>0</v>
      </c>
      <c r="AO49" s="13">
        <f t="shared" si="3"/>
        <v>0</v>
      </c>
    </row>
    <row r="50" spans="1:41" s="15" customFormat="1" ht="17" thickBot="1">
      <c r="A50" s="46"/>
      <c r="B50" s="12" t="s">
        <v>9</v>
      </c>
      <c r="C50" s="26"/>
      <c r="D50" s="26"/>
      <c r="E50" s="19">
        <v>0</v>
      </c>
      <c r="F50" s="19">
        <v>0</v>
      </c>
      <c r="G50" s="19">
        <v>0</v>
      </c>
      <c r="H50" s="19">
        <v>0</v>
      </c>
      <c r="I50" s="23"/>
      <c r="J50" s="19">
        <v>0</v>
      </c>
      <c r="K50" s="19">
        <v>0</v>
      </c>
      <c r="L50" s="19">
        <v>0</v>
      </c>
      <c r="M50" s="19">
        <v>0</v>
      </c>
      <c r="N50" s="23"/>
      <c r="O50" s="19">
        <v>-441427.21579047258</v>
      </c>
      <c r="P50" s="19">
        <v>-5963.3494624816367</v>
      </c>
      <c r="Q50" s="19" t="e">
        <v>#DIV/0!</v>
      </c>
      <c r="R50" s="19" t="e">
        <v>#DIV/0!</v>
      </c>
      <c r="S50" s="19" t="e">
        <v>#REF!</v>
      </c>
      <c r="T50" s="23"/>
      <c r="U50" s="24"/>
      <c r="V50" s="19">
        <v>-40542.23881424532</v>
      </c>
      <c r="W50" s="19">
        <v>-40656.58155424297</v>
      </c>
      <c r="X50" s="19">
        <v>-51036.419425139051</v>
      </c>
      <c r="Y50" s="19">
        <v>-51036.419425139051</v>
      </c>
      <c r="Z50" s="23"/>
      <c r="AA50" s="19">
        <v>-48961.509622594349</v>
      </c>
      <c r="AB50" s="19">
        <v>-48961.509622594349</v>
      </c>
      <c r="AC50" s="19">
        <v>-56030.004975314783</v>
      </c>
      <c r="AD50" s="19">
        <v>-56030.004975314783</v>
      </c>
      <c r="AE50" s="23"/>
      <c r="AF50" s="19" t="e">
        <v>#DIV/0!</v>
      </c>
      <c r="AG50" s="19">
        <v>-32823.071961009176</v>
      </c>
      <c r="AH50" s="19" t="e">
        <v>#DIV/0!</v>
      </c>
      <c r="AI50" s="19" t="e">
        <v>#DIV/0!</v>
      </c>
      <c r="AJ50" s="19" t="e">
        <v>#REF!</v>
      </c>
      <c r="AK50" s="23"/>
      <c r="AL50" s="24"/>
      <c r="AN50" s="13">
        <f t="shared" si="2"/>
        <v>0</v>
      </c>
      <c r="AO50" s="13">
        <f t="shared" si="3"/>
        <v>0</v>
      </c>
    </row>
    <row r="51" spans="1:41" s="15" customFormat="1">
      <c r="A51" s="117" t="s">
        <v>46</v>
      </c>
      <c r="B51" s="3" t="s">
        <v>5</v>
      </c>
      <c r="C51" s="26"/>
      <c r="D51" s="26"/>
      <c r="E51" s="27">
        <v>0</v>
      </c>
      <c r="F51" s="27">
        <v>92948</v>
      </c>
      <c r="G51" s="27">
        <v>2000</v>
      </c>
      <c r="H51" s="27">
        <v>0</v>
      </c>
      <c r="I51" s="26">
        <v>94948</v>
      </c>
      <c r="J51" s="27">
        <v>15800</v>
      </c>
      <c r="K51" s="27">
        <v>39792</v>
      </c>
      <c r="L51" s="27">
        <v>70000</v>
      </c>
      <c r="M51" s="27">
        <v>0</v>
      </c>
      <c r="N51" s="26">
        <v>125592</v>
      </c>
      <c r="O51" s="27">
        <v>142731</v>
      </c>
      <c r="P51" s="27">
        <v>2338</v>
      </c>
      <c r="Q51" s="27">
        <v>82155</v>
      </c>
      <c r="R51" s="27">
        <v>95000</v>
      </c>
      <c r="S51" s="27">
        <v>0</v>
      </c>
      <c r="T51" s="26">
        <f>SUM(O51:S51)</f>
        <v>322224</v>
      </c>
      <c r="U51" s="28">
        <f>T51+N51+I51+D55</f>
        <v>718096</v>
      </c>
      <c r="V51" s="27">
        <v>86251</v>
      </c>
      <c r="W51" s="27">
        <v>1364</v>
      </c>
      <c r="X51" s="27">
        <v>12629</v>
      </c>
      <c r="Y51" s="27">
        <v>0</v>
      </c>
      <c r="Z51" s="26">
        <v>100244</v>
      </c>
      <c r="AA51" s="27">
        <v>80859</v>
      </c>
      <c r="AB51" s="27">
        <v>1920</v>
      </c>
      <c r="AC51" s="27">
        <v>30466</v>
      </c>
      <c r="AD51" s="27">
        <v>0</v>
      </c>
      <c r="AE51" s="26">
        <v>113245</v>
      </c>
      <c r="AF51" s="27">
        <v>1419</v>
      </c>
      <c r="AG51" s="27">
        <v>0</v>
      </c>
      <c r="AH51" s="27">
        <v>4591</v>
      </c>
      <c r="AI51" s="27">
        <v>0</v>
      </c>
      <c r="AJ51" s="27">
        <v>0</v>
      </c>
      <c r="AK51" s="26">
        <f>SUM(AF51:AJ51)</f>
        <v>6010</v>
      </c>
      <c r="AL51" s="28">
        <f>AK51+AE51+Z51</f>
        <v>219499</v>
      </c>
      <c r="AM51" s="15">
        <v>16</v>
      </c>
      <c r="AN51" s="13">
        <f t="shared" si="2"/>
        <v>11489536</v>
      </c>
      <c r="AO51" s="13">
        <f t="shared" si="3"/>
        <v>3511984</v>
      </c>
    </row>
    <row r="52" spans="1:41" s="15" customFormat="1">
      <c r="A52" s="118"/>
      <c r="B52" s="12" t="s">
        <v>6</v>
      </c>
      <c r="C52" s="26"/>
      <c r="D52" s="26"/>
      <c r="E52" s="27">
        <v>0</v>
      </c>
      <c r="F52" s="27">
        <v>92948</v>
      </c>
      <c r="G52" s="27">
        <v>2000</v>
      </c>
      <c r="H52" s="27">
        <v>0</v>
      </c>
      <c r="I52" s="26">
        <v>94948</v>
      </c>
      <c r="J52" s="27">
        <v>15800</v>
      </c>
      <c r="K52" s="27">
        <v>39792</v>
      </c>
      <c r="L52" s="27">
        <v>70000</v>
      </c>
      <c r="M52" s="27">
        <v>0</v>
      </c>
      <c r="N52" s="26">
        <v>125592</v>
      </c>
      <c r="O52" s="27">
        <v>300000</v>
      </c>
      <c r="P52" s="27">
        <v>0</v>
      </c>
      <c r="Q52" s="27">
        <v>200000</v>
      </c>
      <c r="R52" s="27">
        <v>200000</v>
      </c>
      <c r="S52" s="27">
        <v>0</v>
      </c>
      <c r="T52" s="26">
        <f>SUM(O52:S52)</f>
        <v>700000</v>
      </c>
      <c r="U52" s="28"/>
      <c r="V52" s="27">
        <v>200000</v>
      </c>
      <c r="W52" s="27">
        <v>0</v>
      </c>
      <c r="X52" s="27">
        <v>0</v>
      </c>
      <c r="Y52" s="27">
        <v>0</v>
      </c>
      <c r="Z52" s="26">
        <v>200000</v>
      </c>
      <c r="AA52" s="27">
        <v>0</v>
      </c>
      <c r="AB52" s="27">
        <v>0</v>
      </c>
      <c r="AC52" s="27">
        <v>0</v>
      </c>
      <c r="AD52" s="27">
        <v>0</v>
      </c>
      <c r="AE52" s="26">
        <v>0</v>
      </c>
      <c r="AF52" s="27">
        <v>0</v>
      </c>
      <c r="AG52" s="27">
        <v>0</v>
      </c>
      <c r="AH52" s="27">
        <v>0</v>
      </c>
      <c r="AI52" s="27">
        <v>0</v>
      </c>
      <c r="AJ52" s="27">
        <v>0</v>
      </c>
      <c r="AK52" s="26">
        <f>SUM(AF52:AJ52)</f>
        <v>0</v>
      </c>
      <c r="AL52" s="28"/>
      <c r="AN52" s="13">
        <f t="shared" si="2"/>
        <v>0</v>
      </c>
      <c r="AO52" s="13">
        <f t="shared" si="3"/>
        <v>0</v>
      </c>
    </row>
    <row r="53" spans="1:41" s="15" customFormat="1">
      <c r="A53" s="118"/>
      <c r="B53" s="12" t="s">
        <v>10</v>
      </c>
      <c r="C53" s="27">
        <v>220000</v>
      </c>
      <c r="D53" s="26"/>
      <c r="E53" s="27">
        <v>0</v>
      </c>
      <c r="F53" s="27">
        <v>0</v>
      </c>
      <c r="G53" s="27">
        <v>0</v>
      </c>
      <c r="H53" s="27">
        <v>0</v>
      </c>
      <c r="I53" s="26">
        <v>0</v>
      </c>
      <c r="J53" s="27">
        <v>0</v>
      </c>
      <c r="K53" s="27">
        <v>0</v>
      </c>
      <c r="L53" s="27">
        <v>220000</v>
      </c>
      <c r="M53" s="27">
        <v>0</v>
      </c>
      <c r="N53" s="26">
        <v>220000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6">
        <f>SUM(O53:R53)</f>
        <v>0</v>
      </c>
      <c r="U53" s="28">
        <f>I53+N53+T53</f>
        <v>220000</v>
      </c>
      <c r="V53" s="27">
        <v>0</v>
      </c>
      <c r="W53" s="27">
        <v>0</v>
      </c>
      <c r="X53" s="27">
        <v>0</v>
      </c>
      <c r="Y53" s="27">
        <v>0</v>
      </c>
      <c r="Z53" s="26">
        <v>0</v>
      </c>
      <c r="AA53" s="27">
        <v>0</v>
      </c>
      <c r="AB53" s="27">
        <v>0</v>
      </c>
      <c r="AC53" s="27">
        <v>0</v>
      </c>
      <c r="AD53" s="27">
        <v>0</v>
      </c>
      <c r="AE53" s="26">
        <v>0</v>
      </c>
      <c r="AF53" s="27">
        <v>0</v>
      </c>
      <c r="AG53" s="27">
        <v>0</v>
      </c>
      <c r="AH53" s="27">
        <v>0</v>
      </c>
      <c r="AI53" s="27">
        <v>0</v>
      </c>
      <c r="AJ53" s="27">
        <v>0</v>
      </c>
      <c r="AK53" s="26">
        <f>SUM(AF53:AI53)</f>
        <v>0</v>
      </c>
      <c r="AL53" s="28">
        <f>Z53+AE53+AK53</f>
        <v>0</v>
      </c>
      <c r="AN53" s="13">
        <f t="shared" si="2"/>
        <v>0</v>
      </c>
      <c r="AO53" s="13">
        <f t="shared" si="3"/>
        <v>0</v>
      </c>
    </row>
    <row r="54" spans="1:41" s="15" customFormat="1">
      <c r="A54" s="118"/>
      <c r="B54" s="12" t="s">
        <v>7</v>
      </c>
      <c r="C54" s="26"/>
      <c r="D54" s="26"/>
      <c r="E54" s="32">
        <v>0</v>
      </c>
      <c r="F54" s="27">
        <v>92948</v>
      </c>
      <c r="G54" s="27">
        <v>2000</v>
      </c>
      <c r="H54" s="27">
        <v>0</v>
      </c>
      <c r="I54" s="26">
        <v>94948</v>
      </c>
      <c r="J54" s="32">
        <v>15800</v>
      </c>
      <c r="K54" s="27">
        <v>39792</v>
      </c>
      <c r="L54" s="27">
        <v>290000</v>
      </c>
      <c r="M54" s="27">
        <v>0</v>
      </c>
      <c r="N54" s="26">
        <v>345592</v>
      </c>
      <c r="O54" s="32">
        <v>300000</v>
      </c>
      <c r="P54" s="27">
        <v>0</v>
      </c>
      <c r="Q54" s="27">
        <v>200000</v>
      </c>
      <c r="R54" s="27">
        <v>200000</v>
      </c>
      <c r="S54" s="27">
        <v>0</v>
      </c>
      <c r="T54" s="26">
        <f>SUM(O54:S54)</f>
        <v>700000</v>
      </c>
      <c r="U54" s="28">
        <f>T54+N54+I54+D55</f>
        <v>1315872</v>
      </c>
      <c r="V54" s="32">
        <v>200000</v>
      </c>
      <c r="W54" s="27">
        <v>0</v>
      </c>
      <c r="X54" s="27">
        <v>0</v>
      </c>
      <c r="Y54" s="27">
        <v>0</v>
      </c>
      <c r="Z54" s="26">
        <v>797776</v>
      </c>
      <c r="AA54" s="32">
        <v>0</v>
      </c>
      <c r="AB54" s="27">
        <v>0</v>
      </c>
      <c r="AC54" s="27">
        <v>0</v>
      </c>
      <c r="AD54" s="27">
        <v>0</v>
      </c>
      <c r="AE54" s="26">
        <v>0</v>
      </c>
      <c r="AF54" s="32">
        <v>0</v>
      </c>
      <c r="AG54" s="27">
        <v>0</v>
      </c>
      <c r="AH54" s="27">
        <v>0</v>
      </c>
      <c r="AI54" s="27">
        <v>0</v>
      </c>
      <c r="AJ54" s="27">
        <v>0</v>
      </c>
      <c r="AK54" s="26">
        <f>SUM(AF54:AJ54)</f>
        <v>0</v>
      </c>
      <c r="AL54" s="28">
        <f>AK54+AE54+Z54</f>
        <v>797776</v>
      </c>
      <c r="AN54" s="13">
        <f t="shared" si="2"/>
        <v>0</v>
      </c>
      <c r="AO54" s="13">
        <f t="shared" si="3"/>
        <v>0</v>
      </c>
    </row>
    <row r="55" spans="1:41" s="15" customFormat="1" ht="17" thickBot="1">
      <c r="A55" s="119"/>
      <c r="B55" s="4" t="s">
        <v>8</v>
      </c>
      <c r="C55" s="26">
        <v>411248</v>
      </c>
      <c r="D55" s="37">
        <v>175332</v>
      </c>
      <c r="E55" s="21">
        <v>0</v>
      </c>
      <c r="F55" s="21">
        <v>0</v>
      </c>
      <c r="G55" s="21">
        <v>0</v>
      </c>
      <c r="H55" s="21">
        <v>0</v>
      </c>
      <c r="I55" s="20">
        <v>0</v>
      </c>
      <c r="J55" s="21">
        <v>0</v>
      </c>
      <c r="K55" s="21">
        <v>0</v>
      </c>
      <c r="L55" s="21">
        <v>220000</v>
      </c>
      <c r="M55" s="21">
        <v>220000</v>
      </c>
      <c r="N55" s="20">
        <v>220000</v>
      </c>
      <c r="O55" s="21">
        <v>377269</v>
      </c>
      <c r="P55" s="21">
        <v>374931</v>
      </c>
      <c r="Q55" s="21">
        <v>492776</v>
      </c>
      <c r="R55" s="21">
        <v>597776</v>
      </c>
      <c r="S55" s="21">
        <v>597776</v>
      </c>
      <c r="T55" s="20">
        <f>N55+T54-T51</f>
        <v>597776</v>
      </c>
      <c r="U55" s="22">
        <f>U54-U51</f>
        <v>597776</v>
      </c>
      <c r="V55" s="21">
        <v>711525</v>
      </c>
      <c r="W55" s="21">
        <v>710161</v>
      </c>
      <c r="X55" s="21">
        <v>697532</v>
      </c>
      <c r="Y55" s="21">
        <v>697532</v>
      </c>
      <c r="Z55" s="20">
        <v>697532</v>
      </c>
      <c r="AA55" s="21">
        <v>616673</v>
      </c>
      <c r="AB55" s="21">
        <v>614753</v>
      </c>
      <c r="AC55" s="21">
        <v>584287</v>
      </c>
      <c r="AD55" s="21">
        <v>584287</v>
      </c>
      <c r="AE55" s="20">
        <v>584287</v>
      </c>
      <c r="AF55" s="21">
        <v>582868</v>
      </c>
      <c r="AG55" s="21">
        <v>582868</v>
      </c>
      <c r="AH55" s="21">
        <v>578277</v>
      </c>
      <c r="AI55" s="21">
        <v>578277</v>
      </c>
      <c r="AJ55" s="21">
        <v>578277</v>
      </c>
      <c r="AK55" s="20">
        <f>AE55+AK54-AK51</f>
        <v>578277</v>
      </c>
      <c r="AL55" s="22">
        <f>T55+AL54-AL51</f>
        <v>1176053</v>
      </c>
      <c r="AN55" s="13">
        <f t="shared" si="2"/>
        <v>0</v>
      </c>
      <c r="AO55" s="13">
        <f t="shared" si="3"/>
        <v>0</v>
      </c>
    </row>
    <row r="56" spans="1:41" s="15" customFormat="1" ht="17" thickBot="1">
      <c r="A56" s="46"/>
      <c r="B56" s="12" t="s">
        <v>9</v>
      </c>
      <c r="C56" s="26"/>
      <c r="D56" s="26"/>
      <c r="E56" s="19">
        <v>0</v>
      </c>
      <c r="F56" s="19">
        <v>0</v>
      </c>
      <c r="G56" s="19">
        <v>0</v>
      </c>
      <c r="H56" s="19">
        <v>0</v>
      </c>
      <c r="I56" s="23"/>
      <c r="J56" s="19">
        <v>0</v>
      </c>
      <c r="K56" s="19">
        <v>0</v>
      </c>
      <c r="L56" s="19">
        <v>19364.15167411893</v>
      </c>
      <c r="M56" s="19">
        <v>13655.097075326481</v>
      </c>
      <c r="N56" s="23"/>
      <c r="O56" s="19">
        <v>42037.182508510086</v>
      </c>
      <c r="P56" s="19">
        <v>8375.9973459957037</v>
      </c>
      <c r="Q56" s="19">
        <v>103742.31578947368</v>
      </c>
      <c r="R56" s="19" t="e">
        <v>#DIV/0!</v>
      </c>
      <c r="S56" s="19" t="e">
        <v>#REF!</v>
      </c>
      <c r="T56" s="23"/>
      <c r="U56" s="24"/>
      <c r="V56" s="19">
        <v>124569.97295097033</v>
      </c>
      <c r="W56" s="19">
        <v>123728.97302100302</v>
      </c>
      <c r="X56" s="19">
        <v>139166.83292765651</v>
      </c>
      <c r="Y56" s="19">
        <v>139166.83292765651</v>
      </c>
      <c r="Z56" s="23"/>
      <c r="AA56" s="19">
        <v>84689.798188572488</v>
      </c>
      <c r="AB56" s="19">
        <v>85554.063363277688</v>
      </c>
      <c r="AC56" s="19">
        <v>103189.89800874211</v>
      </c>
      <c r="AD56" s="19">
        <v>103189.89800874211</v>
      </c>
      <c r="AE56" s="23"/>
      <c r="AF56" s="19">
        <v>2539176.6499673272</v>
      </c>
      <c r="AG56" s="19">
        <v>52020.884466062736</v>
      </c>
      <c r="AH56" s="19" t="e">
        <v>#DIV/0!</v>
      </c>
      <c r="AI56" s="19" t="e">
        <v>#DIV/0!</v>
      </c>
      <c r="AJ56" s="19" t="e">
        <v>#REF!</v>
      </c>
      <c r="AK56" s="23"/>
      <c r="AL56" s="24"/>
      <c r="AN56" s="13">
        <f t="shared" si="2"/>
        <v>0</v>
      </c>
      <c r="AO56" s="13">
        <f t="shared" si="3"/>
        <v>0</v>
      </c>
    </row>
    <row r="57" spans="1:41" s="15" customFormat="1">
      <c r="A57" s="117" t="s">
        <v>42</v>
      </c>
      <c r="B57" s="3" t="s">
        <v>38</v>
      </c>
      <c r="C57" s="26"/>
      <c r="D57" s="26"/>
      <c r="E57" s="27">
        <v>0</v>
      </c>
      <c r="F57" s="27">
        <v>50000</v>
      </c>
      <c r="G57" s="27">
        <v>150649</v>
      </c>
      <c r="H57" s="27">
        <v>0</v>
      </c>
      <c r="I57" s="26">
        <v>200649</v>
      </c>
      <c r="J57" s="27">
        <v>54471</v>
      </c>
      <c r="K57" s="27">
        <v>0</v>
      </c>
      <c r="L57" s="27">
        <v>71896</v>
      </c>
      <c r="M57" s="27">
        <v>0</v>
      </c>
      <c r="N57" s="26">
        <v>126367</v>
      </c>
      <c r="O57" s="27">
        <v>96298</v>
      </c>
      <c r="P57" s="27">
        <v>940</v>
      </c>
      <c r="Q57" s="27">
        <v>4309</v>
      </c>
      <c r="R57" s="27">
        <v>0</v>
      </c>
      <c r="S57" s="27">
        <v>0</v>
      </c>
      <c r="T57" s="26">
        <f>SUM(O57:S57)</f>
        <v>101547</v>
      </c>
      <c r="U57" s="28">
        <f>T57+N57+I57+D61</f>
        <v>645794</v>
      </c>
      <c r="V57" s="27">
        <v>41896</v>
      </c>
      <c r="W57" s="27">
        <v>844</v>
      </c>
      <c r="X57" s="27">
        <v>17352</v>
      </c>
      <c r="Y57" s="27">
        <v>0</v>
      </c>
      <c r="Z57" s="26">
        <v>60092</v>
      </c>
      <c r="AA57" s="27">
        <v>63460</v>
      </c>
      <c r="AB57" s="27">
        <v>0</v>
      </c>
      <c r="AC57" s="27">
        <v>10758</v>
      </c>
      <c r="AD57" s="27">
        <v>0</v>
      </c>
      <c r="AE57" s="26">
        <v>74218</v>
      </c>
      <c r="AF57" s="27">
        <v>143</v>
      </c>
      <c r="AG57" s="27">
        <v>0</v>
      </c>
      <c r="AH57" s="27">
        <v>0</v>
      </c>
      <c r="AI57" s="27">
        <v>0</v>
      </c>
      <c r="AJ57" s="27">
        <v>0</v>
      </c>
      <c r="AK57" s="26">
        <f>SUM(AF57:AJ57)</f>
        <v>143</v>
      </c>
      <c r="AL57" s="28">
        <f>AK57+AE57+Z57</f>
        <v>134453</v>
      </c>
      <c r="AM57" s="15">
        <v>16</v>
      </c>
      <c r="AN57" s="13">
        <f t="shared" si="2"/>
        <v>10332704</v>
      </c>
      <c r="AO57" s="13">
        <f t="shared" si="3"/>
        <v>2151248</v>
      </c>
    </row>
    <row r="58" spans="1:41" s="15" customFormat="1">
      <c r="A58" s="118"/>
      <c r="B58" s="12" t="s">
        <v>6</v>
      </c>
      <c r="C58" s="26"/>
      <c r="D58" s="26"/>
      <c r="E58" s="27">
        <v>0</v>
      </c>
      <c r="F58" s="27">
        <v>50000</v>
      </c>
      <c r="G58" s="27">
        <v>150649</v>
      </c>
      <c r="H58" s="27">
        <v>0</v>
      </c>
      <c r="I58" s="26">
        <v>200649</v>
      </c>
      <c r="J58" s="27">
        <v>54471</v>
      </c>
      <c r="K58" s="27">
        <v>0</v>
      </c>
      <c r="L58" s="27">
        <v>71896</v>
      </c>
      <c r="M58" s="27">
        <v>0</v>
      </c>
      <c r="N58" s="26">
        <v>126367</v>
      </c>
      <c r="O58" s="27">
        <v>126000</v>
      </c>
      <c r="P58" s="27">
        <v>0</v>
      </c>
      <c r="Q58" s="27">
        <v>0</v>
      </c>
      <c r="R58" s="27">
        <v>100000</v>
      </c>
      <c r="S58" s="27">
        <v>0</v>
      </c>
      <c r="T58" s="26">
        <f>SUM(O58:S58)</f>
        <v>226000</v>
      </c>
      <c r="U58" s="28"/>
      <c r="V58" s="27">
        <v>0</v>
      </c>
      <c r="W58" s="27">
        <v>0</v>
      </c>
      <c r="X58" s="27">
        <v>0</v>
      </c>
      <c r="Y58" s="27">
        <v>0</v>
      </c>
      <c r="Z58" s="26">
        <v>0</v>
      </c>
      <c r="AA58" s="27">
        <v>0</v>
      </c>
      <c r="AB58" s="27">
        <v>0</v>
      </c>
      <c r="AC58" s="27">
        <v>0</v>
      </c>
      <c r="AD58" s="27">
        <v>0</v>
      </c>
      <c r="AE58" s="26">
        <v>0</v>
      </c>
      <c r="AF58" s="27">
        <v>0</v>
      </c>
      <c r="AG58" s="27">
        <v>0</v>
      </c>
      <c r="AH58" s="27">
        <v>0</v>
      </c>
      <c r="AI58" s="27">
        <v>0</v>
      </c>
      <c r="AJ58" s="27">
        <v>0</v>
      </c>
      <c r="AK58" s="26">
        <f>SUM(AF58:AJ58)</f>
        <v>0</v>
      </c>
      <c r="AL58" s="28"/>
      <c r="AN58" s="13">
        <f t="shared" si="2"/>
        <v>0</v>
      </c>
      <c r="AO58" s="13">
        <f t="shared" si="3"/>
        <v>0</v>
      </c>
    </row>
    <row r="59" spans="1:41" s="15" customFormat="1">
      <c r="A59" s="118"/>
      <c r="B59" s="12" t="s">
        <v>10</v>
      </c>
      <c r="C59" s="27">
        <v>0</v>
      </c>
      <c r="D59" s="26"/>
      <c r="E59" s="27">
        <v>0</v>
      </c>
      <c r="F59" s="27">
        <v>0</v>
      </c>
      <c r="G59" s="27">
        <v>0</v>
      </c>
      <c r="H59" s="27">
        <v>0</v>
      </c>
      <c r="I59" s="26">
        <v>0</v>
      </c>
      <c r="J59" s="27">
        <v>0</v>
      </c>
      <c r="K59" s="27">
        <v>0</v>
      </c>
      <c r="L59" s="27">
        <v>0</v>
      </c>
      <c r="M59" s="27">
        <v>0</v>
      </c>
      <c r="N59" s="26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6">
        <f>SUM(O59:R59)</f>
        <v>0</v>
      </c>
      <c r="U59" s="28">
        <f>I59+N59+T59</f>
        <v>0</v>
      </c>
      <c r="V59" s="27">
        <v>0</v>
      </c>
      <c r="W59" s="27">
        <v>0</v>
      </c>
      <c r="X59" s="27">
        <v>0</v>
      </c>
      <c r="Y59" s="27">
        <v>0</v>
      </c>
      <c r="Z59" s="26">
        <v>0</v>
      </c>
      <c r="AA59" s="27">
        <v>0</v>
      </c>
      <c r="AB59" s="27">
        <v>0</v>
      </c>
      <c r="AC59" s="27">
        <v>0</v>
      </c>
      <c r="AD59" s="27">
        <v>0</v>
      </c>
      <c r="AE59" s="26">
        <v>0</v>
      </c>
      <c r="AF59" s="27">
        <v>0</v>
      </c>
      <c r="AG59" s="27">
        <v>0</v>
      </c>
      <c r="AH59" s="27">
        <v>0</v>
      </c>
      <c r="AI59" s="27">
        <v>0</v>
      </c>
      <c r="AJ59" s="27">
        <v>0</v>
      </c>
      <c r="AK59" s="26">
        <f>SUM(AF59:AI59)</f>
        <v>0</v>
      </c>
      <c r="AL59" s="28">
        <f>Z59+AE59+AK59</f>
        <v>0</v>
      </c>
      <c r="AN59" s="13">
        <f t="shared" ref="AN59:AN110" si="4">U59*AM59</f>
        <v>0</v>
      </c>
      <c r="AO59" s="13">
        <f t="shared" si="3"/>
        <v>0</v>
      </c>
    </row>
    <row r="60" spans="1:41" s="15" customFormat="1">
      <c r="A60" s="118"/>
      <c r="B60" s="12" t="s">
        <v>7</v>
      </c>
      <c r="C60" s="26"/>
      <c r="D60" s="26"/>
      <c r="E60" s="32">
        <v>0</v>
      </c>
      <c r="F60" s="27">
        <v>50000</v>
      </c>
      <c r="G60" s="27">
        <v>150649</v>
      </c>
      <c r="H60" s="27">
        <v>0</v>
      </c>
      <c r="I60" s="26">
        <v>200649</v>
      </c>
      <c r="J60" s="32">
        <v>54471</v>
      </c>
      <c r="K60" s="27">
        <v>0</v>
      </c>
      <c r="L60" s="27">
        <v>71896</v>
      </c>
      <c r="M60" s="27">
        <v>0</v>
      </c>
      <c r="N60" s="26">
        <v>126367</v>
      </c>
      <c r="O60" s="32">
        <v>126000</v>
      </c>
      <c r="P60" s="27">
        <v>0</v>
      </c>
      <c r="Q60" s="27">
        <v>0</v>
      </c>
      <c r="R60" s="27">
        <v>100000</v>
      </c>
      <c r="S60" s="27">
        <v>0</v>
      </c>
      <c r="T60" s="26">
        <f>SUM(O60:S60)</f>
        <v>226000</v>
      </c>
      <c r="U60" s="28">
        <f>T60+N60+I60+D61</f>
        <v>770247</v>
      </c>
      <c r="V60" s="32">
        <v>0</v>
      </c>
      <c r="W60" s="27">
        <v>0</v>
      </c>
      <c r="X60" s="27">
        <v>0</v>
      </c>
      <c r="Y60" s="27">
        <v>0</v>
      </c>
      <c r="Z60" s="26">
        <v>124453</v>
      </c>
      <c r="AA60" s="32">
        <v>0</v>
      </c>
      <c r="AB60" s="27">
        <v>0</v>
      </c>
      <c r="AC60" s="27">
        <v>0</v>
      </c>
      <c r="AD60" s="27">
        <v>0</v>
      </c>
      <c r="AE60" s="26">
        <v>0</v>
      </c>
      <c r="AF60" s="32">
        <v>0</v>
      </c>
      <c r="AG60" s="27">
        <v>0</v>
      </c>
      <c r="AH60" s="27">
        <v>0</v>
      </c>
      <c r="AI60" s="27">
        <v>0</v>
      </c>
      <c r="AJ60" s="27">
        <v>0</v>
      </c>
      <c r="AK60" s="26">
        <f>SUM(AF60:AJ60)</f>
        <v>0</v>
      </c>
      <c r="AL60" s="28">
        <f>AK60+AE60+Z60</f>
        <v>124453</v>
      </c>
      <c r="AN60" s="13">
        <f t="shared" si="4"/>
        <v>0</v>
      </c>
      <c r="AO60" s="13">
        <f t="shared" ref="AO60:AO111" si="5">AL60*AM60</f>
        <v>0</v>
      </c>
    </row>
    <row r="61" spans="1:41" s="15" customFormat="1" ht="17" thickBot="1">
      <c r="A61" s="119"/>
      <c r="B61" s="4" t="s">
        <v>8</v>
      </c>
      <c r="C61" s="26">
        <v>352378</v>
      </c>
      <c r="D61" s="37">
        <v>217231</v>
      </c>
      <c r="E61" s="21">
        <v>0</v>
      </c>
      <c r="F61" s="21">
        <v>0</v>
      </c>
      <c r="G61" s="21">
        <v>0</v>
      </c>
      <c r="H61" s="21">
        <v>0</v>
      </c>
      <c r="I61" s="20">
        <v>0</v>
      </c>
      <c r="J61" s="21">
        <v>0</v>
      </c>
      <c r="K61" s="21">
        <v>0</v>
      </c>
      <c r="L61" s="21">
        <v>0</v>
      </c>
      <c r="M61" s="21">
        <v>0</v>
      </c>
      <c r="N61" s="20">
        <v>0</v>
      </c>
      <c r="O61" s="21">
        <v>29702</v>
      </c>
      <c r="P61" s="21">
        <v>28762</v>
      </c>
      <c r="Q61" s="21">
        <v>24453</v>
      </c>
      <c r="R61" s="21">
        <v>124453</v>
      </c>
      <c r="S61" s="21">
        <v>124453</v>
      </c>
      <c r="T61" s="20">
        <f>N61+T60-T57</f>
        <v>124453</v>
      </c>
      <c r="U61" s="22">
        <f>U60-U57</f>
        <v>124453</v>
      </c>
      <c r="V61" s="21">
        <v>82557</v>
      </c>
      <c r="W61" s="21">
        <v>81713</v>
      </c>
      <c r="X61" s="21">
        <v>64361</v>
      </c>
      <c r="Y61" s="21">
        <v>64361</v>
      </c>
      <c r="Z61" s="20">
        <v>64361</v>
      </c>
      <c r="AA61" s="21">
        <v>901</v>
      </c>
      <c r="AB61" s="21">
        <v>901</v>
      </c>
      <c r="AC61" s="21">
        <v>-9857</v>
      </c>
      <c r="AD61" s="21">
        <v>-9857</v>
      </c>
      <c r="AE61" s="20">
        <v>-9857</v>
      </c>
      <c r="AF61" s="21">
        <v>-10000</v>
      </c>
      <c r="AG61" s="21">
        <v>-10000</v>
      </c>
      <c r="AH61" s="21">
        <v>-10000</v>
      </c>
      <c r="AI61" s="21">
        <v>-10000</v>
      </c>
      <c r="AJ61" s="21">
        <v>-10000</v>
      </c>
      <c r="AK61" s="20">
        <f>AE61+AK60-AK57</f>
        <v>-10000</v>
      </c>
      <c r="AL61" s="22">
        <f>T61+AL60-AL57</f>
        <v>114453</v>
      </c>
      <c r="AN61" s="13">
        <f t="shared" si="4"/>
        <v>0</v>
      </c>
      <c r="AO61" s="13">
        <f t="shared" si="5"/>
        <v>0</v>
      </c>
    </row>
    <row r="62" spans="1:41" s="15" customFormat="1" ht="17" thickBot="1">
      <c r="A62" s="46"/>
      <c r="B62" s="12" t="s">
        <v>9</v>
      </c>
      <c r="C62" s="26"/>
      <c r="D62" s="26"/>
      <c r="E62" s="19">
        <v>0</v>
      </c>
      <c r="F62" s="19">
        <v>0</v>
      </c>
      <c r="G62" s="19">
        <v>0</v>
      </c>
      <c r="H62" s="19">
        <v>0</v>
      </c>
      <c r="I62" s="23"/>
      <c r="J62" s="19">
        <v>0</v>
      </c>
      <c r="K62" s="19">
        <v>0</v>
      </c>
      <c r="L62" s="19">
        <v>0</v>
      </c>
      <c r="M62" s="19">
        <v>0</v>
      </c>
      <c r="N62" s="23"/>
      <c r="O62" s="19">
        <v>113172.03276814632</v>
      </c>
      <c r="P62" s="19">
        <v>884.84440157944198</v>
      </c>
      <c r="Q62" s="19" t="e">
        <v>#DIV/0!</v>
      </c>
      <c r="R62" s="19" t="e">
        <v>#DIV/0!</v>
      </c>
      <c r="S62" s="19" t="e">
        <v>#REF!</v>
      </c>
      <c r="T62" s="23"/>
      <c r="U62" s="24"/>
      <c r="V62" s="19">
        <v>21090.588595953403</v>
      </c>
      <c r="W62" s="19">
        <v>21102.474045762101</v>
      </c>
      <c r="X62" s="19">
        <v>21420.821407175667</v>
      </c>
      <c r="Y62" s="19">
        <v>21420.821407175667</v>
      </c>
      <c r="Z62" s="23"/>
      <c r="AA62" s="19">
        <v>212.05987572961777</v>
      </c>
      <c r="AB62" s="19">
        <v>212.05987572961777</v>
      </c>
      <c r="AC62" s="19">
        <v>-2656.2289471556765</v>
      </c>
      <c r="AD62" s="19">
        <v>-2656.2289471556765</v>
      </c>
      <c r="AE62" s="23"/>
      <c r="AF62" s="19" t="e">
        <v>#DIV/0!</v>
      </c>
      <c r="AG62" s="19">
        <v>-1487.5086461440058</v>
      </c>
      <c r="AH62" s="19" t="e">
        <v>#DIV/0!</v>
      </c>
      <c r="AI62" s="19" t="e">
        <v>#DIV/0!</v>
      </c>
      <c r="AJ62" s="19" t="e">
        <v>#REF!</v>
      </c>
      <c r="AK62" s="23"/>
      <c r="AL62" s="24"/>
      <c r="AN62" s="13">
        <f t="shared" si="4"/>
        <v>0</v>
      </c>
      <c r="AO62" s="13">
        <f t="shared" si="5"/>
        <v>0</v>
      </c>
    </row>
    <row r="63" spans="1:41" s="15" customFormat="1">
      <c r="A63" s="117" t="s">
        <v>26</v>
      </c>
      <c r="B63" s="3" t="s">
        <v>5</v>
      </c>
      <c r="C63" s="26"/>
      <c r="D63" s="26"/>
      <c r="E63" s="27">
        <v>0</v>
      </c>
      <c r="F63" s="27">
        <v>0</v>
      </c>
      <c r="G63" s="27">
        <v>0</v>
      </c>
      <c r="H63" s="27">
        <v>0</v>
      </c>
      <c r="I63" s="26">
        <v>0</v>
      </c>
      <c r="J63" s="27">
        <v>0</v>
      </c>
      <c r="K63" s="27">
        <v>0</v>
      </c>
      <c r="L63" s="27">
        <v>0</v>
      </c>
      <c r="M63" s="27">
        <v>0</v>
      </c>
      <c r="N63" s="26">
        <v>0</v>
      </c>
      <c r="O63" s="27">
        <v>0</v>
      </c>
      <c r="P63" s="27">
        <v>0</v>
      </c>
      <c r="Q63" s="27">
        <v>0</v>
      </c>
      <c r="R63" s="27">
        <v>0</v>
      </c>
      <c r="S63" s="27">
        <v>0</v>
      </c>
      <c r="T63" s="26">
        <f>SUM(O63:S63)</f>
        <v>0</v>
      </c>
      <c r="U63" s="28">
        <f>T63+N63+I63+D67</f>
        <v>611</v>
      </c>
      <c r="V63" s="27">
        <v>0</v>
      </c>
      <c r="W63" s="27">
        <v>0</v>
      </c>
      <c r="X63" s="27">
        <v>0</v>
      </c>
      <c r="Y63" s="27">
        <v>0</v>
      </c>
      <c r="Z63" s="26">
        <v>0</v>
      </c>
      <c r="AA63" s="27">
        <v>0</v>
      </c>
      <c r="AB63" s="27">
        <v>0</v>
      </c>
      <c r="AC63" s="27">
        <v>0</v>
      </c>
      <c r="AD63" s="27">
        <v>0</v>
      </c>
      <c r="AE63" s="26">
        <v>0</v>
      </c>
      <c r="AF63" s="27">
        <v>0</v>
      </c>
      <c r="AG63" s="27">
        <v>0</v>
      </c>
      <c r="AH63" s="27">
        <v>0</v>
      </c>
      <c r="AI63" s="27">
        <v>0</v>
      </c>
      <c r="AJ63" s="27">
        <v>0</v>
      </c>
      <c r="AK63" s="26">
        <f>SUM(AF63:AJ63)</f>
        <v>0</v>
      </c>
      <c r="AL63" s="28">
        <f>AK63+AE63+Z63</f>
        <v>0</v>
      </c>
      <c r="AM63" s="15">
        <v>32</v>
      </c>
      <c r="AN63" s="13">
        <f t="shared" si="4"/>
        <v>19552</v>
      </c>
      <c r="AO63" s="13">
        <f t="shared" si="5"/>
        <v>0</v>
      </c>
    </row>
    <row r="64" spans="1:41" s="15" customFormat="1">
      <c r="A64" s="118"/>
      <c r="B64" s="12" t="s">
        <v>6</v>
      </c>
      <c r="C64" s="26"/>
      <c r="D64" s="26"/>
      <c r="E64" s="27">
        <v>0</v>
      </c>
      <c r="F64" s="27">
        <v>0</v>
      </c>
      <c r="G64" s="27">
        <v>0</v>
      </c>
      <c r="H64" s="27">
        <v>0</v>
      </c>
      <c r="I64" s="26">
        <v>0</v>
      </c>
      <c r="J64" s="27">
        <v>0</v>
      </c>
      <c r="K64" s="27">
        <v>0</v>
      </c>
      <c r="L64" s="27">
        <v>0</v>
      </c>
      <c r="M64" s="27">
        <v>0</v>
      </c>
      <c r="N64" s="26">
        <v>0</v>
      </c>
      <c r="O64" s="27">
        <v>0</v>
      </c>
      <c r="P64" s="27">
        <v>0</v>
      </c>
      <c r="Q64" s="27">
        <v>0</v>
      </c>
      <c r="R64" s="27">
        <v>0</v>
      </c>
      <c r="S64" s="27">
        <v>0</v>
      </c>
      <c r="T64" s="26">
        <f>SUM(O64:S64)</f>
        <v>0</v>
      </c>
      <c r="U64" s="28"/>
      <c r="V64" s="27">
        <v>0</v>
      </c>
      <c r="W64" s="27">
        <v>0</v>
      </c>
      <c r="X64" s="27">
        <v>0</v>
      </c>
      <c r="Y64" s="27">
        <v>0</v>
      </c>
      <c r="Z64" s="26">
        <v>0</v>
      </c>
      <c r="AA64" s="27">
        <v>0</v>
      </c>
      <c r="AB64" s="27">
        <v>0</v>
      </c>
      <c r="AC64" s="27">
        <v>0</v>
      </c>
      <c r="AD64" s="27">
        <v>0</v>
      </c>
      <c r="AE64" s="26">
        <v>0</v>
      </c>
      <c r="AF64" s="27">
        <v>0</v>
      </c>
      <c r="AG64" s="27">
        <v>0</v>
      </c>
      <c r="AH64" s="27">
        <v>0</v>
      </c>
      <c r="AI64" s="27">
        <v>0</v>
      </c>
      <c r="AJ64" s="27">
        <v>0</v>
      </c>
      <c r="AK64" s="26">
        <f>SUM(AF64:AJ64)</f>
        <v>0</v>
      </c>
      <c r="AL64" s="28"/>
      <c r="AN64" s="13">
        <f t="shared" si="4"/>
        <v>0</v>
      </c>
      <c r="AO64" s="13">
        <f t="shared" si="5"/>
        <v>0</v>
      </c>
    </row>
    <row r="65" spans="1:41" s="15" customFormat="1">
      <c r="A65" s="118"/>
      <c r="B65" s="12" t="s">
        <v>10</v>
      </c>
      <c r="C65" s="27">
        <v>0</v>
      </c>
      <c r="D65" s="26"/>
      <c r="E65" s="27">
        <v>0</v>
      </c>
      <c r="F65" s="27">
        <v>0</v>
      </c>
      <c r="G65" s="27">
        <v>0</v>
      </c>
      <c r="H65" s="27">
        <v>0</v>
      </c>
      <c r="I65" s="26">
        <v>0</v>
      </c>
      <c r="J65" s="27">
        <v>0</v>
      </c>
      <c r="K65" s="27">
        <v>0</v>
      </c>
      <c r="L65" s="27">
        <v>0</v>
      </c>
      <c r="M65" s="27">
        <v>0</v>
      </c>
      <c r="N65" s="26">
        <v>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6">
        <f>SUM(O65:R65)</f>
        <v>0</v>
      </c>
      <c r="U65" s="28">
        <f>I65+N65+T65</f>
        <v>0</v>
      </c>
      <c r="V65" s="27">
        <v>0</v>
      </c>
      <c r="W65" s="27">
        <v>0</v>
      </c>
      <c r="X65" s="27">
        <v>0</v>
      </c>
      <c r="Y65" s="27">
        <v>0</v>
      </c>
      <c r="Z65" s="26">
        <v>0</v>
      </c>
      <c r="AA65" s="27">
        <v>0</v>
      </c>
      <c r="AB65" s="27">
        <v>0</v>
      </c>
      <c r="AC65" s="27">
        <v>0</v>
      </c>
      <c r="AD65" s="27">
        <v>0</v>
      </c>
      <c r="AE65" s="26">
        <v>0</v>
      </c>
      <c r="AF65" s="27">
        <v>0</v>
      </c>
      <c r="AG65" s="27">
        <v>0</v>
      </c>
      <c r="AH65" s="27">
        <v>0</v>
      </c>
      <c r="AI65" s="27">
        <v>0</v>
      </c>
      <c r="AJ65" s="27">
        <v>0</v>
      </c>
      <c r="AK65" s="26">
        <f>SUM(AF65:AI65)</f>
        <v>0</v>
      </c>
      <c r="AL65" s="28">
        <f>Z65+AE65+AK65</f>
        <v>0</v>
      </c>
      <c r="AN65" s="13">
        <f t="shared" si="4"/>
        <v>0</v>
      </c>
      <c r="AO65" s="13">
        <f t="shared" si="5"/>
        <v>0</v>
      </c>
    </row>
    <row r="66" spans="1:41" s="15" customFormat="1">
      <c r="A66" s="118"/>
      <c r="B66" s="12" t="s">
        <v>7</v>
      </c>
      <c r="C66" s="26"/>
      <c r="D66" s="26"/>
      <c r="E66" s="32">
        <v>0</v>
      </c>
      <c r="F66" s="27">
        <v>0</v>
      </c>
      <c r="G66" s="27">
        <v>0</v>
      </c>
      <c r="H66" s="27">
        <v>0</v>
      </c>
      <c r="I66" s="26">
        <v>0</v>
      </c>
      <c r="J66" s="32">
        <v>0</v>
      </c>
      <c r="K66" s="27">
        <v>0</v>
      </c>
      <c r="L66" s="27">
        <v>0</v>
      </c>
      <c r="M66" s="27">
        <v>0</v>
      </c>
      <c r="N66" s="26">
        <v>0</v>
      </c>
      <c r="O66" s="32">
        <v>0</v>
      </c>
      <c r="P66" s="27">
        <v>0</v>
      </c>
      <c r="Q66" s="27">
        <v>0</v>
      </c>
      <c r="R66" s="27">
        <v>0</v>
      </c>
      <c r="S66" s="27">
        <v>0</v>
      </c>
      <c r="T66" s="26">
        <f>SUM(O66:S66)</f>
        <v>0</v>
      </c>
      <c r="U66" s="28">
        <f>T66+N66+I66+D67</f>
        <v>611</v>
      </c>
      <c r="V66" s="32">
        <v>0</v>
      </c>
      <c r="W66" s="27">
        <v>0</v>
      </c>
      <c r="X66" s="27">
        <v>0</v>
      </c>
      <c r="Y66" s="27">
        <v>0</v>
      </c>
      <c r="Z66" s="26">
        <v>0</v>
      </c>
      <c r="AA66" s="32">
        <v>0</v>
      </c>
      <c r="AB66" s="27">
        <v>0</v>
      </c>
      <c r="AC66" s="27">
        <v>0</v>
      </c>
      <c r="AD66" s="27">
        <v>0</v>
      </c>
      <c r="AE66" s="26">
        <v>0</v>
      </c>
      <c r="AF66" s="32">
        <v>0</v>
      </c>
      <c r="AG66" s="27">
        <v>0</v>
      </c>
      <c r="AH66" s="27">
        <v>0</v>
      </c>
      <c r="AI66" s="27">
        <v>0</v>
      </c>
      <c r="AJ66" s="27">
        <v>0</v>
      </c>
      <c r="AK66" s="26">
        <f>SUM(AF66:AJ66)</f>
        <v>0</v>
      </c>
      <c r="AL66" s="28">
        <f>AK66+AE66+Z66</f>
        <v>0</v>
      </c>
      <c r="AN66" s="13">
        <f t="shared" si="4"/>
        <v>0</v>
      </c>
      <c r="AO66" s="13">
        <f t="shared" si="5"/>
        <v>0</v>
      </c>
    </row>
    <row r="67" spans="1:41" s="15" customFormat="1" ht="17" thickBot="1">
      <c r="A67" s="119"/>
      <c r="B67" s="4" t="s">
        <v>8</v>
      </c>
      <c r="C67" s="26">
        <v>6597</v>
      </c>
      <c r="D67" s="37">
        <v>611</v>
      </c>
      <c r="E67" s="21">
        <v>0</v>
      </c>
      <c r="F67" s="21">
        <v>0</v>
      </c>
      <c r="G67" s="21">
        <v>0</v>
      </c>
      <c r="H67" s="21">
        <v>0</v>
      </c>
      <c r="I67" s="20">
        <v>0</v>
      </c>
      <c r="J67" s="21">
        <v>0</v>
      </c>
      <c r="K67" s="21">
        <v>0</v>
      </c>
      <c r="L67" s="21">
        <v>0</v>
      </c>
      <c r="M67" s="21">
        <v>0</v>
      </c>
      <c r="N67" s="20">
        <v>0</v>
      </c>
      <c r="O67" s="21">
        <v>0</v>
      </c>
      <c r="P67" s="21">
        <v>0</v>
      </c>
      <c r="Q67" s="21">
        <v>0</v>
      </c>
      <c r="R67" s="21">
        <v>0</v>
      </c>
      <c r="S67" s="21">
        <v>0</v>
      </c>
      <c r="T67" s="20">
        <f>N67+T66-T63</f>
        <v>0</v>
      </c>
      <c r="U67" s="22">
        <f>U66-U63</f>
        <v>0</v>
      </c>
      <c r="V67" s="21">
        <v>0</v>
      </c>
      <c r="W67" s="21">
        <v>0</v>
      </c>
      <c r="X67" s="21">
        <v>0</v>
      </c>
      <c r="Y67" s="21">
        <v>0</v>
      </c>
      <c r="Z67" s="20">
        <v>0</v>
      </c>
      <c r="AA67" s="21">
        <v>0</v>
      </c>
      <c r="AB67" s="21">
        <v>0</v>
      </c>
      <c r="AC67" s="21">
        <v>0</v>
      </c>
      <c r="AD67" s="21">
        <v>0</v>
      </c>
      <c r="AE67" s="20">
        <v>0</v>
      </c>
      <c r="AF67" s="21">
        <v>0</v>
      </c>
      <c r="AG67" s="21">
        <v>0</v>
      </c>
      <c r="AH67" s="21">
        <v>0</v>
      </c>
      <c r="AI67" s="21">
        <v>0</v>
      </c>
      <c r="AJ67" s="21">
        <v>0</v>
      </c>
      <c r="AK67" s="20">
        <f>AE67+AK66-AK63</f>
        <v>0</v>
      </c>
      <c r="AL67" s="22">
        <f>T67+AL66-AL63</f>
        <v>0</v>
      </c>
      <c r="AN67" s="13">
        <f t="shared" si="4"/>
        <v>0</v>
      </c>
      <c r="AO67" s="13">
        <f t="shared" si="5"/>
        <v>0</v>
      </c>
    </row>
    <row r="68" spans="1:41" s="15" customFormat="1" ht="17" thickBot="1">
      <c r="A68" s="46"/>
      <c r="B68" s="12" t="s">
        <v>9</v>
      </c>
      <c r="C68" s="26"/>
      <c r="D68" s="26"/>
      <c r="E68" s="19" t="e">
        <v>#DIV/0!</v>
      </c>
      <c r="F68" s="19" t="e">
        <v>#DIV/0!</v>
      </c>
      <c r="G68" s="19" t="e">
        <v>#DIV/0!</v>
      </c>
      <c r="H68" s="19" t="e">
        <v>#DIV/0!</v>
      </c>
      <c r="I68" s="23"/>
      <c r="J68" s="19" t="e">
        <v>#DIV/0!</v>
      </c>
      <c r="K68" s="19" t="e">
        <v>#DIV/0!</v>
      </c>
      <c r="L68" s="19" t="e">
        <v>#DIV/0!</v>
      </c>
      <c r="M68" s="19" t="e">
        <v>#DIV/0!</v>
      </c>
      <c r="N68" s="23"/>
      <c r="O68" s="19" t="e">
        <v>#DIV/0!</v>
      </c>
      <c r="P68" s="19">
        <v>0</v>
      </c>
      <c r="Q68" s="19" t="e">
        <v>#DIV/0!</v>
      </c>
      <c r="R68" s="19" t="e">
        <v>#DIV/0!</v>
      </c>
      <c r="S68" s="19" t="e">
        <v>#REF!</v>
      </c>
      <c r="T68" s="23"/>
      <c r="U68" s="24"/>
      <c r="V68" s="19" t="e">
        <v>#DIV/0!</v>
      </c>
      <c r="W68" s="19" t="e">
        <v>#DIV/0!</v>
      </c>
      <c r="X68" s="19" t="e">
        <v>#DIV/0!</v>
      </c>
      <c r="Y68" s="19" t="e">
        <v>#DIV/0!</v>
      </c>
      <c r="Z68" s="23"/>
      <c r="AA68" s="19" t="e">
        <v>#DIV/0!</v>
      </c>
      <c r="AB68" s="19" t="e">
        <v>#DIV/0!</v>
      </c>
      <c r="AC68" s="19" t="e">
        <v>#DIV/0!</v>
      </c>
      <c r="AD68" s="19" t="e">
        <v>#DIV/0!</v>
      </c>
      <c r="AE68" s="23"/>
      <c r="AF68" s="19" t="e">
        <v>#DIV/0!</v>
      </c>
      <c r="AG68" s="19" t="e">
        <v>#DIV/0!</v>
      </c>
      <c r="AH68" s="19" t="e">
        <v>#DIV/0!</v>
      </c>
      <c r="AI68" s="19" t="e">
        <v>#DIV/0!</v>
      </c>
      <c r="AJ68" s="19" t="e">
        <v>#REF!</v>
      </c>
      <c r="AK68" s="23"/>
      <c r="AL68" s="24"/>
      <c r="AN68" s="13">
        <f t="shared" si="4"/>
        <v>0</v>
      </c>
      <c r="AO68" s="13">
        <f t="shared" si="5"/>
        <v>0</v>
      </c>
    </row>
    <row r="69" spans="1:41" s="15" customFormat="1">
      <c r="A69" s="117" t="s">
        <v>43</v>
      </c>
      <c r="B69" s="3" t="s">
        <v>38</v>
      </c>
      <c r="C69" s="26"/>
      <c r="D69" s="26"/>
      <c r="E69" s="27">
        <v>0</v>
      </c>
      <c r="F69" s="27">
        <v>0</v>
      </c>
      <c r="G69" s="27">
        <v>4000</v>
      </c>
      <c r="H69" s="27">
        <v>0</v>
      </c>
      <c r="I69" s="26">
        <v>4000</v>
      </c>
      <c r="J69" s="27">
        <v>0</v>
      </c>
      <c r="K69" s="27">
        <v>8000</v>
      </c>
      <c r="L69" s="27">
        <v>25600</v>
      </c>
      <c r="M69" s="27">
        <v>0</v>
      </c>
      <c r="N69" s="26">
        <v>33600</v>
      </c>
      <c r="O69" s="27">
        <v>29302</v>
      </c>
      <c r="P69" s="27">
        <v>4192</v>
      </c>
      <c r="Q69" s="27">
        <v>8750</v>
      </c>
      <c r="R69" s="27">
        <v>0</v>
      </c>
      <c r="S69" s="27">
        <v>0</v>
      </c>
      <c r="T69" s="26">
        <f>SUM(O69:S69)</f>
        <v>42244</v>
      </c>
      <c r="U69" s="28">
        <f>T69+N69+I69+D73</f>
        <v>201751</v>
      </c>
      <c r="V69" s="27">
        <v>10907</v>
      </c>
      <c r="W69" s="27">
        <v>3277</v>
      </c>
      <c r="X69" s="27">
        <v>188</v>
      </c>
      <c r="Y69" s="27">
        <v>0</v>
      </c>
      <c r="Z69" s="26">
        <v>14372</v>
      </c>
      <c r="AA69" s="27">
        <v>8675</v>
      </c>
      <c r="AB69" s="27">
        <v>0</v>
      </c>
      <c r="AC69" s="27">
        <v>1326</v>
      </c>
      <c r="AD69" s="27">
        <v>0</v>
      </c>
      <c r="AE69" s="26">
        <v>10001</v>
      </c>
      <c r="AF69" s="27">
        <v>0</v>
      </c>
      <c r="AG69" s="27">
        <v>0</v>
      </c>
      <c r="AH69" s="27">
        <v>0</v>
      </c>
      <c r="AI69" s="27">
        <v>0</v>
      </c>
      <c r="AJ69" s="27">
        <v>0</v>
      </c>
      <c r="AK69" s="26">
        <f>SUM(AF69:AJ69)</f>
        <v>0</v>
      </c>
      <c r="AL69" s="28">
        <f>AK69+AE69+Z69</f>
        <v>24373</v>
      </c>
      <c r="AM69" s="15">
        <v>32</v>
      </c>
      <c r="AN69" s="13">
        <f t="shared" si="4"/>
        <v>6456032</v>
      </c>
      <c r="AO69" s="13">
        <f t="shared" si="5"/>
        <v>779936</v>
      </c>
    </row>
    <row r="70" spans="1:41" s="15" customFormat="1">
      <c r="A70" s="118"/>
      <c r="B70" s="12" t="s">
        <v>6</v>
      </c>
      <c r="C70" s="26"/>
      <c r="D70" s="26"/>
      <c r="E70" s="27">
        <v>0</v>
      </c>
      <c r="F70" s="27">
        <v>0</v>
      </c>
      <c r="G70" s="27">
        <v>4000</v>
      </c>
      <c r="H70" s="27">
        <v>0</v>
      </c>
      <c r="I70" s="26">
        <v>4000</v>
      </c>
      <c r="J70" s="27">
        <v>0</v>
      </c>
      <c r="K70" s="27">
        <v>8000</v>
      </c>
      <c r="L70" s="27">
        <v>25600</v>
      </c>
      <c r="M70" s="27">
        <v>0</v>
      </c>
      <c r="N70" s="26">
        <v>33600</v>
      </c>
      <c r="O70" s="27">
        <v>20000</v>
      </c>
      <c r="P70" s="27">
        <v>0</v>
      </c>
      <c r="Q70" s="27">
        <v>0</v>
      </c>
      <c r="R70" s="27">
        <v>40000</v>
      </c>
      <c r="S70" s="27">
        <v>0</v>
      </c>
      <c r="T70" s="26">
        <f>SUM(O70:S70)</f>
        <v>60000</v>
      </c>
      <c r="U70" s="28"/>
      <c r="V70" s="27">
        <v>0</v>
      </c>
      <c r="W70" s="27">
        <v>0</v>
      </c>
      <c r="X70" s="27">
        <v>0</v>
      </c>
      <c r="Y70" s="27">
        <v>0</v>
      </c>
      <c r="Z70" s="26">
        <v>0</v>
      </c>
      <c r="AA70" s="27">
        <v>0</v>
      </c>
      <c r="AB70" s="27">
        <v>0</v>
      </c>
      <c r="AC70" s="27">
        <v>0</v>
      </c>
      <c r="AD70" s="27">
        <v>0</v>
      </c>
      <c r="AE70" s="26">
        <v>0</v>
      </c>
      <c r="AF70" s="27">
        <v>0</v>
      </c>
      <c r="AG70" s="27">
        <v>0</v>
      </c>
      <c r="AH70" s="27">
        <v>0</v>
      </c>
      <c r="AI70" s="27">
        <v>0</v>
      </c>
      <c r="AJ70" s="27">
        <v>0</v>
      </c>
      <c r="AK70" s="26">
        <f>SUM(AF70:AJ70)</f>
        <v>0</v>
      </c>
      <c r="AL70" s="28"/>
      <c r="AN70" s="13">
        <f t="shared" si="4"/>
        <v>0</v>
      </c>
      <c r="AO70" s="13">
        <f t="shared" si="5"/>
        <v>0</v>
      </c>
    </row>
    <row r="71" spans="1:41" s="15" customFormat="1">
      <c r="A71" s="118"/>
      <c r="B71" s="12" t="s">
        <v>10</v>
      </c>
      <c r="C71" s="27">
        <v>0</v>
      </c>
      <c r="D71" s="26"/>
      <c r="E71" s="27">
        <v>0</v>
      </c>
      <c r="F71" s="27">
        <v>0</v>
      </c>
      <c r="G71" s="27">
        <v>0</v>
      </c>
      <c r="H71" s="27">
        <v>0</v>
      </c>
      <c r="I71" s="26">
        <v>0</v>
      </c>
      <c r="J71" s="27">
        <v>0</v>
      </c>
      <c r="K71" s="27">
        <v>0</v>
      </c>
      <c r="L71" s="27">
        <v>0</v>
      </c>
      <c r="M71" s="27">
        <v>0</v>
      </c>
      <c r="N71" s="26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6">
        <f>SUM(O71:R71)</f>
        <v>0</v>
      </c>
      <c r="U71" s="28">
        <f>I71+N71+T71</f>
        <v>0</v>
      </c>
      <c r="V71" s="27">
        <v>0</v>
      </c>
      <c r="W71" s="27">
        <v>0</v>
      </c>
      <c r="X71" s="27">
        <v>0</v>
      </c>
      <c r="Y71" s="27">
        <v>0</v>
      </c>
      <c r="Z71" s="26">
        <v>0</v>
      </c>
      <c r="AA71" s="27">
        <v>0</v>
      </c>
      <c r="AB71" s="27">
        <v>0</v>
      </c>
      <c r="AC71" s="27">
        <v>0</v>
      </c>
      <c r="AD71" s="27">
        <v>0</v>
      </c>
      <c r="AE71" s="26">
        <v>0</v>
      </c>
      <c r="AF71" s="27">
        <v>0</v>
      </c>
      <c r="AG71" s="27">
        <v>0</v>
      </c>
      <c r="AH71" s="27">
        <v>0</v>
      </c>
      <c r="AI71" s="27">
        <v>0</v>
      </c>
      <c r="AJ71" s="27">
        <v>0</v>
      </c>
      <c r="AK71" s="26">
        <f>SUM(AF71:AI71)</f>
        <v>0</v>
      </c>
      <c r="AL71" s="28">
        <f>Z71+AE71+AK71</f>
        <v>0</v>
      </c>
      <c r="AN71" s="13">
        <f t="shared" si="4"/>
        <v>0</v>
      </c>
      <c r="AO71" s="13">
        <f t="shared" si="5"/>
        <v>0</v>
      </c>
    </row>
    <row r="72" spans="1:41" s="15" customFormat="1">
      <c r="A72" s="118"/>
      <c r="B72" s="12" t="s">
        <v>7</v>
      </c>
      <c r="C72" s="26"/>
      <c r="D72" s="26"/>
      <c r="E72" s="32">
        <v>0</v>
      </c>
      <c r="F72" s="27">
        <v>0</v>
      </c>
      <c r="G72" s="27">
        <v>4000</v>
      </c>
      <c r="H72" s="27">
        <v>0</v>
      </c>
      <c r="I72" s="26">
        <v>4000</v>
      </c>
      <c r="J72" s="32">
        <v>0</v>
      </c>
      <c r="K72" s="27">
        <v>8000</v>
      </c>
      <c r="L72" s="27">
        <v>25600</v>
      </c>
      <c r="M72" s="27">
        <v>0</v>
      </c>
      <c r="N72" s="26">
        <v>33600</v>
      </c>
      <c r="O72" s="32">
        <v>20000</v>
      </c>
      <c r="P72" s="27">
        <v>0</v>
      </c>
      <c r="Q72" s="27">
        <v>0</v>
      </c>
      <c r="R72" s="27">
        <v>40000</v>
      </c>
      <c r="S72" s="27">
        <v>0</v>
      </c>
      <c r="T72" s="26">
        <f>SUM(O72:S72)</f>
        <v>60000</v>
      </c>
      <c r="U72" s="28">
        <f>T72+N72+I72+D73</f>
        <v>219507</v>
      </c>
      <c r="V72" s="32">
        <v>0</v>
      </c>
      <c r="W72" s="27">
        <v>0</v>
      </c>
      <c r="X72" s="27">
        <v>0</v>
      </c>
      <c r="Y72" s="27">
        <v>0</v>
      </c>
      <c r="Z72" s="26">
        <v>17756</v>
      </c>
      <c r="AA72" s="32">
        <v>0</v>
      </c>
      <c r="AB72" s="27">
        <v>0</v>
      </c>
      <c r="AC72" s="27">
        <v>0</v>
      </c>
      <c r="AD72" s="27">
        <v>0</v>
      </c>
      <c r="AE72" s="26">
        <v>0</v>
      </c>
      <c r="AF72" s="32">
        <v>0</v>
      </c>
      <c r="AG72" s="27">
        <v>0</v>
      </c>
      <c r="AH72" s="27">
        <v>0</v>
      </c>
      <c r="AI72" s="27">
        <v>0</v>
      </c>
      <c r="AJ72" s="27">
        <v>0</v>
      </c>
      <c r="AK72" s="26">
        <f>SUM(AF72:AJ72)</f>
        <v>0</v>
      </c>
      <c r="AL72" s="28">
        <f>AK72+AE72+Z72</f>
        <v>17756</v>
      </c>
      <c r="AN72" s="13">
        <f t="shared" si="4"/>
        <v>0</v>
      </c>
      <c r="AO72" s="13">
        <f t="shared" si="5"/>
        <v>0</v>
      </c>
    </row>
    <row r="73" spans="1:41" s="15" customFormat="1" ht="17" thickBot="1">
      <c r="A73" s="119"/>
      <c r="B73" s="4" t="s">
        <v>8</v>
      </c>
      <c r="C73" s="26">
        <v>80266</v>
      </c>
      <c r="D73" s="37">
        <v>121907</v>
      </c>
      <c r="E73" s="21">
        <v>0</v>
      </c>
      <c r="F73" s="21">
        <v>0</v>
      </c>
      <c r="G73" s="21">
        <v>0</v>
      </c>
      <c r="H73" s="21">
        <v>0</v>
      </c>
      <c r="I73" s="20">
        <v>0</v>
      </c>
      <c r="J73" s="21">
        <v>0</v>
      </c>
      <c r="K73" s="21">
        <v>0</v>
      </c>
      <c r="L73" s="21">
        <v>0</v>
      </c>
      <c r="M73" s="21">
        <v>0</v>
      </c>
      <c r="N73" s="20">
        <v>0</v>
      </c>
      <c r="O73" s="21">
        <v>-9302</v>
      </c>
      <c r="P73" s="21">
        <v>-13494</v>
      </c>
      <c r="Q73" s="21">
        <v>-22244</v>
      </c>
      <c r="R73" s="21">
        <v>17756</v>
      </c>
      <c r="S73" s="21">
        <v>17756</v>
      </c>
      <c r="T73" s="20">
        <f>N73+T72-T69</f>
        <v>17756</v>
      </c>
      <c r="U73" s="22">
        <f>U72-U69</f>
        <v>17756</v>
      </c>
      <c r="V73" s="21">
        <v>6849</v>
      </c>
      <c r="W73" s="21">
        <v>3572</v>
      </c>
      <c r="X73" s="21">
        <v>3384</v>
      </c>
      <c r="Y73" s="21">
        <v>3384</v>
      </c>
      <c r="Z73" s="20">
        <v>3384</v>
      </c>
      <c r="AA73" s="21">
        <v>-5291</v>
      </c>
      <c r="AB73" s="21">
        <v>-5291</v>
      </c>
      <c r="AC73" s="21">
        <v>-6617</v>
      </c>
      <c r="AD73" s="21">
        <v>-6617</v>
      </c>
      <c r="AE73" s="20">
        <v>-6617</v>
      </c>
      <c r="AF73" s="21">
        <v>-6617</v>
      </c>
      <c r="AG73" s="21">
        <v>-6617</v>
      </c>
      <c r="AH73" s="21">
        <v>-6617</v>
      </c>
      <c r="AI73" s="21">
        <v>-6617</v>
      </c>
      <c r="AJ73" s="21">
        <v>-6617</v>
      </c>
      <c r="AK73" s="20">
        <f>AE73+AK72-AK69</f>
        <v>-6617</v>
      </c>
      <c r="AL73" s="22">
        <f>T73+AL72-AL69</f>
        <v>11139</v>
      </c>
      <c r="AN73" s="13">
        <f t="shared" si="4"/>
        <v>0</v>
      </c>
      <c r="AO73" s="13">
        <f t="shared" si="5"/>
        <v>0</v>
      </c>
    </row>
    <row r="74" spans="1:41" s="15" customFormat="1" ht="17" thickBot="1">
      <c r="A74" s="46"/>
      <c r="B74" s="12" t="s">
        <v>9</v>
      </c>
      <c r="C74" s="26"/>
      <c r="D74" s="26"/>
      <c r="E74" s="19">
        <v>0</v>
      </c>
      <c r="F74" s="19">
        <v>0</v>
      </c>
      <c r="G74" s="19">
        <v>0</v>
      </c>
      <c r="H74" s="19">
        <v>0</v>
      </c>
      <c r="I74" s="23"/>
      <c r="J74" s="19">
        <v>0</v>
      </c>
      <c r="K74" s="19">
        <v>0</v>
      </c>
      <c r="L74" s="19">
        <v>0</v>
      </c>
      <c r="M74" s="19">
        <v>0</v>
      </c>
      <c r="N74" s="23"/>
      <c r="O74" s="19">
        <v>-14374.903415237211</v>
      </c>
      <c r="P74" s="19">
        <v>-1282.0841706215174</v>
      </c>
      <c r="Q74" s="19" t="e">
        <v>#DIV/0!</v>
      </c>
      <c r="R74" s="19" t="e">
        <v>#DIV/0!</v>
      </c>
      <c r="S74" s="19" t="e">
        <v>#REF!</v>
      </c>
      <c r="T74" s="23"/>
      <c r="U74" s="24"/>
      <c r="V74" s="19">
        <v>7679.5425239670349</v>
      </c>
      <c r="W74" s="19">
        <v>4906.5934065934071</v>
      </c>
      <c r="X74" s="19">
        <v>4709.1566935708324</v>
      </c>
      <c r="Y74" s="19">
        <v>4709.1566935708324</v>
      </c>
      <c r="Z74" s="23"/>
      <c r="AA74" s="19">
        <v>-9342.2795091374592</v>
      </c>
      <c r="AB74" s="19">
        <v>-9342.2795091374592</v>
      </c>
      <c r="AC74" s="19">
        <v>-13232.676732326769</v>
      </c>
      <c r="AD74" s="19">
        <v>-13232.676732326769</v>
      </c>
      <c r="AE74" s="23"/>
      <c r="AF74" s="19" t="e">
        <v>#DIV/0!</v>
      </c>
      <c r="AG74" s="19">
        <v>-5429.7788536495291</v>
      </c>
      <c r="AH74" s="19" t="e">
        <v>#DIV/0!</v>
      </c>
      <c r="AI74" s="19" t="e">
        <v>#DIV/0!</v>
      </c>
      <c r="AJ74" s="19" t="e">
        <v>#REF!</v>
      </c>
      <c r="AK74" s="23"/>
      <c r="AL74" s="24"/>
      <c r="AN74" s="13">
        <f t="shared" si="4"/>
        <v>0</v>
      </c>
      <c r="AO74" s="13">
        <f t="shared" si="5"/>
        <v>0</v>
      </c>
    </row>
    <row r="75" spans="1:41" s="15" customFormat="1">
      <c r="A75" s="117" t="s">
        <v>44</v>
      </c>
      <c r="B75" s="3" t="s">
        <v>5</v>
      </c>
      <c r="C75" s="26"/>
      <c r="D75" s="26"/>
      <c r="E75" s="27">
        <v>0</v>
      </c>
      <c r="F75" s="27">
        <v>0</v>
      </c>
      <c r="G75" s="27">
        <v>0</v>
      </c>
      <c r="H75" s="27">
        <v>0</v>
      </c>
      <c r="I75" s="26">
        <v>0</v>
      </c>
      <c r="J75" s="27">
        <v>0</v>
      </c>
      <c r="K75" s="27">
        <v>0</v>
      </c>
      <c r="L75" s="27">
        <v>0</v>
      </c>
      <c r="M75" s="27">
        <v>0</v>
      </c>
      <c r="N75" s="26">
        <v>0</v>
      </c>
      <c r="O75" s="27">
        <v>16</v>
      </c>
      <c r="P75" s="27">
        <v>0</v>
      </c>
      <c r="Q75" s="27">
        <v>0</v>
      </c>
      <c r="R75" s="27">
        <v>0</v>
      </c>
      <c r="S75" s="27">
        <v>0</v>
      </c>
      <c r="T75" s="26">
        <f>SUM(O75:S75)</f>
        <v>16</v>
      </c>
      <c r="U75" s="28">
        <f>T75+N75+I75+D79</f>
        <v>82</v>
      </c>
      <c r="V75" s="27">
        <v>0</v>
      </c>
      <c r="W75" s="27">
        <v>0</v>
      </c>
      <c r="X75" s="27">
        <v>0</v>
      </c>
      <c r="Y75" s="27">
        <v>0</v>
      </c>
      <c r="Z75" s="26">
        <v>0</v>
      </c>
      <c r="AA75" s="27">
        <v>0</v>
      </c>
      <c r="AB75" s="27">
        <v>0</v>
      </c>
      <c r="AC75" s="27">
        <v>0</v>
      </c>
      <c r="AD75" s="27">
        <v>0</v>
      </c>
      <c r="AE75" s="26">
        <v>0</v>
      </c>
      <c r="AF75" s="27">
        <v>0</v>
      </c>
      <c r="AG75" s="27">
        <v>0</v>
      </c>
      <c r="AH75" s="27">
        <v>0</v>
      </c>
      <c r="AI75" s="27">
        <v>0</v>
      </c>
      <c r="AJ75" s="27">
        <v>0</v>
      </c>
      <c r="AK75" s="26">
        <f>SUM(AF75:AJ75)</f>
        <v>0</v>
      </c>
      <c r="AL75" s="28">
        <f>AK75+AE75+Z75</f>
        <v>0</v>
      </c>
      <c r="AM75" s="15">
        <v>32</v>
      </c>
      <c r="AN75" s="13">
        <f t="shared" si="4"/>
        <v>2624</v>
      </c>
      <c r="AO75" s="13">
        <f t="shared" si="5"/>
        <v>0</v>
      </c>
    </row>
    <row r="76" spans="1:41" s="15" customFormat="1">
      <c r="A76" s="118"/>
      <c r="B76" s="12" t="s">
        <v>6</v>
      </c>
      <c r="C76" s="26"/>
      <c r="D76" s="26"/>
      <c r="E76" s="27">
        <v>0</v>
      </c>
      <c r="F76" s="27">
        <v>0</v>
      </c>
      <c r="G76" s="27">
        <v>0</v>
      </c>
      <c r="H76" s="27">
        <v>0</v>
      </c>
      <c r="I76" s="26">
        <v>0</v>
      </c>
      <c r="J76" s="27">
        <v>0</v>
      </c>
      <c r="K76" s="27">
        <v>0</v>
      </c>
      <c r="L76" s="27">
        <v>0</v>
      </c>
      <c r="M76" s="27">
        <v>0</v>
      </c>
      <c r="N76" s="26">
        <v>0</v>
      </c>
      <c r="O76" s="27">
        <v>0</v>
      </c>
      <c r="P76" s="27">
        <v>0</v>
      </c>
      <c r="Q76" s="27">
        <v>0</v>
      </c>
      <c r="R76" s="27">
        <v>0</v>
      </c>
      <c r="S76" s="27">
        <v>0</v>
      </c>
      <c r="T76" s="26">
        <f>SUM(O76:S76)</f>
        <v>0</v>
      </c>
      <c r="U76" s="28"/>
      <c r="V76" s="27">
        <v>0</v>
      </c>
      <c r="W76" s="27">
        <v>0</v>
      </c>
      <c r="X76" s="27">
        <v>0</v>
      </c>
      <c r="Y76" s="27">
        <v>0</v>
      </c>
      <c r="Z76" s="26">
        <v>0</v>
      </c>
      <c r="AA76" s="27">
        <v>0</v>
      </c>
      <c r="AB76" s="27">
        <v>0</v>
      </c>
      <c r="AC76" s="27">
        <v>0</v>
      </c>
      <c r="AD76" s="27">
        <v>0</v>
      </c>
      <c r="AE76" s="26">
        <v>0</v>
      </c>
      <c r="AF76" s="27">
        <v>0</v>
      </c>
      <c r="AG76" s="27">
        <v>0</v>
      </c>
      <c r="AH76" s="27">
        <v>0</v>
      </c>
      <c r="AI76" s="27">
        <v>0</v>
      </c>
      <c r="AJ76" s="27">
        <v>0</v>
      </c>
      <c r="AK76" s="26">
        <f>SUM(AF76:AJ76)</f>
        <v>0</v>
      </c>
      <c r="AL76" s="28"/>
      <c r="AN76" s="13">
        <f t="shared" si="4"/>
        <v>0</v>
      </c>
      <c r="AO76" s="13">
        <f t="shared" si="5"/>
        <v>0</v>
      </c>
    </row>
    <row r="77" spans="1:41" s="15" customFormat="1">
      <c r="A77" s="118"/>
      <c r="B77" s="12" t="s">
        <v>10</v>
      </c>
      <c r="C77" s="27">
        <v>0</v>
      </c>
      <c r="D77" s="26"/>
      <c r="E77" s="27">
        <v>0</v>
      </c>
      <c r="F77" s="27">
        <v>0</v>
      </c>
      <c r="G77" s="27">
        <v>0</v>
      </c>
      <c r="H77" s="27">
        <v>0</v>
      </c>
      <c r="I77" s="26">
        <v>0</v>
      </c>
      <c r="J77" s="27">
        <v>0</v>
      </c>
      <c r="K77" s="27">
        <v>0</v>
      </c>
      <c r="L77" s="27">
        <v>0</v>
      </c>
      <c r="M77" s="27">
        <v>0</v>
      </c>
      <c r="N77" s="26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6">
        <f>SUM(O77:R77)</f>
        <v>0</v>
      </c>
      <c r="U77" s="28">
        <f>I77+N77+T77</f>
        <v>0</v>
      </c>
      <c r="V77" s="27">
        <v>0</v>
      </c>
      <c r="W77" s="27">
        <v>0</v>
      </c>
      <c r="X77" s="27">
        <v>0</v>
      </c>
      <c r="Y77" s="27">
        <v>0</v>
      </c>
      <c r="Z77" s="26">
        <v>0</v>
      </c>
      <c r="AA77" s="27">
        <v>0</v>
      </c>
      <c r="AB77" s="27">
        <v>0</v>
      </c>
      <c r="AC77" s="27">
        <v>0</v>
      </c>
      <c r="AD77" s="27">
        <v>0</v>
      </c>
      <c r="AE77" s="26">
        <v>0</v>
      </c>
      <c r="AF77" s="27">
        <v>0</v>
      </c>
      <c r="AG77" s="27">
        <v>0</v>
      </c>
      <c r="AH77" s="27">
        <v>0</v>
      </c>
      <c r="AI77" s="27">
        <v>0</v>
      </c>
      <c r="AJ77" s="27">
        <v>0</v>
      </c>
      <c r="AK77" s="26">
        <f>SUM(AF77:AI77)</f>
        <v>0</v>
      </c>
      <c r="AL77" s="28">
        <f>Z77+AE77+AK77</f>
        <v>0</v>
      </c>
      <c r="AN77" s="13">
        <f t="shared" si="4"/>
        <v>0</v>
      </c>
      <c r="AO77" s="13">
        <f t="shared" si="5"/>
        <v>0</v>
      </c>
    </row>
    <row r="78" spans="1:41" s="15" customFormat="1">
      <c r="A78" s="118"/>
      <c r="B78" s="12" t="s">
        <v>7</v>
      </c>
      <c r="C78" s="26"/>
      <c r="D78" s="26"/>
      <c r="E78" s="32">
        <v>0</v>
      </c>
      <c r="F78" s="27">
        <v>0</v>
      </c>
      <c r="G78" s="27">
        <v>0</v>
      </c>
      <c r="H78" s="27">
        <v>0</v>
      </c>
      <c r="I78" s="26">
        <v>0</v>
      </c>
      <c r="J78" s="32">
        <v>0</v>
      </c>
      <c r="K78" s="27">
        <v>0</v>
      </c>
      <c r="L78" s="27">
        <v>0</v>
      </c>
      <c r="M78" s="27">
        <v>0</v>
      </c>
      <c r="N78" s="26">
        <v>0</v>
      </c>
      <c r="O78" s="32">
        <v>0</v>
      </c>
      <c r="P78" s="27">
        <v>0</v>
      </c>
      <c r="Q78" s="27">
        <v>0</v>
      </c>
      <c r="R78" s="27">
        <v>0</v>
      </c>
      <c r="S78" s="27">
        <v>0</v>
      </c>
      <c r="T78" s="26">
        <f>SUM(O78:S78)</f>
        <v>0</v>
      </c>
      <c r="U78" s="28">
        <f>T78+N78+I78+D79</f>
        <v>66</v>
      </c>
      <c r="V78" s="32">
        <v>0</v>
      </c>
      <c r="W78" s="27">
        <v>0</v>
      </c>
      <c r="X78" s="27">
        <v>0</v>
      </c>
      <c r="Y78" s="27">
        <v>0</v>
      </c>
      <c r="Z78" s="26">
        <v>-16</v>
      </c>
      <c r="AA78" s="32">
        <v>0</v>
      </c>
      <c r="AB78" s="27">
        <v>0</v>
      </c>
      <c r="AC78" s="27">
        <v>0</v>
      </c>
      <c r="AD78" s="27">
        <v>0</v>
      </c>
      <c r="AE78" s="26">
        <v>0</v>
      </c>
      <c r="AF78" s="32">
        <v>0</v>
      </c>
      <c r="AG78" s="27">
        <v>0</v>
      </c>
      <c r="AH78" s="27">
        <v>0</v>
      </c>
      <c r="AI78" s="27">
        <v>0</v>
      </c>
      <c r="AJ78" s="27">
        <v>0</v>
      </c>
      <c r="AK78" s="26">
        <f>SUM(AF78:AJ78)</f>
        <v>0</v>
      </c>
      <c r="AL78" s="28">
        <f>AK78+AE78+Z78</f>
        <v>-16</v>
      </c>
      <c r="AN78" s="13">
        <f t="shared" si="4"/>
        <v>0</v>
      </c>
      <c r="AO78" s="13">
        <f t="shared" si="5"/>
        <v>0</v>
      </c>
    </row>
    <row r="79" spans="1:41" s="15" customFormat="1" ht="17" thickBot="1">
      <c r="A79" s="119"/>
      <c r="B79" s="4" t="s">
        <v>8</v>
      </c>
      <c r="C79" s="26">
        <v>0</v>
      </c>
      <c r="D79" s="37">
        <v>66</v>
      </c>
      <c r="E79" s="21">
        <v>0</v>
      </c>
      <c r="F79" s="21">
        <v>0</v>
      </c>
      <c r="G79" s="21">
        <v>0</v>
      </c>
      <c r="H79" s="21">
        <v>0</v>
      </c>
      <c r="I79" s="20">
        <v>0</v>
      </c>
      <c r="J79" s="21">
        <v>0</v>
      </c>
      <c r="K79" s="21">
        <v>0</v>
      </c>
      <c r="L79" s="21">
        <v>0</v>
      </c>
      <c r="M79" s="21">
        <v>0</v>
      </c>
      <c r="N79" s="20">
        <v>0</v>
      </c>
      <c r="O79" s="21">
        <v>-16</v>
      </c>
      <c r="P79" s="21">
        <v>-16</v>
      </c>
      <c r="Q79" s="21">
        <v>-16</v>
      </c>
      <c r="R79" s="21">
        <v>-16</v>
      </c>
      <c r="S79" s="21">
        <v>-16</v>
      </c>
      <c r="T79" s="20">
        <f>N79+T78-T75</f>
        <v>-16</v>
      </c>
      <c r="U79" s="22">
        <f>U78-U75</f>
        <v>-16</v>
      </c>
      <c r="V79" s="21">
        <v>-16</v>
      </c>
      <c r="W79" s="21">
        <v>-16</v>
      </c>
      <c r="X79" s="21">
        <v>-16</v>
      </c>
      <c r="Y79" s="21">
        <v>-16</v>
      </c>
      <c r="Z79" s="20">
        <v>-16</v>
      </c>
      <c r="AA79" s="21">
        <v>-16</v>
      </c>
      <c r="AB79" s="21">
        <v>-16</v>
      </c>
      <c r="AC79" s="21">
        <v>-16</v>
      </c>
      <c r="AD79" s="21">
        <v>-16</v>
      </c>
      <c r="AE79" s="20">
        <v>-16</v>
      </c>
      <c r="AF79" s="21">
        <v>-16</v>
      </c>
      <c r="AG79" s="21">
        <v>-16</v>
      </c>
      <c r="AH79" s="21">
        <v>-16</v>
      </c>
      <c r="AI79" s="21">
        <v>-16</v>
      </c>
      <c r="AJ79" s="21">
        <v>-16</v>
      </c>
      <c r="AK79" s="20">
        <f>AE79+AK78-AK75</f>
        <v>-16</v>
      </c>
      <c r="AL79" s="22">
        <f>T79+AL78-AL75</f>
        <v>-32</v>
      </c>
      <c r="AN79" s="13">
        <f t="shared" si="4"/>
        <v>0</v>
      </c>
      <c r="AO79" s="13">
        <f t="shared" si="5"/>
        <v>0</v>
      </c>
    </row>
    <row r="80" spans="1:41" s="15" customFormat="1" ht="17" thickBot="1">
      <c r="A80" s="46"/>
      <c r="B80" s="12" t="s">
        <v>9</v>
      </c>
      <c r="C80" s="26"/>
      <c r="D80" s="26"/>
      <c r="E80" s="19" t="e">
        <v>#DIV/0!</v>
      </c>
      <c r="F80" s="19" t="e">
        <v>#DIV/0!</v>
      </c>
      <c r="G80" s="19" t="e">
        <v>#DIV/0!</v>
      </c>
      <c r="H80" s="19" t="e">
        <v>#DIV/0!</v>
      </c>
      <c r="I80" s="23"/>
      <c r="J80" s="19">
        <v>0</v>
      </c>
      <c r="K80" s="19">
        <v>0</v>
      </c>
      <c r="L80" s="19">
        <v>0</v>
      </c>
      <c r="M80" s="19">
        <v>0</v>
      </c>
      <c r="N80" s="23"/>
      <c r="O80" s="19" t="e">
        <v>#DIV/0!</v>
      </c>
      <c r="P80" s="19">
        <v>-3902.4390243902444</v>
      </c>
      <c r="Q80" s="19" t="e">
        <v>#DIV/0!</v>
      </c>
      <c r="R80" s="19" t="e">
        <v>#DIV/0!</v>
      </c>
      <c r="S80" s="19" t="e">
        <v>#REF!</v>
      </c>
      <c r="T80" s="23"/>
      <c r="U80" s="24"/>
      <c r="V80" s="19" t="e">
        <v>#DIV/0!</v>
      </c>
      <c r="W80" s="19" t="e">
        <v>#DIV/0!</v>
      </c>
      <c r="X80" s="19" t="e">
        <v>#DIV/0!</v>
      </c>
      <c r="Y80" s="19" t="e">
        <v>#DIV/0!</v>
      </c>
      <c r="Z80" s="23"/>
      <c r="AA80" s="19" t="e">
        <v>#DIV/0!</v>
      </c>
      <c r="AB80" s="19" t="e">
        <v>#DIV/0!</v>
      </c>
      <c r="AC80" s="19" t="e">
        <v>#DIV/0!</v>
      </c>
      <c r="AD80" s="19" t="e">
        <v>#DIV/0!</v>
      </c>
      <c r="AE80" s="23"/>
      <c r="AF80" s="19" t="e">
        <v>#DIV/0!</v>
      </c>
      <c r="AG80" s="19" t="e">
        <v>#DIV/0!</v>
      </c>
      <c r="AH80" s="19" t="e">
        <v>#DIV/0!</v>
      </c>
      <c r="AI80" s="19" t="e">
        <v>#DIV/0!</v>
      </c>
      <c r="AJ80" s="19" t="e">
        <v>#REF!</v>
      </c>
      <c r="AK80" s="23"/>
      <c r="AL80" s="24"/>
      <c r="AN80" s="13">
        <f t="shared" si="4"/>
        <v>0</v>
      </c>
      <c r="AO80" s="13">
        <f t="shared" si="5"/>
        <v>0</v>
      </c>
    </row>
    <row r="81" spans="1:41" s="15" customFormat="1">
      <c r="A81" s="117" t="s">
        <v>45</v>
      </c>
      <c r="B81" s="3" t="s">
        <v>5</v>
      </c>
      <c r="C81" s="26"/>
      <c r="D81" s="26"/>
      <c r="E81" s="27">
        <v>0</v>
      </c>
      <c r="F81" s="27">
        <v>0</v>
      </c>
      <c r="G81" s="27">
        <v>0</v>
      </c>
      <c r="H81" s="27">
        <v>0</v>
      </c>
      <c r="I81" s="26">
        <v>0</v>
      </c>
      <c r="J81" s="27">
        <v>0</v>
      </c>
      <c r="K81" s="27">
        <v>0</v>
      </c>
      <c r="L81" s="27">
        <v>0</v>
      </c>
      <c r="M81" s="27">
        <v>0</v>
      </c>
      <c r="N81" s="26">
        <v>0</v>
      </c>
      <c r="O81" s="27">
        <v>776</v>
      </c>
      <c r="P81" s="27">
        <v>0</v>
      </c>
      <c r="Q81" s="27">
        <v>0</v>
      </c>
      <c r="R81" s="27">
        <v>0</v>
      </c>
      <c r="S81" s="27">
        <v>0</v>
      </c>
      <c r="T81" s="26">
        <f>SUM(O81:S81)</f>
        <v>776</v>
      </c>
      <c r="U81" s="28">
        <f>T81+N81+I81+D85</f>
        <v>8671</v>
      </c>
      <c r="V81" s="27">
        <v>0</v>
      </c>
      <c r="W81" s="27">
        <v>0</v>
      </c>
      <c r="X81" s="27">
        <v>0</v>
      </c>
      <c r="Y81" s="27">
        <v>0</v>
      </c>
      <c r="Z81" s="26">
        <v>0</v>
      </c>
      <c r="AA81" s="27">
        <v>0</v>
      </c>
      <c r="AB81" s="27">
        <v>0</v>
      </c>
      <c r="AC81" s="27">
        <v>0</v>
      </c>
      <c r="AD81" s="27">
        <v>0</v>
      </c>
      <c r="AE81" s="26">
        <v>0</v>
      </c>
      <c r="AF81" s="27">
        <v>0</v>
      </c>
      <c r="AG81" s="27">
        <v>0</v>
      </c>
      <c r="AH81" s="27">
        <v>0</v>
      </c>
      <c r="AI81" s="27">
        <v>0</v>
      </c>
      <c r="AJ81" s="27">
        <v>0</v>
      </c>
      <c r="AK81" s="26">
        <f>SUM(AF81:AJ81)</f>
        <v>0</v>
      </c>
      <c r="AL81" s="28">
        <f>AK81+AE81+Z81</f>
        <v>0</v>
      </c>
      <c r="AM81" s="15">
        <v>64</v>
      </c>
      <c r="AN81" s="13">
        <f t="shared" si="4"/>
        <v>554944</v>
      </c>
      <c r="AO81" s="13">
        <f t="shared" si="5"/>
        <v>0</v>
      </c>
    </row>
    <row r="82" spans="1:41" s="15" customFormat="1">
      <c r="A82" s="118"/>
      <c r="B82" s="12" t="s">
        <v>6</v>
      </c>
      <c r="C82" s="26"/>
      <c r="D82" s="26"/>
      <c r="E82" s="27">
        <v>0</v>
      </c>
      <c r="F82" s="27">
        <v>0</v>
      </c>
      <c r="G82" s="27">
        <v>0</v>
      </c>
      <c r="H82" s="27">
        <v>0</v>
      </c>
      <c r="I82" s="26">
        <v>0</v>
      </c>
      <c r="J82" s="27">
        <v>0</v>
      </c>
      <c r="K82" s="27">
        <v>0</v>
      </c>
      <c r="L82" s="27">
        <v>0</v>
      </c>
      <c r="M82" s="27">
        <v>0</v>
      </c>
      <c r="N82" s="26">
        <v>0</v>
      </c>
      <c r="O82" s="27">
        <v>2000</v>
      </c>
      <c r="P82" s="27">
        <v>0</v>
      </c>
      <c r="Q82" s="27">
        <v>0</v>
      </c>
      <c r="R82" s="27">
        <v>0</v>
      </c>
      <c r="S82" s="27">
        <v>0</v>
      </c>
      <c r="T82" s="26">
        <f>SUM(O82:S82)</f>
        <v>2000</v>
      </c>
      <c r="U82" s="28"/>
      <c r="V82" s="27">
        <v>0</v>
      </c>
      <c r="W82" s="27">
        <v>0</v>
      </c>
      <c r="X82" s="27">
        <v>0</v>
      </c>
      <c r="Y82" s="27">
        <v>0</v>
      </c>
      <c r="Z82" s="26">
        <v>0</v>
      </c>
      <c r="AA82" s="27">
        <v>0</v>
      </c>
      <c r="AB82" s="27">
        <v>0</v>
      </c>
      <c r="AC82" s="27">
        <v>0</v>
      </c>
      <c r="AD82" s="27">
        <v>0</v>
      </c>
      <c r="AE82" s="26">
        <v>0</v>
      </c>
      <c r="AF82" s="27">
        <v>0</v>
      </c>
      <c r="AG82" s="27">
        <v>0</v>
      </c>
      <c r="AH82" s="27">
        <v>0</v>
      </c>
      <c r="AI82" s="27">
        <v>0</v>
      </c>
      <c r="AJ82" s="27">
        <v>0</v>
      </c>
      <c r="AK82" s="26">
        <f>SUM(AF82:AJ82)</f>
        <v>0</v>
      </c>
      <c r="AL82" s="28"/>
      <c r="AN82" s="13">
        <f t="shared" si="4"/>
        <v>0</v>
      </c>
      <c r="AO82" s="13">
        <f t="shared" si="5"/>
        <v>0</v>
      </c>
    </row>
    <row r="83" spans="1:41" s="15" customFormat="1">
      <c r="A83" s="118"/>
      <c r="B83" s="12" t="s">
        <v>10</v>
      </c>
      <c r="C83" s="27">
        <v>0</v>
      </c>
      <c r="D83" s="26"/>
      <c r="E83" s="27">
        <v>0</v>
      </c>
      <c r="F83" s="27">
        <v>0</v>
      </c>
      <c r="G83" s="27">
        <v>0</v>
      </c>
      <c r="H83" s="27">
        <v>0</v>
      </c>
      <c r="I83" s="26">
        <v>0</v>
      </c>
      <c r="J83" s="27">
        <v>0</v>
      </c>
      <c r="K83" s="27">
        <v>0</v>
      </c>
      <c r="L83" s="27">
        <v>0</v>
      </c>
      <c r="M83" s="27">
        <v>0</v>
      </c>
      <c r="N83" s="26">
        <v>0</v>
      </c>
      <c r="O83" s="27">
        <v>0</v>
      </c>
      <c r="P83" s="27">
        <v>0</v>
      </c>
      <c r="Q83" s="27">
        <v>0</v>
      </c>
      <c r="R83" s="27">
        <v>0</v>
      </c>
      <c r="S83" s="27">
        <v>0</v>
      </c>
      <c r="T83" s="26">
        <f>SUM(O83:R83)</f>
        <v>0</v>
      </c>
      <c r="U83" s="28">
        <f>I83+N83+T83</f>
        <v>0</v>
      </c>
      <c r="V83" s="27">
        <v>0</v>
      </c>
      <c r="W83" s="27">
        <v>0</v>
      </c>
      <c r="X83" s="27">
        <v>0</v>
      </c>
      <c r="Y83" s="27">
        <v>0</v>
      </c>
      <c r="Z83" s="26">
        <v>0</v>
      </c>
      <c r="AA83" s="27">
        <v>0</v>
      </c>
      <c r="AB83" s="27">
        <v>0</v>
      </c>
      <c r="AC83" s="27">
        <v>0</v>
      </c>
      <c r="AD83" s="27">
        <v>0</v>
      </c>
      <c r="AE83" s="26">
        <v>0</v>
      </c>
      <c r="AF83" s="27">
        <v>0</v>
      </c>
      <c r="AG83" s="27">
        <v>0</v>
      </c>
      <c r="AH83" s="27">
        <v>0</v>
      </c>
      <c r="AI83" s="27">
        <v>0</v>
      </c>
      <c r="AJ83" s="27">
        <v>0</v>
      </c>
      <c r="AK83" s="26">
        <f>SUM(AF83:AI83)</f>
        <v>0</v>
      </c>
      <c r="AL83" s="28">
        <f>Z83+AE83+AK83</f>
        <v>0</v>
      </c>
      <c r="AN83" s="13">
        <f t="shared" si="4"/>
        <v>0</v>
      </c>
      <c r="AO83" s="13">
        <f t="shared" si="5"/>
        <v>0</v>
      </c>
    </row>
    <row r="84" spans="1:41" s="15" customFormat="1">
      <c r="A84" s="118"/>
      <c r="B84" s="12" t="s">
        <v>7</v>
      </c>
      <c r="C84" s="26"/>
      <c r="D84" s="26"/>
      <c r="E84" s="32">
        <v>0</v>
      </c>
      <c r="F84" s="27">
        <v>0</v>
      </c>
      <c r="G84" s="27">
        <v>0</v>
      </c>
      <c r="H84" s="27">
        <v>0</v>
      </c>
      <c r="I84" s="26">
        <v>0</v>
      </c>
      <c r="J84" s="32">
        <v>0</v>
      </c>
      <c r="K84" s="27">
        <v>0</v>
      </c>
      <c r="L84" s="27">
        <v>0</v>
      </c>
      <c r="M84" s="27">
        <v>0</v>
      </c>
      <c r="N84" s="26">
        <v>0</v>
      </c>
      <c r="O84" s="32">
        <v>2000</v>
      </c>
      <c r="P84" s="27">
        <v>0</v>
      </c>
      <c r="Q84" s="27">
        <v>0</v>
      </c>
      <c r="R84" s="27">
        <v>0</v>
      </c>
      <c r="S84" s="27">
        <v>0</v>
      </c>
      <c r="T84" s="26">
        <f>SUM(O84:S84)</f>
        <v>2000</v>
      </c>
      <c r="U84" s="28">
        <f>T84+N84+I84+D85</f>
        <v>9895</v>
      </c>
      <c r="V84" s="32">
        <v>0</v>
      </c>
      <c r="W84" s="27">
        <v>0</v>
      </c>
      <c r="X84" s="27">
        <v>0</v>
      </c>
      <c r="Y84" s="27">
        <v>0</v>
      </c>
      <c r="Z84" s="26">
        <v>1224</v>
      </c>
      <c r="AA84" s="32">
        <v>0</v>
      </c>
      <c r="AB84" s="27">
        <v>0</v>
      </c>
      <c r="AC84" s="27">
        <v>0</v>
      </c>
      <c r="AD84" s="27">
        <v>0</v>
      </c>
      <c r="AE84" s="26">
        <v>0</v>
      </c>
      <c r="AF84" s="32">
        <v>0</v>
      </c>
      <c r="AG84" s="27">
        <v>0</v>
      </c>
      <c r="AH84" s="27">
        <v>0</v>
      </c>
      <c r="AI84" s="27">
        <v>0</v>
      </c>
      <c r="AJ84" s="27">
        <v>0</v>
      </c>
      <c r="AK84" s="26">
        <f>SUM(AF84:AJ84)</f>
        <v>0</v>
      </c>
      <c r="AL84" s="28">
        <f>AK84+AE84+Z84</f>
        <v>1224</v>
      </c>
      <c r="AN84" s="13">
        <f t="shared" si="4"/>
        <v>0</v>
      </c>
      <c r="AO84" s="13">
        <f t="shared" si="5"/>
        <v>0</v>
      </c>
    </row>
    <row r="85" spans="1:41" s="15" customFormat="1" ht="17" thickBot="1">
      <c r="A85" s="119"/>
      <c r="B85" s="4" t="s">
        <v>8</v>
      </c>
      <c r="C85" s="26">
        <v>6766</v>
      </c>
      <c r="D85" s="37">
        <v>7895</v>
      </c>
      <c r="E85" s="21">
        <v>0</v>
      </c>
      <c r="F85" s="21">
        <v>0</v>
      </c>
      <c r="G85" s="21">
        <v>0</v>
      </c>
      <c r="H85" s="21">
        <v>0</v>
      </c>
      <c r="I85" s="20">
        <v>0</v>
      </c>
      <c r="J85" s="21">
        <v>0</v>
      </c>
      <c r="K85" s="21">
        <v>0</v>
      </c>
      <c r="L85" s="21">
        <v>0</v>
      </c>
      <c r="M85" s="21">
        <v>0</v>
      </c>
      <c r="N85" s="20">
        <v>0</v>
      </c>
      <c r="O85" s="21">
        <v>1224</v>
      </c>
      <c r="P85" s="21">
        <v>1224</v>
      </c>
      <c r="Q85" s="21">
        <v>1224</v>
      </c>
      <c r="R85" s="21">
        <v>1224</v>
      </c>
      <c r="S85" s="21">
        <v>1224</v>
      </c>
      <c r="T85" s="20">
        <f>N85+T84-T81</f>
        <v>1224</v>
      </c>
      <c r="U85" s="22">
        <f>U84-U81</f>
        <v>1224</v>
      </c>
      <c r="V85" s="21">
        <v>1224</v>
      </c>
      <c r="W85" s="21">
        <v>1224</v>
      </c>
      <c r="X85" s="21">
        <v>1224</v>
      </c>
      <c r="Y85" s="21">
        <v>1224</v>
      </c>
      <c r="Z85" s="20">
        <v>1224</v>
      </c>
      <c r="AA85" s="21">
        <v>1224</v>
      </c>
      <c r="AB85" s="21">
        <v>1224</v>
      </c>
      <c r="AC85" s="21">
        <v>1224</v>
      </c>
      <c r="AD85" s="21">
        <v>1224</v>
      </c>
      <c r="AE85" s="20">
        <v>1224</v>
      </c>
      <c r="AF85" s="21">
        <v>1224</v>
      </c>
      <c r="AG85" s="21">
        <v>1224</v>
      </c>
      <c r="AH85" s="21">
        <v>1224</v>
      </c>
      <c r="AI85" s="21">
        <v>1224</v>
      </c>
      <c r="AJ85" s="21">
        <v>1224</v>
      </c>
      <c r="AK85" s="20">
        <f>AE85+AK84-AK81</f>
        <v>1224</v>
      </c>
      <c r="AL85" s="22">
        <f>T85+AL84-AL81</f>
        <v>2448</v>
      </c>
      <c r="AN85" s="13">
        <f t="shared" si="4"/>
        <v>0</v>
      </c>
      <c r="AO85" s="13">
        <f t="shared" si="5"/>
        <v>0</v>
      </c>
    </row>
    <row r="86" spans="1:41" s="15" customFormat="1" ht="17" thickBot="1">
      <c r="A86" s="46"/>
      <c r="B86" s="12" t="s">
        <v>9</v>
      </c>
      <c r="C86" s="26"/>
      <c r="D86" s="26"/>
      <c r="E86" s="19" t="e">
        <v>#DIV/0!</v>
      </c>
      <c r="F86" s="19" t="e">
        <v>#DIV/0!</v>
      </c>
      <c r="G86" s="19" t="e">
        <v>#DIV/0!</v>
      </c>
      <c r="H86" s="19" t="e">
        <v>#DIV/0!</v>
      </c>
      <c r="I86" s="23"/>
      <c r="J86" s="19">
        <v>0</v>
      </c>
      <c r="K86" s="19">
        <v>0</v>
      </c>
      <c r="L86" s="19">
        <v>0</v>
      </c>
      <c r="M86" s="19">
        <v>0</v>
      </c>
      <c r="N86" s="23"/>
      <c r="O86" s="19" t="e">
        <v>#DIV/0!</v>
      </c>
      <c r="P86" s="19">
        <v>2823.2037827240224</v>
      </c>
      <c r="Q86" s="19" t="e">
        <v>#DIV/0!</v>
      </c>
      <c r="R86" s="19" t="e">
        <v>#DIV/0!</v>
      </c>
      <c r="S86" s="19" t="e">
        <v>#REF!</v>
      </c>
      <c r="T86" s="23"/>
      <c r="U86" s="24"/>
      <c r="V86" s="19" t="e">
        <v>#DIV/0!</v>
      </c>
      <c r="W86" s="19" t="e">
        <v>#DIV/0!</v>
      </c>
      <c r="X86" s="19" t="e">
        <v>#DIV/0!</v>
      </c>
      <c r="Y86" s="19" t="e">
        <v>#DIV/0!</v>
      </c>
      <c r="Z86" s="23"/>
      <c r="AA86" s="19" t="e">
        <v>#DIV/0!</v>
      </c>
      <c r="AB86" s="19" t="e">
        <v>#DIV/0!</v>
      </c>
      <c r="AC86" s="19" t="e">
        <v>#DIV/0!</v>
      </c>
      <c r="AD86" s="19" t="e">
        <v>#DIV/0!</v>
      </c>
      <c r="AE86" s="23"/>
      <c r="AF86" s="19" t="e">
        <v>#DIV/0!</v>
      </c>
      <c r="AG86" s="19" t="e">
        <v>#DIV/0!</v>
      </c>
      <c r="AH86" s="19" t="e">
        <v>#DIV/0!</v>
      </c>
      <c r="AI86" s="19" t="e">
        <v>#DIV/0!</v>
      </c>
      <c r="AJ86" s="19" t="e">
        <v>#REF!</v>
      </c>
      <c r="AK86" s="23"/>
      <c r="AL86" s="24"/>
      <c r="AN86" s="13">
        <f t="shared" si="4"/>
        <v>0</v>
      </c>
      <c r="AO86" s="13">
        <f t="shared" si="5"/>
        <v>0</v>
      </c>
    </row>
    <row r="87" spans="1:41" s="15" customFormat="1">
      <c r="A87" s="127" t="s">
        <v>47</v>
      </c>
      <c r="B87" s="3" t="s">
        <v>5</v>
      </c>
      <c r="C87" s="26"/>
      <c r="D87" s="26"/>
      <c r="E87" s="27">
        <v>0</v>
      </c>
      <c r="F87" s="27">
        <v>6000</v>
      </c>
      <c r="G87" s="27">
        <v>40000</v>
      </c>
      <c r="H87" s="27">
        <v>0</v>
      </c>
      <c r="I87" s="26">
        <v>46000</v>
      </c>
      <c r="J87" s="27">
        <v>30880</v>
      </c>
      <c r="K87" s="27">
        <v>48002</v>
      </c>
      <c r="L87" s="27">
        <v>5540</v>
      </c>
      <c r="M87" s="27">
        <v>0</v>
      </c>
      <c r="N87" s="26">
        <v>84422</v>
      </c>
      <c r="O87" s="27">
        <v>50315</v>
      </c>
      <c r="P87" s="27">
        <v>450</v>
      </c>
      <c r="Q87" s="27">
        <v>68062</v>
      </c>
      <c r="R87" s="27">
        <v>0</v>
      </c>
      <c r="S87" s="27">
        <v>0</v>
      </c>
      <c r="T87" s="26">
        <f>SUM(O87:S87)</f>
        <v>118827</v>
      </c>
      <c r="U87" s="28">
        <f>T87+N87+I87+D91</f>
        <v>321864</v>
      </c>
      <c r="V87" s="27">
        <v>58011</v>
      </c>
      <c r="W87" s="27">
        <v>1399</v>
      </c>
      <c r="X87" s="27">
        <v>8655</v>
      </c>
      <c r="Y87" s="27">
        <v>0</v>
      </c>
      <c r="Z87" s="26">
        <v>68065</v>
      </c>
      <c r="AA87" s="27">
        <v>77685</v>
      </c>
      <c r="AB87" s="27">
        <v>7520</v>
      </c>
      <c r="AC87" s="27">
        <v>26088</v>
      </c>
      <c r="AD87" s="27">
        <v>0</v>
      </c>
      <c r="AE87" s="26">
        <v>111293</v>
      </c>
      <c r="AF87" s="27">
        <v>32680</v>
      </c>
      <c r="AG87" s="27">
        <v>0</v>
      </c>
      <c r="AH87" s="27">
        <v>700</v>
      </c>
      <c r="AI87" s="27">
        <v>0</v>
      </c>
      <c r="AJ87" s="27">
        <v>0</v>
      </c>
      <c r="AK87" s="26">
        <f>SUM(AF87:AJ87)</f>
        <v>33380</v>
      </c>
      <c r="AL87" s="28">
        <f>AK87+AE87+Z87</f>
        <v>212738</v>
      </c>
      <c r="AM87" s="15">
        <v>32</v>
      </c>
      <c r="AN87" s="13">
        <f t="shared" si="4"/>
        <v>10299648</v>
      </c>
      <c r="AO87" s="13">
        <f t="shared" si="5"/>
        <v>6807616</v>
      </c>
    </row>
    <row r="88" spans="1:41" s="15" customFormat="1">
      <c r="A88" s="128"/>
      <c r="B88" s="12" t="s">
        <v>6</v>
      </c>
      <c r="C88" s="26"/>
      <c r="D88" s="26"/>
      <c r="E88" s="27">
        <v>0</v>
      </c>
      <c r="F88" s="27">
        <v>6000</v>
      </c>
      <c r="G88" s="27">
        <v>40000</v>
      </c>
      <c r="H88" s="27">
        <v>0</v>
      </c>
      <c r="I88" s="26">
        <v>46000</v>
      </c>
      <c r="J88" s="27">
        <v>30880</v>
      </c>
      <c r="K88" s="27">
        <v>48002</v>
      </c>
      <c r="L88" s="27">
        <v>5540</v>
      </c>
      <c r="M88" s="27">
        <v>0</v>
      </c>
      <c r="N88" s="26">
        <v>84422</v>
      </c>
      <c r="O88" s="27">
        <v>100000</v>
      </c>
      <c r="P88" s="27">
        <v>0</v>
      </c>
      <c r="Q88" s="27">
        <v>0</v>
      </c>
      <c r="R88" s="27">
        <v>120000</v>
      </c>
      <c r="S88" s="27">
        <v>0</v>
      </c>
      <c r="T88" s="26">
        <f>SUM(O88:S88)</f>
        <v>220000</v>
      </c>
      <c r="U88" s="28"/>
      <c r="V88" s="27">
        <v>0</v>
      </c>
      <c r="W88" s="27">
        <v>0</v>
      </c>
      <c r="X88" s="27">
        <v>0</v>
      </c>
      <c r="Y88" s="27">
        <v>0</v>
      </c>
      <c r="Z88" s="26">
        <v>0</v>
      </c>
      <c r="AA88" s="27">
        <v>0</v>
      </c>
      <c r="AB88" s="27">
        <v>100000</v>
      </c>
      <c r="AC88" s="27">
        <v>0</v>
      </c>
      <c r="AD88" s="27">
        <v>0</v>
      </c>
      <c r="AE88" s="26">
        <v>100000</v>
      </c>
      <c r="AF88" s="27">
        <v>0</v>
      </c>
      <c r="AG88" s="27">
        <v>0</v>
      </c>
      <c r="AH88" s="27">
        <v>0</v>
      </c>
      <c r="AI88" s="27">
        <v>0</v>
      </c>
      <c r="AJ88" s="27">
        <v>0</v>
      </c>
      <c r="AK88" s="26">
        <f>SUM(AF88:AJ88)</f>
        <v>0</v>
      </c>
      <c r="AL88" s="28"/>
      <c r="AN88" s="13">
        <f t="shared" si="4"/>
        <v>0</v>
      </c>
      <c r="AO88" s="13">
        <f t="shared" si="5"/>
        <v>0</v>
      </c>
    </row>
    <row r="89" spans="1:41" s="15" customFormat="1">
      <c r="A89" s="128"/>
      <c r="B89" s="12" t="s">
        <v>10</v>
      </c>
      <c r="C89" s="27">
        <v>44460</v>
      </c>
      <c r="D89" s="26"/>
      <c r="E89" s="27">
        <v>0</v>
      </c>
      <c r="F89" s="27">
        <v>0</v>
      </c>
      <c r="G89" s="27">
        <v>0</v>
      </c>
      <c r="H89" s="27">
        <v>0</v>
      </c>
      <c r="I89" s="26">
        <v>0</v>
      </c>
      <c r="J89" s="27">
        <v>0</v>
      </c>
      <c r="K89" s="27">
        <v>0</v>
      </c>
      <c r="L89" s="27">
        <v>44460</v>
      </c>
      <c r="M89" s="27">
        <v>0</v>
      </c>
      <c r="N89" s="26">
        <v>44460</v>
      </c>
      <c r="O89" s="27">
        <v>0</v>
      </c>
      <c r="P89" s="27">
        <v>0</v>
      </c>
      <c r="Q89" s="27">
        <v>0</v>
      </c>
      <c r="R89" s="27">
        <v>0</v>
      </c>
      <c r="S89" s="27">
        <v>0</v>
      </c>
      <c r="T89" s="26">
        <f>SUM(O89:R89)</f>
        <v>0</v>
      </c>
      <c r="U89" s="28">
        <f>I89+N89+T89</f>
        <v>44460</v>
      </c>
      <c r="V89" s="27">
        <v>0</v>
      </c>
      <c r="W89" s="27">
        <v>0</v>
      </c>
      <c r="X89" s="27">
        <v>0</v>
      </c>
      <c r="Y89" s="27">
        <v>0</v>
      </c>
      <c r="Z89" s="26">
        <v>0</v>
      </c>
      <c r="AA89" s="27">
        <v>0</v>
      </c>
      <c r="AB89" s="27">
        <v>0</v>
      </c>
      <c r="AC89" s="27">
        <v>0</v>
      </c>
      <c r="AD89" s="27">
        <v>0</v>
      </c>
      <c r="AE89" s="26">
        <v>0</v>
      </c>
      <c r="AF89" s="27">
        <v>0</v>
      </c>
      <c r="AG89" s="27">
        <v>0</v>
      </c>
      <c r="AH89" s="27">
        <v>0</v>
      </c>
      <c r="AI89" s="27">
        <v>0</v>
      </c>
      <c r="AJ89" s="27">
        <v>0</v>
      </c>
      <c r="AK89" s="26">
        <f>SUM(AF89:AI89)</f>
        <v>0</v>
      </c>
      <c r="AL89" s="28">
        <f>Z89+AE89+AK89</f>
        <v>0</v>
      </c>
      <c r="AN89" s="13">
        <f t="shared" si="4"/>
        <v>0</v>
      </c>
      <c r="AO89" s="13">
        <f t="shared" si="5"/>
        <v>0</v>
      </c>
    </row>
    <row r="90" spans="1:41" s="15" customFormat="1">
      <c r="A90" s="128"/>
      <c r="B90" s="12" t="s">
        <v>7</v>
      </c>
      <c r="C90" s="26"/>
      <c r="D90" s="26"/>
      <c r="E90" s="32">
        <v>0</v>
      </c>
      <c r="F90" s="27">
        <v>6000</v>
      </c>
      <c r="G90" s="27">
        <v>40000</v>
      </c>
      <c r="H90" s="27">
        <v>0</v>
      </c>
      <c r="I90" s="26">
        <v>46000</v>
      </c>
      <c r="J90" s="32">
        <v>30880</v>
      </c>
      <c r="K90" s="27">
        <v>48002</v>
      </c>
      <c r="L90" s="27">
        <v>50000</v>
      </c>
      <c r="M90" s="27">
        <v>0</v>
      </c>
      <c r="N90" s="26">
        <v>128882</v>
      </c>
      <c r="O90" s="32">
        <v>100000</v>
      </c>
      <c r="P90" s="27">
        <v>0</v>
      </c>
      <c r="Q90" s="27">
        <v>0</v>
      </c>
      <c r="R90" s="27">
        <v>120000</v>
      </c>
      <c r="S90" s="27">
        <v>0</v>
      </c>
      <c r="T90" s="26">
        <f>SUM(O90:S90)</f>
        <v>220000</v>
      </c>
      <c r="U90" s="28">
        <f>T90+N90+I90+D91</f>
        <v>467497</v>
      </c>
      <c r="V90" s="32">
        <v>0</v>
      </c>
      <c r="W90" s="27">
        <v>0</v>
      </c>
      <c r="X90" s="27">
        <v>0</v>
      </c>
      <c r="Y90" s="27">
        <v>0</v>
      </c>
      <c r="Z90" s="26">
        <v>145633</v>
      </c>
      <c r="AA90" s="32">
        <v>0</v>
      </c>
      <c r="AB90" s="27">
        <v>100000</v>
      </c>
      <c r="AC90" s="27">
        <v>0</v>
      </c>
      <c r="AD90" s="27">
        <v>0</v>
      </c>
      <c r="AE90" s="26">
        <v>100000</v>
      </c>
      <c r="AF90" s="32">
        <v>0</v>
      </c>
      <c r="AG90" s="27">
        <v>0</v>
      </c>
      <c r="AH90" s="27">
        <v>0</v>
      </c>
      <c r="AI90" s="27">
        <v>0</v>
      </c>
      <c r="AJ90" s="27">
        <v>0</v>
      </c>
      <c r="AK90" s="26">
        <f>SUM(AF90:AJ90)</f>
        <v>0</v>
      </c>
      <c r="AL90" s="28">
        <f>AK90+AE90+Z90</f>
        <v>245633</v>
      </c>
      <c r="AN90" s="13">
        <f t="shared" si="4"/>
        <v>0</v>
      </c>
      <c r="AO90" s="13">
        <f t="shared" si="5"/>
        <v>0</v>
      </c>
    </row>
    <row r="91" spans="1:41" s="15" customFormat="1" ht="17" thickBot="1">
      <c r="A91" s="129"/>
      <c r="B91" s="4" t="s">
        <v>8</v>
      </c>
      <c r="C91" s="26">
        <v>118334</v>
      </c>
      <c r="D91" s="37">
        <v>72615</v>
      </c>
      <c r="E91" s="21">
        <v>0</v>
      </c>
      <c r="F91" s="21">
        <v>0</v>
      </c>
      <c r="G91" s="21">
        <v>0</v>
      </c>
      <c r="H91" s="21">
        <v>0</v>
      </c>
      <c r="I91" s="20">
        <v>0</v>
      </c>
      <c r="J91" s="21">
        <v>0</v>
      </c>
      <c r="K91" s="21">
        <v>0</v>
      </c>
      <c r="L91" s="21">
        <v>44460</v>
      </c>
      <c r="M91" s="21">
        <v>44460</v>
      </c>
      <c r="N91" s="20">
        <v>44460</v>
      </c>
      <c r="O91" s="21">
        <v>94145</v>
      </c>
      <c r="P91" s="21">
        <v>93695</v>
      </c>
      <c r="Q91" s="21">
        <v>25633</v>
      </c>
      <c r="R91" s="21">
        <v>145633</v>
      </c>
      <c r="S91" s="21">
        <v>145633</v>
      </c>
      <c r="T91" s="20">
        <f>N91+T90-T87</f>
        <v>145633</v>
      </c>
      <c r="U91" s="22">
        <f>U90-U87</f>
        <v>145633</v>
      </c>
      <c r="V91" s="21">
        <v>87622</v>
      </c>
      <c r="W91" s="21">
        <v>86223</v>
      </c>
      <c r="X91" s="21">
        <v>77568</v>
      </c>
      <c r="Y91" s="21">
        <v>77568</v>
      </c>
      <c r="Z91" s="20">
        <v>77568</v>
      </c>
      <c r="AA91" s="21">
        <v>-117</v>
      </c>
      <c r="AB91" s="21">
        <v>92363</v>
      </c>
      <c r="AC91" s="21">
        <v>66275</v>
      </c>
      <c r="AD91" s="21">
        <v>66275</v>
      </c>
      <c r="AE91" s="20">
        <v>66275</v>
      </c>
      <c r="AF91" s="21">
        <v>33595</v>
      </c>
      <c r="AG91" s="21">
        <v>33595</v>
      </c>
      <c r="AH91" s="21">
        <v>32895</v>
      </c>
      <c r="AI91" s="21">
        <v>32895</v>
      </c>
      <c r="AJ91" s="21">
        <v>32895</v>
      </c>
      <c r="AK91" s="20">
        <f>AE91+AK90-AK87</f>
        <v>32895</v>
      </c>
      <c r="AL91" s="22">
        <f>T91+AL90-AL87</f>
        <v>178528</v>
      </c>
      <c r="AN91" s="13">
        <f t="shared" si="4"/>
        <v>0</v>
      </c>
      <c r="AO91" s="13">
        <f t="shared" si="5"/>
        <v>0</v>
      </c>
    </row>
    <row r="92" spans="1:41" s="15" customFormat="1" ht="17" thickBot="1">
      <c r="A92" s="46"/>
      <c r="B92" s="12" t="s">
        <v>9</v>
      </c>
      <c r="C92" s="26"/>
      <c r="D92" s="26"/>
      <c r="E92" s="19">
        <v>0</v>
      </c>
      <c r="F92" s="19">
        <v>0</v>
      </c>
      <c r="G92" s="19">
        <v>0</v>
      </c>
      <c r="H92" s="19">
        <v>0</v>
      </c>
      <c r="I92" s="23"/>
      <c r="J92" s="19">
        <v>0</v>
      </c>
      <c r="K92" s="19">
        <v>0</v>
      </c>
      <c r="L92" s="19">
        <v>7483.1477694463374</v>
      </c>
      <c r="M92" s="19">
        <v>7483.1477694463374</v>
      </c>
      <c r="N92" s="23"/>
      <c r="O92" s="19">
        <v>27482.776739841196</v>
      </c>
      <c r="P92" s="19">
        <v>4805.7836615152619</v>
      </c>
      <c r="Q92" s="19" t="e">
        <v>#DIV/0!</v>
      </c>
      <c r="R92" s="19" t="e">
        <v>#DIV/0!</v>
      </c>
      <c r="S92" s="19" t="e">
        <v>#REF!</v>
      </c>
      <c r="T92" s="23"/>
      <c r="U92" s="24"/>
      <c r="V92" s="19">
        <v>22432.954850932554</v>
      </c>
      <c r="W92" s="19">
        <v>20470.79772079772</v>
      </c>
      <c r="X92" s="19">
        <v>22792.330860207156</v>
      </c>
      <c r="Y92" s="19">
        <v>22792.330860207156</v>
      </c>
      <c r="Z92" s="23"/>
      <c r="AA92" s="19">
        <v>-16.14895687400363</v>
      </c>
      <c r="AB92" s="19">
        <v>13446.255304590881</v>
      </c>
      <c r="AC92" s="19">
        <v>11910.0033245577</v>
      </c>
      <c r="AD92" s="19">
        <v>11910.0033245577</v>
      </c>
      <c r="AE92" s="23"/>
      <c r="AF92" s="19">
        <v>959857.14285714284</v>
      </c>
      <c r="AG92" s="19">
        <v>3147.9867689914636</v>
      </c>
      <c r="AH92" s="19" t="e">
        <v>#DIV/0!</v>
      </c>
      <c r="AI92" s="19" t="e">
        <v>#DIV/0!</v>
      </c>
      <c r="AJ92" s="19" t="e">
        <v>#REF!</v>
      </c>
      <c r="AK92" s="23"/>
      <c r="AL92" s="24"/>
      <c r="AN92" s="13">
        <f t="shared" si="4"/>
        <v>0</v>
      </c>
      <c r="AO92" s="13">
        <f t="shared" si="5"/>
        <v>0</v>
      </c>
    </row>
    <row r="93" spans="1:41" s="15" customFormat="1">
      <c r="A93" s="117" t="s">
        <v>27</v>
      </c>
      <c r="B93" s="3" t="s">
        <v>5</v>
      </c>
      <c r="C93" s="26"/>
      <c r="D93" s="26"/>
      <c r="E93" s="27">
        <v>0</v>
      </c>
      <c r="F93" s="27">
        <v>4000</v>
      </c>
      <c r="G93" s="27">
        <v>0</v>
      </c>
      <c r="H93" s="27">
        <v>0</v>
      </c>
      <c r="I93" s="26">
        <v>4000</v>
      </c>
      <c r="J93" s="27">
        <v>0</v>
      </c>
      <c r="K93" s="27">
        <v>0</v>
      </c>
      <c r="L93" s="27">
        <v>0</v>
      </c>
      <c r="M93" s="27">
        <v>0</v>
      </c>
      <c r="N93" s="26">
        <v>0</v>
      </c>
      <c r="O93" s="27">
        <v>4264</v>
      </c>
      <c r="P93" s="27">
        <v>0</v>
      </c>
      <c r="Q93" s="27">
        <v>1974</v>
      </c>
      <c r="R93" s="27">
        <v>0</v>
      </c>
      <c r="S93" s="27">
        <v>0</v>
      </c>
      <c r="T93" s="26">
        <f>SUM(O93:S93)</f>
        <v>6238</v>
      </c>
      <c r="U93" s="28">
        <f>T93+N93+I93+D97</f>
        <v>18831</v>
      </c>
      <c r="V93" s="27">
        <v>3159</v>
      </c>
      <c r="W93" s="27">
        <v>0</v>
      </c>
      <c r="X93" s="27">
        <v>235</v>
      </c>
      <c r="Y93" s="27">
        <v>0</v>
      </c>
      <c r="Z93" s="26">
        <v>3394</v>
      </c>
      <c r="AA93" s="27">
        <v>3457</v>
      </c>
      <c r="AB93" s="27">
        <v>0</v>
      </c>
      <c r="AC93" s="27">
        <v>551</v>
      </c>
      <c r="AD93" s="27">
        <v>0</v>
      </c>
      <c r="AE93" s="26">
        <v>4008</v>
      </c>
      <c r="AF93" s="27">
        <v>0</v>
      </c>
      <c r="AG93" s="27">
        <v>0</v>
      </c>
      <c r="AH93" s="27">
        <v>0</v>
      </c>
      <c r="AI93" s="27">
        <v>0</v>
      </c>
      <c r="AJ93" s="27">
        <v>0</v>
      </c>
      <c r="AK93" s="26">
        <f>SUM(AF93:AJ93)</f>
        <v>0</v>
      </c>
      <c r="AL93" s="28">
        <f>AK93+AE93+Z93</f>
        <v>7402</v>
      </c>
      <c r="AM93" s="15">
        <v>64</v>
      </c>
      <c r="AN93" s="13">
        <f t="shared" si="4"/>
        <v>1205184</v>
      </c>
      <c r="AO93" s="13">
        <f t="shared" si="5"/>
        <v>473728</v>
      </c>
    </row>
    <row r="94" spans="1:41" s="15" customFormat="1">
      <c r="A94" s="118"/>
      <c r="B94" s="12" t="s">
        <v>6</v>
      </c>
      <c r="C94" s="26"/>
      <c r="D94" s="26"/>
      <c r="E94" s="27">
        <v>0</v>
      </c>
      <c r="F94" s="27">
        <v>4000</v>
      </c>
      <c r="G94" s="27">
        <v>0</v>
      </c>
      <c r="H94" s="27">
        <v>0</v>
      </c>
      <c r="I94" s="26">
        <v>4000</v>
      </c>
      <c r="J94" s="27">
        <v>0</v>
      </c>
      <c r="K94" s="27">
        <v>0</v>
      </c>
      <c r="L94" s="27">
        <v>0</v>
      </c>
      <c r="M94" s="27">
        <v>0</v>
      </c>
      <c r="N94" s="26">
        <v>0</v>
      </c>
      <c r="O94" s="27">
        <v>0</v>
      </c>
      <c r="P94" s="27">
        <v>0</v>
      </c>
      <c r="Q94" s="27">
        <v>0</v>
      </c>
      <c r="R94" s="27">
        <v>0</v>
      </c>
      <c r="S94" s="27">
        <v>0</v>
      </c>
      <c r="T94" s="26">
        <f>SUM(O94:S94)</f>
        <v>0</v>
      </c>
      <c r="U94" s="28"/>
      <c r="V94" s="27">
        <v>0</v>
      </c>
      <c r="W94" s="27">
        <v>0</v>
      </c>
      <c r="X94" s="27">
        <v>0</v>
      </c>
      <c r="Y94" s="27">
        <v>0</v>
      </c>
      <c r="Z94" s="26">
        <v>0</v>
      </c>
      <c r="AA94" s="27">
        <v>0</v>
      </c>
      <c r="AB94" s="27">
        <v>0</v>
      </c>
      <c r="AC94" s="27">
        <v>0</v>
      </c>
      <c r="AD94" s="27">
        <v>0</v>
      </c>
      <c r="AE94" s="26">
        <v>0</v>
      </c>
      <c r="AF94" s="27">
        <v>0</v>
      </c>
      <c r="AG94" s="27">
        <v>0</v>
      </c>
      <c r="AH94" s="27">
        <v>0</v>
      </c>
      <c r="AI94" s="27">
        <v>0</v>
      </c>
      <c r="AJ94" s="27">
        <v>0</v>
      </c>
      <c r="AK94" s="26">
        <f>SUM(AF94:AJ94)</f>
        <v>0</v>
      </c>
      <c r="AL94" s="28"/>
      <c r="AN94" s="13">
        <f t="shared" si="4"/>
        <v>0</v>
      </c>
      <c r="AO94" s="13">
        <f t="shared" si="5"/>
        <v>0</v>
      </c>
    </row>
    <row r="95" spans="1:41" s="15" customFormat="1">
      <c r="A95" s="118"/>
      <c r="B95" s="12" t="s">
        <v>10</v>
      </c>
      <c r="C95" s="27">
        <v>0</v>
      </c>
      <c r="D95" s="26"/>
      <c r="E95" s="27">
        <v>0</v>
      </c>
      <c r="F95" s="27">
        <v>0</v>
      </c>
      <c r="G95" s="27">
        <v>0</v>
      </c>
      <c r="H95" s="27">
        <v>0</v>
      </c>
      <c r="I95" s="26">
        <v>0</v>
      </c>
      <c r="J95" s="27">
        <v>0</v>
      </c>
      <c r="K95" s="27">
        <v>0</v>
      </c>
      <c r="L95" s="27">
        <v>0</v>
      </c>
      <c r="M95" s="27">
        <v>0</v>
      </c>
      <c r="N95" s="26">
        <v>0</v>
      </c>
      <c r="O95" s="27">
        <v>0</v>
      </c>
      <c r="P95" s="27">
        <v>0</v>
      </c>
      <c r="Q95" s="27">
        <v>0</v>
      </c>
      <c r="R95" s="27">
        <v>0</v>
      </c>
      <c r="S95" s="27">
        <v>0</v>
      </c>
      <c r="T95" s="26">
        <f>SUM(O95:R95)</f>
        <v>0</v>
      </c>
      <c r="U95" s="28">
        <f>I95+N95+T95</f>
        <v>0</v>
      </c>
      <c r="V95" s="27">
        <v>0</v>
      </c>
      <c r="W95" s="27">
        <v>0</v>
      </c>
      <c r="X95" s="27">
        <v>0</v>
      </c>
      <c r="Y95" s="27">
        <v>0</v>
      </c>
      <c r="Z95" s="26">
        <v>0</v>
      </c>
      <c r="AA95" s="27">
        <v>0</v>
      </c>
      <c r="AB95" s="27">
        <v>0</v>
      </c>
      <c r="AC95" s="27">
        <v>0</v>
      </c>
      <c r="AD95" s="27">
        <v>0</v>
      </c>
      <c r="AE95" s="26">
        <v>0</v>
      </c>
      <c r="AF95" s="27">
        <v>0</v>
      </c>
      <c r="AG95" s="27">
        <v>0</v>
      </c>
      <c r="AH95" s="27">
        <v>0</v>
      </c>
      <c r="AI95" s="27">
        <v>0</v>
      </c>
      <c r="AJ95" s="27">
        <v>0</v>
      </c>
      <c r="AK95" s="26">
        <f>SUM(AF95:AI95)</f>
        <v>0</v>
      </c>
      <c r="AL95" s="28">
        <f>Z95+AE95+AK95</f>
        <v>0</v>
      </c>
      <c r="AN95" s="13">
        <f t="shared" si="4"/>
        <v>0</v>
      </c>
      <c r="AO95" s="13">
        <f t="shared" si="5"/>
        <v>0</v>
      </c>
    </row>
    <row r="96" spans="1:41" s="15" customFormat="1">
      <c r="A96" s="118"/>
      <c r="B96" s="12" t="s">
        <v>7</v>
      </c>
      <c r="C96" s="26"/>
      <c r="D96" s="26"/>
      <c r="E96" s="32">
        <v>0</v>
      </c>
      <c r="F96" s="27">
        <v>4000</v>
      </c>
      <c r="G96" s="27">
        <v>0</v>
      </c>
      <c r="H96" s="27">
        <v>0</v>
      </c>
      <c r="I96" s="26">
        <v>4000</v>
      </c>
      <c r="J96" s="32">
        <v>0</v>
      </c>
      <c r="K96" s="27">
        <v>0</v>
      </c>
      <c r="L96" s="27">
        <v>0</v>
      </c>
      <c r="M96" s="27">
        <v>0</v>
      </c>
      <c r="N96" s="26">
        <v>0</v>
      </c>
      <c r="O96" s="32">
        <v>0</v>
      </c>
      <c r="P96" s="27">
        <v>0</v>
      </c>
      <c r="Q96" s="27">
        <v>0</v>
      </c>
      <c r="R96" s="27">
        <v>0</v>
      </c>
      <c r="S96" s="27">
        <v>0</v>
      </c>
      <c r="T96" s="26">
        <f>SUM(O96:S96)</f>
        <v>0</v>
      </c>
      <c r="U96" s="28">
        <f>T96+N96+I96+D97</f>
        <v>12593</v>
      </c>
      <c r="V96" s="32">
        <v>0</v>
      </c>
      <c r="W96" s="27">
        <v>0</v>
      </c>
      <c r="X96" s="27">
        <v>0</v>
      </c>
      <c r="Y96" s="27">
        <v>0</v>
      </c>
      <c r="Z96" s="26">
        <v>-6238</v>
      </c>
      <c r="AA96" s="32">
        <v>0</v>
      </c>
      <c r="AB96" s="27">
        <v>0</v>
      </c>
      <c r="AC96" s="27">
        <v>0</v>
      </c>
      <c r="AD96" s="27">
        <v>0</v>
      </c>
      <c r="AE96" s="26">
        <v>0</v>
      </c>
      <c r="AF96" s="32">
        <v>0</v>
      </c>
      <c r="AG96" s="27">
        <v>0</v>
      </c>
      <c r="AH96" s="27">
        <v>0</v>
      </c>
      <c r="AI96" s="27">
        <v>0</v>
      </c>
      <c r="AJ96" s="27">
        <v>0</v>
      </c>
      <c r="AK96" s="26">
        <f>SUM(AF96:AJ96)</f>
        <v>0</v>
      </c>
      <c r="AL96" s="28">
        <f>AK96+AE96+Z96</f>
        <v>-6238</v>
      </c>
      <c r="AN96" s="13">
        <f t="shared" si="4"/>
        <v>0</v>
      </c>
      <c r="AO96" s="13">
        <f t="shared" si="5"/>
        <v>0</v>
      </c>
    </row>
    <row r="97" spans="1:41" s="15" customFormat="1" ht="17" thickBot="1">
      <c r="A97" s="119"/>
      <c r="B97" s="4" t="s">
        <v>8</v>
      </c>
      <c r="C97" s="26">
        <v>6872</v>
      </c>
      <c r="D97" s="37">
        <v>8593</v>
      </c>
      <c r="E97" s="21">
        <v>0</v>
      </c>
      <c r="F97" s="21">
        <v>0</v>
      </c>
      <c r="G97" s="21">
        <v>0</v>
      </c>
      <c r="H97" s="21">
        <v>0</v>
      </c>
      <c r="I97" s="20">
        <v>0</v>
      </c>
      <c r="J97" s="21">
        <v>0</v>
      </c>
      <c r="K97" s="21">
        <v>0</v>
      </c>
      <c r="L97" s="21">
        <v>0</v>
      </c>
      <c r="M97" s="21">
        <v>0</v>
      </c>
      <c r="N97" s="20">
        <v>0</v>
      </c>
      <c r="O97" s="21">
        <v>-4264</v>
      </c>
      <c r="P97" s="21">
        <v>-4264</v>
      </c>
      <c r="Q97" s="21">
        <v>-6238</v>
      </c>
      <c r="R97" s="21">
        <v>-6238</v>
      </c>
      <c r="S97" s="21">
        <v>-6238</v>
      </c>
      <c r="T97" s="20">
        <f>N97+T96-T93</f>
        <v>-6238</v>
      </c>
      <c r="U97" s="22">
        <f>U96-U93</f>
        <v>-6238</v>
      </c>
      <c r="V97" s="21">
        <v>-9397</v>
      </c>
      <c r="W97" s="21">
        <v>-9397</v>
      </c>
      <c r="X97" s="21">
        <v>-9632</v>
      </c>
      <c r="Y97" s="21">
        <v>-9632</v>
      </c>
      <c r="Z97" s="20">
        <v>-9632</v>
      </c>
      <c r="AA97" s="21">
        <v>-13089</v>
      </c>
      <c r="AB97" s="21">
        <v>-13089</v>
      </c>
      <c r="AC97" s="21">
        <v>-13640</v>
      </c>
      <c r="AD97" s="21">
        <v>-13640</v>
      </c>
      <c r="AE97" s="20">
        <v>-13640</v>
      </c>
      <c r="AF97" s="21">
        <v>-13640</v>
      </c>
      <c r="AG97" s="21">
        <v>-13640</v>
      </c>
      <c r="AH97" s="21">
        <v>-13640</v>
      </c>
      <c r="AI97" s="21">
        <v>-13640</v>
      </c>
      <c r="AJ97" s="21">
        <v>-13640</v>
      </c>
      <c r="AK97" s="20">
        <f>AE97+AK96-AK93</f>
        <v>-13640</v>
      </c>
      <c r="AL97" s="22">
        <f>T97+AL96-AL93</f>
        <v>-19878</v>
      </c>
      <c r="AN97" s="13">
        <f t="shared" si="4"/>
        <v>0</v>
      </c>
      <c r="AO97" s="13">
        <f t="shared" si="5"/>
        <v>0</v>
      </c>
    </row>
    <row r="98" spans="1:41" s="15" customFormat="1" ht="17" thickBot="1">
      <c r="A98" s="46"/>
      <c r="B98" s="12" t="s">
        <v>9</v>
      </c>
      <c r="C98" s="26"/>
      <c r="D98" s="26"/>
      <c r="E98" s="19">
        <v>0</v>
      </c>
      <c r="F98" s="19" t="e">
        <v>#DIV/0!</v>
      </c>
      <c r="G98" s="19" t="e">
        <v>#DIV/0!</v>
      </c>
      <c r="H98" s="19" t="e">
        <v>#DIV/0!</v>
      </c>
      <c r="I98" s="23"/>
      <c r="J98" s="19">
        <v>0</v>
      </c>
      <c r="K98" s="19">
        <v>0</v>
      </c>
      <c r="L98" s="19">
        <v>0</v>
      </c>
      <c r="M98" s="19">
        <v>0</v>
      </c>
      <c r="N98" s="23"/>
      <c r="O98" s="19">
        <v>-43201.621073961498</v>
      </c>
      <c r="P98" s="19">
        <v>-4099.0146599375148</v>
      </c>
      <c r="Q98" s="19" t="e">
        <v>#DIV/0!</v>
      </c>
      <c r="R98" s="19" t="e">
        <v>#DIV/0!</v>
      </c>
      <c r="S98" s="19" t="e">
        <v>#REF!</v>
      </c>
      <c r="T98" s="23"/>
      <c r="U98" s="24"/>
      <c r="V98" s="19">
        <v>-51788.371452190688</v>
      </c>
      <c r="W98" s="19">
        <v>-51788.371452190688</v>
      </c>
      <c r="X98" s="19">
        <v>-56758.986446670599</v>
      </c>
      <c r="Y98" s="19">
        <v>-56758.986446670599</v>
      </c>
      <c r="Z98" s="23"/>
      <c r="AA98" s="19">
        <v>-57420.486948892307</v>
      </c>
      <c r="AB98" s="19">
        <v>-57420.486948892307</v>
      </c>
      <c r="AC98" s="19">
        <v>-68063.872255489012</v>
      </c>
      <c r="AD98" s="19">
        <v>-68063.872255489012</v>
      </c>
      <c r="AE98" s="23"/>
      <c r="AF98" s="19" t="e">
        <v>#DIV/0!</v>
      </c>
      <c r="AG98" s="19">
        <v>-36854.904079978383</v>
      </c>
      <c r="AH98" s="19" t="e">
        <v>#DIV/0!</v>
      </c>
      <c r="AI98" s="19" t="e">
        <v>#DIV/0!</v>
      </c>
      <c r="AJ98" s="19" t="e">
        <v>#REF!</v>
      </c>
      <c r="AK98" s="23"/>
      <c r="AL98" s="24"/>
      <c r="AN98" s="13">
        <f t="shared" si="4"/>
        <v>0</v>
      </c>
      <c r="AO98" s="13">
        <f t="shared" si="5"/>
        <v>0</v>
      </c>
    </row>
    <row r="99" spans="1:41" s="15" customFormat="1">
      <c r="A99" s="117" t="s">
        <v>41</v>
      </c>
      <c r="B99" s="3" t="s">
        <v>5</v>
      </c>
      <c r="C99" s="26"/>
      <c r="D99" s="26"/>
      <c r="E99" s="27">
        <v>0</v>
      </c>
      <c r="F99" s="27">
        <v>3600</v>
      </c>
      <c r="G99" s="27">
        <v>4400</v>
      </c>
      <c r="H99" s="27">
        <v>0</v>
      </c>
      <c r="I99" s="26">
        <v>8000</v>
      </c>
      <c r="J99" s="27">
        <v>0</v>
      </c>
      <c r="K99" s="27">
        <v>0</v>
      </c>
      <c r="L99" s="27">
        <v>0</v>
      </c>
      <c r="M99" s="27">
        <v>0</v>
      </c>
      <c r="N99" s="26">
        <v>0</v>
      </c>
      <c r="O99" s="27">
        <v>0</v>
      </c>
      <c r="P99" s="27">
        <v>0</v>
      </c>
      <c r="Q99" s="27">
        <v>600</v>
      </c>
      <c r="R99" s="27">
        <v>0</v>
      </c>
      <c r="S99" s="27">
        <v>0</v>
      </c>
      <c r="T99" s="26">
        <f>SUM(O99:S99)</f>
        <v>600</v>
      </c>
      <c r="U99" s="28">
        <f>T99+N99+I99+D103</f>
        <v>9343</v>
      </c>
      <c r="V99" s="27">
        <v>7300</v>
      </c>
      <c r="W99" s="27">
        <v>0</v>
      </c>
      <c r="X99" s="27">
        <v>0</v>
      </c>
      <c r="Y99" s="27">
        <v>0</v>
      </c>
      <c r="Z99" s="26">
        <v>7300</v>
      </c>
      <c r="AA99" s="27">
        <v>1000</v>
      </c>
      <c r="AB99" s="27">
        <v>0</v>
      </c>
      <c r="AC99" s="27">
        <v>0</v>
      </c>
      <c r="AD99" s="27">
        <v>0</v>
      </c>
      <c r="AE99" s="26">
        <v>1000</v>
      </c>
      <c r="AF99" s="27">
        <v>0</v>
      </c>
      <c r="AG99" s="27">
        <v>0</v>
      </c>
      <c r="AH99" s="27">
        <v>0</v>
      </c>
      <c r="AI99" s="27">
        <v>0</v>
      </c>
      <c r="AJ99" s="27">
        <v>0</v>
      </c>
      <c r="AK99" s="26">
        <f>SUM(AF99:AJ99)</f>
        <v>0</v>
      </c>
      <c r="AL99" s="28">
        <f>AK99+AE99+Z99</f>
        <v>8300</v>
      </c>
      <c r="AM99" s="15">
        <v>64</v>
      </c>
      <c r="AN99" s="13">
        <f t="shared" si="4"/>
        <v>597952</v>
      </c>
      <c r="AO99" s="13">
        <f t="shared" si="5"/>
        <v>531200</v>
      </c>
    </row>
    <row r="100" spans="1:41" s="15" customFormat="1">
      <c r="A100" s="118"/>
      <c r="B100" s="12" t="s">
        <v>6</v>
      </c>
      <c r="C100" s="26"/>
      <c r="D100" s="26"/>
      <c r="E100" s="27">
        <v>0</v>
      </c>
      <c r="F100" s="27">
        <v>3600</v>
      </c>
      <c r="G100" s="27">
        <v>4400</v>
      </c>
      <c r="H100" s="27">
        <v>0</v>
      </c>
      <c r="I100" s="26">
        <v>8000</v>
      </c>
      <c r="J100" s="27">
        <v>0</v>
      </c>
      <c r="K100" s="27">
        <v>0</v>
      </c>
      <c r="L100" s="27">
        <v>0</v>
      </c>
      <c r="M100" s="27">
        <v>0</v>
      </c>
      <c r="N100" s="26">
        <v>0</v>
      </c>
      <c r="O100" s="27">
        <v>6000</v>
      </c>
      <c r="P100" s="27">
        <v>0</v>
      </c>
      <c r="Q100" s="27">
        <v>0</v>
      </c>
      <c r="R100" s="27">
        <v>2000</v>
      </c>
      <c r="S100" s="27">
        <v>0</v>
      </c>
      <c r="T100" s="26">
        <f>SUM(O100:S100)</f>
        <v>8000</v>
      </c>
      <c r="U100" s="28"/>
      <c r="V100" s="27">
        <v>13000</v>
      </c>
      <c r="W100" s="27">
        <v>0</v>
      </c>
      <c r="X100" s="27">
        <v>5000</v>
      </c>
      <c r="Y100" s="27">
        <v>0</v>
      </c>
      <c r="Z100" s="26">
        <v>18000</v>
      </c>
      <c r="AA100" s="27">
        <v>0</v>
      </c>
      <c r="AB100" s="27">
        <v>0</v>
      </c>
      <c r="AC100" s="27">
        <v>0</v>
      </c>
      <c r="AD100" s="27">
        <v>0</v>
      </c>
      <c r="AE100" s="26">
        <v>0</v>
      </c>
      <c r="AF100" s="27">
        <v>0</v>
      </c>
      <c r="AG100" s="27">
        <v>0</v>
      </c>
      <c r="AH100" s="27">
        <v>0</v>
      </c>
      <c r="AI100" s="27">
        <v>0</v>
      </c>
      <c r="AJ100" s="27">
        <v>0</v>
      </c>
      <c r="AK100" s="26">
        <f>SUM(AF100:AJ100)</f>
        <v>0</v>
      </c>
      <c r="AL100" s="28"/>
      <c r="AN100" s="13">
        <f t="shared" si="4"/>
        <v>0</v>
      </c>
      <c r="AO100" s="13">
        <f t="shared" si="5"/>
        <v>0</v>
      </c>
    </row>
    <row r="101" spans="1:41" s="15" customFormat="1">
      <c r="A101" s="118"/>
      <c r="B101" s="12" t="s">
        <v>10</v>
      </c>
      <c r="C101" s="27">
        <v>0</v>
      </c>
      <c r="D101" s="26"/>
      <c r="E101" s="27">
        <v>0</v>
      </c>
      <c r="F101" s="27">
        <v>0</v>
      </c>
      <c r="G101" s="27">
        <v>0</v>
      </c>
      <c r="H101" s="27">
        <v>0</v>
      </c>
      <c r="I101" s="26">
        <v>0</v>
      </c>
      <c r="J101" s="27">
        <v>0</v>
      </c>
      <c r="K101" s="27">
        <v>0</v>
      </c>
      <c r="L101" s="27">
        <v>0</v>
      </c>
      <c r="M101" s="27">
        <v>0</v>
      </c>
      <c r="N101" s="26">
        <v>0</v>
      </c>
      <c r="O101" s="27">
        <v>0</v>
      </c>
      <c r="P101" s="27">
        <v>0</v>
      </c>
      <c r="Q101" s="27">
        <v>0</v>
      </c>
      <c r="R101" s="27">
        <v>0</v>
      </c>
      <c r="S101" s="27">
        <v>0</v>
      </c>
      <c r="T101" s="26">
        <f>SUM(O101:R101)</f>
        <v>0</v>
      </c>
      <c r="U101" s="28">
        <f>I101+N101+T101</f>
        <v>0</v>
      </c>
      <c r="V101" s="27">
        <v>0</v>
      </c>
      <c r="W101" s="27">
        <v>0</v>
      </c>
      <c r="X101" s="27">
        <v>0</v>
      </c>
      <c r="Y101" s="27">
        <v>0</v>
      </c>
      <c r="Z101" s="26">
        <v>0</v>
      </c>
      <c r="AA101" s="27">
        <v>0</v>
      </c>
      <c r="AB101" s="27">
        <v>0</v>
      </c>
      <c r="AC101" s="27">
        <v>0</v>
      </c>
      <c r="AD101" s="27">
        <v>0</v>
      </c>
      <c r="AE101" s="26">
        <v>0</v>
      </c>
      <c r="AF101" s="27">
        <v>0</v>
      </c>
      <c r="AG101" s="27">
        <v>0</v>
      </c>
      <c r="AH101" s="27">
        <v>0</v>
      </c>
      <c r="AI101" s="27">
        <v>0</v>
      </c>
      <c r="AJ101" s="27">
        <v>0</v>
      </c>
      <c r="AK101" s="26">
        <f>SUM(AF101:AI101)</f>
        <v>0</v>
      </c>
      <c r="AL101" s="28">
        <f>Z101+AE101+AK101</f>
        <v>0</v>
      </c>
      <c r="AN101" s="13">
        <f t="shared" si="4"/>
        <v>0</v>
      </c>
      <c r="AO101" s="13">
        <f t="shared" si="5"/>
        <v>0</v>
      </c>
    </row>
    <row r="102" spans="1:41" s="15" customFormat="1">
      <c r="A102" s="118"/>
      <c r="B102" s="12" t="s">
        <v>7</v>
      </c>
      <c r="C102" s="26"/>
      <c r="D102" s="26"/>
      <c r="E102" s="32">
        <v>0</v>
      </c>
      <c r="F102" s="27">
        <v>3600</v>
      </c>
      <c r="G102" s="27">
        <v>4400</v>
      </c>
      <c r="H102" s="27">
        <v>0</v>
      </c>
      <c r="I102" s="26">
        <v>8000</v>
      </c>
      <c r="J102" s="32">
        <v>0</v>
      </c>
      <c r="K102" s="27">
        <v>0</v>
      </c>
      <c r="L102" s="27">
        <v>0</v>
      </c>
      <c r="M102" s="27">
        <v>0</v>
      </c>
      <c r="N102" s="26">
        <v>0</v>
      </c>
      <c r="O102" s="32">
        <v>6000</v>
      </c>
      <c r="P102" s="27">
        <v>0</v>
      </c>
      <c r="Q102" s="27">
        <v>0</v>
      </c>
      <c r="R102" s="27">
        <v>2000</v>
      </c>
      <c r="S102" s="27">
        <v>0</v>
      </c>
      <c r="T102" s="26">
        <f>SUM(O102:S102)</f>
        <v>8000</v>
      </c>
      <c r="U102" s="28">
        <f>T102+N102+I102+D103</f>
        <v>16743</v>
      </c>
      <c r="V102" s="32">
        <v>13000</v>
      </c>
      <c r="W102" s="27">
        <v>0</v>
      </c>
      <c r="X102" s="27">
        <v>5000</v>
      </c>
      <c r="Y102" s="27">
        <v>0</v>
      </c>
      <c r="Z102" s="26">
        <v>25400</v>
      </c>
      <c r="AA102" s="32">
        <v>0</v>
      </c>
      <c r="AB102" s="27">
        <v>0</v>
      </c>
      <c r="AC102" s="27">
        <v>0</v>
      </c>
      <c r="AD102" s="27">
        <v>0</v>
      </c>
      <c r="AE102" s="26">
        <v>0</v>
      </c>
      <c r="AF102" s="32">
        <v>0</v>
      </c>
      <c r="AG102" s="27">
        <v>0</v>
      </c>
      <c r="AH102" s="27">
        <v>0</v>
      </c>
      <c r="AI102" s="27">
        <v>0</v>
      </c>
      <c r="AJ102" s="27">
        <v>0</v>
      </c>
      <c r="AK102" s="26">
        <f>SUM(AF102:AJ102)</f>
        <v>0</v>
      </c>
      <c r="AL102" s="28">
        <f>AK102+AE102+Z102</f>
        <v>25400</v>
      </c>
      <c r="AN102" s="13">
        <f t="shared" si="4"/>
        <v>0</v>
      </c>
      <c r="AO102" s="13">
        <f t="shared" si="5"/>
        <v>0</v>
      </c>
    </row>
    <row r="103" spans="1:41" s="15" customFormat="1" ht="17" thickBot="1">
      <c r="A103" s="119"/>
      <c r="B103" s="4" t="s">
        <v>8</v>
      </c>
      <c r="C103" s="26">
        <v>7876</v>
      </c>
      <c r="D103" s="37">
        <v>743</v>
      </c>
      <c r="E103" s="21">
        <v>0</v>
      </c>
      <c r="F103" s="21">
        <v>0</v>
      </c>
      <c r="G103" s="21">
        <v>0</v>
      </c>
      <c r="H103" s="21">
        <v>0</v>
      </c>
      <c r="I103" s="20">
        <v>0</v>
      </c>
      <c r="J103" s="21">
        <v>0</v>
      </c>
      <c r="K103" s="21">
        <v>0</v>
      </c>
      <c r="L103" s="21">
        <v>0</v>
      </c>
      <c r="M103" s="21">
        <v>0</v>
      </c>
      <c r="N103" s="20">
        <v>0</v>
      </c>
      <c r="O103" s="21">
        <v>6000</v>
      </c>
      <c r="P103" s="21">
        <v>6000</v>
      </c>
      <c r="Q103" s="21">
        <v>5400</v>
      </c>
      <c r="R103" s="21">
        <v>7400</v>
      </c>
      <c r="S103" s="21">
        <v>7400</v>
      </c>
      <c r="T103" s="20">
        <f>N103+T102-T99</f>
        <v>7400</v>
      </c>
      <c r="U103" s="22">
        <f>U102-U99</f>
        <v>7400</v>
      </c>
      <c r="V103" s="21">
        <v>13100</v>
      </c>
      <c r="W103" s="21">
        <v>13100</v>
      </c>
      <c r="X103" s="21">
        <v>18100</v>
      </c>
      <c r="Y103" s="21">
        <v>18100</v>
      </c>
      <c r="Z103" s="20">
        <v>18100</v>
      </c>
      <c r="AA103" s="21">
        <v>17100</v>
      </c>
      <c r="AB103" s="21">
        <v>17100</v>
      </c>
      <c r="AC103" s="21">
        <v>17100</v>
      </c>
      <c r="AD103" s="21">
        <v>17100</v>
      </c>
      <c r="AE103" s="20">
        <v>17100</v>
      </c>
      <c r="AF103" s="21">
        <v>17100</v>
      </c>
      <c r="AG103" s="21">
        <v>17100</v>
      </c>
      <c r="AH103" s="21">
        <v>17100</v>
      </c>
      <c r="AI103" s="21">
        <v>17100</v>
      </c>
      <c r="AJ103" s="21">
        <v>17100</v>
      </c>
      <c r="AK103" s="20">
        <f>AE103+AK102-AK99</f>
        <v>17100</v>
      </c>
      <c r="AL103" s="22">
        <f>T103+AL102-AL99</f>
        <v>24500</v>
      </c>
      <c r="AN103" s="13">
        <f t="shared" si="4"/>
        <v>0</v>
      </c>
      <c r="AO103" s="13">
        <f t="shared" si="5"/>
        <v>0</v>
      </c>
    </row>
    <row r="104" spans="1:41" s="15" customFormat="1" ht="17" thickBot="1">
      <c r="A104" s="46"/>
      <c r="B104" s="12" t="s">
        <v>9</v>
      </c>
      <c r="C104" s="26"/>
      <c r="D104" s="26"/>
      <c r="E104" s="19">
        <v>0</v>
      </c>
      <c r="F104" s="19">
        <v>0</v>
      </c>
      <c r="G104" s="19" t="e">
        <v>#DIV/0!</v>
      </c>
      <c r="H104" s="19" t="e">
        <v>#DIV/0!</v>
      </c>
      <c r="I104" s="23"/>
      <c r="J104" s="19" t="e">
        <v>#DIV/0!</v>
      </c>
      <c r="K104" s="19" t="e">
        <v>#DIV/0!</v>
      </c>
      <c r="L104" s="19">
        <v>0</v>
      </c>
      <c r="M104" s="19">
        <v>0</v>
      </c>
      <c r="N104" s="23"/>
      <c r="O104" s="19">
        <v>200000</v>
      </c>
      <c r="P104" s="19">
        <v>12068.79211505582</v>
      </c>
      <c r="Q104" s="19" t="e">
        <v>#DIV/0!</v>
      </c>
      <c r="R104" s="19" t="e">
        <v>#DIV/0!</v>
      </c>
      <c r="S104" s="19" t="e">
        <v>#REF!</v>
      </c>
      <c r="T104" s="23"/>
      <c r="U104" s="24"/>
      <c r="V104" s="19">
        <v>35890.410958904111</v>
      </c>
      <c r="W104" s="19">
        <v>35890.410958904111</v>
      </c>
      <c r="X104" s="19">
        <v>49589.04109589041</v>
      </c>
      <c r="Y104" s="19">
        <v>49589.04109589041</v>
      </c>
      <c r="Z104" s="23"/>
      <c r="AA104" s="19">
        <v>342000</v>
      </c>
      <c r="AB104" s="19">
        <v>342000</v>
      </c>
      <c r="AC104" s="19">
        <v>342000</v>
      </c>
      <c r="AD104" s="19">
        <v>342000</v>
      </c>
      <c r="AE104" s="23"/>
      <c r="AF104" s="19" t="e">
        <v>#DIV/0!</v>
      </c>
      <c r="AG104" s="19">
        <v>41204.819277108436</v>
      </c>
      <c r="AH104" s="19" t="e">
        <v>#DIV/0!</v>
      </c>
      <c r="AI104" s="19" t="e">
        <v>#DIV/0!</v>
      </c>
      <c r="AJ104" s="19" t="e">
        <v>#REF!</v>
      </c>
      <c r="AK104" s="23"/>
      <c r="AL104" s="24"/>
      <c r="AN104" s="13">
        <f t="shared" si="4"/>
        <v>0</v>
      </c>
      <c r="AO104" s="13">
        <f t="shared" si="5"/>
        <v>0</v>
      </c>
    </row>
    <row r="105" spans="1:41" s="15" customFormat="1">
      <c r="A105" s="117" t="s">
        <v>35</v>
      </c>
      <c r="B105" s="3" t="s">
        <v>5</v>
      </c>
      <c r="C105" s="26"/>
      <c r="D105" s="26"/>
      <c r="E105" s="27">
        <v>0</v>
      </c>
      <c r="F105" s="27">
        <v>0</v>
      </c>
      <c r="G105" s="27">
        <v>0</v>
      </c>
      <c r="H105" s="27">
        <v>0</v>
      </c>
      <c r="I105" s="26">
        <v>0</v>
      </c>
      <c r="J105" s="27">
        <v>76000</v>
      </c>
      <c r="K105" s="27">
        <v>0</v>
      </c>
      <c r="L105" s="27">
        <v>69120</v>
      </c>
      <c r="M105" s="27">
        <v>0</v>
      </c>
      <c r="N105" s="26">
        <v>145120</v>
      </c>
      <c r="O105" s="27">
        <v>22424</v>
      </c>
      <c r="P105" s="27">
        <v>2114</v>
      </c>
      <c r="Q105" s="27">
        <v>4690</v>
      </c>
      <c r="R105" s="27">
        <v>0</v>
      </c>
      <c r="S105" s="27">
        <v>0</v>
      </c>
      <c r="T105" s="26">
        <f>SUM(O105:S105)</f>
        <v>29228</v>
      </c>
      <c r="U105" s="28">
        <f>T105+N105+I105+D109</f>
        <v>295333</v>
      </c>
      <c r="V105" s="27">
        <v>24077</v>
      </c>
      <c r="W105" s="27">
        <v>1544</v>
      </c>
      <c r="X105" s="27">
        <v>2144</v>
      </c>
      <c r="Y105" s="27">
        <v>0</v>
      </c>
      <c r="Z105" s="26">
        <v>27765</v>
      </c>
      <c r="AA105" s="27">
        <v>31964</v>
      </c>
      <c r="AB105" s="27">
        <v>9490</v>
      </c>
      <c r="AC105" s="27">
        <v>20336</v>
      </c>
      <c r="AD105" s="27">
        <v>0</v>
      </c>
      <c r="AE105" s="26">
        <v>61790</v>
      </c>
      <c r="AF105" s="27">
        <v>8004</v>
      </c>
      <c r="AG105" s="27">
        <v>0</v>
      </c>
      <c r="AH105" s="27">
        <v>0</v>
      </c>
      <c r="AI105" s="27">
        <v>0</v>
      </c>
      <c r="AJ105" s="27">
        <v>0</v>
      </c>
      <c r="AK105" s="26">
        <f>SUM(AF105:AJ105)</f>
        <v>8004</v>
      </c>
      <c r="AL105" s="28">
        <f>AK105+AE105+Z105</f>
        <v>97559</v>
      </c>
      <c r="AM105" s="15">
        <v>16</v>
      </c>
      <c r="AN105" s="13">
        <f t="shared" si="4"/>
        <v>4725328</v>
      </c>
      <c r="AO105" s="13">
        <f t="shared" si="5"/>
        <v>1560944</v>
      </c>
    </row>
    <row r="106" spans="1:41" s="15" customFormat="1">
      <c r="A106" s="118"/>
      <c r="B106" s="12" t="s">
        <v>6</v>
      </c>
      <c r="C106" s="26"/>
      <c r="D106" s="26"/>
      <c r="E106" s="27">
        <v>0</v>
      </c>
      <c r="F106" s="27">
        <v>0</v>
      </c>
      <c r="G106" s="27">
        <v>0</v>
      </c>
      <c r="H106" s="27">
        <v>0</v>
      </c>
      <c r="I106" s="26">
        <v>0</v>
      </c>
      <c r="J106" s="27">
        <v>76000</v>
      </c>
      <c r="K106" s="27">
        <v>0</v>
      </c>
      <c r="L106" s="27">
        <v>69120</v>
      </c>
      <c r="M106" s="27">
        <v>0</v>
      </c>
      <c r="N106" s="26">
        <v>145120</v>
      </c>
      <c r="O106" s="27">
        <v>30000</v>
      </c>
      <c r="P106" s="27">
        <v>0</v>
      </c>
      <c r="Q106" s="27">
        <v>0</v>
      </c>
      <c r="R106" s="27">
        <v>20000</v>
      </c>
      <c r="S106" s="27">
        <v>0</v>
      </c>
      <c r="T106" s="26">
        <f>SUM(O106:S106)</f>
        <v>50000</v>
      </c>
      <c r="U106" s="28"/>
      <c r="V106" s="27">
        <v>0</v>
      </c>
      <c r="W106" s="27">
        <v>0</v>
      </c>
      <c r="X106" s="27">
        <v>50000</v>
      </c>
      <c r="Y106" s="27">
        <v>0</v>
      </c>
      <c r="Z106" s="26">
        <v>50000</v>
      </c>
      <c r="AA106" s="27">
        <v>0</v>
      </c>
      <c r="AB106" s="27">
        <v>0</v>
      </c>
      <c r="AC106" s="27">
        <v>0</v>
      </c>
      <c r="AD106" s="27">
        <v>0</v>
      </c>
      <c r="AE106" s="26">
        <v>0</v>
      </c>
      <c r="AF106" s="27">
        <v>0</v>
      </c>
      <c r="AG106" s="27">
        <v>0</v>
      </c>
      <c r="AH106" s="27">
        <v>0</v>
      </c>
      <c r="AI106" s="27">
        <v>50000</v>
      </c>
      <c r="AJ106" s="27">
        <v>0</v>
      </c>
      <c r="AK106" s="26">
        <f>SUM(AF106:AJ106)</f>
        <v>50000</v>
      </c>
      <c r="AL106" s="28"/>
      <c r="AN106" s="13">
        <f t="shared" si="4"/>
        <v>0</v>
      </c>
      <c r="AO106" s="13">
        <f t="shared" si="5"/>
        <v>0</v>
      </c>
    </row>
    <row r="107" spans="1:41" s="15" customFormat="1">
      <c r="A107" s="118"/>
      <c r="B107" s="12" t="s">
        <v>10</v>
      </c>
      <c r="C107" s="26">
        <v>30880</v>
      </c>
      <c r="D107" s="26"/>
      <c r="E107" s="27">
        <v>0</v>
      </c>
      <c r="F107" s="27">
        <v>0</v>
      </c>
      <c r="G107" s="27">
        <v>0</v>
      </c>
      <c r="H107" s="27">
        <v>0</v>
      </c>
      <c r="I107" s="26">
        <v>0</v>
      </c>
      <c r="J107" s="27">
        <v>0</v>
      </c>
      <c r="K107" s="27">
        <v>0</v>
      </c>
      <c r="L107" s="27">
        <v>30880</v>
      </c>
      <c r="M107" s="27">
        <v>0</v>
      </c>
      <c r="N107" s="26">
        <v>30880</v>
      </c>
      <c r="O107" s="27">
        <v>0</v>
      </c>
      <c r="P107" s="27">
        <v>0</v>
      </c>
      <c r="Q107" s="27">
        <v>0</v>
      </c>
      <c r="R107" s="27">
        <v>0</v>
      </c>
      <c r="S107" s="27">
        <v>0</v>
      </c>
      <c r="T107" s="26">
        <f>SUM(O107:R107)</f>
        <v>0</v>
      </c>
      <c r="U107" s="28">
        <f>I107+N107+T107</f>
        <v>30880</v>
      </c>
      <c r="V107" s="27">
        <v>0</v>
      </c>
      <c r="W107" s="27">
        <v>0</v>
      </c>
      <c r="X107" s="27">
        <v>0</v>
      </c>
      <c r="Y107" s="27">
        <v>0</v>
      </c>
      <c r="Z107" s="26">
        <v>0</v>
      </c>
      <c r="AA107" s="27">
        <v>0</v>
      </c>
      <c r="AB107" s="27">
        <v>0</v>
      </c>
      <c r="AC107" s="27">
        <v>0</v>
      </c>
      <c r="AD107" s="27">
        <v>0</v>
      </c>
      <c r="AE107" s="26">
        <v>0</v>
      </c>
      <c r="AF107" s="27">
        <v>0</v>
      </c>
      <c r="AG107" s="27">
        <v>0</v>
      </c>
      <c r="AH107" s="27">
        <v>0</v>
      </c>
      <c r="AI107" s="27">
        <v>0</v>
      </c>
      <c r="AJ107" s="27">
        <v>0</v>
      </c>
      <c r="AK107" s="26">
        <f>SUM(AF107:AI107)</f>
        <v>0</v>
      </c>
      <c r="AL107" s="28">
        <f>Z107+AE107+AK107</f>
        <v>0</v>
      </c>
      <c r="AN107" s="13">
        <f t="shared" si="4"/>
        <v>0</v>
      </c>
      <c r="AO107" s="13">
        <f t="shared" si="5"/>
        <v>0</v>
      </c>
    </row>
    <row r="108" spans="1:41" s="15" customFormat="1">
      <c r="A108" s="118"/>
      <c r="B108" s="12" t="s">
        <v>7</v>
      </c>
      <c r="C108" s="26"/>
      <c r="D108" s="26"/>
      <c r="E108" s="27">
        <v>0</v>
      </c>
      <c r="F108" s="27">
        <v>0</v>
      </c>
      <c r="G108" s="27">
        <v>0</v>
      </c>
      <c r="H108" s="27">
        <v>0</v>
      </c>
      <c r="I108" s="26">
        <v>0</v>
      </c>
      <c r="J108" s="27">
        <v>76000</v>
      </c>
      <c r="K108" s="27">
        <v>0</v>
      </c>
      <c r="L108" s="27">
        <v>100000</v>
      </c>
      <c r="M108" s="27">
        <v>0</v>
      </c>
      <c r="N108" s="26">
        <v>176000</v>
      </c>
      <c r="O108" s="27">
        <v>30000</v>
      </c>
      <c r="P108" s="27">
        <v>0</v>
      </c>
      <c r="Q108" s="27">
        <v>0</v>
      </c>
      <c r="R108" s="27">
        <v>20000</v>
      </c>
      <c r="S108" s="27">
        <v>0</v>
      </c>
      <c r="T108" s="26">
        <f>SUM(O108:S108)</f>
        <v>50000</v>
      </c>
      <c r="U108" s="28">
        <f>T108+N108+I108+D109</f>
        <v>346985</v>
      </c>
      <c r="V108" s="27">
        <v>0</v>
      </c>
      <c r="W108" s="27">
        <v>0</v>
      </c>
      <c r="X108" s="27">
        <v>50000</v>
      </c>
      <c r="Y108" s="27">
        <v>0</v>
      </c>
      <c r="Z108" s="26">
        <v>101652</v>
      </c>
      <c r="AA108" s="27">
        <v>0</v>
      </c>
      <c r="AB108" s="27">
        <v>0</v>
      </c>
      <c r="AC108" s="27">
        <v>0</v>
      </c>
      <c r="AD108" s="27">
        <v>0</v>
      </c>
      <c r="AE108" s="26">
        <v>0</v>
      </c>
      <c r="AF108" s="27">
        <v>0</v>
      </c>
      <c r="AG108" s="27">
        <v>0</v>
      </c>
      <c r="AH108" s="27">
        <v>0</v>
      </c>
      <c r="AI108" s="27">
        <v>50000</v>
      </c>
      <c r="AJ108" s="27">
        <v>0</v>
      </c>
      <c r="AK108" s="26">
        <f>SUM(AF108:AJ108)</f>
        <v>50000</v>
      </c>
      <c r="AL108" s="28">
        <f>AK108+AE108+Z108</f>
        <v>151652</v>
      </c>
      <c r="AN108" s="13">
        <f t="shared" si="4"/>
        <v>0</v>
      </c>
      <c r="AO108" s="13">
        <f t="shared" si="5"/>
        <v>0</v>
      </c>
    </row>
    <row r="109" spans="1:41" s="15" customFormat="1" ht="17" thickBot="1">
      <c r="A109" s="119"/>
      <c r="B109" s="4" t="s">
        <v>8</v>
      </c>
      <c r="C109" s="26">
        <v>158045</v>
      </c>
      <c r="D109" s="37">
        <v>120985</v>
      </c>
      <c r="E109" s="21">
        <v>0</v>
      </c>
      <c r="F109" s="21">
        <v>0</v>
      </c>
      <c r="G109" s="21">
        <v>0</v>
      </c>
      <c r="H109" s="21">
        <v>0</v>
      </c>
      <c r="I109" s="20">
        <v>0</v>
      </c>
      <c r="J109" s="21">
        <v>0</v>
      </c>
      <c r="K109" s="21">
        <v>0</v>
      </c>
      <c r="L109" s="21">
        <v>30880</v>
      </c>
      <c r="M109" s="21">
        <v>30880</v>
      </c>
      <c r="N109" s="20">
        <v>30880</v>
      </c>
      <c r="O109" s="21">
        <v>38456</v>
      </c>
      <c r="P109" s="21">
        <v>36342</v>
      </c>
      <c r="Q109" s="21">
        <v>31652</v>
      </c>
      <c r="R109" s="21">
        <v>51652</v>
      </c>
      <c r="S109" s="21">
        <v>51652</v>
      </c>
      <c r="T109" s="20">
        <f>N109+T108-T105</f>
        <v>51652</v>
      </c>
      <c r="U109" s="22">
        <f>U108-U105</f>
        <v>51652</v>
      </c>
      <c r="V109" s="21">
        <v>27575</v>
      </c>
      <c r="W109" s="21">
        <v>26031</v>
      </c>
      <c r="X109" s="21">
        <v>73887</v>
      </c>
      <c r="Y109" s="21">
        <v>73887</v>
      </c>
      <c r="Z109" s="20">
        <v>73887</v>
      </c>
      <c r="AA109" s="21">
        <v>41923</v>
      </c>
      <c r="AB109" s="21">
        <v>32433</v>
      </c>
      <c r="AC109" s="21">
        <v>12097</v>
      </c>
      <c r="AD109" s="21">
        <v>12097</v>
      </c>
      <c r="AE109" s="20">
        <v>12097</v>
      </c>
      <c r="AF109" s="21">
        <v>4093</v>
      </c>
      <c r="AG109" s="21">
        <v>4093</v>
      </c>
      <c r="AH109" s="21">
        <v>4093</v>
      </c>
      <c r="AI109" s="21">
        <v>54093</v>
      </c>
      <c r="AJ109" s="21">
        <v>54093</v>
      </c>
      <c r="AK109" s="20">
        <f>AE109+AK108-AK105</f>
        <v>54093</v>
      </c>
      <c r="AL109" s="22">
        <f>T109+AL108-AL105</f>
        <v>105745</v>
      </c>
      <c r="AN109" s="13">
        <f t="shared" si="4"/>
        <v>0</v>
      </c>
      <c r="AO109" s="13">
        <f t="shared" si="5"/>
        <v>0</v>
      </c>
    </row>
    <row r="110" spans="1:41" s="15" customFormat="1" ht="17" thickBot="1">
      <c r="A110" s="46"/>
      <c r="B110" s="12" t="s">
        <v>9</v>
      </c>
      <c r="C110" s="26"/>
      <c r="D110" s="26"/>
      <c r="E110" s="19">
        <v>0</v>
      </c>
      <c r="F110" s="19">
        <v>0</v>
      </c>
      <c r="G110" s="19">
        <v>0</v>
      </c>
      <c r="H110" s="19">
        <v>0</v>
      </c>
      <c r="I110" s="23"/>
      <c r="J110" s="19">
        <v>0</v>
      </c>
      <c r="K110" s="19">
        <v>0</v>
      </c>
      <c r="L110" s="19">
        <v>21130.422882167783</v>
      </c>
      <c r="M110" s="19">
        <v>21130.422882167783</v>
      </c>
      <c r="N110" s="23"/>
      <c r="O110" s="19">
        <v>113039.38859494416</v>
      </c>
      <c r="P110" s="19">
        <v>2422.6142662395882</v>
      </c>
      <c r="Q110" s="19" t="e">
        <v>#DIV/0!</v>
      </c>
      <c r="R110" s="19" t="e">
        <v>#DIV/0!</v>
      </c>
      <c r="S110" s="19" t="e">
        <v>#REF!</v>
      </c>
      <c r="T110" s="23"/>
      <c r="U110" s="24"/>
      <c r="V110" s="19">
        <v>17534.098496168888</v>
      </c>
      <c r="W110" s="19">
        <v>13214.040965506738</v>
      </c>
      <c r="X110" s="19">
        <v>53223.122636412743</v>
      </c>
      <c r="Y110" s="19">
        <v>53223.122636412743</v>
      </c>
      <c r="Z110" s="23"/>
      <c r="AA110" s="19">
        <v>9151.8948655256736</v>
      </c>
      <c r="AB110" s="19">
        <v>7898.3513138348389</v>
      </c>
      <c r="AC110" s="19">
        <v>3915.5203107298917</v>
      </c>
      <c r="AD110" s="19">
        <v>3915.5203107298917</v>
      </c>
      <c r="AE110" s="23"/>
      <c r="AF110" s="19" t="e">
        <v>#DIV/0!</v>
      </c>
      <c r="AG110" s="19">
        <v>839.08199141032617</v>
      </c>
      <c r="AH110" s="19" t="e">
        <v>#DIV/0!</v>
      </c>
      <c r="AI110" s="19" t="e">
        <v>#DIV/0!</v>
      </c>
      <c r="AJ110" s="19" t="e">
        <v>#REF!</v>
      </c>
      <c r="AK110" s="23"/>
      <c r="AL110" s="24"/>
      <c r="AN110" s="13">
        <f t="shared" si="4"/>
        <v>0</v>
      </c>
      <c r="AO110" s="13">
        <f t="shared" si="5"/>
        <v>0</v>
      </c>
    </row>
    <row r="111" spans="1:41" s="15" customFormat="1">
      <c r="A111" s="117" t="s">
        <v>36</v>
      </c>
      <c r="B111" s="3" t="s">
        <v>5</v>
      </c>
      <c r="C111" s="26"/>
      <c r="D111" s="26"/>
      <c r="E111" s="27">
        <v>0</v>
      </c>
      <c r="F111" s="27">
        <v>294000</v>
      </c>
      <c r="G111" s="27">
        <v>0</v>
      </c>
      <c r="H111" s="27">
        <v>0</v>
      </c>
      <c r="I111" s="26">
        <v>294000</v>
      </c>
      <c r="J111" s="27">
        <v>449848</v>
      </c>
      <c r="K111" s="27">
        <v>192632</v>
      </c>
      <c r="L111" s="27">
        <v>112320</v>
      </c>
      <c r="M111" s="27">
        <v>0</v>
      </c>
      <c r="N111" s="26">
        <v>754800</v>
      </c>
      <c r="O111" s="27">
        <v>270340</v>
      </c>
      <c r="P111" s="27">
        <v>28832</v>
      </c>
      <c r="Q111" s="27">
        <v>147132</v>
      </c>
      <c r="R111" s="27">
        <v>103870</v>
      </c>
      <c r="S111" s="27">
        <v>0</v>
      </c>
      <c r="T111" s="26">
        <f>SUM(O111:S111)</f>
        <v>550174</v>
      </c>
      <c r="U111" s="28">
        <f>T111+N111+I111+D115</f>
        <v>2185070</v>
      </c>
      <c r="V111" s="27">
        <v>448156</v>
      </c>
      <c r="W111" s="27">
        <v>17294</v>
      </c>
      <c r="X111" s="27">
        <v>17246</v>
      </c>
      <c r="Y111" s="27">
        <v>0</v>
      </c>
      <c r="Z111" s="26">
        <v>482696</v>
      </c>
      <c r="AA111" s="27">
        <v>819202</v>
      </c>
      <c r="AB111" s="27">
        <v>24236</v>
      </c>
      <c r="AC111" s="27">
        <v>74382</v>
      </c>
      <c r="AD111" s="27">
        <v>0</v>
      </c>
      <c r="AE111" s="26">
        <v>917820</v>
      </c>
      <c r="AF111" s="27">
        <v>66744</v>
      </c>
      <c r="AG111" s="27">
        <v>526</v>
      </c>
      <c r="AH111" s="27">
        <v>4976</v>
      </c>
      <c r="AI111" s="27">
        <v>426</v>
      </c>
      <c r="AJ111" s="27">
        <v>0</v>
      </c>
      <c r="AK111" s="26">
        <f>SUM(AF111:AJ111)</f>
        <v>72672</v>
      </c>
      <c r="AL111" s="28">
        <f>AK111+AE111+Z111</f>
        <v>1473188</v>
      </c>
      <c r="AM111" s="15">
        <v>32</v>
      </c>
      <c r="AN111" s="13">
        <f t="shared" ref="AN111:AN128" si="6">U111*AM111</f>
        <v>69922240</v>
      </c>
      <c r="AO111" s="13">
        <f t="shared" si="5"/>
        <v>47142016</v>
      </c>
    </row>
    <row r="112" spans="1:41" s="15" customFormat="1">
      <c r="A112" s="118"/>
      <c r="B112" s="12" t="s">
        <v>6</v>
      </c>
      <c r="C112" s="26"/>
      <c r="D112" s="26"/>
      <c r="E112" s="27">
        <v>0</v>
      </c>
      <c r="F112" s="27">
        <v>294000</v>
      </c>
      <c r="G112" s="27">
        <v>0</v>
      </c>
      <c r="H112" s="27">
        <v>0</v>
      </c>
      <c r="I112" s="26">
        <v>294000</v>
      </c>
      <c r="J112" s="27">
        <v>449848</v>
      </c>
      <c r="K112" s="27">
        <v>192632</v>
      </c>
      <c r="L112" s="27">
        <v>112320</v>
      </c>
      <c r="M112" s="27">
        <v>0</v>
      </c>
      <c r="N112" s="26">
        <v>754800</v>
      </c>
      <c r="O112" s="27">
        <v>320000</v>
      </c>
      <c r="P112" s="27">
        <v>0</v>
      </c>
      <c r="Q112" s="27">
        <v>0</v>
      </c>
      <c r="R112" s="27">
        <v>100000</v>
      </c>
      <c r="S112" s="27">
        <v>0</v>
      </c>
      <c r="T112" s="26">
        <f>SUM(O112:S112)</f>
        <v>420000</v>
      </c>
      <c r="U112" s="28"/>
      <c r="V112" s="27">
        <v>350000</v>
      </c>
      <c r="W112" s="27">
        <v>0</v>
      </c>
      <c r="X112" s="27">
        <v>300000</v>
      </c>
      <c r="Y112" s="27">
        <v>0</v>
      </c>
      <c r="Z112" s="26">
        <v>650000</v>
      </c>
      <c r="AA112" s="27">
        <v>500000</v>
      </c>
      <c r="AB112" s="27">
        <v>0</v>
      </c>
      <c r="AC112" s="27">
        <v>100000</v>
      </c>
      <c r="AD112" s="27">
        <v>0</v>
      </c>
      <c r="AE112" s="26">
        <v>600000</v>
      </c>
      <c r="AF112" s="27">
        <v>0</v>
      </c>
      <c r="AG112" s="27">
        <v>0</v>
      </c>
      <c r="AH112" s="27">
        <v>0</v>
      </c>
      <c r="AI112" s="27">
        <v>0</v>
      </c>
      <c r="AJ112" s="27">
        <v>0</v>
      </c>
      <c r="AK112" s="26">
        <f>SUM(AF112:AJ112)</f>
        <v>0</v>
      </c>
      <c r="AL112" s="28"/>
      <c r="AN112" s="13">
        <f t="shared" si="6"/>
        <v>0</v>
      </c>
      <c r="AO112" s="13">
        <f t="shared" ref="AO112:AO162" si="7">AL112*AM112</f>
        <v>0</v>
      </c>
    </row>
    <row r="113" spans="1:41" s="15" customFormat="1">
      <c r="A113" s="118"/>
      <c r="B113" s="12" t="s">
        <v>10</v>
      </c>
      <c r="C113" s="26">
        <v>301200</v>
      </c>
      <c r="D113" s="26"/>
      <c r="E113" s="27">
        <v>0</v>
      </c>
      <c r="F113" s="27">
        <v>0</v>
      </c>
      <c r="G113" s="27">
        <v>0</v>
      </c>
      <c r="H113" s="27">
        <v>0</v>
      </c>
      <c r="I113" s="26">
        <v>0</v>
      </c>
      <c r="J113" s="27">
        <v>0</v>
      </c>
      <c r="K113" s="27">
        <v>0</v>
      </c>
      <c r="L113" s="27">
        <v>42198</v>
      </c>
      <c r="M113" s="27">
        <v>0</v>
      </c>
      <c r="N113" s="26">
        <v>42198</v>
      </c>
      <c r="O113" s="27">
        <v>0</v>
      </c>
      <c r="P113" s="27">
        <v>0</v>
      </c>
      <c r="Q113" s="27">
        <v>0</v>
      </c>
      <c r="R113" s="27">
        <v>0</v>
      </c>
      <c r="S113" s="27">
        <v>0</v>
      </c>
      <c r="T113" s="26">
        <f>SUM(O113:R113)</f>
        <v>0</v>
      </c>
      <c r="U113" s="28">
        <f>I113+N113+T113</f>
        <v>42198</v>
      </c>
      <c r="V113" s="27">
        <v>0</v>
      </c>
      <c r="W113" s="27">
        <v>0</v>
      </c>
      <c r="X113" s="27">
        <v>0</v>
      </c>
      <c r="Y113" s="27">
        <v>0</v>
      </c>
      <c r="Z113" s="26">
        <v>0</v>
      </c>
      <c r="AA113" s="27">
        <v>0</v>
      </c>
      <c r="AB113" s="27">
        <v>0</v>
      </c>
      <c r="AC113" s="27">
        <v>0</v>
      </c>
      <c r="AD113" s="27">
        <v>0</v>
      </c>
      <c r="AE113" s="26">
        <v>0</v>
      </c>
      <c r="AF113" s="27">
        <v>0</v>
      </c>
      <c r="AG113" s="27">
        <v>0</v>
      </c>
      <c r="AH113" s="27">
        <v>0</v>
      </c>
      <c r="AI113" s="27">
        <v>0</v>
      </c>
      <c r="AJ113" s="27">
        <v>0</v>
      </c>
      <c r="AK113" s="26">
        <f>SUM(AF113:AI113)</f>
        <v>0</v>
      </c>
      <c r="AL113" s="28">
        <f>Z113+AE113+AK113</f>
        <v>0</v>
      </c>
      <c r="AN113" s="13">
        <f t="shared" si="6"/>
        <v>0</v>
      </c>
      <c r="AO113" s="13">
        <f t="shared" si="7"/>
        <v>0</v>
      </c>
    </row>
    <row r="114" spans="1:41" s="15" customFormat="1">
      <c r="A114" s="118"/>
      <c r="B114" s="12" t="s">
        <v>7</v>
      </c>
      <c r="C114" s="26"/>
      <c r="D114" s="26"/>
      <c r="E114" s="32">
        <v>0</v>
      </c>
      <c r="F114" s="27">
        <v>294000</v>
      </c>
      <c r="G114" s="27">
        <v>0</v>
      </c>
      <c r="H114" s="27">
        <v>0</v>
      </c>
      <c r="I114" s="26">
        <v>294000</v>
      </c>
      <c r="J114" s="32">
        <v>449848</v>
      </c>
      <c r="K114" s="27">
        <v>192632</v>
      </c>
      <c r="L114" s="27">
        <v>154518</v>
      </c>
      <c r="M114" s="27">
        <v>0</v>
      </c>
      <c r="N114" s="26">
        <v>796998</v>
      </c>
      <c r="O114" s="32">
        <v>320000</v>
      </c>
      <c r="P114" s="27">
        <v>0</v>
      </c>
      <c r="Q114" s="27">
        <v>0</v>
      </c>
      <c r="R114" s="27">
        <v>100000</v>
      </c>
      <c r="S114" s="27">
        <v>0</v>
      </c>
      <c r="T114" s="26">
        <f>SUM(O114:S114)</f>
        <v>420000</v>
      </c>
      <c r="U114" s="28">
        <f>T114+N114+I114+D115</f>
        <v>2097094</v>
      </c>
      <c r="V114" s="32">
        <v>350000</v>
      </c>
      <c r="W114" s="27">
        <v>0</v>
      </c>
      <c r="X114" s="27">
        <v>300000</v>
      </c>
      <c r="Y114" s="27">
        <v>0</v>
      </c>
      <c r="Z114" s="26">
        <v>562024</v>
      </c>
      <c r="AA114" s="32">
        <v>500000</v>
      </c>
      <c r="AB114" s="27">
        <v>0</v>
      </c>
      <c r="AC114" s="27">
        <v>100000</v>
      </c>
      <c r="AD114" s="27">
        <v>0</v>
      </c>
      <c r="AE114" s="26">
        <v>600000</v>
      </c>
      <c r="AF114" s="32">
        <v>0</v>
      </c>
      <c r="AG114" s="27">
        <v>0</v>
      </c>
      <c r="AH114" s="27">
        <v>0</v>
      </c>
      <c r="AI114" s="27">
        <v>0</v>
      </c>
      <c r="AJ114" s="27">
        <v>0</v>
      </c>
      <c r="AK114" s="26">
        <f>SUM(AF114:AJ114)</f>
        <v>0</v>
      </c>
      <c r="AL114" s="28">
        <f>AK114+AE114+Z114</f>
        <v>1162024</v>
      </c>
      <c r="AN114" s="13">
        <f t="shared" si="6"/>
        <v>0</v>
      </c>
      <c r="AO114" s="13">
        <f t="shared" si="7"/>
        <v>0</v>
      </c>
    </row>
    <row r="115" spans="1:41" s="15" customFormat="1" ht="17" thickBot="1">
      <c r="A115" s="119"/>
      <c r="B115" s="4" t="s">
        <v>8</v>
      </c>
      <c r="C115" s="26">
        <v>656360</v>
      </c>
      <c r="D115" s="37">
        <v>586096</v>
      </c>
      <c r="E115" s="21">
        <v>0</v>
      </c>
      <c r="F115" s="21">
        <v>0</v>
      </c>
      <c r="G115" s="21">
        <v>0</v>
      </c>
      <c r="H115" s="21">
        <v>0</v>
      </c>
      <c r="I115" s="20">
        <v>0</v>
      </c>
      <c r="J115" s="21">
        <v>0</v>
      </c>
      <c r="K115" s="21">
        <v>0</v>
      </c>
      <c r="L115" s="21">
        <v>42198</v>
      </c>
      <c r="M115" s="21">
        <v>42198</v>
      </c>
      <c r="N115" s="20">
        <v>42198</v>
      </c>
      <c r="O115" s="21">
        <v>91858</v>
      </c>
      <c r="P115" s="21">
        <v>63026</v>
      </c>
      <c r="Q115" s="21">
        <v>-84106</v>
      </c>
      <c r="R115" s="21">
        <v>-87976</v>
      </c>
      <c r="S115" s="21">
        <v>-87976</v>
      </c>
      <c r="T115" s="20">
        <f>N115+T114-T111</f>
        <v>-87976</v>
      </c>
      <c r="U115" s="22">
        <f>U114-U111</f>
        <v>-87976</v>
      </c>
      <c r="V115" s="21">
        <v>-186132</v>
      </c>
      <c r="W115" s="21">
        <v>-203426</v>
      </c>
      <c r="X115" s="21">
        <v>79328</v>
      </c>
      <c r="Y115" s="21">
        <v>79328</v>
      </c>
      <c r="Z115" s="20">
        <v>79328</v>
      </c>
      <c r="AA115" s="21">
        <v>-239874</v>
      </c>
      <c r="AB115" s="21">
        <v>-264110</v>
      </c>
      <c r="AC115" s="21">
        <v>-238492</v>
      </c>
      <c r="AD115" s="21">
        <v>-238492</v>
      </c>
      <c r="AE115" s="20">
        <v>-238492</v>
      </c>
      <c r="AF115" s="21">
        <v>-305236</v>
      </c>
      <c r="AG115" s="21">
        <v>-305762</v>
      </c>
      <c r="AH115" s="21">
        <v>-310738</v>
      </c>
      <c r="AI115" s="21">
        <v>-311164</v>
      </c>
      <c r="AJ115" s="21">
        <v>-311164</v>
      </c>
      <c r="AK115" s="20">
        <f>AE115+AK114-AK111</f>
        <v>-311164</v>
      </c>
      <c r="AL115" s="22">
        <f>T115+AL114-AL111</f>
        <v>-399140</v>
      </c>
      <c r="AN115" s="13">
        <f t="shared" si="6"/>
        <v>0</v>
      </c>
      <c r="AO115" s="13">
        <f t="shared" si="7"/>
        <v>0</v>
      </c>
    </row>
    <row r="116" spans="1:41" s="15" customFormat="1" ht="17" thickBot="1">
      <c r="A116" s="46"/>
      <c r="B116" s="12" t="s">
        <v>9</v>
      </c>
      <c r="C116" s="26"/>
      <c r="D116" s="26"/>
      <c r="E116" s="19">
        <v>0</v>
      </c>
      <c r="F116" s="19">
        <v>0</v>
      </c>
      <c r="G116" s="19">
        <v>0</v>
      </c>
      <c r="H116" s="19">
        <v>0</v>
      </c>
      <c r="I116" s="23"/>
      <c r="J116" s="19">
        <v>0</v>
      </c>
      <c r="K116" s="19">
        <v>0</v>
      </c>
      <c r="L116" s="19">
        <v>1890.9980640998062</v>
      </c>
      <c r="M116" s="19">
        <v>1533.9874294314161</v>
      </c>
      <c r="N116" s="23"/>
      <c r="O116" s="19">
        <v>6565.1779269138124</v>
      </c>
      <c r="P116" s="19">
        <v>517.43955022675846</v>
      </c>
      <c r="Q116" s="19">
        <v>-16194.473861557717</v>
      </c>
      <c r="R116" s="19" t="e">
        <v>#DIV/0!</v>
      </c>
      <c r="S116" s="19" t="e">
        <v>#REF!</v>
      </c>
      <c r="T116" s="23"/>
      <c r="U116" s="24"/>
      <c r="V116" s="19">
        <v>-7197.1788506600469</v>
      </c>
      <c r="W116" s="19">
        <v>-7761.7145320864274</v>
      </c>
      <c r="X116" s="19">
        <v>3286.8720685483199</v>
      </c>
      <c r="Y116" s="19">
        <v>3286.8720685483199</v>
      </c>
      <c r="Z116" s="23"/>
      <c r="AA116" s="19">
        <v>-4719.8943762433119</v>
      </c>
      <c r="AB116" s="19">
        <v>-5320.8935378069318</v>
      </c>
      <c r="AC116" s="19">
        <v>-5196.923143971585</v>
      </c>
      <c r="AD116" s="19">
        <v>-5196.923143971585</v>
      </c>
      <c r="AE116" s="23"/>
      <c r="AF116" s="19">
        <v>-1029811.0661268557</v>
      </c>
      <c r="AG116" s="19">
        <v>-4135.8591631216232</v>
      </c>
      <c r="AH116" s="19">
        <v>-14588638.497652583</v>
      </c>
      <c r="AI116" s="19" t="e">
        <v>#DIV/0!</v>
      </c>
      <c r="AJ116" s="19" t="e">
        <v>#REF!</v>
      </c>
      <c r="AK116" s="23"/>
      <c r="AL116" s="24"/>
      <c r="AN116" s="13">
        <f t="shared" si="6"/>
        <v>0</v>
      </c>
      <c r="AO116" s="13">
        <f t="shared" si="7"/>
        <v>0</v>
      </c>
    </row>
    <row r="117" spans="1:41" s="15" customFormat="1">
      <c r="A117" s="117" t="s">
        <v>37</v>
      </c>
      <c r="B117" s="3" t="s">
        <v>5</v>
      </c>
      <c r="C117" s="26"/>
      <c r="D117" s="26"/>
      <c r="E117" s="27">
        <v>0</v>
      </c>
      <c r="F117" s="27">
        <v>24000</v>
      </c>
      <c r="G117" s="27">
        <v>0</v>
      </c>
      <c r="H117" s="27">
        <v>0</v>
      </c>
      <c r="I117" s="26">
        <v>24000</v>
      </c>
      <c r="J117" s="27">
        <v>10000</v>
      </c>
      <c r="K117" s="27">
        <v>0</v>
      </c>
      <c r="L117" s="27">
        <v>15973</v>
      </c>
      <c r="M117" s="27">
        <v>0</v>
      </c>
      <c r="N117" s="26">
        <v>25973</v>
      </c>
      <c r="O117" s="27">
        <v>6082</v>
      </c>
      <c r="P117" s="27">
        <v>2096</v>
      </c>
      <c r="Q117" s="27">
        <v>3826</v>
      </c>
      <c r="R117" s="27">
        <v>0</v>
      </c>
      <c r="S117" s="27">
        <v>0</v>
      </c>
      <c r="T117" s="26">
        <f>SUM(O117:S117)</f>
        <v>12004</v>
      </c>
      <c r="U117" s="28">
        <f>T117+N117+I117+D121</f>
        <v>124174</v>
      </c>
      <c r="V117" s="27">
        <v>4882</v>
      </c>
      <c r="W117" s="27">
        <v>352</v>
      </c>
      <c r="X117" s="27">
        <v>510</v>
      </c>
      <c r="Y117" s="27">
        <v>0</v>
      </c>
      <c r="Z117" s="26">
        <v>5744</v>
      </c>
      <c r="AA117" s="27">
        <v>23260</v>
      </c>
      <c r="AB117" s="27">
        <v>614</v>
      </c>
      <c r="AC117" s="27">
        <v>2490</v>
      </c>
      <c r="AD117" s="27">
        <v>0</v>
      </c>
      <c r="AE117" s="26">
        <v>26364</v>
      </c>
      <c r="AF117" s="27">
        <v>60</v>
      </c>
      <c r="AG117" s="27">
        <v>32</v>
      </c>
      <c r="AH117" s="27">
        <v>32</v>
      </c>
      <c r="AI117" s="27">
        <v>28</v>
      </c>
      <c r="AJ117" s="27">
        <v>0</v>
      </c>
      <c r="AK117" s="26">
        <f>SUM(AF117:AJ117)</f>
        <v>152</v>
      </c>
      <c r="AL117" s="28">
        <f>AK117+AE117+Z117</f>
        <v>32260</v>
      </c>
      <c r="AM117" s="15">
        <v>64</v>
      </c>
      <c r="AN117" s="13">
        <f t="shared" si="6"/>
        <v>7947136</v>
      </c>
      <c r="AO117" s="13">
        <f t="shared" si="7"/>
        <v>2064640</v>
      </c>
    </row>
    <row r="118" spans="1:41" s="15" customFormat="1">
      <c r="A118" s="118"/>
      <c r="B118" s="12" t="s">
        <v>6</v>
      </c>
      <c r="C118" s="26"/>
      <c r="D118" s="26"/>
      <c r="E118" s="27">
        <v>0</v>
      </c>
      <c r="F118" s="27">
        <v>24000</v>
      </c>
      <c r="G118" s="27">
        <v>0</v>
      </c>
      <c r="H118" s="27">
        <v>0</v>
      </c>
      <c r="I118" s="26">
        <v>24000</v>
      </c>
      <c r="J118" s="27">
        <v>10000</v>
      </c>
      <c r="K118" s="27">
        <v>0</v>
      </c>
      <c r="L118" s="27">
        <v>15973</v>
      </c>
      <c r="M118" s="27">
        <v>0</v>
      </c>
      <c r="N118" s="26">
        <v>25973</v>
      </c>
      <c r="O118" s="27">
        <v>40000</v>
      </c>
      <c r="P118" s="27">
        <v>0</v>
      </c>
      <c r="Q118" s="27">
        <v>0</v>
      </c>
      <c r="R118" s="27">
        <v>0</v>
      </c>
      <c r="S118" s="27">
        <v>0</v>
      </c>
      <c r="T118" s="26">
        <f>SUM(O118:S118)</f>
        <v>40000</v>
      </c>
      <c r="U118" s="28"/>
      <c r="V118" s="27">
        <v>0</v>
      </c>
      <c r="W118" s="27">
        <v>0</v>
      </c>
      <c r="X118" s="27">
        <v>0</v>
      </c>
      <c r="Y118" s="27">
        <v>0</v>
      </c>
      <c r="Z118" s="26">
        <v>0</v>
      </c>
      <c r="AA118" s="27">
        <v>0</v>
      </c>
      <c r="AB118" s="27">
        <v>0</v>
      </c>
      <c r="AC118" s="27">
        <v>0</v>
      </c>
      <c r="AD118" s="27">
        <v>0</v>
      </c>
      <c r="AE118" s="26">
        <v>0</v>
      </c>
      <c r="AF118" s="27">
        <v>0</v>
      </c>
      <c r="AG118" s="27">
        <v>0</v>
      </c>
      <c r="AH118" s="27">
        <v>0</v>
      </c>
      <c r="AI118" s="27">
        <v>0</v>
      </c>
      <c r="AJ118" s="27">
        <v>0</v>
      </c>
      <c r="AK118" s="26">
        <f>SUM(AF118:AJ118)</f>
        <v>0</v>
      </c>
      <c r="AL118" s="28"/>
      <c r="AN118" s="13">
        <f t="shared" si="6"/>
        <v>0</v>
      </c>
      <c r="AO118" s="13">
        <f t="shared" si="7"/>
        <v>0</v>
      </c>
    </row>
    <row r="119" spans="1:41" s="15" customFormat="1">
      <c r="A119" s="118"/>
      <c r="B119" s="12" t="s">
        <v>10</v>
      </c>
      <c r="C119" s="26">
        <v>42198</v>
      </c>
      <c r="D119" s="26"/>
      <c r="E119" s="27">
        <v>0</v>
      </c>
      <c r="F119" s="27">
        <v>0</v>
      </c>
      <c r="G119" s="27">
        <v>0</v>
      </c>
      <c r="H119" s="27">
        <v>0</v>
      </c>
      <c r="I119" s="26">
        <v>0</v>
      </c>
      <c r="J119" s="27">
        <v>0</v>
      </c>
      <c r="K119" s="27">
        <v>0</v>
      </c>
      <c r="L119" s="27">
        <v>0</v>
      </c>
      <c r="M119" s="27">
        <v>0</v>
      </c>
      <c r="N119" s="26">
        <v>0</v>
      </c>
      <c r="O119" s="27">
        <v>0</v>
      </c>
      <c r="P119" s="27">
        <v>0</v>
      </c>
      <c r="Q119" s="27">
        <v>0</v>
      </c>
      <c r="R119" s="27">
        <v>0</v>
      </c>
      <c r="S119" s="27">
        <v>0</v>
      </c>
      <c r="T119" s="26">
        <f>SUM(O119:R119)</f>
        <v>0</v>
      </c>
      <c r="U119" s="28">
        <f>I119+N119+T119</f>
        <v>0</v>
      </c>
      <c r="V119" s="27">
        <v>0</v>
      </c>
      <c r="W119" s="27">
        <v>0</v>
      </c>
      <c r="X119" s="27">
        <v>0</v>
      </c>
      <c r="Y119" s="27">
        <v>0</v>
      </c>
      <c r="Z119" s="26">
        <v>0</v>
      </c>
      <c r="AA119" s="27">
        <v>0</v>
      </c>
      <c r="AB119" s="27">
        <v>0</v>
      </c>
      <c r="AC119" s="27">
        <v>0</v>
      </c>
      <c r="AD119" s="27">
        <v>0</v>
      </c>
      <c r="AE119" s="26">
        <v>0</v>
      </c>
      <c r="AF119" s="27">
        <v>0</v>
      </c>
      <c r="AG119" s="27">
        <v>0</v>
      </c>
      <c r="AH119" s="27">
        <v>0</v>
      </c>
      <c r="AI119" s="27">
        <v>0</v>
      </c>
      <c r="AJ119" s="27">
        <v>0</v>
      </c>
      <c r="AK119" s="26">
        <f>SUM(AF119:AI119)</f>
        <v>0</v>
      </c>
      <c r="AL119" s="28">
        <f>Z119+AE119+AK119</f>
        <v>0</v>
      </c>
      <c r="AN119" s="13">
        <f t="shared" si="6"/>
        <v>0</v>
      </c>
      <c r="AO119" s="13">
        <f t="shared" si="7"/>
        <v>0</v>
      </c>
    </row>
    <row r="120" spans="1:41" s="15" customFormat="1">
      <c r="A120" s="118"/>
      <c r="B120" s="12" t="s">
        <v>7</v>
      </c>
      <c r="C120" s="26"/>
      <c r="D120" s="26"/>
      <c r="E120" s="32">
        <v>0</v>
      </c>
      <c r="F120" s="27">
        <v>24000</v>
      </c>
      <c r="G120" s="27">
        <v>0</v>
      </c>
      <c r="H120" s="27">
        <v>0</v>
      </c>
      <c r="I120" s="26">
        <v>24000</v>
      </c>
      <c r="J120" s="32">
        <v>10000</v>
      </c>
      <c r="K120" s="27">
        <v>0</v>
      </c>
      <c r="L120" s="27">
        <v>15973</v>
      </c>
      <c r="M120" s="27">
        <v>0</v>
      </c>
      <c r="N120" s="26">
        <v>25973</v>
      </c>
      <c r="O120" s="32">
        <v>40000</v>
      </c>
      <c r="P120" s="27">
        <v>0</v>
      </c>
      <c r="Q120" s="27">
        <v>0</v>
      </c>
      <c r="R120" s="27">
        <v>0</v>
      </c>
      <c r="S120" s="27">
        <v>0</v>
      </c>
      <c r="T120" s="26">
        <f>SUM(O120:S120)</f>
        <v>40000</v>
      </c>
      <c r="U120" s="28">
        <f>T120+N120+I120+D121</f>
        <v>152170</v>
      </c>
      <c r="V120" s="32">
        <v>0</v>
      </c>
      <c r="W120" s="27">
        <v>0</v>
      </c>
      <c r="X120" s="27">
        <v>0</v>
      </c>
      <c r="Y120" s="27">
        <v>0</v>
      </c>
      <c r="Z120" s="26">
        <v>27996</v>
      </c>
      <c r="AA120" s="32">
        <v>0</v>
      </c>
      <c r="AB120" s="27">
        <v>0</v>
      </c>
      <c r="AC120" s="27">
        <v>0</v>
      </c>
      <c r="AD120" s="27">
        <v>0</v>
      </c>
      <c r="AE120" s="26">
        <v>0</v>
      </c>
      <c r="AF120" s="32">
        <v>0</v>
      </c>
      <c r="AG120" s="27">
        <v>0</v>
      </c>
      <c r="AH120" s="27">
        <v>0</v>
      </c>
      <c r="AI120" s="27">
        <v>0</v>
      </c>
      <c r="AJ120" s="27">
        <v>0</v>
      </c>
      <c r="AK120" s="26">
        <f>SUM(AF120:AJ120)</f>
        <v>0</v>
      </c>
      <c r="AL120" s="28">
        <f>AK120+AE120+Z120</f>
        <v>27996</v>
      </c>
      <c r="AN120" s="13">
        <f t="shared" si="6"/>
        <v>0</v>
      </c>
      <c r="AO120" s="13">
        <f t="shared" si="7"/>
        <v>0</v>
      </c>
    </row>
    <row r="121" spans="1:41" s="15" customFormat="1" ht="17" thickBot="1">
      <c r="A121" s="119"/>
      <c r="B121" s="4" t="s">
        <v>8</v>
      </c>
      <c r="C121" s="26">
        <v>93987</v>
      </c>
      <c r="D121" s="37">
        <v>62197</v>
      </c>
      <c r="E121" s="21">
        <v>0</v>
      </c>
      <c r="F121" s="21">
        <v>0</v>
      </c>
      <c r="G121" s="21">
        <v>0</v>
      </c>
      <c r="H121" s="21">
        <v>0</v>
      </c>
      <c r="I121" s="20">
        <v>0</v>
      </c>
      <c r="J121" s="21">
        <v>0</v>
      </c>
      <c r="K121" s="21">
        <v>0</v>
      </c>
      <c r="L121" s="21">
        <v>0</v>
      </c>
      <c r="M121" s="21">
        <v>0</v>
      </c>
      <c r="N121" s="20">
        <v>0</v>
      </c>
      <c r="O121" s="21">
        <v>33918</v>
      </c>
      <c r="P121" s="21">
        <v>31822</v>
      </c>
      <c r="Q121" s="21">
        <v>27996</v>
      </c>
      <c r="R121" s="21">
        <v>27996</v>
      </c>
      <c r="S121" s="21">
        <v>27996</v>
      </c>
      <c r="T121" s="20">
        <f>N121+T120-T117</f>
        <v>27996</v>
      </c>
      <c r="U121" s="22">
        <f>U120-U117</f>
        <v>27996</v>
      </c>
      <c r="V121" s="21">
        <v>23114</v>
      </c>
      <c r="W121" s="21">
        <v>22762</v>
      </c>
      <c r="X121" s="21">
        <v>22252</v>
      </c>
      <c r="Y121" s="21">
        <v>22252</v>
      </c>
      <c r="Z121" s="20">
        <v>22252</v>
      </c>
      <c r="AA121" s="21">
        <v>-1008</v>
      </c>
      <c r="AB121" s="21">
        <v>-1622</v>
      </c>
      <c r="AC121" s="21">
        <v>-4112</v>
      </c>
      <c r="AD121" s="21">
        <v>-4112</v>
      </c>
      <c r="AE121" s="20">
        <v>-4112</v>
      </c>
      <c r="AF121" s="21">
        <v>-4172</v>
      </c>
      <c r="AG121" s="21">
        <v>-4204</v>
      </c>
      <c r="AH121" s="21">
        <v>-4236</v>
      </c>
      <c r="AI121" s="21">
        <v>-4264</v>
      </c>
      <c r="AJ121" s="21">
        <v>-4264</v>
      </c>
      <c r="AK121" s="20">
        <f>AE121+AK120-AK117</f>
        <v>-4264</v>
      </c>
      <c r="AL121" s="22">
        <f>T121+AL120-AL117</f>
        <v>23732</v>
      </c>
      <c r="AN121" s="13">
        <f t="shared" si="6"/>
        <v>0</v>
      </c>
      <c r="AO121" s="13">
        <f t="shared" si="7"/>
        <v>0</v>
      </c>
    </row>
    <row r="122" spans="1:41" s="15" customFormat="1" ht="17" thickBot="1">
      <c r="A122" s="46"/>
      <c r="B122" s="12" t="s">
        <v>9</v>
      </c>
      <c r="C122" s="26"/>
      <c r="D122" s="26"/>
      <c r="E122" s="19">
        <v>0</v>
      </c>
      <c r="F122" s="19">
        <v>0</v>
      </c>
      <c r="G122" s="19">
        <v>0</v>
      </c>
      <c r="H122" s="19">
        <v>0</v>
      </c>
      <c r="I122" s="23"/>
      <c r="J122" s="19">
        <v>0</v>
      </c>
      <c r="K122" s="19">
        <v>0</v>
      </c>
      <c r="L122" s="19">
        <v>0</v>
      </c>
      <c r="M122" s="19">
        <v>0</v>
      </c>
      <c r="N122" s="23"/>
      <c r="O122" s="19">
        <v>114549.13880445794</v>
      </c>
      <c r="P122" s="19">
        <v>4972.1875</v>
      </c>
      <c r="Q122" s="19" t="e">
        <v>#DIV/0!</v>
      </c>
      <c r="R122" s="19" t="e">
        <v>#DIV/0!</v>
      </c>
      <c r="S122" s="19" t="e">
        <v>#REF!</v>
      </c>
      <c r="T122" s="23"/>
      <c r="U122" s="24"/>
      <c r="V122" s="19">
        <v>69978.807145019673</v>
      </c>
      <c r="W122" s="19">
        <v>66284.216656959819</v>
      </c>
      <c r="X122" s="19">
        <v>77479.108635097495</v>
      </c>
      <c r="Y122" s="19">
        <v>77479.108635097495</v>
      </c>
      <c r="Z122" s="23"/>
      <c r="AA122" s="19">
        <v>-684.13193973123384</v>
      </c>
      <c r="AB122" s="19">
        <v>-1123.0353804611232</v>
      </c>
      <c r="AC122" s="19">
        <v>-3119.4052495827641</v>
      </c>
      <c r="AD122" s="19">
        <v>-3119.4052495827641</v>
      </c>
      <c r="AE122" s="23"/>
      <c r="AF122" s="19">
        <v>-906956.52173913049</v>
      </c>
      <c r="AG122" s="19">
        <v>-2601.4851485148515</v>
      </c>
      <c r="AH122" s="19">
        <v>-3025714.2857142859</v>
      </c>
      <c r="AI122" s="19" t="e">
        <v>#DIV/0!</v>
      </c>
      <c r="AJ122" s="19" t="e">
        <v>#REF!</v>
      </c>
      <c r="AK122" s="23"/>
      <c r="AL122" s="24"/>
      <c r="AN122" s="13">
        <f t="shared" si="6"/>
        <v>0</v>
      </c>
      <c r="AO122" s="13">
        <f t="shared" si="7"/>
        <v>0</v>
      </c>
    </row>
    <row r="123" spans="1:41" s="15" customFormat="1">
      <c r="A123" s="117" t="s">
        <v>40</v>
      </c>
      <c r="B123" s="3" t="s">
        <v>5</v>
      </c>
      <c r="C123" s="26"/>
      <c r="D123" s="26"/>
      <c r="E123" s="27">
        <v>0</v>
      </c>
      <c r="F123" s="27">
        <v>0</v>
      </c>
      <c r="G123" s="27">
        <v>0</v>
      </c>
      <c r="H123" s="27">
        <v>0</v>
      </c>
      <c r="I123" s="26">
        <v>0</v>
      </c>
      <c r="J123" s="27">
        <v>0</v>
      </c>
      <c r="K123" s="27">
        <v>0</v>
      </c>
      <c r="L123" s="27">
        <v>20000</v>
      </c>
      <c r="M123" s="27">
        <v>0</v>
      </c>
      <c r="N123" s="26">
        <v>20000</v>
      </c>
      <c r="O123" s="27">
        <v>0</v>
      </c>
      <c r="P123" s="27">
        <v>0</v>
      </c>
      <c r="Q123" s="27">
        <v>0</v>
      </c>
      <c r="R123" s="27">
        <v>0</v>
      </c>
      <c r="S123" s="27">
        <v>0</v>
      </c>
      <c r="T123" s="26">
        <f>SUM(O123:S123)</f>
        <v>0</v>
      </c>
      <c r="U123" s="28">
        <f>T123+N123+I123+D127</f>
        <v>123960</v>
      </c>
      <c r="V123" s="27">
        <v>0</v>
      </c>
      <c r="W123" s="27">
        <v>0</v>
      </c>
      <c r="X123" s="27">
        <v>0</v>
      </c>
      <c r="Y123" s="27">
        <v>0</v>
      </c>
      <c r="Z123" s="26">
        <v>0</v>
      </c>
      <c r="AA123" s="27">
        <v>0</v>
      </c>
      <c r="AB123" s="27">
        <v>0</v>
      </c>
      <c r="AC123" s="27">
        <v>0</v>
      </c>
      <c r="AD123" s="27">
        <v>0</v>
      </c>
      <c r="AE123" s="26">
        <v>0</v>
      </c>
      <c r="AF123" s="27">
        <v>0</v>
      </c>
      <c r="AG123" s="27">
        <v>0</v>
      </c>
      <c r="AH123" s="27">
        <v>0</v>
      </c>
      <c r="AI123" s="27">
        <v>0</v>
      </c>
      <c r="AJ123" s="27">
        <v>0</v>
      </c>
      <c r="AK123" s="26">
        <f>SUM(AF123:AJ123)</f>
        <v>0</v>
      </c>
      <c r="AL123" s="28">
        <f>AK123+AE123+Z123</f>
        <v>0</v>
      </c>
      <c r="AM123" s="15">
        <v>16</v>
      </c>
      <c r="AN123" s="13">
        <f t="shared" si="6"/>
        <v>1983360</v>
      </c>
      <c r="AO123" s="13">
        <f t="shared" si="7"/>
        <v>0</v>
      </c>
    </row>
    <row r="124" spans="1:41" s="15" customFormat="1">
      <c r="A124" s="118"/>
      <c r="B124" s="12" t="s">
        <v>6</v>
      </c>
      <c r="C124" s="26"/>
      <c r="D124" s="26"/>
      <c r="E124" s="27">
        <v>0</v>
      </c>
      <c r="F124" s="27">
        <v>0</v>
      </c>
      <c r="G124" s="27">
        <v>0</v>
      </c>
      <c r="H124" s="27">
        <v>0</v>
      </c>
      <c r="I124" s="26">
        <v>0</v>
      </c>
      <c r="J124" s="27">
        <v>0</v>
      </c>
      <c r="K124" s="27">
        <v>0</v>
      </c>
      <c r="L124" s="27">
        <v>20000</v>
      </c>
      <c r="M124" s="27">
        <v>0</v>
      </c>
      <c r="N124" s="26">
        <v>20000</v>
      </c>
      <c r="O124" s="27">
        <v>0</v>
      </c>
      <c r="P124" s="27">
        <v>0</v>
      </c>
      <c r="Q124" s="27">
        <v>0</v>
      </c>
      <c r="R124" s="27">
        <v>0</v>
      </c>
      <c r="S124" s="27">
        <v>0</v>
      </c>
      <c r="T124" s="26">
        <f>SUM(O124:S124)</f>
        <v>0</v>
      </c>
      <c r="U124" s="28"/>
      <c r="V124" s="27">
        <v>0</v>
      </c>
      <c r="W124" s="27">
        <v>0</v>
      </c>
      <c r="X124" s="27">
        <v>0</v>
      </c>
      <c r="Y124" s="27">
        <v>0</v>
      </c>
      <c r="Z124" s="26">
        <v>0</v>
      </c>
      <c r="AA124" s="27">
        <v>0</v>
      </c>
      <c r="AB124" s="27">
        <v>0</v>
      </c>
      <c r="AC124" s="27">
        <v>0</v>
      </c>
      <c r="AD124" s="27">
        <v>0</v>
      </c>
      <c r="AE124" s="26">
        <v>0</v>
      </c>
      <c r="AF124" s="27">
        <v>0</v>
      </c>
      <c r="AG124" s="27">
        <v>0</v>
      </c>
      <c r="AH124" s="27">
        <v>0</v>
      </c>
      <c r="AI124" s="27">
        <v>0</v>
      </c>
      <c r="AJ124" s="27">
        <v>0</v>
      </c>
      <c r="AK124" s="26">
        <f>SUM(AF124:AJ124)</f>
        <v>0</v>
      </c>
      <c r="AL124" s="28"/>
      <c r="AN124" s="13">
        <f t="shared" si="6"/>
        <v>0</v>
      </c>
      <c r="AO124" s="13">
        <f t="shared" si="7"/>
        <v>0</v>
      </c>
    </row>
    <row r="125" spans="1:41" s="15" customFormat="1">
      <c r="A125" s="118"/>
      <c r="B125" s="12" t="s">
        <v>10</v>
      </c>
      <c r="C125" s="26">
        <v>0</v>
      </c>
      <c r="D125" s="26"/>
      <c r="E125" s="27">
        <v>0</v>
      </c>
      <c r="F125" s="27">
        <v>0</v>
      </c>
      <c r="G125" s="27">
        <v>0</v>
      </c>
      <c r="H125" s="27">
        <v>0</v>
      </c>
      <c r="I125" s="26">
        <v>0</v>
      </c>
      <c r="J125" s="27">
        <v>0</v>
      </c>
      <c r="K125" s="27">
        <v>0</v>
      </c>
      <c r="L125" s="27">
        <v>0</v>
      </c>
      <c r="M125" s="27">
        <v>0</v>
      </c>
      <c r="N125" s="26">
        <v>0</v>
      </c>
      <c r="O125" s="27">
        <v>0</v>
      </c>
      <c r="P125" s="27">
        <v>0</v>
      </c>
      <c r="Q125" s="27">
        <v>0</v>
      </c>
      <c r="R125" s="27">
        <v>0</v>
      </c>
      <c r="S125" s="27">
        <v>0</v>
      </c>
      <c r="T125" s="26">
        <f>SUM(O125:R125)</f>
        <v>0</v>
      </c>
      <c r="U125" s="28">
        <f>I125+N125+T125</f>
        <v>0</v>
      </c>
      <c r="V125" s="27">
        <v>0</v>
      </c>
      <c r="W125" s="27">
        <v>0</v>
      </c>
      <c r="X125" s="27">
        <v>0</v>
      </c>
      <c r="Y125" s="27">
        <v>0</v>
      </c>
      <c r="Z125" s="26">
        <v>0</v>
      </c>
      <c r="AA125" s="27">
        <v>0</v>
      </c>
      <c r="AB125" s="27">
        <v>0</v>
      </c>
      <c r="AC125" s="27">
        <v>0</v>
      </c>
      <c r="AD125" s="27">
        <v>0</v>
      </c>
      <c r="AE125" s="26">
        <v>0</v>
      </c>
      <c r="AF125" s="27">
        <v>0</v>
      </c>
      <c r="AG125" s="27">
        <v>0</v>
      </c>
      <c r="AH125" s="27">
        <v>0</v>
      </c>
      <c r="AI125" s="27">
        <v>0</v>
      </c>
      <c r="AJ125" s="27">
        <v>0</v>
      </c>
      <c r="AK125" s="26">
        <f>SUM(AF125:AI125)</f>
        <v>0</v>
      </c>
      <c r="AL125" s="28">
        <f>Z125+AE125+AK125</f>
        <v>0</v>
      </c>
      <c r="AN125" s="13">
        <f t="shared" si="6"/>
        <v>0</v>
      </c>
      <c r="AO125" s="13">
        <f t="shared" si="7"/>
        <v>0</v>
      </c>
    </row>
    <row r="126" spans="1:41" s="15" customFormat="1">
      <c r="A126" s="118"/>
      <c r="B126" s="12" t="s">
        <v>7</v>
      </c>
      <c r="C126" s="26"/>
      <c r="D126" s="26"/>
      <c r="E126" s="32">
        <v>0</v>
      </c>
      <c r="F126" s="27">
        <v>0</v>
      </c>
      <c r="G126" s="27">
        <v>0</v>
      </c>
      <c r="H126" s="27">
        <v>0</v>
      </c>
      <c r="I126" s="26">
        <v>0</v>
      </c>
      <c r="J126" s="32">
        <v>0</v>
      </c>
      <c r="K126" s="27">
        <v>0</v>
      </c>
      <c r="L126" s="27">
        <v>20000</v>
      </c>
      <c r="M126" s="27">
        <v>0</v>
      </c>
      <c r="N126" s="26">
        <v>20000</v>
      </c>
      <c r="O126" s="32">
        <v>0</v>
      </c>
      <c r="P126" s="27">
        <v>0</v>
      </c>
      <c r="Q126" s="27">
        <v>0</v>
      </c>
      <c r="R126" s="27">
        <v>0</v>
      </c>
      <c r="S126" s="27">
        <v>0</v>
      </c>
      <c r="T126" s="26">
        <f>SUM(O126:S126)</f>
        <v>0</v>
      </c>
      <c r="U126" s="28">
        <f>T126+N126+I126+D127</f>
        <v>123960</v>
      </c>
      <c r="V126" s="32">
        <v>0</v>
      </c>
      <c r="W126" s="27">
        <v>0</v>
      </c>
      <c r="X126" s="27">
        <v>0</v>
      </c>
      <c r="Y126" s="27">
        <v>0</v>
      </c>
      <c r="Z126" s="26">
        <v>0</v>
      </c>
      <c r="AA126" s="32">
        <v>0</v>
      </c>
      <c r="AB126" s="27">
        <v>0</v>
      </c>
      <c r="AC126" s="27">
        <v>0</v>
      </c>
      <c r="AD126" s="27">
        <v>0</v>
      </c>
      <c r="AE126" s="26">
        <v>0</v>
      </c>
      <c r="AF126" s="32">
        <v>0</v>
      </c>
      <c r="AG126" s="27">
        <v>0</v>
      </c>
      <c r="AH126" s="27">
        <v>0</v>
      </c>
      <c r="AI126" s="27">
        <v>0</v>
      </c>
      <c r="AJ126" s="27">
        <v>0</v>
      </c>
      <c r="AK126" s="26">
        <f>SUM(AF126:AJ126)</f>
        <v>0</v>
      </c>
      <c r="AL126" s="28">
        <f>AK126+AE126+Z126</f>
        <v>0</v>
      </c>
      <c r="AN126" s="13">
        <f t="shared" si="6"/>
        <v>0</v>
      </c>
      <c r="AO126" s="13">
        <f t="shared" si="7"/>
        <v>0</v>
      </c>
    </row>
    <row r="127" spans="1:41" s="15" customFormat="1" ht="17" thickBot="1">
      <c r="A127" s="119"/>
      <c r="B127" s="4" t="s">
        <v>8</v>
      </c>
      <c r="C127" s="34">
        <v>38545</v>
      </c>
      <c r="D127" s="35">
        <v>103960</v>
      </c>
      <c r="E127" s="21">
        <v>0</v>
      </c>
      <c r="F127" s="21">
        <v>0</v>
      </c>
      <c r="G127" s="21">
        <v>0</v>
      </c>
      <c r="H127" s="21">
        <v>0</v>
      </c>
      <c r="I127" s="20">
        <v>0</v>
      </c>
      <c r="J127" s="21">
        <v>0</v>
      </c>
      <c r="K127" s="21">
        <v>0</v>
      </c>
      <c r="L127" s="21">
        <v>0</v>
      </c>
      <c r="M127" s="21">
        <v>0</v>
      </c>
      <c r="N127" s="20">
        <v>0</v>
      </c>
      <c r="O127" s="21">
        <v>0</v>
      </c>
      <c r="P127" s="21">
        <v>0</v>
      </c>
      <c r="Q127" s="21">
        <v>0</v>
      </c>
      <c r="R127" s="21">
        <v>0</v>
      </c>
      <c r="S127" s="21">
        <v>0</v>
      </c>
      <c r="T127" s="20">
        <f>N127+T126-T123</f>
        <v>0</v>
      </c>
      <c r="U127" s="22">
        <f>U126-U123</f>
        <v>0</v>
      </c>
      <c r="V127" s="21">
        <v>0</v>
      </c>
      <c r="W127" s="21">
        <v>0</v>
      </c>
      <c r="X127" s="21">
        <v>0</v>
      </c>
      <c r="Y127" s="21">
        <v>0</v>
      </c>
      <c r="Z127" s="20">
        <v>0</v>
      </c>
      <c r="AA127" s="21">
        <v>0</v>
      </c>
      <c r="AB127" s="21">
        <v>0</v>
      </c>
      <c r="AC127" s="21">
        <v>0</v>
      </c>
      <c r="AD127" s="21">
        <v>0</v>
      </c>
      <c r="AE127" s="20">
        <v>0</v>
      </c>
      <c r="AF127" s="21">
        <v>0</v>
      </c>
      <c r="AG127" s="21">
        <v>0</v>
      </c>
      <c r="AH127" s="21">
        <v>0</v>
      </c>
      <c r="AI127" s="21">
        <v>0</v>
      </c>
      <c r="AJ127" s="21">
        <v>0</v>
      </c>
      <c r="AK127" s="20">
        <f>AE127+AK126-AK123</f>
        <v>0</v>
      </c>
      <c r="AL127" s="22">
        <f>T127+AL126-AL123</f>
        <v>0</v>
      </c>
      <c r="AN127" s="13">
        <f t="shared" si="6"/>
        <v>0</v>
      </c>
      <c r="AO127" s="13">
        <f t="shared" si="7"/>
        <v>0</v>
      </c>
    </row>
    <row r="128" spans="1:41" s="15" customFormat="1" ht="17" thickBot="1">
      <c r="A128" s="46"/>
      <c r="B128" s="12"/>
      <c r="C128" s="26"/>
      <c r="D128" s="26"/>
      <c r="E128" s="19" t="e">
        <v>#DIV/0!</v>
      </c>
      <c r="F128" s="19" t="e">
        <v>#DIV/0!</v>
      </c>
      <c r="G128" s="19">
        <v>0</v>
      </c>
      <c r="H128" s="19">
        <v>0</v>
      </c>
      <c r="I128" s="23"/>
      <c r="J128" s="19">
        <v>0</v>
      </c>
      <c r="K128" s="19">
        <v>0</v>
      </c>
      <c r="L128" s="19" t="e">
        <v>#DIV/0!</v>
      </c>
      <c r="M128" s="19" t="e">
        <v>#DIV/0!</v>
      </c>
      <c r="N128" s="23"/>
      <c r="O128" s="19" t="e">
        <v>#DIV/0!</v>
      </c>
      <c r="P128" s="19">
        <v>0</v>
      </c>
      <c r="Q128" s="19" t="e">
        <v>#DIV/0!</v>
      </c>
      <c r="R128" s="19" t="e">
        <v>#DIV/0!</v>
      </c>
      <c r="S128" s="19" t="e">
        <v>#REF!</v>
      </c>
      <c r="T128" s="23"/>
      <c r="U128" s="24"/>
      <c r="V128" s="19" t="e">
        <v>#DIV/0!</v>
      </c>
      <c r="W128" s="19" t="e">
        <v>#DIV/0!</v>
      </c>
      <c r="X128" s="19" t="e">
        <v>#DIV/0!</v>
      </c>
      <c r="Y128" s="19" t="e">
        <v>#DIV/0!</v>
      </c>
      <c r="Z128" s="23"/>
      <c r="AA128" s="19" t="e">
        <v>#DIV/0!</v>
      </c>
      <c r="AB128" s="19" t="e">
        <v>#DIV/0!</v>
      </c>
      <c r="AC128" s="19" t="e">
        <v>#DIV/0!</v>
      </c>
      <c r="AD128" s="19" t="e">
        <v>#DIV/0!</v>
      </c>
      <c r="AE128" s="23"/>
      <c r="AF128" s="19" t="e">
        <v>#DIV/0!</v>
      </c>
      <c r="AG128" s="19" t="e">
        <v>#DIV/0!</v>
      </c>
      <c r="AH128" s="19" t="e">
        <v>#DIV/0!</v>
      </c>
      <c r="AI128" s="19" t="e">
        <v>#DIV/0!</v>
      </c>
      <c r="AJ128" s="19" t="e">
        <v>#REF!</v>
      </c>
      <c r="AK128" s="23"/>
      <c r="AL128" s="24"/>
      <c r="AN128" s="13">
        <f t="shared" si="6"/>
        <v>0</v>
      </c>
      <c r="AO128" s="13">
        <f t="shared" si="7"/>
        <v>0</v>
      </c>
    </row>
    <row r="129" spans="1:41" s="29" customFormat="1" ht="13">
      <c r="A129" s="117" t="s">
        <v>49</v>
      </c>
      <c r="B129" s="25" t="s">
        <v>5</v>
      </c>
      <c r="C129" s="26"/>
      <c r="D129" s="26"/>
      <c r="E129" s="27">
        <v>0</v>
      </c>
      <c r="F129" s="27">
        <v>734500</v>
      </c>
      <c r="G129" s="27">
        <v>743909</v>
      </c>
      <c r="H129" s="27">
        <v>0</v>
      </c>
      <c r="I129" s="26">
        <v>1478409</v>
      </c>
      <c r="J129" s="27">
        <v>20211</v>
      </c>
      <c r="K129" s="27">
        <v>167901</v>
      </c>
      <c r="L129" s="27">
        <v>61440</v>
      </c>
      <c r="M129" s="27">
        <v>0</v>
      </c>
      <c r="N129" s="26">
        <v>249552</v>
      </c>
      <c r="O129" s="27">
        <v>333189</v>
      </c>
      <c r="P129" s="27">
        <v>104604</v>
      </c>
      <c r="Q129" s="27">
        <v>89164</v>
      </c>
      <c r="R129" s="27">
        <v>174097</v>
      </c>
      <c r="S129" s="27">
        <v>0</v>
      </c>
      <c r="T129" s="26">
        <f>SUM(O129:S129)</f>
        <v>701054</v>
      </c>
      <c r="U129" s="28">
        <f>T129+N129+I129+D133</f>
        <v>3308963</v>
      </c>
      <c r="V129" s="27">
        <v>109872</v>
      </c>
      <c r="W129" s="27">
        <v>7628</v>
      </c>
      <c r="X129" s="27">
        <v>3896</v>
      </c>
      <c r="Y129" s="27">
        <v>0</v>
      </c>
      <c r="Z129" s="26">
        <v>121396</v>
      </c>
      <c r="AA129" s="27">
        <v>50096</v>
      </c>
      <c r="AB129" s="27">
        <v>11916</v>
      </c>
      <c r="AC129" s="27">
        <v>19660</v>
      </c>
      <c r="AD129" s="27">
        <v>0</v>
      </c>
      <c r="AE129" s="26">
        <v>81672</v>
      </c>
      <c r="AF129" s="27">
        <v>504</v>
      </c>
      <c r="AG129" s="27">
        <v>76</v>
      </c>
      <c r="AH129" s="27">
        <v>876</v>
      </c>
      <c r="AI129" s="27">
        <v>88</v>
      </c>
      <c r="AJ129" s="27">
        <v>0</v>
      </c>
      <c r="AK129" s="26">
        <f>SUM(AF129:AJ129)</f>
        <v>1544</v>
      </c>
      <c r="AL129" s="28">
        <f>AK129+AE129+Z129</f>
        <v>204612</v>
      </c>
      <c r="AM129" s="29">
        <v>32</v>
      </c>
      <c r="AN129" s="30">
        <f t="shared" ref="AN129:AN152" si="8">AM129*U129</f>
        <v>105886816</v>
      </c>
      <c r="AO129" s="30">
        <f t="shared" si="7"/>
        <v>6547584</v>
      </c>
    </row>
    <row r="130" spans="1:41" s="29" customFormat="1" ht="13">
      <c r="A130" s="118"/>
      <c r="B130" s="31" t="s">
        <v>6</v>
      </c>
      <c r="C130" s="26"/>
      <c r="D130" s="26"/>
      <c r="E130" s="27">
        <v>0</v>
      </c>
      <c r="F130" s="27">
        <v>734500</v>
      </c>
      <c r="G130" s="27">
        <v>743909</v>
      </c>
      <c r="H130" s="27">
        <v>0</v>
      </c>
      <c r="I130" s="26">
        <v>1478409</v>
      </c>
      <c r="J130" s="27">
        <v>20211</v>
      </c>
      <c r="K130" s="27">
        <v>167901</v>
      </c>
      <c r="L130" s="27">
        <v>61440</v>
      </c>
      <c r="M130" s="27">
        <v>0</v>
      </c>
      <c r="N130" s="26">
        <v>249552</v>
      </c>
      <c r="O130" s="27">
        <v>400000</v>
      </c>
      <c r="P130" s="27">
        <v>0</v>
      </c>
      <c r="Q130" s="27">
        <v>0</v>
      </c>
      <c r="R130" s="27">
        <v>400000</v>
      </c>
      <c r="S130" s="27">
        <v>0</v>
      </c>
      <c r="T130" s="26">
        <f>SUM(O130:S130)</f>
        <v>800000</v>
      </c>
      <c r="U130" s="28"/>
      <c r="V130" s="27">
        <v>300000</v>
      </c>
      <c r="W130" s="27">
        <v>0</v>
      </c>
      <c r="X130" s="27">
        <v>0</v>
      </c>
      <c r="Y130" s="27">
        <v>0</v>
      </c>
      <c r="Z130" s="26">
        <v>300000</v>
      </c>
      <c r="AA130" s="27">
        <v>0</v>
      </c>
      <c r="AB130" s="27">
        <v>0</v>
      </c>
      <c r="AC130" s="27">
        <v>0</v>
      </c>
      <c r="AD130" s="27">
        <v>0</v>
      </c>
      <c r="AE130" s="26">
        <v>0</v>
      </c>
      <c r="AF130" s="27">
        <v>0</v>
      </c>
      <c r="AG130" s="27">
        <v>0</v>
      </c>
      <c r="AH130" s="27">
        <v>0</v>
      </c>
      <c r="AI130" s="27">
        <v>0</v>
      </c>
      <c r="AJ130" s="27">
        <v>0</v>
      </c>
      <c r="AK130" s="26">
        <f>SUM(AF130:AJ130)</f>
        <v>0</v>
      </c>
      <c r="AL130" s="28"/>
      <c r="AN130" s="30">
        <f t="shared" si="8"/>
        <v>0</v>
      </c>
      <c r="AO130" s="30">
        <f t="shared" si="7"/>
        <v>0</v>
      </c>
    </row>
    <row r="131" spans="1:41" s="29" customFormat="1" ht="13">
      <c r="A131" s="118"/>
      <c r="B131" s="31" t="s">
        <v>10</v>
      </c>
      <c r="C131" s="26">
        <v>0</v>
      </c>
      <c r="D131" s="26"/>
      <c r="E131" s="27">
        <v>0</v>
      </c>
      <c r="F131" s="27">
        <v>0</v>
      </c>
      <c r="G131" s="27">
        <v>0</v>
      </c>
      <c r="H131" s="27">
        <v>0</v>
      </c>
      <c r="I131" s="26">
        <v>0</v>
      </c>
      <c r="J131" s="27">
        <v>0</v>
      </c>
      <c r="K131" s="27">
        <v>0</v>
      </c>
      <c r="L131" s="27">
        <v>0</v>
      </c>
      <c r="M131" s="27">
        <v>0</v>
      </c>
      <c r="N131" s="26">
        <v>0</v>
      </c>
      <c r="O131" s="27">
        <v>0</v>
      </c>
      <c r="P131" s="27">
        <v>0</v>
      </c>
      <c r="Q131" s="27">
        <v>0</v>
      </c>
      <c r="R131" s="27">
        <v>0</v>
      </c>
      <c r="S131" s="27">
        <v>0</v>
      </c>
      <c r="T131" s="26">
        <f>SUM(O131:R131)</f>
        <v>0</v>
      </c>
      <c r="U131" s="28">
        <f>I131+N131+T131</f>
        <v>0</v>
      </c>
      <c r="V131" s="27">
        <v>0</v>
      </c>
      <c r="W131" s="27">
        <v>0</v>
      </c>
      <c r="X131" s="27">
        <v>0</v>
      </c>
      <c r="Y131" s="27">
        <v>0</v>
      </c>
      <c r="Z131" s="26">
        <v>0</v>
      </c>
      <c r="AA131" s="27">
        <v>0</v>
      </c>
      <c r="AB131" s="27">
        <v>0</v>
      </c>
      <c r="AC131" s="27">
        <v>0</v>
      </c>
      <c r="AD131" s="27">
        <v>0</v>
      </c>
      <c r="AE131" s="26">
        <v>0</v>
      </c>
      <c r="AF131" s="27">
        <v>0</v>
      </c>
      <c r="AG131" s="27">
        <v>0</v>
      </c>
      <c r="AH131" s="27">
        <v>0</v>
      </c>
      <c r="AI131" s="27">
        <v>0</v>
      </c>
      <c r="AJ131" s="27">
        <v>0</v>
      </c>
      <c r="AK131" s="26">
        <f>SUM(AF131:AI131)</f>
        <v>0</v>
      </c>
      <c r="AL131" s="28">
        <f>Z131+AE131+AK131</f>
        <v>0</v>
      </c>
      <c r="AN131" s="30">
        <f t="shared" si="8"/>
        <v>0</v>
      </c>
      <c r="AO131" s="30">
        <f t="shared" si="7"/>
        <v>0</v>
      </c>
    </row>
    <row r="132" spans="1:41" s="29" customFormat="1" ht="13">
      <c r="A132" s="118"/>
      <c r="B132" s="31" t="s">
        <v>7</v>
      </c>
      <c r="C132" s="26"/>
      <c r="D132" s="26"/>
      <c r="E132" s="32">
        <v>0</v>
      </c>
      <c r="F132" s="27">
        <v>734500</v>
      </c>
      <c r="G132" s="27">
        <v>743909</v>
      </c>
      <c r="H132" s="27">
        <v>0</v>
      </c>
      <c r="I132" s="26">
        <v>1478409</v>
      </c>
      <c r="J132" s="32">
        <v>20211</v>
      </c>
      <c r="K132" s="27">
        <v>167901</v>
      </c>
      <c r="L132" s="27">
        <v>61440</v>
      </c>
      <c r="M132" s="27">
        <v>0</v>
      </c>
      <c r="N132" s="26">
        <v>249552</v>
      </c>
      <c r="O132" s="32">
        <v>400000</v>
      </c>
      <c r="P132" s="27">
        <v>0</v>
      </c>
      <c r="Q132" s="27">
        <v>0</v>
      </c>
      <c r="R132" s="27">
        <v>400000</v>
      </c>
      <c r="S132" s="27">
        <v>0</v>
      </c>
      <c r="T132" s="26">
        <f>SUM(O132:S132)</f>
        <v>800000</v>
      </c>
      <c r="U132" s="28">
        <f>T132+N132+I132+D133</f>
        <v>3407909</v>
      </c>
      <c r="V132" s="32">
        <v>300000</v>
      </c>
      <c r="W132" s="27">
        <v>0</v>
      </c>
      <c r="X132" s="27">
        <v>0</v>
      </c>
      <c r="Y132" s="27">
        <v>0</v>
      </c>
      <c r="Z132" s="26">
        <v>398946</v>
      </c>
      <c r="AA132" s="32">
        <v>0</v>
      </c>
      <c r="AB132" s="27">
        <v>0</v>
      </c>
      <c r="AC132" s="27">
        <v>0</v>
      </c>
      <c r="AD132" s="27">
        <v>0</v>
      </c>
      <c r="AE132" s="26">
        <v>0</v>
      </c>
      <c r="AF132" s="32">
        <v>0</v>
      </c>
      <c r="AG132" s="27">
        <v>0</v>
      </c>
      <c r="AH132" s="27">
        <v>0</v>
      </c>
      <c r="AI132" s="27">
        <v>0</v>
      </c>
      <c r="AJ132" s="27">
        <v>0</v>
      </c>
      <c r="AK132" s="26">
        <f>SUM(AF132:AJ132)</f>
        <v>0</v>
      </c>
      <c r="AL132" s="28">
        <f>AK132+AE132+Z132</f>
        <v>398946</v>
      </c>
      <c r="AN132" s="30">
        <f t="shared" si="8"/>
        <v>0</v>
      </c>
      <c r="AO132" s="30">
        <f t="shared" si="7"/>
        <v>0</v>
      </c>
    </row>
    <row r="133" spans="1:41" s="29" customFormat="1" ht="14" thickBot="1">
      <c r="A133" s="119"/>
      <c r="B133" s="33" t="s">
        <v>8</v>
      </c>
      <c r="C133" s="34">
        <v>509707</v>
      </c>
      <c r="D133" s="35">
        <v>879948</v>
      </c>
      <c r="E133" s="21">
        <v>0</v>
      </c>
      <c r="F133" s="21">
        <v>0</v>
      </c>
      <c r="G133" s="21">
        <v>0</v>
      </c>
      <c r="H133" s="21">
        <v>0</v>
      </c>
      <c r="I133" s="20">
        <v>0</v>
      </c>
      <c r="J133" s="21">
        <v>0</v>
      </c>
      <c r="K133" s="21">
        <v>0</v>
      </c>
      <c r="L133" s="21">
        <v>0</v>
      </c>
      <c r="M133" s="21">
        <v>0</v>
      </c>
      <c r="N133" s="20">
        <v>0</v>
      </c>
      <c r="O133" s="21">
        <v>66811</v>
      </c>
      <c r="P133" s="21">
        <v>-37793</v>
      </c>
      <c r="Q133" s="21">
        <v>-126957</v>
      </c>
      <c r="R133" s="21">
        <v>98946</v>
      </c>
      <c r="S133" s="21">
        <v>98946</v>
      </c>
      <c r="T133" s="20">
        <f>N133+T132-T129</f>
        <v>98946</v>
      </c>
      <c r="U133" s="22">
        <f>U132-U129</f>
        <v>98946</v>
      </c>
      <c r="V133" s="21">
        <v>289074</v>
      </c>
      <c r="W133" s="21">
        <v>281446</v>
      </c>
      <c r="X133" s="21">
        <v>277550</v>
      </c>
      <c r="Y133" s="21">
        <v>277550</v>
      </c>
      <c r="Z133" s="20">
        <v>277550</v>
      </c>
      <c r="AA133" s="21">
        <v>227454</v>
      </c>
      <c r="AB133" s="21">
        <v>215538</v>
      </c>
      <c r="AC133" s="21">
        <v>195878</v>
      </c>
      <c r="AD133" s="21">
        <v>195878</v>
      </c>
      <c r="AE133" s="20">
        <v>195878</v>
      </c>
      <c r="AF133" s="21">
        <v>195374</v>
      </c>
      <c r="AG133" s="21">
        <v>195298</v>
      </c>
      <c r="AH133" s="21">
        <v>194422</v>
      </c>
      <c r="AI133" s="21">
        <v>194334</v>
      </c>
      <c r="AJ133" s="21">
        <v>194334</v>
      </c>
      <c r="AK133" s="20">
        <f>AE133+AK132-AK129</f>
        <v>194334</v>
      </c>
      <c r="AL133" s="22">
        <f>T133+AL132-AL129</f>
        <v>293280</v>
      </c>
      <c r="AN133" s="30">
        <f t="shared" si="8"/>
        <v>0</v>
      </c>
      <c r="AO133" s="30">
        <f t="shared" si="7"/>
        <v>0</v>
      </c>
    </row>
    <row r="134" spans="1:41" s="29" customFormat="1" ht="17" thickBot="1">
      <c r="A134" s="46"/>
      <c r="B134" s="31" t="s">
        <v>9</v>
      </c>
      <c r="C134" s="26"/>
      <c r="D134" s="26"/>
      <c r="E134" s="19">
        <v>0</v>
      </c>
      <c r="F134" s="19">
        <v>0</v>
      </c>
      <c r="G134" s="19">
        <v>0</v>
      </c>
      <c r="H134" s="19">
        <v>0</v>
      </c>
      <c r="I134" s="23"/>
      <c r="J134" s="19">
        <v>0</v>
      </c>
      <c r="K134" s="19">
        <v>0</v>
      </c>
      <c r="L134" s="19">
        <v>0</v>
      </c>
      <c r="M134" s="19">
        <v>0</v>
      </c>
      <c r="N134" s="23"/>
      <c r="O134" s="19">
        <v>3632.3651339485955</v>
      </c>
      <c r="P134" s="19">
        <v>-211.59367385695856</v>
      </c>
      <c r="Q134" s="19">
        <v>-14584.628109617051</v>
      </c>
      <c r="R134" s="19" t="e">
        <v>#DIV/0!</v>
      </c>
      <c r="S134" s="19" t="e">
        <v>#REF!</v>
      </c>
      <c r="T134" s="23"/>
      <c r="U134" s="24"/>
      <c r="V134" s="19">
        <v>43495.937405958473</v>
      </c>
      <c r="W134" s="19">
        <v>41024.721590577814</v>
      </c>
      <c r="X134" s="19">
        <v>45726.383076872378</v>
      </c>
      <c r="Y134" s="19">
        <v>45726.383076872378</v>
      </c>
      <c r="Z134" s="23"/>
      <c r="AA134" s="19">
        <v>40169.186210794011</v>
      </c>
      <c r="AB134" s="19">
        <v>42509.072262543392</v>
      </c>
      <c r="AC134" s="19">
        <v>47966.989910862962</v>
      </c>
      <c r="AD134" s="19">
        <v>47966.989910862962</v>
      </c>
      <c r="AE134" s="23"/>
      <c r="AF134" s="19">
        <v>3757192.3076923075</v>
      </c>
      <c r="AG134" s="19">
        <v>19000.0778300969</v>
      </c>
      <c r="AH134" s="19">
        <v>44186818.18181818</v>
      </c>
      <c r="AI134" s="19" t="e">
        <v>#DIV/0!</v>
      </c>
      <c r="AJ134" s="19" t="e">
        <v>#REF!</v>
      </c>
      <c r="AK134" s="23"/>
      <c r="AL134" s="24"/>
      <c r="AN134" s="30">
        <f t="shared" si="8"/>
        <v>0</v>
      </c>
      <c r="AO134" s="30">
        <f t="shared" si="7"/>
        <v>0</v>
      </c>
    </row>
    <row r="135" spans="1:41" s="29" customFormat="1" ht="13">
      <c r="A135" s="117" t="s">
        <v>50</v>
      </c>
      <c r="B135" s="25" t="s">
        <v>5</v>
      </c>
      <c r="C135" s="26"/>
      <c r="D135" s="26"/>
      <c r="E135" s="27">
        <v>0</v>
      </c>
      <c r="F135" s="27">
        <v>16000</v>
      </c>
      <c r="G135" s="27">
        <v>11000</v>
      </c>
      <c r="H135" s="27">
        <v>0</v>
      </c>
      <c r="I135" s="26">
        <v>27000</v>
      </c>
      <c r="J135" s="27">
        <v>0</v>
      </c>
      <c r="K135" s="27">
        <v>38000</v>
      </c>
      <c r="L135" s="27">
        <v>0</v>
      </c>
      <c r="M135" s="27">
        <v>0</v>
      </c>
      <c r="N135" s="26">
        <v>38000</v>
      </c>
      <c r="O135" s="27">
        <v>17993</v>
      </c>
      <c r="P135" s="27">
        <v>6716</v>
      </c>
      <c r="Q135" s="27">
        <v>2210</v>
      </c>
      <c r="R135" s="27">
        <v>0</v>
      </c>
      <c r="S135" s="27">
        <v>0</v>
      </c>
      <c r="T135" s="26">
        <f>SUM(O135:S135)</f>
        <v>26919</v>
      </c>
      <c r="U135" s="28">
        <f>T135+N135+I135+D139</f>
        <v>165410</v>
      </c>
      <c r="V135" s="27">
        <v>4050</v>
      </c>
      <c r="W135" s="27">
        <v>520</v>
      </c>
      <c r="X135" s="27">
        <v>598</v>
      </c>
      <c r="Y135" s="27">
        <v>0</v>
      </c>
      <c r="Z135" s="26">
        <v>5168</v>
      </c>
      <c r="AA135" s="27">
        <v>1182</v>
      </c>
      <c r="AB135" s="27">
        <v>658</v>
      </c>
      <c r="AC135" s="27">
        <v>906</v>
      </c>
      <c r="AD135" s="27">
        <v>0</v>
      </c>
      <c r="AE135" s="26">
        <v>2746</v>
      </c>
      <c r="AF135" s="27">
        <v>52</v>
      </c>
      <c r="AG135" s="27">
        <v>24</v>
      </c>
      <c r="AH135" s="27">
        <v>24</v>
      </c>
      <c r="AI135" s="27">
        <v>24</v>
      </c>
      <c r="AJ135" s="27">
        <v>0</v>
      </c>
      <c r="AK135" s="26">
        <f>SUM(AF135:AJ135)</f>
        <v>124</v>
      </c>
      <c r="AL135" s="28">
        <f>AK135+AE135+Z135</f>
        <v>8038</v>
      </c>
      <c r="AM135" s="29">
        <v>64</v>
      </c>
      <c r="AN135" s="30">
        <f t="shared" si="8"/>
        <v>10586240</v>
      </c>
      <c r="AO135" s="30">
        <f t="shared" si="7"/>
        <v>514432</v>
      </c>
    </row>
    <row r="136" spans="1:41" s="29" customFormat="1" ht="15.5" customHeight="1">
      <c r="A136" s="118"/>
      <c r="B136" s="31" t="s">
        <v>6</v>
      </c>
      <c r="C136" s="26"/>
      <c r="D136" s="26"/>
      <c r="E136" s="27">
        <v>0</v>
      </c>
      <c r="F136" s="27">
        <v>16000</v>
      </c>
      <c r="G136" s="27">
        <v>11000</v>
      </c>
      <c r="H136" s="27">
        <v>0</v>
      </c>
      <c r="I136" s="26">
        <v>27000</v>
      </c>
      <c r="J136" s="27">
        <v>0</v>
      </c>
      <c r="K136" s="27">
        <v>38000</v>
      </c>
      <c r="L136" s="27">
        <v>0</v>
      </c>
      <c r="M136" s="27">
        <v>0</v>
      </c>
      <c r="N136" s="26">
        <v>38000</v>
      </c>
      <c r="O136" s="27">
        <v>22000</v>
      </c>
      <c r="P136" s="27">
        <v>0</v>
      </c>
      <c r="Q136" s="27">
        <v>0</v>
      </c>
      <c r="R136" s="27">
        <v>10000</v>
      </c>
      <c r="S136" s="27">
        <v>0</v>
      </c>
      <c r="T136" s="26">
        <f>SUM(O136:S136)</f>
        <v>32000</v>
      </c>
      <c r="U136" s="28"/>
      <c r="V136" s="27">
        <v>20000</v>
      </c>
      <c r="W136" s="27">
        <v>0</v>
      </c>
      <c r="X136" s="27">
        <v>0</v>
      </c>
      <c r="Y136" s="27">
        <v>0</v>
      </c>
      <c r="Z136" s="26">
        <v>20000</v>
      </c>
      <c r="AA136" s="27">
        <v>0</v>
      </c>
      <c r="AB136" s="27">
        <v>0</v>
      </c>
      <c r="AC136" s="27">
        <v>0</v>
      </c>
      <c r="AD136" s="27">
        <v>0</v>
      </c>
      <c r="AE136" s="26">
        <v>0</v>
      </c>
      <c r="AF136" s="27">
        <v>0</v>
      </c>
      <c r="AG136" s="27">
        <v>0</v>
      </c>
      <c r="AH136" s="27">
        <v>0</v>
      </c>
      <c r="AI136" s="27">
        <v>0</v>
      </c>
      <c r="AJ136" s="27">
        <v>0</v>
      </c>
      <c r="AK136" s="26">
        <f>SUM(AF136:AJ136)</f>
        <v>0</v>
      </c>
      <c r="AL136" s="28"/>
      <c r="AN136" s="30">
        <f t="shared" si="8"/>
        <v>0</v>
      </c>
      <c r="AO136" s="30">
        <f t="shared" si="7"/>
        <v>0</v>
      </c>
    </row>
    <row r="137" spans="1:41" s="29" customFormat="1" ht="13">
      <c r="A137" s="118"/>
      <c r="B137" s="31" t="s">
        <v>10</v>
      </c>
      <c r="C137" s="26">
        <v>0</v>
      </c>
      <c r="D137" s="26"/>
      <c r="E137" s="27">
        <v>0</v>
      </c>
      <c r="F137" s="27">
        <v>0</v>
      </c>
      <c r="G137" s="27">
        <v>0</v>
      </c>
      <c r="H137" s="27">
        <v>0</v>
      </c>
      <c r="I137" s="26">
        <v>0</v>
      </c>
      <c r="J137" s="27">
        <v>0</v>
      </c>
      <c r="K137" s="27">
        <v>0</v>
      </c>
      <c r="L137" s="27">
        <v>1000338</v>
      </c>
      <c r="M137" s="27">
        <v>0</v>
      </c>
      <c r="N137" s="26">
        <v>1000338</v>
      </c>
      <c r="O137" s="27">
        <v>0</v>
      </c>
      <c r="P137" s="27">
        <v>0</v>
      </c>
      <c r="Q137" s="27">
        <v>0</v>
      </c>
      <c r="R137" s="27">
        <v>0</v>
      </c>
      <c r="S137" s="27">
        <v>0</v>
      </c>
      <c r="T137" s="26">
        <f>SUM(O137:R137)</f>
        <v>0</v>
      </c>
      <c r="U137" s="28">
        <f>I137+N137+T137</f>
        <v>1000338</v>
      </c>
      <c r="V137" s="27">
        <v>0</v>
      </c>
      <c r="W137" s="27">
        <v>0</v>
      </c>
      <c r="X137" s="27">
        <v>0</v>
      </c>
      <c r="Y137" s="27">
        <v>0</v>
      </c>
      <c r="Z137" s="26">
        <v>0</v>
      </c>
      <c r="AA137" s="27">
        <v>0</v>
      </c>
      <c r="AB137" s="27">
        <v>0</v>
      </c>
      <c r="AC137" s="27">
        <v>0</v>
      </c>
      <c r="AD137" s="27">
        <v>0</v>
      </c>
      <c r="AE137" s="26">
        <v>0</v>
      </c>
      <c r="AF137" s="27">
        <v>0</v>
      </c>
      <c r="AG137" s="27">
        <v>0</v>
      </c>
      <c r="AH137" s="27">
        <v>0</v>
      </c>
      <c r="AI137" s="27">
        <v>0</v>
      </c>
      <c r="AJ137" s="27">
        <v>0</v>
      </c>
      <c r="AK137" s="26">
        <f>SUM(AF137:AI137)</f>
        <v>0</v>
      </c>
      <c r="AL137" s="28">
        <f>Z137+AE137+AK137</f>
        <v>0</v>
      </c>
      <c r="AN137" s="30">
        <f t="shared" si="8"/>
        <v>0</v>
      </c>
      <c r="AO137" s="30">
        <f t="shared" si="7"/>
        <v>0</v>
      </c>
    </row>
    <row r="138" spans="1:41" s="29" customFormat="1" ht="13">
      <c r="A138" s="118"/>
      <c r="B138" s="31" t="s">
        <v>7</v>
      </c>
      <c r="C138" s="26"/>
      <c r="D138" s="26"/>
      <c r="E138" s="32">
        <v>0</v>
      </c>
      <c r="F138" s="27">
        <v>16000</v>
      </c>
      <c r="G138" s="27">
        <v>11000</v>
      </c>
      <c r="H138" s="27">
        <v>0</v>
      </c>
      <c r="I138" s="26">
        <v>27000</v>
      </c>
      <c r="J138" s="32">
        <v>0</v>
      </c>
      <c r="K138" s="27">
        <v>38000</v>
      </c>
      <c r="L138" s="27">
        <v>1000338</v>
      </c>
      <c r="M138" s="27">
        <v>0</v>
      </c>
      <c r="N138" s="26">
        <v>1038338</v>
      </c>
      <c r="O138" s="32">
        <v>22000</v>
      </c>
      <c r="P138" s="27">
        <v>0</v>
      </c>
      <c r="Q138" s="27">
        <v>0</v>
      </c>
      <c r="R138" s="27">
        <v>10000</v>
      </c>
      <c r="S138" s="27">
        <v>0</v>
      </c>
      <c r="T138" s="26">
        <f>SUM(O138:S138)</f>
        <v>32000</v>
      </c>
      <c r="U138" s="28">
        <f>T138+N138+I138+D139</f>
        <v>1170829</v>
      </c>
      <c r="V138" s="32">
        <v>20000</v>
      </c>
      <c r="W138" s="27">
        <v>0</v>
      </c>
      <c r="X138" s="27">
        <v>0</v>
      </c>
      <c r="Y138" s="27">
        <v>0</v>
      </c>
      <c r="Z138" s="26">
        <v>1025419</v>
      </c>
      <c r="AA138" s="32">
        <v>0</v>
      </c>
      <c r="AB138" s="27">
        <v>0</v>
      </c>
      <c r="AC138" s="27">
        <v>0</v>
      </c>
      <c r="AD138" s="27">
        <v>0</v>
      </c>
      <c r="AE138" s="26">
        <v>0</v>
      </c>
      <c r="AF138" s="32">
        <v>0</v>
      </c>
      <c r="AG138" s="27">
        <v>0</v>
      </c>
      <c r="AH138" s="27">
        <v>0</v>
      </c>
      <c r="AI138" s="27">
        <v>0</v>
      </c>
      <c r="AJ138" s="27">
        <v>0</v>
      </c>
      <c r="AK138" s="26">
        <f>SUM(AF138:AJ138)</f>
        <v>0</v>
      </c>
      <c r="AL138" s="28">
        <f>AK138+AE138+Z138</f>
        <v>1025419</v>
      </c>
      <c r="AN138" s="30">
        <f t="shared" si="8"/>
        <v>0</v>
      </c>
      <c r="AO138" s="30">
        <f t="shared" si="7"/>
        <v>0</v>
      </c>
    </row>
    <row r="139" spans="1:41" s="29" customFormat="1" ht="14" thickBot="1">
      <c r="A139" s="119"/>
      <c r="B139" s="33" t="s">
        <v>8</v>
      </c>
      <c r="C139" s="34">
        <v>54795</v>
      </c>
      <c r="D139" s="35">
        <v>73491</v>
      </c>
      <c r="E139" s="21">
        <v>0</v>
      </c>
      <c r="F139" s="21">
        <v>0</v>
      </c>
      <c r="G139" s="21">
        <v>0</v>
      </c>
      <c r="H139" s="21">
        <v>0</v>
      </c>
      <c r="I139" s="20">
        <v>0</v>
      </c>
      <c r="J139" s="21">
        <v>0</v>
      </c>
      <c r="K139" s="21">
        <v>0</v>
      </c>
      <c r="L139" s="21">
        <v>1000338</v>
      </c>
      <c r="M139" s="21">
        <v>1000338</v>
      </c>
      <c r="N139" s="20">
        <v>1000338</v>
      </c>
      <c r="O139" s="21">
        <v>1004345</v>
      </c>
      <c r="P139" s="21">
        <v>997629</v>
      </c>
      <c r="Q139" s="21">
        <v>995419</v>
      </c>
      <c r="R139" s="21">
        <v>1005419</v>
      </c>
      <c r="S139" s="21">
        <v>1005419</v>
      </c>
      <c r="T139" s="20">
        <f>N139+T138-T135</f>
        <v>1005419</v>
      </c>
      <c r="U139" s="22">
        <f>U138-U135</f>
        <v>1005419</v>
      </c>
      <c r="V139" s="21">
        <v>1021369</v>
      </c>
      <c r="W139" s="21">
        <v>1020849</v>
      </c>
      <c r="X139" s="21">
        <v>1020251</v>
      </c>
      <c r="Y139" s="21">
        <v>1020251</v>
      </c>
      <c r="Z139" s="20">
        <v>1020251</v>
      </c>
      <c r="AA139" s="21">
        <v>1019069</v>
      </c>
      <c r="AB139" s="21">
        <v>1018411</v>
      </c>
      <c r="AC139" s="21">
        <v>1017505</v>
      </c>
      <c r="AD139" s="21">
        <v>1017505</v>
      </c>
      <c r="AE139" s="20">
        <v>1017505</v>
      </c>
      <c r="AF139" s="21">
        <v>1017453</v>
      </c>
      <c r="AG139" s="21">
        <v>1017429</v>
      </c>
      <c r="AH139" s="21">
        <v>1017405</v>
      </c>
      <c r="AI139" s="21">
        <v>1017381</v>
      </c>
      <c r="AJ139" s="21">
        <v>1017381</v>
      </c>
      <c r="AK139" s="20">
        <f>AE139+AK138-AK135</f>
        <v>1017381</v>
      </c>
      <c r="AL139" s="22">
        <f>T139+AL138-AL135</f>
        <v>2022800</v>
      </c>
      <c r="AN139" s="30">
        <f t="shared" si="8"/>
        <v>0</v>
      </c>
      <c r="AO139" s="30">
        <f t="shared" si="7"/>
        <v>0</v>
      </c>
    </row>
    <row r="140" spans="1:41" s="29" customFormat="1" ht="17" thickBot="1">
      <c r="A140" s="46"/>
      <c r="B140" s="31" t="s">
        <v>9</v>
      </c>
      <c r="C140" s="26"/>
      <c r="D140" s="26"/>
      <c r="E140" s="19">
        <v>0</v>
      </c>
      <c r="F140" s="19">
        <v>0</v>
      </c>
      <c r="G140" s="19">
        <v>0</v>
      </c>
      <c r="H140" s="19">
        <v>0</v>
      </c>
      <c r="I140" s="23"/>
      <c r="J140" s="19">
        <v>0</v>
      </c>
      <c r="K140" s="19">
        <v>0</v>
      </c>
      <c r="L140" s="19">
        <v>743220.77343140531</v>
      </c>
      <c r="M140" s="19">
        <v>743220.77343140531</v>
      </c>
      <c r="N140" s="23"/>
      <c r="O140" s="19">
        <v>2250380.9097019937</v>
      </c>
      <c r="P140" s="19">
        <v>119034.60207612457</v>
      </c>
      <c r="Q140" s="19" t="e">
        <v>#DIV/0!</v>
      </c>
      <c r="R140" s="19" t="e">
        <v>#DIV/0!</v>
      </c>
      <c r="S140" s="19" t="e">
        <v>#REF!</v>
      </c>
      <c r="T140" s="23"/>
      <c r="U140" s="24"/>
      <c r="V140" s="19">
        <v>3249662.7426026091</v>
      </c>
      <c r="W140" s="19">
        <v>3178234.7447073474</v>
      </c>
      <c r="X140" s="19">
        <v>3948339.7832817342</v>
      </c>
      <c r="Y140" s="19">
        <v>3948339.7832817342</v>
      </c>
      <c r="Z140" s="23"/>
      <c r="AA140" s="19">
        <v>4728858.4686774937</v>
      </c>
      <c r="AB140" s="19">
        <v>5540865.0707290526</v>
      </c>
      <c r="AC140" s="19">
        <v>7410815.7319737794</v>
      </c>
      <c r="AD140" s="19">
        <v>7410815.7319737794</v>
      </c>
      <c r="AE140" s="23"/>
      <c r="AF140" s="19">
        <v>282625833.33333331</v>
      </c>
      <c r="AG140" s="19">
        <v>2516519.9109572098</v>
      </c>
      <c r="AH140" s="19">
        <v>847837500</v>
      </c>
      <c r="AI140" s="19" t="e">
        <v>#DIV/0!</v>
      </c>
      <c r="AJ140" s="19" t="e">
        <v>#REF!</v>
      </c>
      <c r="AK140" s="23"/>
      <c r="AL140" s="24"/>
      <c r="AN140" s="30">
        <f t="shared" si="8"/>
        <v>0</v>
      </c>
      <c r="AO140" s="30">
        <f t="shared" si="7"/>
        <v>0</v>
      </c>
    </row>
    <row r="141" spans="1:41" s="29" customFormat="1" ht="13">
      <c r="A141" s="117" t="s">
        <v>56</v>
      </c>
      <c r="B141" s="25" t="s">
        <v>5</v>
      </c>
      <c r="C141" s="26"/>
      <c r="D141" s="26"/>
      <c r="E141" s="27"/>
      <c r="F141" s="27">
        <v>0</v>
      </c>
      <c r="G141" s="27">
        <v>0</v>
      </c>
      <c r="H141" s="27"/>
      <c r="I141" s="26">
        <v>0</v>
      </c>
      <c r="J141" s="27">
        <v>0</v>
      </c>
      <c r="K141" s="27">
        <v>0</v>
      </c>
      <c r="L141" s="27">
        <v>0</v>
      </c>
      <c r="M141" s="27"/>
      <c r="N141" s="26">
        <v>0</v>
      </c>
      <c r="O141" s="27">
        <v>0</v>
      </c>
      <c r="P141" s="27">
        <v>0</v>
      </c>
      <c r="Q141" s="27">
        <v>0</v>
      </c>
      <c r="R141" s="27">
        <v>0</v>
      </c>
      <c r="S141" s="27"/>
      <c r="T141" s="26">
        <f>SUM(O141:S141)</f>
        <v>0</v>
      </c>
      <c r="U141" s="28">
        <f>T141+N141+I141+D145</f>
        <v>0</v>
      </c>
      <c r="V141" s="27">
        <v>1477</v>
      </c>
      <c r="W141" s="27">
        <v>0</v>
      </c>
      <c r="X141" s="27">
        <v>0</v>
      </c>
      <c r="Y141" s="27"/>
      <c r="Z141" s="26">
        <v>1477</v>
      </c>
      <c r="AA141" s="27">
        <v>35446</v>
      </c>
      <c r="AB141" s="27">
        <v>0</v>
      </c>
      <c r="AC141" s="27">
        <v>0</v>
      </c>
      <c r="AD141" s="27"/>
      <c r="AE141" s="26">
        <v>35446</v>
      </c>
      <c r="AF141" s="27">
        <v>23814</v>
      </c>
      <c r="AG141" s="27">
        <v>3</v>
      </c>
      <c r="AH141" s="27">
        <v>3</v>
      </c>
      <c r="AI141" s="27">
        <v>3</v>
      </c>
      <c r="AJ141" s="27"/>
      <c r="AK141" s="26">
        <f>SUM(AF141:AJ141)</f>
        <v>23823</v>
      </c>
      <c r="AL141" s="28">
        <f>AK141+AE141+Z141</f>
        <v>60746</v>
      </c>
      <c r="AM141" s="29">
        <v>32</v>
      </c>
      <c r="AN141" s="30">
        <f t="shared" si="8"/>
        <v>0</v>
      </c>
      <c r="AO141" s="30">
        <f t="shared" si="7"/>
        <v>1943872</v>
      </c>
    </row>
    <row r="142" spans="1:41" s="29" customFormat="1" ht="13">
      <c r="A142" s="118"/>
      <c r="B142" s="31" t="s">
        <v>6</v>
      </c>
      <c r="C142" s="26"/>
      <c r="D142" s="26"/>
      <c r="E142" s="27"/>
      <c r="F142" s="27">
        <v>0</v>
      </c>
      <c r="G142" s="27">
        <v>0</v>
      </c>
      <c r="H142" s="27"/>
      <c r="I142" s="26">
        <v>0</v>
      </c>
      <c r="J142" s="27">
        <v>0</v>
      </c>
      <c r="K142" s="27">
        <v>0</v>
      </c>
      <c r="L142" s="27">
        <v>0</v>
      </c>
      <c r="M142" s="27"/>
      <c r="N142" s="26">
        <v>0</v>
      </c>
      <c r="O142" s="27"/>
      <c r="P142" s="27"/>
      <c r="Q142" s="27"/>
      <c r="R142" s="27"/>
      <c r="S142" s="27"/>
      <c r="T142" s="26">
        <f>SUM(O142:S142)</f>
        <v>0</v>
      </c>
      <c r="U142" s="28"/>
      <c r="V142" s="27">
        <v>1500</v>
      </c>
      <c r="W142" s="27"/>
      <c r="X142" s="27"/>
      <c r="Y142" s="27"/>
      <c r="Z142" s="26">
        <v>1500</v>
      </c>
      <c r="AA142" s="27">
        <v>60000</v>
      </c>
      <c r="AB142" s="27"/>
      <c r="AC142" s="27"/>
      <c r="AD142" s="27"/>
      <c r="AE142" s="26">
        <v>60000</v>
      </c>
      <c r="AF142" s="27"/>
      <c r="AG142" s="27"/>
      <c r="AH142" s="27"/>
      <c r="AI142" s="27"/>
      <c r="AJ142" s="27"/>
      <c r="AK142" s="26">
        <f>SUM(AF142:AJ142)</f>
        <v>0</v>
      </c>
      <c r="AL142" s="28"/>
      <c r="AN142" s="30">
        <f t="shared" si="8"/>
        <v>0</v>
      </c>
      <c r="AO142" s="30">
        <f t="shared" si="7"/>
        <v>0</v>
      </c>
    </row>
    <row r="143" spans="1:41" s="29" customFormat="1" ht="13">
      <c r="A143" s="118"/>
      <c r="B143" s="31" t="s">
        <v>10</v>
      </c>
      <c r="C143" s="26"/>
      <c r="D143" s="26"/>
      <c r="E143" s="27"/>
      <c r="F143" s="27"/>
      <c r="G143" s="27"/>
      <c r="H143" s="27"/>
      <c r="I143" s="26">
        <v>0</v>
      </c>
      <c r="J143" s="27"/>
      <c r="K143" s="27"/>
      <c r="L143" s="27">
        <v>0</v>
      </c>
      <c r="M143" s="27"/>
      <c r="N143" s="26">
        <v>0</v>
      </c>
      <c r="O143" s="27"/>
      <c r="P143" s="27"/>
      <c r="Q143" s="27"/>
      <c r="R143" s="27"/>
      <c r="S143" s="27"/>
      <c r="T143" s="26">
        <f>SUM(O143:R143)</f>
        <v>0</v>
      </c>
      <c r="U143" s="28">
        <f>I143+N143+T143</f>
        <v>0</v>
      </c>
      <c r="V143" s="27"/>
      <c r="W143" s="27"/>
      <c r="X143" s="27"/>
      <c r="Y143" s="27"/>
      <c r="Z143" s="26">
        <v>0</v>
      </c>
      <c r="AA143" s="27"/>
      <c r="AB143" s="27"/>
      <c r="AC143" s="27"/>
      <c r="AD143" s="27"/>
      <c r="AE143" s="26">
        <v>0</v>
      </c>
      <c r="AF143" s="27"/>
      <c r="AG143" s="27"/>
      <c r="AH143" s="27"/>
      <c r="AI143" s="27"/>
      <c r="AJ143" s="27"/>
      <c r="AK143" s="26">
        <f>SUM(AF143:AI143)</f>
        <v>0</v>
      </c>
      <c r="AL143" s="28">
        <f>Z143+AE143+AK143</f>
        <v>0</v>
      </c>
      <c r="AN143" s="30">
        <f t="shared" si="8"/>
        <v>0</v>
      </c>
      <c r="AO143" s="30">
        <f t="shared" si="7"/>
        <v>0</v>
      </c>
    </row>
    <row r="144" spans="1:41" s="29" customFormat="1" ht="13">
      <c r="A144" s="118"/>
      <c r="B144" s="31" t="s">
        <v>7</v>
      </c>
      <c r="C144" s="26"/>
      <c r="D144" s="26"/>
      <c r="E144" s="32">
        <v>0</v>
      </c>
      <c r="F144" s="27">
        <v>0</v>
      </c>
      <c r="G144" s="27">
        <v>0</v>
      </c>
      <c r="H144" s="27">
        <v>0</v>
      </c>
      <c r="I144" s="26">
        <v>0</v>
      </c>
      <c r="J144" s="32">
        <v>0</v>
      </c>
      <c r="K144" s="27">
        <v>0</v>
      </c>
      <c r="L144" s="27">
        <v>0</v>
      </c>
      <c r="M144" s="27">
        <v>0</v>
      </c>
      <c r="N144" s="26">
        <v>0</v>
      </c>
      <c r="O144" s="32">
        <v>0</v>
      </c>
      <c r="P144" s="27">
        <v>0</v>
      </c>
      <c r="Q144" s="27">
        <v>0</v>
      </c>
      <c r="R144" s="27">
        <v>0</v>
      </c>
      <c r="S144" s="27">
        <v>0</v>
      </c>
      <c r="T144" s="26">
        <f>SUM(O144:S144)</f>
        <v>0</v>
      </c>
      <c r="U144" s="28">
        <f>T144+N144+I144+D145</f>
        <v>0</v>
      </c>
      <c r="V144" s="32">
        <v>1500</v>
      </c>
      <c r="W144" s="27">
        <v>0</v>
      </c>
      <c r="X144" s="27">
        <v>0</v>
      </c>
      <c r="Y144" s="27">
        <v>0</v>
      </c>
      <c r="Z144" s="26">
        <v>1500</v>
      </c>
      <c r="AA144" s="32">
        <v>60000</v>
      </c>
      <c r="AB144" s="27">
        <v>0</v>
      </c>
      <c r="AC144" s="27">
        <v>0</v>
      </c>
      <c r="AD144" s="27">
        <v>0</v>
      </c>
      <c r="AE144" s="26">
        <v>60000</v>
      </c>
      <c r="AF144" s="32">
        <v>0</v>
      </c>
      <c r="AG144" s="27">
        <v>0</v>
      </c>
      <c r="AH144" s="27">
        <v>0</v>
      </c>
      <c r="AI144" s="27">
        <v>0</v>
      </c>
      <c r="AJ144" s="27">
        <v>0</v>
      </c>
      <c r="AK144" s="26">
        <f>SUM(AF144:AJ144)</f>
        <v>0</v>
      </c>
      <c r="AL144" s="28">
        <f>AK144+AE144+Z144</f>
        <v>61500</v>
      </c>
      <c r="AN144" s="30">
        <f t="shared" si="8"/>
        <v>0</v>
      </c>
      <c r="AO144" s="30">
        <f t="shared" si="7"/>
        <v>0</v>
      </c>
    </row>
    <row r="145" spans="1:41" s="29" customFormat="1" ht="14" thickBot="1">
      <c r="A145" s="119"/>
      <c r="B145" s="33" t="s">
        <v>8</v>
      </c>
      <c r="C145" s="34"/>
      <c r="D145" s="35"/>
      <c r="E145" s="21">
        <v>0</v>
      </c>
      <c r="F145" s="21">
        <v>0</v>
      </c>
      <c r="G145" s="21">
        <v>0</v>
      </c>
      <c r="H145" s="21">
        <v>0</v>
      </c>
      <c r="I145" s="20">
        <v>0</v>
      </c>
      <c r="J145" s="21">
        <v>0</v>
      </c>
      <c r="K145" s="21">
        <v>0</v>
      </c>
      <c r="L145" s="21">
        <v>0</v>
      </c>
      <c r="M145" s="21">
        <v>0</v>
      </c>
      <c r="N145" s="20">
        <v>0</v>
      </c>
      <c r="O145" s="21">
        <v>0</v>
      </c>
      <c r="P145" s="21">
        <v>0</v>
      </c>
      <c r="Q145" s="21">
        <v>0</v>
      </c>
      <c r="R145" s="21">
        <v>0</v>
      </c>
      <c r="S145" s="21">
        <v>0</v>
      </c>
      <c r="T145" s="20">
        <f>N145+T144-T141</f>
        <v>0</v>
      </c>
      <c r="U145" s="22">
        <f>U144-U141</f>
        <v>0</v>
      </c>
      <c r="V145" s="21">
        <v>23</v>
      </c>
      <c r="W145" s="21">
        <v>23</v>
      </c>
      <c r="X145" s="21">
        <v>23</v>
      </c>
      <c r="Y145" s="21">
        <v>23</v>
      </c>
      <c r="Z145" s="20">
        <v>23</v>
      </c>
      <c r="AA145" s="21">
        <v>24577</v>
      </c>
      <c r="AB145" s="21">
        <v>24577</v>
      </c>
      <c r="AC145" s="21">
        <v>24577</v>
      </c>
      <c r="AD145" s="21">
        <v>24577</v>
      </c>
      <c r="AE145" s="20">
        <v>24577</v>
      </c>
      <c r="AF145" s="21">
        <v>763</v>
      </c>
      <c r="AG145" s="21">
        <v>760</v>
      </c>
      <c r="AH145" s="21">
        <v>757</v>
      </c>
      <c r="AI145" s="21">
        <v>754</v>
      </c>
      <c r="AJ145" s="21">
        <v>754</v>
      </c>
      <c r="AK145" s="20">
        <f>AE145+AK144-AK141</f>
        <v>754</v>
      </c>
      <c r="AL145" s="22">
        <f>T145+AL144-AL141</f>
        <v>754</v>
      </c>
      <c r="AN145" s="30">
        <f t="shared" si="8"/>
        <v>0</v>
      </c>
      <c r="AO145" s="30">
        <f t="shared" si="7"/>
        <v>0</v>
      </c>
    </row>
    <row r="146" spans="1:41" s="29" customFormat="1" ht="17" thickBot="1">
      <c r="A146" s="46"/>
      <c r="B146" s="31" t="s">
        <v>9</v>
      </c>
      <c r="C146" s="26"/>
      <c r="D146" s="26"/>
      <c r="E146" s="19" t="e">
        <v>#DIV/0!</v>
      </c>
      <c r="F146" s="19" t="e">
        <v>#DIV/0!</v>
      </c>
      <c r="G146" s="19" t="e">
        <v>#DIV/0!</v>
      </c>
      <c r="H146" s="19" t="e">
        <v>#DIV/0!</v>
      </c>
      <c r="I146" s="23"/>
      <c r="J146" s="19" t="e">
        <v>#DIV/0!</v>
      </c>
      <c r="K146" s="19" t="e">
        <v>#DIV/0!</v>
      </c>
      <c r="L146" s="19" t="e">
        <v>#DIV/0!</v>
      </c>
      <c r="M146" s="19" t="e">
        <v>#DIV/0!</v>
      </c>
      <c r="N146" s="23"/>
      <c r="O146" s="19" t="e">
        <v>#DIV/0!</v>
      </c>
      <c r="P146" s="19" t="e">
        <v>#DIV/0!</v>
      </c>
      <c r="Q146" s="19" t="e">
        <v>#DIV/0!</v>
      </c>
      <c r="R146" s="19" t="e">
        <v>#DIV/0!</v>
      </c>
      <c r="S146" s="19" t="e">
        <v>#REF!</v>
      </c>
      <c r="T146" s="23"/>
      <c r="U146" s="24"/>
      <c r="V146" s="19">
        <v>311.44211238997968</v>
      </c>
      <c r="W146" s="19">
        <v>311.44211238997968</v>
      </c>
      <c r="X146" s="19">
        <v>311.44211238997968</v>
      </c>
      <c r="Y146" s="19">
        <v>311.44211238997968</v>
      </c>
      <c r="Z146" s="23"/>
      <c r="AA146" s="19">
        <v>13867.291090673136</v>
      </c>
      <c r="AB146" s="19">
        <v>13866.117520945583</v>
      </c>
      <c r="AC146" s="19">
        <v>13867.291090673136</v>
      </c>
      <c r="AD146" s="19">
        <v>13867.291090673136</v>
      </c>
      <c r="AE146" s="23"/>
      <c r="AF146" s="19">
        <v>1695555.5555555555</v>
      </c>
      <c r="AG146" s="19">
        <v>250.19752436133791</v>
      </c>
      <c r="AH146" s="19">
        <v>5046666.666666667</v>
      </c>
      <c r="AI146" s="19" t="e">
        <v>#DIV/0!</v>
      </c>
      <c r="AJ146" s="19" t="e">
        <v>#REF!</v>
      </c>
      <c r="AK146" s="23"/>
      <c r="AL146" s="24"/>
      <c r="AN146" s="30">
        <f t="shared" si="8"/>
        <v>0</v>
      </c>
      <c r="AO146" s="30">
        <f t="shared" si="7"/>
        <v>0</v>
      </c>
    </row>
    <row r="147" spans="1:41" s="29" customFormat="1" ht="13">
      <c r="A147" s="117" t="s">
        <v>57</v>
      </c>
      <c r="B147" s="25" t="s">
        <v>5</v>
      </c>
      <c r="C147" s="26"/>
      <c r="D147" s="26"/>
      <c r="E147" s="27"/>
      <c r="F147" s="27">
        <v>0</v>
      </c>
      <c r="G147" s="27">
        <v>0</v>
      </c>
      <c r="H147" s="27"/>
      <c r="I147" s="26">
        <v>0</v>
      </c>
      <c r="J147" s="27">
        <v>0</v>
      </c>
      <c r="K147" s="27">
        <v>0</v>
      </c>
      <c r="L147" s="27">
        <v>0</v>
      </c>
      <c r="M147" s="27"/>
      <c r="N147" s="26">
        <v>0</v>
      </c>
      <c r="O147" s="27">
        <v>0</v>
      </c>
      <c r="P147" s="27">
        <v>0</v>
      </c>
      <c r="Q147" s="27">
        <v>0</v>
      </c>
      <c r="R147" s="27">
        <v>0</v>
      </c>
      <c r="S147" s="27"/>
      <c r="T147" s="26">
        <f>SUM(O147:S147)</f>
        <v>0</v>
      </c>
      <c r="U147" s="28">
        <f>T147+N147+I147+D151</f>
        <v>0</v>
      </c>
      <c r="V147" s="27">
        <v>0</v>
      </c>
      <c r="W147" s="27">
        <v>0</v>
      </c>
      <c r="X147" s="27">
        <v>0</v>
      </c>
      <c r="Y147" s="27"/>
      <c r="Z147" s="26">
        <v>0</v>
      </c>
      <c r="AA147" s="27">
        <v>3199</v>
      </c>
      <c r="AB147" s="27">
        <v>0</v>
      </c>
      <c r="AC147" s="27">
        <v>0</v>
      </c>
      <c r="AD147" s="27"/>
      <c r="AE147" s="26">
        <v>3199</v>
      </c>
      <c r="AF147" s="27">
        <v>1900</v>
      </c>
      <c r="AG147" s="27">
        <v>0</v>
      </c>
      <c r="AH147" s="27">
        <v>0</v>
      </c>
      <c r="AI147" s="27">
        <v>0</v>
      </c>
      <c r="AJ147" s="27"/>
      <c r="AK147" s="26">
        <f>SUM(AF147:AJ147)</f>
        <v>1900</v>
      </c>
      <c r="AL147" s="28">
        <f>AK147+AE147+Z147</f>
        <v>5099</v>
      </c>
      <c r="AM147" s="29">
        <v>64</v>
      </c>
      <c r="AN147" s="30">
        <f t="shared" si="8"/>
        <v>0</v>
      </c>
      <c r="AO147" s="30">
        <f t="shared" si="7"/>
        <v>326336</v>
      </c>
    </row>
    <row r="148" spans="1:41" s="29" customFormat="1" ht="13">
      <c r="A148" s="118"/>
      <c r="B148" s="31" t="s">
        <v>6</v>
      </c>
      <c r="C148" s="26"/>
      <c r="D148" s="26"/>
      <c r="E148" s="27"/>
      <c r="F148" s="27">
        <v>0</v>
      </c>
      <c r="G148" s="27">
        <v>0</v>
      </c>
      <c r="H148" s="27"/>
      <c r="I148" s="26">
        <v>0</v>
      </c>
      <c r="J148" s="27">
        <v>0</v>
      </c>
      <c r="K148" s="27">
        <v>0</v>
      </c>
      <c r="L148" s="27">
        <v>0</v>
      </c>
      <c r="M148" s="27"/>
      <c r="N148" s="26">
        <v>0</v>
      </c>
      <c r="O148" s="27"/>
      <c r="P148" s="27"/>
      <c r="Q148" s="27"/>
      <c r="R148" s="27"/>
      <c r="S148" s="27"/>
      <c r="T148" s="26">
        <f>SUM(O148:S148)</f>
        <v>0</v>
      </c>
      <c r="U148" s="28"/>
      <c r="V148" s="27"/>
      <c r="W148" s="27"/>
      <c r="X148" s="27"/>
      <c r="Y148" s="27"/>
      <c r="Z148" s="26">
        <v>0</v>
      </c>
      <c r="AA148" s="27">
        <v>4000</v>
      </c>
      <c r="AB148" s="27"/>
      <c r="AC148" s="27"/>
      <c r="AD148" s="27"/>
      <c r="AE148" s="26">
        <v>4000</v>
      </c>
      <c r="AF148" s="27"/>
      <c r="AG148" s="27"/>
      <c r="AH148" s="27"/>
      <c r="AI148" s="27"/>
      <c r="AJ148" s="27"/>
      <c r="AK148" s="26">
        <f>SUM(AF148:AJ148)</f>
        <v>0</v>
      </c>
      <c r="AL148" s="28"/>
      <c r="AN148" s="30">
        <f t="shared" si="8"/>
        <v>0</v>
      </c>
      <c r="AO148" s="30">
        <f t="shared" si="7"/>
        <v>0</v>
      </c>
    </row>
    <row r="149" spans="1:41" s="29" customFormat="1" ht="13">
      <c r="A149" s="118"/>
      <c r="B149" s="31" t="s">
        <v>10</v>
      </c>
      <c r="C149" s="26"/>
      <c r="D149" s="26"/>
      <c r="E149" s="27"/>
      <c r="F149" s="27"/>
      <c r="G149" s="27"/>
      <c r="H149" s="27"/>
      <c r="I149" s="26">
        <v>0</v>
      </c>
      <c r="J149" s="27"/>
      <c r="K149" s="27"/>
      <c r="L149" s="27">
        <v>0</v>
      </c>
      <c r="M149" s="27"/>
      <c r="N149" s="26">
        <v>0</v>
      </c>
      <c r="O149" s="27"/>
      <c r="P149" s="27"/>
      <c r="Q149" s="27"/>
      <c r="R149" s="27"/>
      <c r="S149" s="27"/>
      <c r="T149" s="26">
        <f>SUM(O149:R149)</f>
        <v>0</v>
      </c>
      <c r="U149" s="28">
        <f>I149+N149+T149</f>
        <v>0</v>
      </c>
      <c r="V149" s="27"/>
      <c r="W149" s="27"/>
      <c r="X149" s="27"/>
      <c r="Y149" s="27"/>
      <c r="Z149" s="26">
        <v>0</v>
      </c>
      <c r="AA149" s="27"/>
      <c r="AB149" s="27"/>
      <c r="AC149" s="27"/>
      <c r="AD149" s="27"/>
      <c r="AE149" s="26">
        <v>0</v>
      </c>
      <c r="AF149" s="27"/>
      <c r="AG149" s="27"/>
      <c r="AH149" s="27"/>
      <c r="AI149" s="27"/>
      <c r="AJ149" s="27"/>
      <c r="AK149" s="26">
        <f>SUM(AF149:AI149)</f>
        <v>0</v>
      </c>
      <c r="AL149" s="28">
        <f>Z149+AE149+AK149</f>
        <v>0</v>
      </c>
      <c r="AN149" s="30">
        <f t="shared" si="8"/>
        <v>0</v>
      </c>
      <c r="AO149" s="30">
        <f t="shared" si="7"/>
        <v>0</v>
      </c>
    </row>
    <row r="150" spans="1:41" s="29" customFormat="1" ht="13">
      <c r="A150" s="118"/>
      <c r="B150" s="31" t="s">
        <v>7</v>
      </c>
      <c r="C150" s="26"/>
      <c r="D150" s="26"/>
      <c r="E150" s="32">
        <v>0</v>
      </c>
      <c r="F150" s="27">
        <v>0</v>
      </c>
      <c r="G150" s="27">
        <v>0</v>
      </c>
      <c r="H150" s="27">
        <v>0</v>
      </c>
      <c r="I150" s="26">
        <v>0</v>
      </c>
      <c r="J150" s="32">
        <v>0</v>
      </c>
      <c r="K150" s="27">
        <v>0</v>
      </c>
      <c r="L150" s="27">
        <v>0</v>
      </c>
      <c r="M150" s="27">
        <v>0</v>
      </c>
      <c r="N150" s="26">
        <v>0</v>
      </c>
      <c r="O150" s="32">
        <v>0</v>
      </c>
      <c r="P150" s="27">
        <v>0</v>
      </c>
      <c r="Q150" s="27">
        <v>0</v>
      </c>
      <c r="R150" s="27">
        <v>0</v>
      </c>
      <c r="S150" s="27">
        <v>0</v>
      </c>
      <c r="T150" s="26">
        <f>SUM(O150:S150)</f>
        <v>0</v>
      </c>
      <c r="U150" s="28">
        <f>T150+N150+I150+D151</f>
        <v>0</v>
      </c>
      <c r="V150" s="32">
        <v>0</v>
      </c>
      <c r="W150" s="27">
        <v>0</v>
      </c>
      <c r="X150" s="27">
        <v>0</v>
      </c>
      <c r="Y150" s="27">
        <v>0</v>
      </c>
      <c r="Z150" s="26">
        <v>0</v>
      </c>
      <c r="AA150" s="32">
        <v>4000</v>
      </c>
      <c r="AB150" s="27">
        <v>0</v>
      </c>
      <c r="AC150" s="27">
        <v>0</v>
      </c>
      <c r="AD150" s="27">
        <v>0</v>
      </c>
      <c r="AE150" s="26">
        <v>4000</v>
      </c>
      <c r="AF150" s="32">
        <v>0</v>
      </c>
      <c r="AG150" s="27">
        <v>0</v>
      </c>
      <c r="AH150" s="27">
        <v>0</v>
      </c>
      <c r="AI150" s="27">
        <v>0</v>
      </c>
      <c r="AJ150" s="27">
        <v>0</v>
      </c>
      <c r="AK150" s="26">
        <f>SUM(AF150:AJ150)</f>
        <v>0</v>
      </c>
      <c r="AL150" s="28">
        <f>AK150+AE150+Z150</f>
        <v>4000</v>
      </c>
      <c r="AN150" s="30">
        <f t="shared" si="8"/>
        <v>0</v>
      </c>
      <c r="AO150" s="30">
        <f t="shared" si="7"/>
        <v>0</v>
      </c>
    </row>
    <row r="151" spans="1:41" s="29" customFormat="1" ht="14" thickBot="1">
      <c r="A151" s="119"/>
      <c r="B151" s="33" t="s">
        <v>8</v>
      </c>
      <c r="C151" s="34">
        <v>0</v>
      </c>
      <c r="D151" s="35">
        <v>0</v>
      </c>
      <c r="E151" s="21">
        <v>0</v>
      </c>
      <c r="F151" s="21">
        <v>0</v>
      </c>
      <c r="G151" s="21">
        <v>0</v>
      </c>
      <c r="H151" s="21">
        <v>0</v>
      </c>
      <c r="I151" s="20">
        <v>0</v>
      </c>
      <c r="J151" s="21">
        <v>0</v>
      </c>
      <c r="K151" s="21">
        <v>0</v>
      </c>
      <c r="L151" s="21">
        <v>0</v>
      </c>
      <c r="M151" s="21">
        <v>0</v>
      </c>
      <c r="N151" s="20">
        <v>0</v>
      </c>
      <c r="O151" s="21">
        <v>0</v>
      </c>
      <c r="P151" s="21">
        <v>0</v>
      </c>
      <c r="Q151" s="21">
        <v>0</v>
      </c>
      <c r="R151" s="21">
        <v>0</v>
      </c>
      <c r="S151" s="21">
        <v>0</v>
      </c>
      <c r="T151" s="20">
        <f>N151+T150-T147</f>
        <v>0</v>
      </c>
      <c r="U151" s="22">
        <f>U150-U147</f>
        <v>0</v>
      </c>
      <c r="V151" s="21">
        <v>0</v>
      </c>
      <c r="W151" s="21">
        <v>0</v>
      </c>
      <c r="X151" s="21">
        <v>0</v>
      </c>
      <c r="Y151" s="21">
        <v>0</v>
      </c>
      <c r="Z151" s="20">
        <v>0</v>
      </c>
      <c r="AA151" s="21">
        <v>801</v>
      </c>
      <c r="AB151" s="21">
        <v>801</v>
      </c>
      <c r="AC151" s="21">
        <v>801</v>
      </c>
      <c r="AD151" s="21">
        <v>801</v>
      </c>
      <c r="AE151" s="20">
        <v>801</v>
      </c>
      <c r="AF151" s="21">
        <v>-1099</v>
      </c>
      <c r="AG151" s="21">
        <v>-1099</v>
      </c>
      <c r="AH151" s="21">
        <v>-1099</v>
      </c>
      <c r="AI151" s="21">
        <v>-1099</v>
      </c>
      <c r="AJ151" s="21">
        <v>-1099</v>
      </c>
      <c r="AK151" s="20">
        <f>AE151+AK150-AK147</f>
        <v>-1099</v>
      </c>
      <c r="AL151" s="22">
        <f>T151+AL150-AL147</f>
        <v>-1099</v>
      </c>
      <c r="AN151" s="30">
        <f t="shared" si="8"/>
        <v>0</v>
      </c>
      <c r="AO151" s="30">
        <f t="shared" si="7"/>
        <v>0</v>
      </c>
    </row>
    <row r="152" spans="1:41" s="29" customFormat="1" ht="17" thickBot="1">
      <c r="A152" s="46"/>
      <c r="B152" s="31" t="s">
        <v>9</v>
      </c>
      <c r="C152" s="26"/>
      <c r="D152" s="26"/>
      <c r="E152" s="59">
        <v>0</v>
      </c>
      <c r="F152" s="59">
        <v>0</v>
      </c>
      <c r="G152" s="59">
        <v>0</v>
      </c>
      <c r="H152" s="59">
        <v>0</v>
      </c>
      <c r="I152" s="60"/>
      <c r="J152" s="59">
        <v>0</v>
      </c>
      <c r="K152" s="59">
        <v>0</v>
      </c>
      <c r="L152" s="59">
        <v>0</v>
      </c>
      <c r="M152" s="59">
        <v>0</v>
      </c>
      <c r="N152" s="60"/>
      <c r="O152" s="59">
        <v>0</v>
      </c>
      <c r="P152" s="59">
        <v>0</v>
      </c>
      <c r="Q152" s="59" t="e">
        <v>#DIV/0!</v>
      </c>
      <c r="R152" s="59" t="e">
        <v>#DIV/0!</v>
      </c>
      <c r="S152" s="59" t="e">
        <v>#REF!</v>
      </c>
      <c r="T152" s="60"/>
      <c r="U152" s="61"/>
      <c r="V152" s="59">
        <v>0</v>
      </c>
      <c r="W152" s="59">
        <v>0</v>
      </c>
      <c r="X152" s="59">
        <v>0</v>
      </c>
      <c r="Y152" s="59">
        <v>0</v>
      </c>
      <c r="Z152" s="60"/>
      <c r="AA152" s="59">
        <v>0</v>
      </c>
      <c r="AB152" s="59">
        <v>0</v>
      </c>
      <c r="AC152" s="59">
        <v>0</v>
      </c>
      <c r="AD152" s="59">
        <v>0</v>
      </c>
      <c r="AE152" s="60"/>
      <c r="AF152" s="59">
        <v>0</v>
      </c>
      <c r="AG152" s="59">
        <v>0</v>
      </c>
      <c r="AH152" s="59" t="e">
        <v>#DIV/0!</v>
      </c>
      <c r="AI152" s="59" t="e">
        <v>#DIV/0!</v>
      </c>
      <c r="AJ152" s="59" t="e">
        <v>#REF!</v>
      </c>
      <c r="AK152" s="60"/>
      <c r="AL152" s="61"/>
      <c r="AN152" s="30">
        <f t="shared" si="8"/>
        <v>0</v>
      </c>
      <c r="AO152" s="30">
        <f t="shared" si="7"/>
        <v>0</v>
      </c>
    </row>
    <row r="153" spans="1:41" s="48" customFormat="1">
      <c r="A153" s="111" t="s">
        <v>24</v>
      </c>
      <c r="B153" s="98" t="s">
        <v>64</v>
      </c>
      <c r="C153" s="7"/>
      <c r="D153" s="7"/>
      <c r="E153" s="71">
        <f>E123+E117+E111+E105+E99+E93+E87+E81+E75+E69+E63+E57+E51+E45+E39+E33+E27+E21+E15+E9+E3+E129+E135+E141+E147</f>
        <v>0</v>
      </c>
      <c r="F153" s="63">
        <f t="shared" ref="F153:H153" si="9">F123+F117+F111+F105+F99+F93+F87+F81+F75+F69+F63+F57+F51+F45+F39+F33+F27+F21+F15+F9+F3+F129+F135+F141+F147</f>
        <v>3839411</v>
      </c>
      <c r="G153" s="63">
        <f t="shared" si="9"/>
        <v>2997200</v>
      </c>
      <c r="H153" s="78">
        <f t="shared" si="9"/>
        <v>0</v>
      </c>
      <c r="I153" s="88">
        <f>SUM(E153:H153)</f>
        <v>6836611</v>
      </c>
      <c r="J153" s="71">
        <f t="shared" ref="J153:L153" si="10">J123+J117+J111+J105+J99+J93+J87+J81+J75+J69+J63+J57+J51+J45+J39+J33+J27+J21+J15+J9+J3+J129+J135+J141+J147</f>
        <v>897808</v>
      </c>
      <c r="K153" s="63">
        <f>K123+K117+K111+K105+K99+K93+K87+K81+K75+K69+K63+K57+K51+K45+K39+K33+K27+K21+K15+K9+K3+K129+K135+K141+K147</f>
        <v>1606593</v>
      </c>
      <c r="L153" s="63">
        <f t="shared" si="10"/>
        <v>1252302</v>
      </c>
      <c r="M153" s="78">
        <f>M123+M117+M111+M105+M99+M93+M87+M81+M75+M69+M63+M57+M51+M45+M39+M33+M27+M21+M15+M9+M3+M129+M135+M141+M147</f>
        <v>0</v>
      </c>
      <c r="N153" s="88">
        <f>SUM(J153:M153)</f>
        <v>3756703</v>
      </c>
      <c r="O153" s="71">
        <f t="shared" ref="O153:S153" si="11">O123+O117+O111+O105+O99+O93+O87+O81+O75+O69+O63+O57+O51+O45+O39+O33+O27+O21+O15+O9+O3+O129+O135+O141+O147</f>
        <v>4497673</v>
      </c>
      <c r="P153" s="63">
        <f t="shared" si="11"/>
        <v>550420</v>
      </c>
      <c r="Q153" s="63">
        <f t="shared" si="11"/>
        <v>1867468</v>
      </c>
      <c r="R153" s="63">
        <f t="shared" si="11"/>
        <v>970370</v>
      </c>
      <c r="S153" s="78">
        <f t="shared" si="11"/>
        <v>0</v>
      </c>
      <c r="T153" s="85">
        <f>SUM(O153:S153)</f>
        <v>7885931</v>
      </c>
      <c r="U153" s="67">
        <f>T153+N153+I153+D157</f>
        <v>25681491</v>
      </c>
      <c r="V153" s="71">
        <f t="shared" ref="V153:Y153" si="12">V123+V117+V111+V105+V99+V93+V87+V81+V75+V69+V63+V57+V51+V45+V39+V33+V27+V21+V15+V9+V3+V129+V135+V141+V147</f>
        <v>1969820</v>
      </c>
      <c r="W153" s="63">
        <f t="shared" si="12"/>
        <v>170266</v>
      </c>
      <c r="X153" s="63">
        <f t="shared" si="12"/>
        <v>237659</v>
      </c>
      <c r="Y153" s="78">
        <f t="shared" si="12"/>
        <v>0</v>
      </c>
      <c r="Z153" s="88">
        <f>SUM(V153:Y153)</f>
        <v>2377745</v>
      </c>
      <c r="AA153" s="71">
        <f t="shared" ref="AA153:AD153" si="13">AA123+AA117+AA111+AA105+AA99+AA93+AA87+AA81+AA75+AA69+AA63+AA57+AA51+AA45+AA39+AA33+AA27+AA21+AA15+AA9+AA3+AA129+AA135+AA141+AA147</f>
        <v>2272643</v>
      </c>
      <c r="AB153" s="63">
        <f t="shared" si="13"/>
        <v>281384</v>
      </c>
      <c r="AC153" s="63">
        <f t="shared" si="13"/>
        <v>408465</v>
      </c>
      <c r="AD153" s="78">
        <f t="shared" si="13"/>
        <v>0</v>
      </c>
      <c r="AE153" s="88">
        <f>SUM(AA153:AD153)</f>
        <v>2962492</v>
      </c>
      <c r="AF153" s="71">
        <f t="shared" ref="AF153:AJ153" si="14">AF123+AF117+AF111+AF105+AF99+AF93+AF87+AF81+AF75+AF69+AF63+AF57+AF51+AF45+AF39+AF33+AF27+AF21+AF15+AF9+AF3+AF129+AF135+AF141+AF147</f>
        <v>294119</v>
      </c>
      <c r="AG153" s="63">
        <f t="shared" si="14"/>
        <v>1851</v>
      </c>
      <c r="AH153" s="63">
        <f t="shared" si="14"/>
        <v>54817</v>
      </c>
      <c r="AI153" s="63">
        <f t="shared" si="14"/>
        <v>758</v>
      </c>
      <c r="AJ153" s="78">
        <f t="shared" si="14"/>
        <v>0</v>
      </c>
      <c r="AK153" s="85">
        <f>SUM(AF153:AJ153)</f>
        <v>351545</v>
      </c>
      <c r="AL153" s="67">
        <f>AK153+AE153+Z153</f>
        <v>5691782</v>
      </c>
      <c r="AN153" s="13">
        <f>SUM(AN3:AN152)</f>
        <v>484372280</v>
      </c>
      <c r="AO153" s="13">
        <f>SUM(AO3:AO152)</f>
        <v>119332624</v>
      </c>
    </row>
    <row r="154" spans="1:41" s="48" customFormat="1">
      <c r="A154" s="112"/>
      <c r="B154" s="99" t="s">
        <v>65</v>
      </c>
      <c r="C154" s="8"/>
      <c r="D154" s="8"/>
      <c r="E154" s="72">
        <f>E124+E118+E112+E106+E100+E94+E88+E82+E76+E70+E64+E58+E52+E46+E40+E34+E28+E22+E16+E10+E4+E130+E136+E142+E148</f>
        <v>0</v>
      </c>
      <c r="F154" s="9">
        <f t="shared" ref="F154:H154" si="15">F124+F118+F112+F106+F100+F94+F88+F82+F76+F70+F64+F58+F52+F46+F40+F34+F28+F22+F16+F10+F4+F130+F136+F142+F148</f>
        <v>3839411</v>
      </c>
      <c r="G154" s="9">
        <f t="shared" si="15"/>
        <v>2997200</v>
      </c>
      <c r="H154" s="79">
        <f t="shared" si="15"/>
        <v>0</v>
      </c>
      <c r="I154" s="89">
        <f>SUM(E154:H154)</f>
        <v>6836611</v>
      </c>
      <c r="J154" s="72">
        <f t="shared" ref="J154:M154" si="16">J124+J118+J112+J106+J100+J94+J88+J82+J76+J70+J64+J58+J52+J46+J40+J34+J28+J22+J16+J10+J4+J130+J136+J142+J148</f>
        <v>897808</v>
      </c>
      <c r="K154" s="9">
        <f t="shared" si="16"/>
        <v>1606593</v>
      </c>
      <c r="L154" s="9">
        <f t="shared" si="16"/>
        <v>1252302</v>
      </c>
      <c r="M154" s="79">
        <f t="shared" si="16"/>
        <v>0</v>
      </c>
      <c r="N154" s="89">
        <f>SUM(J154:M154)</f>
        <v>3756703</v>
      </c>
      <c r="O154" s="72">
        <f t="shared" ref="O154:S154" si="17">O124+O118+O112+O106+O100+O94+O88+O82+O76+O70+O64+O58+O52+O46+O40+O34+O28+O22+O16+O10+O4+O130+O136+O142+O148</f>
        <v>5436000</v>
      </c>
      <c r="P154" s="9">
        <f t="shared" si="17"/>
        <v>0</v>
      </c>
      <c r="Q154" s="9">
        <f t="shared" si="17"/>
        <v>1100000</v>
      </c>
      <c r="R154" s="9">
        <f t="shared" si="17"/>
        <v>2792000</v>
      </c>
      <c r="S154" s="79">
        <f t="shared" si="17"/>
        <v>0</v>
      </c>
      <c r="T154" s="86">
        <f>SUM(O154:S154)</f>
        <v>9328000</v>
      </c>
      <c r="U154" s="68"/>
      <c r="V154" s="72">
        <f t="shared" ref="V154:Y154" si="18">V124+V118+V112+V106+V100+V94+V88+V82+V76+V70+V64+V58+V52+V46+V40+V34+V28+V22+V16+V10+V4+V130+V136+V142+V148</f>
        <v>934500</v>
      </c>
      <c r="W154" s="9">
        <f t="shared" si="18"/>
        <v>600000</v>
      </c>
      <c r="X154" s="9">
        <f t="shared" si="18"/>
        <v>655000</v>
      </c>
      <c r="Y154" s="79">
        <f t="shared" si="18"/>
        <v>0</v>
      </c>
      <c r="Z154" s="89">
        <f>SUM(V154:Y154)</f>
        <v>2189500</v>
      </c>
      <c r="AA154" s="72">
        <f t="shared" ref="AA154:AD154" si="19">AA124+AA118+AA112+AA106+AA100+AA94+AA88+AA82+AA76+AA70+AA64+AA58+AA52+AA46+AA40+AA34+AA28+AA22+AA16+AA10+AA4+AA130+AA136+AA142+AA148</f>
        <v>564000</v>
      </c>
      <c r="AB154" s="9">
        <f t="shared" si="19"/>
        <v>100000</v>
      </c>
      <c r="AC154" s="9">
        <f t="shared" si="19"/>
        <v>950000</v>
      </c>
      <c r="AD154" s="79">
        <f t="shared" si="19"/>
        <v>0</v>
      </c>
      <c r="AE154" s="89">
        <f>SUM(AA154:AD154)</f>
        <v>1614000</v>
      </c>
      <c r="AF154" s="72">
        <f t="shared" ref="AF154:AJ154" si="20">AF124+AF118+AF112+AF106+AF100+AF94+AF88+AF82+AF76+AF70+AF64+AF58+AF52+AF46+AF40+AF34+AF28+AF22+AF16+AF10+AF4+AF130+AF136+AF142+AF148</f>
        <v>0</v>
      </c>
      <c r="AG154" s="9">
        <f t="shared" si="20"/>
        <v>0</v>
      </c>
      <c r="AH154" s="9">
        <f t="shared" si="20"/>
        <v>0</v>
      </c>
      <c r="AI154" s="9">
        <f t="shared" si="20"/>
        <v>50000</v>
      </c>
      <c r="AJ154" s="79">
        <f t="shared" si="20"/>
        <v>0</v>
      </c>
      <c r="AK154" s="86">
        <f>SUM(AF154:AJ154)</f>
        <v>50000</v>
      </c>
      <c r="AL154" s="68"/>
      <c r="AN154" s="13">
        <f t="shared" ref="AN154:AN162" si="21">U154*AM154</f>
        <v>0</v>
      </c>
      <c r="AO154" s="13">
        <f t="shared" si="7"/>
        <v>0</v>
      </c>
    </row>
    <row r="155" spans="1:41" s="48" customFormat="1">
      <c r="A155" s="112"/>
      <c r="B155" s="99" t="s">
        <v>66</v>
      </c>
      <c r="C155" s="8">
        <f>C125+C119+C113+C107+C101+C95+C89+C83+C77+C71+C65+C59+C53+C47+C41+C35+C29+C23+C17+C11+C5+C131+C137</f>
        <v>1000338</v>
      </c>
      <c r="D155" s="8"/>
      <c r="E155" s="72">
        <f>E125+E119+E113+E107+E101+E95+E89+E83+E77+E71+E65+E59+E53+E47+E41+E35+E29+E23+E17+E11+E5+E131+E137+E143+E149</f>
        <v>0</v>
      </c>
      <c r="F155" s="9">
        <f t="shared" ref="F155:H155" si="22">F125+F119+F113+F107+F101+F95+F89+F83+F77+F71+F65+F59+F53+F47+F41+F35+F29+F23+F17+F11+F5+F131+F137+F143+F149</f>
        <v>0</v>
      </c>
      <c r="G155" s="9">
        <f t="shared" si="22"/>
        <v>0</v>
      </c>
      <c r="H155" s="79">
        <f t="shared" si="22"/>
        <v>0</v>
      </c>
      <c r="I155" s="89">
        <f>SUM(E155:H155)</f>
        <v>0</v>
      </c>
      <c r="J155" s="72">
        <f t="shared" ref="J155:M155" si="23">J125+J119+J113+J107+J101+J95+J89+J83+J77+J71+J65+J59+J53+J47+J41+J35+J29+J23+J17+J11+J5+J131+J137+J143+J149</f>
        <v>0</v>
      </c>
      <c r="K155" s="9">
        <f t="shared" si="23"/>
        <v>0</v>
      </c>
      <c r="L155" s="9">
        <f t="shared" si="23"/>
        <v>1595476</v>
      </c>
      <c r="M155" s="79">
        <f t="shared" si="23"/>
        <v>0</v>
      </c>
      <c r="N155" s="89">
        <f>SUM(J155:M155)</f>
        <v>1595476</v>
      </c>
      <c r="O155" s="72">
        <f t="shared" ref="O155:S155" si="24">O125+O119+O113+O107+O101+O95+O89+O83+O77+O71+O65+O59+O53+O47+O41+O35+O29+O23+O17+O11+O5+O131+O137+O143+O149</f>
        <v>0</v>
      </c>
      <c r="P155" s="9">
        <f t="shared" si="24"/>
        <v>0</v>
      </c>
      <c r="Q155" s="9">
        <f t="shared" si="24"/>
        <v>0</v>
      </c>
      <c r="R155" s="9">
        <f t="shared" si="24"/>
        <v>0</v>
      </c>
      <c r="S155" s="79">
        <f t="shared" si="24"/>
        <v>0</v>
      </c>
      <c r="T155" s="86">
        <f>SUM(O155:S155)</f>
        <v>0</v>
      </c>
      <c r="U155" s="68">
        <f>H155+M155+T155</f>
        <v>0</v>
      </c>
      <c r="V155" s="72">
        <f t="shared" ref="V155:Y155" si="25">V125+V119+V113+V107+V101+V95+V89+V83+V77+V71+V65+V59+V53+V47+V41+V35+V29+V23+V17+V11+V5+V131+V137+V143+V149</f>
        <v>0</v>
      </c>
      <c r="W155" s="9">
        <f t="shared" si="25"/>
        <v>0</v>
      </c>
      <c r="X155" s="9">
        <f t="shared" si="25"/>
        <v>0</v>
      </c>
      <c r="Y155" s="79">
        <f t="shared" si="25"/>
        <v>0</v>
      </c>
      <c r="Z155" s="89">
        <f>SUM(V155:Y155)</f>
        <v>0</v>
      </c>
      <c r="AA155" s="72">
        <f t="shared" ref="AA155:AD155" si="26">AA125+AA119+AA113+AA107+AA101+AA95+AA89+AA83+AA77+AA71+AA65+AA59+AA53+AA47+AA41+AA35+AA29+AA23+AA17+AA11+AA5+AA131+AA137+AA143+AA149</f>
        <v>0</v>
      </c>
      <c r="AB155" s="9">
        <f t="shared" si="26"/>
        <v>0</v>
      </c>
      <c r="AC155" s="9">
        <f t="shared" si="26"/>
        <v>0</v>
      </c>
      <c r="AD155" s="79">
        <f t="shared" si="26"/>
        <v>0</v>
      </c>
      <c r="AE155" s="89">
        <f>SUM(AA155:AD155)</f>
        <v>0</v>
      </c>
      <c r="AF155" s="72">
        <f t="shared" ref="AF155:AJ155" si="27">AF125+AF119+AF113+AF107+AF101+AF95+AF89+AF83+AF77+AF71+AF65+AF59+AF53+AF47+AF41+AF35+AF29+AF23+AF17+AF11+AF5+AF131+AF137+AF143+AF149</f>
        <v>0</v>
      </c>
      <c r="AG155" s="9">
        <f t="shared" si="27"/>
        <v>0</v>
      </c>
      <c r="AH155" s="9">
        <f t="shared" si="27"/>
        <v>0</v>
      </c>
      <c r="AI155" s="9">
        <f t="shared" si="27"/>
        <v>0</v>
      </c>
      <c r="AJ155" s="79">
        <f t="shared" si="27"/>
        <v>0</v>
      </c>
      <c r="AK155" s="86">
        <f>SUM(AF155:AJ155)</f>
        <v>0</v>
      </c>
      <c r="AL155" s="68">
        <f>Z155+AE155+AK155</f>
        <v>0</v>
      </c>
      <c r="AN155" s="13">
        <f t="shared" si="21"/>
        <v>0</v>
      </c>
      <c r="AO155" s="13">
        <f t="shared" si="7"/>
        <v>0</v>
      </c>
    </row>
    <row r="156" spans="1:41" s="48" customFormat="1">
      <c r="A156" s="112"/>
      <c r="B156" s="99" t="s">
        <v>7</v>
      </c>
      <c r="C156" s="8"/>
      <c r="D156" s="8"/>
      <c r="E156" s="72">
        <f>E155+E154</f>
        <v>0</v>
      </c>
      <c r="F156" s="9">
        <f>F155+F154</f>
        <v>3839411</v>
      </c>
      <c r="G156" s="9">
        <f>G155+G154</f>
        <v>2997200</v>
      </c>
      <c r="H156" s="79">
        <f>H155+H154</f>
        <v>0</v>
      </c>
      <c r="I156" s="89">
        <f>SUM(E156:H156)</f>
        <v>6836611</v>
      </c>
      <c r="J156" s="72">
        <f>J155+J154</f>
        <v>897808</v>
      </c>
      <c r="K156" s="9">
        <f>K155+K154</f>
        <v>1606593</v>
      </c>
      <c r="L156" s="9">
        <f>L155+L154</f>
        <v>2847778</v>
      </c>
      <c r="M156" s="79">
        <f>M155+M154</f>
        <v>0</v>
      </c>
      <c r="N156" s="89">
        <f>SUM(J156:M156)</f>
        <v>5352179</v>
      </c>
      <c r="O156" s="72">
        <f>O155+O154</f>
        <v>5436000</v>
      </c>
      <c r="P156" s="9">
        <f>P155+P154</f>
        <v>0</v>
      </c>
      <c r="Q156" s="9">
        <f>Q155+Q154</f>
        <v>1100000</v>
      </c>
      <c r="R156" s="9">
        <f>R155+R154</f>
        <v>2792000</v>
      </c>
      <c r="S156" s="79">
        <f>S155+S154</f>
        <v>0</v>
      </c>
      <c r="T156" s="86">
        <f>SUM(O156:S156)</f>
        <v>9328000</v>
      </c>
      <c r="U156" s="68">
        <f>T156+N156+I156+D157</f>
        <v>28719036</v>
      </c>
      <c r="V156" s="72">
        <f>V155+V154</f>
        <v>934500</v>
      </c>
      <c r="W156" s="9">
        <f>W155+W154</f>
        <v>600000</v>
      </c>
      <c r="X156" s="9">
        <f>X155+X154</f>
        <v>655000</v>
      </c>
      <c r="Y156" s="79">
        <f>Y155+Y154</f>
        <v>0</v>
      </c>
      <c r="Z156" s="89">
        <f>SUM(V156:Y156)</f>
        <v>2189500</v>
      </c>
      <c r="AA156" s="72">
        <f>AA155+AA154</f>
        <v>564000</v>
      </c>
      <c r="AB156" s="9">
        <f>AB155+AB154</f>
        <v>100000</v>
      </c>
      <c r="AC156" s="9">
        <f>AC155+AC154</f>
        <v>950000</v>
      </c>
      <c r="AD156" s="79">
        <f>AD155+AD154</f>
        <v>0</v>
      </c>
      <c r="AE156" s="89">
        <f>SUM(AA156:AD156)</f>
        <v>1614000</v>
      </c>
      <c r="AF156" s="72">
        <f>AF155+AF154</f>
        <v>0</v>
      </c>
      <c r="AG156" s="9">
        <f>AG155+AG154</f>
        <v>0</v>
      </c>
      <c r="AH156" s="9">
        <f>AH155+AH154</f>
        <v>0</v>
      </c>
      <c r="AI156" s="9">
        <f>AI155+AI154</f>
        <v>50000</v>
      </c>
      <c r="AJ156" s="79">
        <f>AJ155+AJ154</f>
        <v>0</v>
      </c>
      <c r="AK156" s="86">
        <f>SUM(AF156:AJ156)</f>
        <v>50000</v>
      </c>
      <c r="AL156" s="68">
        <f>AK156+AE156+Z156</f>
        <v>3853500</v>
      </c>
      <c r="AN156" s="13">
        <f t="shared" si="21"/>
        <v>0</v>
      </c>
      <c r="AO156" s="13">
        <f t="shared" si="7"/>
        <v>0</v>
      </c>
    </row>
    <row r="157" spans="1:41" s="48" customFormat="1" ht="17" thickBot="1">
      <c r="A157" s="113"/>
      <c r="B157" s="100" t="s">
        <v>67</v>
      </c>
      <c r="C157" s="104">
        <f>C127+C121+C115+C109+C103+C97+C91+C85+C79+C73+C67+C61+C55+C49+C43+C37+C31+C25+C19+C13+C7+C133+C139</f>
        <v>6465199</v>
      </c>
      <c r="D157" s="104">
        <f>D127+D121+D115+D109+D103+D97+D91+D85+D79+D73+D67+D61+D55+D49+D43+D37+D31+D25+D19+D13+D7+D133+D139</f>
        <v>7202246</v>
      </c>
      <c r="E157" s="73">
        <f>E156-E153</f>
        <v>0</v>
      </c>
      <c r="F157" s="65">
        <f>E157+F156-F153</f>
        <v>0</v>
      </c>
      <c r="G157" s="65">
        <f>F157+G156-G153</f>
        <v>0</v>
      </c>
      <c r="H157" s="80">
        <f>G157+H156-H153</f>
        <v>0</v>
      </c>
      <c r="I157" s="90">
        <f>I156-I153</f>
        <v>0</v>
      </c>
      <c r="J157" s="73">
        <f>I157+J156-J153</f>
        <v>0</v>
      </c>
      <c r="K157" s="65">
        <f>J157+K156-K153</f>
        <v>0</v>
      </c>
      <c r="L157" s="65">
        <f>K157+L156-L153</f>
        <v>1595476</v>
      </c>
      <c r="M157" s="80">
        <f>L157+M156-M153</f>
        <v>1595476</v>
      </c>
      <c r="N157" s="90">
        <f>I157+N156-N153</f>
        <v>1595476</v>
      </c>
      <c r="O157" s="73">
        <f>N157+O156-O153</f>
        <v>2533803</v>
      </c>
      <c r="P157" s="65">
        <f>O157+P156-P153</f>
        <v>1983383</v>
      </c>
      <c r="Q157" s="65">
        <f>P157+Q156-Q153</f>
        <v>1215915</v>
      </c>
      <c r="R157" s="65">
        <f>Q157+R156-R153</f>
        <v>3037545</v>
      </c>
      <c r="S157" s="80">
        <f>R157+S156-S153</f>
        <v>3037545</v>
      </c>
      <c r="T157" s="87">
        <f>N157+T156-T153</f>
        <v>3037545</v>
      </c>
      <c r="U157" s="69">
        <f>U156-U153</f>
        <v>3037545</v>
      </c>
      <c r="V157" s="73">
        <f>U157+V156-V153</f>
        <v>2002225</v>
      </c>
      <c r="W157" s="65">
        <f>V157+W156-W153</f>
        <v>2431959</v>
      </c>
      <c r="X157" s="65">
        <f>W157+X156-X153</f>
        <v>2849300</v>
      </c>
      <c r="Y157" s="80">
        <f>W157+Y156-Y153</f>
        <v>2431959</v>
      </c>
      <c r="Z157" s="87">
        <f>T157+Z156-Z153</f>
        <v>2849300</v>
      </c>
      <c r="AA157" s="73">
        <f>Z157+AA156-AA153</f>
        <v>1140657</v>
      </c>
      <c r="AB157" s="65">
        <f>AA157+AB156-AB153</f>
        <v>959273</v>
      </c>
      <c r="AC157" s="65">
        <f>AB157+AC156-AC153</f>
        <v>1500808</v>
      </c>
      <c r="AD157" s="80">
        <f>AC157+AD156-AD153</f>
        <v>1500808</v>
      </c>
      <c r="AE157" s="87">
        <f>Z157+AE156-AE153</f>
        <v>1500808</v>
      </c>
      <c r="AF157" s="73">
        <f>AE157+AF156-AF153</f>
        <v>1206689</v>
      </c>
      <c r="AG157" s="65">
        <f>AF157+AG156-AG153</f>
        <v>1204838</v>
      </c>
      <c r="AH157" s="65">
        <f>AG157+AH156-AH153</f>
        <v>1150021</v>
      </c>
      <c r="AI157" s="65">
        <f t="shared" ref="AI157:AJ157" si="28">AH157+AI156-AI153</f>
        <v>1199263</v>
      </c>
      <c r="AJ157" s="80">
        <f t="shared" si="28"/>
        <v>1199263</v>
      </c>
      <c r="AK157" s="87">
        <f>AE157+AK156-AK153</f>
        <v>1199263</v>
      </c>
      <c r="AL157" s="69">
        <f>T157+AL156-AL153</f>
        <v>1199263</v>
      </c>
      <c r="AN157" s="13">
        <f t="shared" si="21"/>
        <v>0</v>
      </c>
      <c r="AO157" s="13">
        <f t="shared" si="7"/>
        <v>0</v>
      </c>
    </row>
    <row r="158" spans="1:41" s="51" customFormat="1">
      <c r="A158" s="111" t="s">
        <v>110</v>
      </c>
      <c r="B158" s="101" t="s">
        <v>64</v>
      </c>
      <c r="C158" s="49"/>
      <c r="D158" s="49"/>
      <c r="E158" s="74">
        <f>E3*8+E9*8+E15*8+E21*16+E27*16+E33*16+E39*32+E45*16+E51*16+E57*16+E63*32+E69*32+E75*32+E81*64+E87*32+E93*64+E99*64+E105*16+E111*32+E117*64+E123*16+E135*64+E129*32+E141*32+E147*64</f>
        <v>0</v>
      </c>
      <c r="F158" s="66">
        <f t="shared" ref="F158:H158" si="29">F3*8+F9*8+F15*8+F21*16+F27*16+F33*16+F39*32+F45*16+F51*16+F57*16+F63*32+F69*32+F75*32+F81*64+F87*32+F93*64+F99*64+F105*16+F111*32+F117*64+F123*16+F135*64+F129*32+F141*32+F147*64</f>
        <v>75276024</v>
      </c>
      <c r="G158" s="66">
        <f t="shared" si="29"/>
        <v>53384144</v>
      </c>
      <c r="H158" s="81">
        <f t="shared" si="29"/>
        <v>0</v>
      </c>
      <c r="I158" s="88">
        <f>SUM(E158:H158)</f>
        <v>128660168</v>
      </c>
      <c r="J158" s="74">
        <f t="shared" ref="J158:M158" si="30">J3*8+J9*8+J15*8+J21*16+J27*16+J33*16+J39*32+J45*16+J51*16+J57*16+J63*32+J69*32+J75*32+J81*64+J87*32+J93*64+J99*64+J105*16+J111*32+J117*64+J123*16+J135*64+J129*32+J141*32+J147*64</f>
        <v>21970352</v>
      </c>
      <c r="K158" s="66">
        <f t="shared" si="30"/>
        <v>33726376</v>
      </c>
      <c r="L158" s="66">
        <f t="shared" si="30"/>
        <v>20458792</v>
      </c>
      <c r="M158" s="81">
        <f t="shared" si="30"/>
        <v>0</v>
      </c>
      <c r="N158" s="91">
        <f>SUM(J158:M158)</f>
        <v>76155520</v>
      </c>
      <c r="O158" s="74">
        <f t="shared" ref="O158:S158" si="31">O3*8+O9*8+O15*8+O21*16+O27*16+O33*16+O39*32+O45*16+O51*16+O57*16+O63*32+O69*32+O75*32+O81*64+O87*32+O93*64+O99*64+O105*16+O111*32+O117*64+O123*16+O135*64+O129*32+O141*32+O147*64</f>
        <v>79162400</v>
      </c>
      <c r="P158" s="66">
        <f t="shared" si="31"/>
        <v>11172096</v>
      </c>
      <c r="Q158" s="66">
        <f t="shared" si="31"/>
        <v>32135128</v>
      </c>
      <c r="R158" s="66">
        <f t="shared" si="31"/>
        <v>19948032</v>
      </c>
      <c r="S158" s="81">
        <f t="shared" si="31"/>
        <v>0</v>
      </c>
      <c r="T158" s="85">
        <f>SUM(O158:S158)</f>
        <v>142417656</v>
      </c>
      <c r="U158" s="67">
        <f>T158+N158+I158+D162</f>
        <v>484372280</v>
      </c>
      <c r="V158" s="74">
        <f t="shared" ref="V158:Y158" si="32">V3*8+V9*8+V15*8+V21*16+V27*16+V33*16+V39*32+V45*16+V51*16+V57*16+V63*32+V69*32+V75*32+V81*64+V87*32+V93*64+V99*64+V105*16+V111*32+V117*64+V123*16+V135*64+V129*32+V141*32+V147*64</f>
        <v>39312632</v>
      </c>
      <c r="W158" s="66">
        <f t="shared" si="32"/>
        <v>3117008</v>
      </c>
      <c r="X158" s="66">
        <f t="shared" si="32"/>
        <v>3972384</v>
      </c>
      <c r="Y158" s="81">
        <f t="shared" si="32"/>
        <v>0</v>
      </c>
      <c r="Z158" s="88">
        <f>SUM(V158:Y158)</f>
        <v>46402024</v>
      </c>
      <c r="AA158" s="74">
        <f>AA3*8+AA9*8+AA15*8+AA21*16+AA27*16+AA33*16+AA39*32+AA45*16+AA51*16+AA57*16+AA63*32+AA69*32+AA75*32+AA81*64+AA87*32+AA93*64+AA99*64+AA105*16+AA111*32+AA117*64+AA123*16+AA135*64+AA129*32+AA141*32+AA147*64</f>
        <v>52182104</v>
      </c>
      <c r="AB158" s="66">
        <f t="shared" ref="AB158:AD158" si="33">AB3*8+AB9*8+AB15*8+AB21*16+AB27*16+AB33*16+AB39*32+AB45*16+AB51*16+AB57*16+AB63*32+AB69*32+AB75*32+AB81*64+AB87*32+AB93*64+AB99*64+AB105*16+AB111*32+AB117*64+AB123*16+AB135*64+AB129*32+AB141*32+AB147*64</f>
        <v>5039728</v>
      </c>
      <c r="AC158" s="66">
        <f t="shared" si="33"/>
        <v>8453016</v>
      </c>
      <c r="AD158" s="81">
        <f t="shared" si="33"/>
        <v>0</v>
      </c>
      <c r="AE158" s="88">
        <f>SUM(AA158:AD158)</f>
        <v>65674848</v>
      </c>
      <c r="AF158" s="74">
        <f t="shared" ref="AF158:AI158" si="34">AF3*8+AF9*8+AF15*8+AF21*16+AF27*16+AF33*16+AF39*32+AF45*16+AF51*16+AF57*16+AF63*32+AF69*32+AF75*32+AF81*64+AF87*32+AF93*64+AF99*64+AF105*16+AF111*32+AF117*64+AF123*16+AF135*64+AF129*32+AF141*32+AF147*64</f>
        <v>6214088</v>
      </c>
      <c r="AG158" s="66">
        <f t="shared" si="34"/>
        <v>34160</v>
      </c>
      <c r="AH158" s="66">
        <f t="shared" si="34"/>
        <v>984608</v>
      </c>
      <c r="AI158" s="66">
        <f t="shared" si="34"/>
        <v>22896</v>
      </c>
      <c r="AJ158" s="81">
        <f>AJ3*8+AJ9*8+AJ15*8+AJ21*16+AJ27*16+AJ33*16+AJ39*32+AJ45*16+AJ51*16+AJ57*16+AJ63*32+AJ69*32+AJ75*32+AJ81*64+AJ87*32+AJ93*64+AJ99*64+AJ105*16+AJ111*32+AJ117*64+AJ123*16+AJ135*64+AJ129*32+AJ141*32+AJ147*64</f>
        <v>0</v>
      </c>
      <c r="AK158" s="85">
        <f>SUM(AF158:AJ158)</f>
        <v>7255752</v>
      </c>
      <c r="AL158" s="70">
        <f>AK158+AE158+Z158</f>
        <v>119332624</v>
      </c>
      <c r="AN158" s="13">
        <f t="shared" si="21"/>
        <v>0</v>
      </c>
      <c r="AO158" s="13">
        <f t="shared" si="7"/>
        <v>0</v>
      </c>
    </row>
    <row r="159" spans="1:41" s="51" customFormat="1">
      <c r="A159" s="112"/>
      <c r="B159" s="102" t="s">
        <v>65</v>
      </c>
      <c r="C159" s="50"/>
      <c r="D159" s="50"/>
      <c r="E159" s="75">
        <f>E4*8+E10*8+E16*8+E22*16+E28*16+E34*16+E40*32+E46*16+E52*16+E58*16+E64*32+E70*32+E76*32+E82*64+E88*32+E94*64+E100*64+E106*16+E112*32+E118*64+E124*16+E136*64+E130*32+E142*32+E148*64</f>
        <v>0</v>
      </c>
      <c r="F159" s="62">
        <f t="shared" ref="F159:H159" si="35">F4*8+F10*8+F16*8+F22*16+F28*16+F34*16+F40*32+F46*16+F52*16+F58*16+F64*32+F70*32+F76*32+F82*64+F88*32+F94*64+F100*64+F106*16+F112*32+F118*64+F124*16+F136*64+F130*32+F142*32+F148*64</f>
        <v>75276024</v>
      </c>
      <c r="G159" s="62">
        <f t="shared" si="35"/>
        <v>53384144</v>
      </c>
      <c r="H159" s="82">
        <f t="shared" si="35"/>
        <v>0</v>
      </c>
      <c r="I159" s="89"/>
      <c r="J159" s="75">
        <f t="shared" ref="J159:M159" si="36">J4*8+J10*8+J16*8+J22*16+J28*16+J34*16+J40*32+J46*16+J52*16+J58*16+J64*32+J70*32+J76*32+J82*64+J88*32+J94*64+J100*64+J106*16+J112*32+J118*64+J124*16+J136*64+J130*32+J142*32+J148*64</f>
        <v>21970352</v>
      </c>
      <c r="K159" s="62">
        <f t="shared" si="36"/>
        <v>33726376</v>
      </c>
      <c r="L159" s="62">
        <f t="shared" si="36"/>
        <v>20458792</v>
      </c>
      <c r="M159" s="82">
        <f t="shared" si="36"/>
        <v>0</v>
      </c>
      <c r="N159" s="92">
        <f>SUM(J159:M159)</f>
        <v>76155520</v>
      </c>
      <c r="O159" s="75">
        <f t="shared" ref="O159:S159" si="37">O4*8+O10*8+O16*8+O22*16+O28*16+O34*16+O40*32+O46*16+O52*16+O58*16+O64*32+O70*32+O76*32+O82*64+O88*32+O94*64+O100*64+O106*16+O112*32+O118*64+O124*16+O136*64+O130*32+O142*32+O148*64</f>
        <v>96816000</v>
      </c>
      <c r="P159" s="62">
        <f t="shared" si="37"/>
        <v>0</v>
      </c>
      <c r="Q159" s="62">
        <f t="shared" si="37"/>
        <v>14400000</v>
      </c>
      <c r="R159" s="62">
        <f t="shared" si="37"/>
        <v>52208000</v>
      </c>
      <c r="S159" s="82">
        <f t="shared" si="37"/>
        <v>0</v>
      </c>
      <c r="T159" s="86"/>
      <c r="U159" s="68"/>
      <c r="V159" s="75">
        <f t="shared" ref="V159:Y159" si="38">V4*8+V10*8+V16*8+V22*16+V28*16+V34*16+V40*32+V46*16+V52*16+V58*16+V64*32+V70*32+V76*32+V82*64+V88*32+V94*64+V100*64+V106*16+V112*32+V118*64+V124*16+V136*64+V130*32+V142*32+V148*64</f>
        <v>26960000</v>
      </c>
      <c r="W159" s="62">
        <f t="shared" si="38"/>
        <v>9600000</v>
      </c>
      <c r="X159" s="62">
        <f t="shared" si="38"/>
        <v>15520000</v>
      </c>
      <c r="Y159" s="82">
        <f t="shared" si="38"/>
        <v>0</v>
      </c>
      <c r="Z159" s="89"/>
      <c r="AA159" s="75">
        <f>AA4*8+AA10*8+AA16*8+AA22*16+AA28*16+AA34*16+AA40*32+AA46*16+AA52*16+AA58*16+AA64*32+AA70*32+AA76*32+AA82*64+AA88*32+AA94*64+AA100*64+AA106*16+AA112*32+AA118*64+AA124*16+AA136*64+AA130*32+AA142*32+AA148*64</f>
        <v>18176000</v>
      </c>
      <c r="AB159" s="62">
        <f t="shared" ref="AB159:AD159" si="39">AB4*8+AB10*8+AB16*8+AB22*16+AB28*16+AB34*16+AB40*32+AB46*16+AB52*16+AB58*16+AB64*32+AB70*32+AB76*32+AB82*64+AB88*32+AB94*64+AB100*64+AB106*16+AB112*32+AB118*64+AB124*16+AB136*64+AB130*32+AB142*32+AB148*64</f>
        <v>3200000</v>
      </c>
      <c r="AC159" s="62">
        <f t="shared" si="39"/>
        <v>12400000</v>
      </c>
      <c r="AD159" s="82">
        <f t="shared" si="39"/>
        <v>0</v>
      </c>
      <c r="AE159" s="89">
        <f>SUM(AA159:AD159)</f>
        <v>33776000</v>
      </c>
      <c r="AF159" s="75">
        <f t="shared" ref="AF159:AJ159" si="40">AF4*8+AF10*8+AF16*8+AF22*16+AF28*16+AF34*16+AF40*32+AF46*16+AF52*16+AF58*16+AF64*32+AF70*32+AF76*32+AF82*64+AF88*32+AF94*64+AF100*64+AF106*16+AF112*32+AF118*64+AF124*16+AF136*64+AF130*32+AF142*32+AF148*64</f>
        <v>0</v>
      </c>
      <c r="AG159" s="62">
        <f t="shared" si="40"/>
        <v>0</v>
      </c>
      <c r="AH159" s="62">
        <f t="shared" si="40"/>
        <v>0</v>
      </c>
      <c r="AI159" s="62">
        <f t="shared" si="40"/>
        <v>800000</v>
      </c>
      <c r="AJ159" s="82">
        <f t="shared" si="40"/>
        <v>0</v>
      </c>
      <c r="AK159" s="86"/>
      <c r="AL159" s="68"/>
      <c r="AN159" s="13">
        <f t="shared" si="21"/>
        <v>0</v>
      </c>
      <c r="AO159" s="13">
        <f t="shared" si="7"/>
        <v>0</v>
      </c>
    </row>
    <row r="160" spans="1:41" s="51" customFormat="1">
      <c r="A160" s="112"/>
      <c r="B160" s="102" t="s">
        <v>66</v>
      </c>
      <c r="C160" s="50">
        <f>C5*8+C11*8+C17*8+C23*16+C29*16+C35*16+C41*32+C47*16+C53*16+C59*16+C65*32+C71*32+C77*32+C83*64+C89*32+C95*64+C101*64+C107*16+C113*32+C119*64+C125*16+C137*64+C131*32</f>
        <v>22729472</v>
      </c>
      <c r="D160" s="50"/>
      <c r="E160" s="75">
        <f>E5*8+E11*8+E17*8+E23*16+E29*16+E35*16+E41*32+E47*16+E53*16+E59*16+E65*32+E71*32+E77*32+E83*64+E89*32+E95*64+E101*64+E107*16+E113*32+E119*64+E125*16+E137*64+E131*32+E143*32+E149*64</f>
        <v>0</v>
      </c>
      <c r="F160" s="62">
        <f t="shared" ref="F160:H160" si="41">F5*8+F11*8+F17*8+F23*16+F29*16+F35*16+F41*32+F47*16+F53*16+F59*16+F65*32+F71*32+F77*32+F83*64+F89*32+F95*64+F101*64+F107*16+F113*32+F119*64+F125*16+F137*64+F131*32+F143*32+F149*64</f>
        <v>0</v>
      </c>
      <c r="G160" s="62">
        <f t="shared" si="41"/>
        <v>0</v>
      </c>
      <c r="H160" s="82">
        <f t="shared" si="41"/>
        <v>0</v>
      </c>
      <c r="I160" s="89">
        <f>SUM(E160:H160)</f>
        <v>0</v>
      </c>
      <c r="J160" s="75">
        <f t="shared" ref="J160:M160" si="42">J5*8+J11*8+J17*8+J23*16+J29*16+J35*16+J41*32+J47*16+J53*16+J59*16+J65*32+J71*32+J77*32+J83*64+J89*32+J95*64+J101*64+J107*16+J113*32+J119*64+J125*16+J137*64+J131*32+J143*32+J149*64</f>
        <v>0</v>
      </c>
      <c r="K160" s="62">
        <f t="shared" si="42"/>
        <v>0</v>
      </c>
      <c r="L160" s="62">
        <f t="shared" si="42"/>
        <v>74930368</v>
      </c>
      <c r="M160" s="82">
        <f t="shared" si="42"/>
        <v>0</v>
      </c>
      <c r="N160" s="92">
        <f>SUM(J160:M160)</f>
        <v>74930368</v>
      </c>
      <c r="O160" s="75">
        <f t="shared" ref="O160:S160" si="43">O5*8+O11*8+O17*8+O23*16+O29*16+O35*16+O41*32+O47*16+O53*16+O59*16+O65*32+O71*32+O77*32+O83*64+O89*32+O95*64+O101*64+O107*16+O113*32+O119*64+O125*16+O137*64+O131*32+O143*32+O149*64</f>
        <v>0</v>
      </c>
      <c r="P160" s="62">
        <f t="shared" si="43"/>
        <v>0</v>
      </c>
      <c r="Q160" s="62">
        <f t="shared" si="43"/>
        <v>0</v>
      </c>
      <c r="R160" s="62">
        <f t="shared" si="43"/>
        <v>0</v>
      </c>
      <c r="S160" s="82">
        <f t="shared" si="43"/>
        <v>0</v>
      </c>
      <c r="T160" s="86">
        <f>SUM(O160:S160)</f>
        <v>0</v>
      </c>
      <c r="U160" s="68">
        <f>H160+M160+T160</f>
        <v>0</v>
      </c>
      <c r="V160" s="75">
        <f t="shared" ref="V160:Y160" si="44">V5*8+V11*8+V17*8+V23*16+V29*16+V35*16+V41*32+V47*16+V53*16+V59*16+V65*32+V71*32+V77*32+V83*64+V89*32+V95*64+V101*64+V107*16+V113*32+V119*64+V125*16+V137*64+V131*32+V143*32+V149*64</f>
        <v>0</v>
      </c>
      <c r="W160" s="62">
        <f t="shared" si="44"/>
        <v>0</v>
      </c>
      <c r="X160" s="62">
        <f t="shared" si="44"/>
        <v>0</v>
      </c>
      <c r="Y160" s="82">
        <f t="shared" si="44"/>
        <v>0</v>
      </c>
      <c r="Z160" s="89">
        <f>SUM(V160:Y160)</f>
        <v>0</v>
      </c>
      <c r="AA160" s="75">
        <f>AA5*8+AA11*8+AA17*8+AA23*16+AA29*16+AA35*16+AA41*32+AA47*16+AA53*16+AA59*16+AA65*32+AA71*32+AA77*32+AA83*64+AA89*32+AA95*64+AA101*64+AA107*16+AA113*32+AA119*64+AA125*16+AA137*64+AA131*32+AA143*32+AA149*64</f>
        <v>0</v>
      </c>
      <c r="AB160" s="62">
        <f t="shared" ref="AB160:AD160" si="45">AB5*8+AB11*8+AB17*8+AB23*16+AB29*16+AB35*16+AB41*32+AB47*16+AB53*16+AB59*16+AB65*32+AB71*32+AB77*32+AB83*64+AB89*32+AB95*64+AB101*64+AB107*16+AB113*32+AB119*64+AB125*16+AB137*64+AB131*32+AB143*32+AB149*64</f>
        <v>0</v>
      </c>
      <c r="AC160" s="62">
        <f t="shared" si="45"/>
        <v>0</v>
      </c>
      <c r="AD160" s="82">
        <f t="shared" si="45"/>
        <v>0</v>
      </c>
      <c r="AE160" s="89">
        <f>SUM(AA160:AD160)</f>
        <v>0</v>
      </c>
      <c r="AF160" s="75">
        <f t="shared" ref="AF160:AJ160" si="46">AF5*8+AF11*8+AF17*8+AF23*16+AF29*16+AF35*16+AF41*32+AF47*16+AF53*16+AF59*16+AF65*32+AF71*32+AF77*32+AF83*64+AF89*32+AF95*64+AF101*64+AF107*16+AF113*32+AF119*64+AF125*16+AF137*64+AF131*32+AF143*32+AF149*64</f>
        <v>0</v>
      </c>
      <c r="AG160" s="62">
        <f t="shared" si="46"/>
        <v>0</v>
      </c>
      <c r="AH160" s="62">
        <f t="shared" si="46"/>
        <v>0</v>
      </c>
      <c r="AI160" s="62">
        <f t="shared" si="46"/>
        <v>0</v>
      </c>
      <c r="AJ160" s="82">
        <f t="shared" si="46"/>
        <v>0</v>
      </c>
      <c r="AK160" s="86">
        <f>SUM(AF160:AJ160)</f>
        <v>0</v>
      </c>
      <c r="AL160" s="68">
        <f>Z160+AE160+AK160</f>
        <v>0</v>
      </c>
      <c r="AN160" s="13">
        <f t="shared" si="21"/>
        <v>0</v>
      </c>
      <c r="AO160" s="13">
        <f t="shared" si="7"/>
        <v>0</v>
      </c>
    </row>
    <row r="161" spans="1:41" s="51" customFormat="1">
      <c r="A161" s="112"/>
      <c r="B161" s="102" t="s">
        <v>7</v>
      </c>
      <c r="C161" s="50"/>
      <c r="D161" s="50"/>
      <c r="E161" s="76">
        <f>E160+E159</f>
        <v>0</v>
      </c>
      <c r="F161" s="10">
        <f>F160+F159</f>
        <v>75276024</v>
      </c>
      <c r="G161" s="10">
        <f>G160+G159</f>
        <v>53384144</v>
      </c>
      <c r="H161" s="83">
        <f>H160+H159</f>
        <v>0</v>
      </c>
      <c r="I161" s="89">
        <f>SUM(E161:H161)</f>
        <v>128660168</v>
      </c>
      <c r="J161" s="76">
        <f>J160+J159</f>
        <v>21970352</v>
      </c>
      <c r="K161" s="10">
        <f>K160+K159</f>
        <v>33726376</v>
      </c>
      <c r="L161" s="10">
        <f>L160+L159</f>
        <v>95389160</v>
      </c>
      <c r="M161" s="83">
        <f>M160+M159</f>
        <v>0</v>
      </c>
      <c r="N161" s="92">
        <f>SUM(J161:M161)</f>
        <v>151085888</v>
      </c>
      <c r="O161" s="76">
        <f>O160+O159</f>
        <v>96816000</v>
      </c>
      <c r="P161" s="10">
        <f>P160+P159</f>
        <v>0</v>
      </c>
      <c r="Q161" s="10">
        <f>Q160+Q159</f>
        <v>14400000</v>
      </c>
      <c r="R161" s="10">
        <f>R160+R159</f>
        <v>52208000</v>
      </c>
      <c r="S161" s="83">
        <f>S160+S159</f>
        <v>0</v>
      </c>
      <c r="T161" s="86">
        <f>SUM(O161:S161)</f>
        <v>163424000</v>
      </c>
      <c r="U161" s="68">
        <f>T161+N161+I161+D162</f>
        <v>580308992</v>
      </c>
      <c r="V161" s="76">
        <f>V160+V159</f>
        <v>26960000</v>
      </c>
      <c r="W161" s="10">
        <f>W160+W159</f>
        <v>9600000</v>
      </c>
      <c r="X161" s="10">
        <f>X160+X159</f>
        <v>15520000</v>
      </c>
      <c r="Y161" s="83">
        <f>Y160+Y159</f>
        <v>0</v>
      </c>
      <c r="Z161" s="89">
        <f>SUM(V161:Y161)</f>
        <v>52080000</v>
      </c>
      <c r="AA161" s="76">
        <f>AA160+AA159</f>
        <v>18176000</v>
      </c>
      <c r="AB161" s="10">
        <f>AB160+AB159</f>
        <v>3200000</v>
      </c>
      <c r="AC161" s="10">
        <f>AC160+AC159</f>
        <v>12400000</v>
      </c>
      <c r="AD161" s="83">
        <f>AD160+AD159</f>
        <v>0</v>
      </c>
      <c r="AE161" s="89">
        <f>SUM(AA161:AD161)</f>
        <v>33776000</v>
      </c>
      <c r="AF161" s="76">
        <f>AF160+AF159</f>
        <v>0</v>
      </c>
      <c r="AG161" s="10">
        <f>AG160+AG159</f>
        <v>0</v>
      </c>
      <c r="AH161" s="10">
        <f>AH160+AH159</f>
        <v>0</v>
      </c>
      <c r="AI161" s="10">
        <f>AI160+AI159</f>
        <v>800000</v>
      </c>
      <c r="AJ161" s="83">
        <f>AJ160+AJ159</f>
        <v>0</v>
      </c>
      <c r="AK161" s="86">
        <f>SUM(AF161:AJ161)</f>
        <v>800000</v>
      </c>
      <c r="AL161" s="68">
        <f>AK161+AE161+Z161</f>
        <v>86656000</v>
      </c>
      <c r="AN161" s="13">
        <f t="shared" si="21"/>
        <v>0</v>
      </c>
      <c r="AO161" s="13">
        <f t="shared" si="7"/>
        <v>0</v>
      </c>
    </row>
    <row r="162" spans="1:41" s="51" customFormat="1" ht="17" thickBot="1">
      <c r="A162" s="113"/>
      <c r="B162" s="103" t="s">
        <v>67</v>
      </c>
      <c r="C162" s="105">
        <f>C7*8+C13*8+C19*8+C25*16+C31*16+C37*16+C43*32+C49*16+C55*16+C61*16+C67*32+C73*32+C79*32+C85*64+C91*32+C97*64+C103*64+C109*16+C115*32+C121*64+C127*16+C139*64+C133*32</f>
        <v>115149208</v>
      </c>
      <c r="D162" s="105">
        <f>D7*8+D13*8+D19*8+D25*16+D31*16+D37*16+D43*32+D49*16+D55*16+D61*16+D67*32+D73*32+D79*32+D85*64+D91*32+D97*64+D103*64+D109*16+D115*32+D121*64+D127*16+D139*64+D133*32</f>
        <v>137138936</v>
      </c>
      <c r="E162" s="77">
        <f>E161-E158</f>
        <v>0</v>
      </c>
      <c r="F162" s="64">
        <f>E162+F161-F158</f>
        <v>0</v>
      </c>
      <c r="G162" s="64">
        <f>F162+G161-G158</f>
        <v>0</v>
      </c>
      <c r="H162" s="84">
        <f>G162+H161-H158</f>
        <v>0</v>
      </c>
      <c r="I162" s="90">
        <f>I161-I158</f>
        <v>0</v>
      </c>
      <c r="J162" s="77">
        <f>I162+J161-J158</f>
        <v>0</v>
      </c>
      <c r="K162" s="64">
        <f>J162+K161-K158</f>
        <v>0</v>
      </c>
      <c r="L162" s="64">
        <f>K162+L161-L158</f>
        <v>74930368</v>
      </c>
      <c r="M162" s="84">
        <f>L162+M161-M158</f>
        <v>74930368</v>
      </c>
      <c r="N162" s="90">
        <f>I162+N161-N158</f>
        <v>74930368</v>
      </c>
      <c r="O162" s="77">
        <f>N162+O161-O158</f>
        <v>92583968</v>
      </c>
      <c r="P162" s="64">
        <f>O162+P161-P158</f>
        <v>81411872</v>
      </c>
      <c r="Q162" s="64">
        <f>P162+Q161-Q158</f>
        <v>63676744</v>
      </c>
      <c r="R162" s="64">
        <f>Q162+R161-R158</f>
        <v>95936712</v>
      </c>
      <c r="S162" s="84">
        <f>R162+S161-S158</f>
        <v>95936712</v>
      </c>
      <c r="T162" s="87">
        <f>N162+T161-T158</f>
        <v>95936712</v>
      </c>
      <c r="U162" s="69">
        <f>U161-U158</f>
        <v>95936712</v>
      </c>
      <c r="V162" s="77">
        <f>U162+V161-V158</f>
        <v>83584080</v>
      </c>
      <c r="W162" s="64">
        <f>V162+W161-W158</f>
        <v>90067072</v>
      </c>
      <c r="X162" s="64">
        <f>W162+X161-X158</f>
        <v>101614688</v>
      </c>
      <c r="Y162" s="84">
        <f>W162+Y161-Y158</f>
        <v>90067072</v>
      </c>
      <c r="Z162" s="87">
        <f>T162+Z161-Z158</f>
        <v>101614688</v>
      </c>
      <c r="AA162" s="77">
        <f>Z162+AA161-AA158</f>
        <v>67608584</v>
      </c>
      <c r="AB162" s="64">
        <f>AA162+AB161-AB158</f>
        <v>65768856</v>
      </c>
      <c r="AC162" s="64">
        <f>AB162+AC161-AC158</f>
        <v>69715840</v>
      </c>
      <c r="AD162" s="84">
        <f>AC162+AD161-AD158</f>
        <v>69715840</v>
      </c>
      <c r="AE162" s="87">
        <f>Z162+AE161-AE158</f>
        <v>69715840</v>
      </c>
      <c r="AF162" s="77">
        <f>AE162+AF161-AF158</f>
        <v>63501752</v>
      </c>
      <c r="AG162" s="64">
        <f>AF162+AG161-AG158</f>
        <v>63467592</v>
      </c>
      <c r="AH162" s="64">
        <f>AG162+AH161-AH158</f>
        <v>62482984</v>
      </c>
      <c r="AI162" s="64">
        <f t="shared" ref="AI162:AJ162" si="47">AH162+AI161-AI158</f>
        <v>63260088</v>
      </c>
      <c r="AJ162" s="84">
        <f t="shared" si="47"/>
        <v>63260088</v>
      </c>
      <c r="AK162" s="87">
        <f>AE162+AK161-AK158</f>
        <v>63260088</v>
      </c>
      <c r="AL162" s="69">
        <f>T162+AL161-AL158</f>
        <v>63260088</v>
      </c>
      <c r="AN162" s="13">
        <f t="shared" si="21"/>
        <v>0</v>
      </c>
      <c r="AO162" s="13">
        <f t="shared" si="7"/>
        <v>0</v>
      </c>
    </row>
  </sheetData>
  <autoFilter ref="A8:AO162" xr:uid="{00000000-0001-0000-0200-000000000000}"/>
  <mergeCells count="35">
    <mergeCell ref="A33:A37"/>
    <mergeCell ref="A117:A121"/>
    <mergeCell ref="A123:A127"/>
    <mergeCell ref="A111:A115"/>
    <mergeCell ref="A153:A157"/>
    <mergeCell ref="A57:A61"/>
    <mergeCell ref="A75:A79"/>
    <mergeCell ref="A99:A103"/>
    <mergeCell ref="A63:A67"/>
    <mergeCell ref="A105:A109"/>
    <mergeCell ref="A93:A97"/>
    <mergeCell ref="A87:A91"/>
    <mergeCell ref="A81:A85"/>
    <mergeCell ref="A69:A73"/>
    <mergeCell ref="V1:Y1"/>
    <mergeCell ref="AA1:AD1"/>
    <mergeCell ref="AF1:AJ1"/>
    <mergeCell ref="A51:A55"/>
    <mergeCell ref="A45:A49"/>
    <mergeCell ref="O1:S1"/>
    <mergeCell ref="J1:M1"/>
    <mergeCell ref="E1:H1"/>
    <mergeCell ref="A21:A25"/>
    <mergeCell ref="A9:A13"/>
    <mergeCell ref="A15:A19"/>
    <mergeCell ref="A1:B1"/>
    <mergeCell ref="A3:A7"/>
    <mergeCell ref="A39:A43"/>
    <mergeCell ref="A2:B2"/>
    <mergeCell ref="A27:A31"/>
    <mergeCell ref="A158:A162"/>
    <mergeCell ref="A147:A151"/>
    <mergeCell ref="A141:A145"/>
    <mergeCell ref="A129:A133"/>
    <mergeCell ref="A135:A139"/>
  </mergeCells>
  <phoneticPr fontId="3" type="noConversion"/>
  <conditionalFormatting sqref="O20">
    <cfRule type="cellIs" dxfId="599" priority="964" stopIfTrue="1" operator="lessThanOrEqual">
      <formula>3000</formula>
    </cfRule>
    <cfRule type="cellIs" dxfId="598" priority="965" stopIfTrue="1" operator="between">
      <formula>3000</formula>
      <formula>9000</formula>
    </cfRule>
    <cfRule type="cellIs" dxfId="597" priority="966" stopIfTrue="1" operator="greaterThanOrEqual">
      <formula>9000</formula>
    </cfRule>
  </conditionalFormatting>
  <conditionalFormatting sqref="J20:M20">
    <cfRule type="cellIs" dxfId="596" priority="967" stopIfTrue="1" operator="lessThanOrEqual">
      <formula>3000</formula>
    </cfRule>
    <cfRule type="cellIs" dxfId="595" priority="968" stopIfTrue="1" operator="between">
      <formula>3000</formula>
      <formula>9000</formula>
    </cfRule>
    <cfRule type="cellIs" dxfId="594" priority="969" stopIfTrue="1" operator="greaterThanOrEqual">
      <formula>9000</formula>
    </cfRule>
  </conditionalFormatting>
  <conditionalFormatting sqref="O14">
    <cfRule type="cellIs" dxfId="593" priority="976" stopIfTrue="1" operator="lessThanOrEqual">
      <formula>3000</formula>
    </cfRule>
    <cfRule type="cellIs" dxfId="592" priority="977" stopIfTrue="1" operator="between">
      <formula>3000</formula>
      <formula>9000</formula>
    </cfRule>
    <cfRule type="cellIs" dxfId="591" priority="978" stopIfTrue="1" operator="greaterThanOrEqual">
      <formula>9000</formula>
    </cfRule>
  </conditionalFormatting>
  <conditionalFormatting sqref="P8:S8">
    <cfRule type="cellIs" dxfId="590" priority="985" stopIfTrue="1" operator="lessThanOrEqual">
      <formula>3000</formula>
    </cfRule>
    <cfRule type="cellIs" dxfId="589" priority="986" stopIfTrue="1" operator="between">
      <formula>3000</formula>
      <formula>9000</formula>
    </cfRule>
    <cfRule type="cellIs" dxfId="588" priority="987" stopIfTrue="1" operator="greaterThanOrEqual">
      <formula>9000</formula>
    </cfRule>
  </conditionalFormatting>
  <conditionalFormatting sqref="E8:H8">
    <cfRule type="cellIs" dxfId="587" priority="994" stopIfTrue="1" operator="lessThanOrEqual">
      <formula>3000</formula>
    </cfRule>
    <cfRule type="cellIs" dxfId="586" priority="995" stopIfTrue="1" operator="between">
      <formula>3000</formula>
      <formula>9000</formula>
    </cfRule>
    <cfRule type="cellIs" dxfId="585" priority="996" stopIfTrue="1" operator="greaterThanOrEqual">
      <formula>9000</formula>
    </cfRule>
  </conditionalFormatting>
  <conditionalFormatting sqref="J44:M44">
    <cfRule type="cellIs" dxfId="584" priority="919" stopIfTrue="1" operator="lessThanOrEqual">
      <formula>3000</formula>
    </cfRule>
    <cfRule type="cellIs" dxfId="583" priority="920" stopIfTrue="1" operator="between">
      <formula>3000</formula>
      <formula>9000</formula>
    </cfRule>
    <cfRule type="cellIs" dxfId="582" priority="921" stopIfTrue="1" operator="greaterThanOrEqual">
      <formula>9000</formula>
    </cfRule>
  </conditionalFormatting>
  <conditionalFormatting sqref="P38:S38">
    <cfRule type="cellIs" dxfId="581" priority="925" stopIfTrue="1" operator="lessThanOrEqual">
      <formula>3000</formula>
    </cfRule>
    <cfRule type="cellIs" dxfId="580" priority="926" stopIfTrue="1" operator="between">
      <formula>3000</formula>
      <formula>9000</formula>
    </cfRule>
    <cfRule type="cellIs" dxfId="579" priority="927" stopIfTrue="1" operator="greaterThanOrEqual">
      <formula>9000</formula>
    </cfRule>
  </conditionalFormatting>
  <conditionalFormatting sqref="E38:H38">
    <cfRule type="cellIs" dxfId="578" priority="934" stopIfTrue="1" operator="lessThanOrEqual">
      <formula>3000</formula>
    </cfRule>
    <cfRule type="cellIs" dxfId="577" priority="935" stopIfTrue="1" operator="between">
      <formula>3000</formula>
      <formula>9000</formula>
    </cfRule>
    <cfRule type="cellIs" dxfId="576" priority="936" stopIfTrue="1" operator="greaterThanOrEqual">
      <formula>9000</formula>
    </cfRule>
  </conditionalFormatting>
  <conditionalFormatting sqref="J32:M32">
    <cfRule type="cellIs" dxfId="575" priority="943" stopIfTrue="1" operator="lessThanOrEqual">
      <formula>3000</formula>
    </cfRule>
    <cfRule type="cellIs" dxfId="574" priority="944" stopIfTrue="1" operator="between">
      <formula>3000</formula>
      <formula>9000</formula>
    </cfRule>
    <cfRule type="cellIs" dxfId="573" priority="945" stopIfTrue="1" operator="greaterThanOrEqual">
      <formula>9000</formula>
    </cfRule>
  </conditionalFormatting>
  <conditionalFormatting sqref="O26">
    <cfRule type="cellIs" dxfId="572" priority="952" stopIfTrue="1" operator="lessThanOrEqual">
      <formula>3000</formula>
    </cfRule>
    <cfRule type="cellIs" dxfId="571" priority="953" stopIfTrue="1" operator="between">
      <formula>3000</formula>
      <formula>9000</formula>
    </cfRule>
    <cfRule type="cellIs" dxfId="570" priority="954" stopIfTrue="1" operator="greaterThanOrEqual">
      <formula>9000</formula>
    </cfRule>
  </conditionalFormatting>
  <conditionalFormatting sqref="P20:S20">
    <cfRule type="cellIs" dxfId="569" priority="961" stopIfTrue="1" operator="lessThanOrEqual">
      <formula>3000</formula>
    </cfRule>
    <cfRule type="cellIs" dxfId="568" priority="962" stopIfTrue="1" operator="between">
      <formula>3000</formula>
      <formula>9000</formula>
    </cfRule>
    <cfRule type="cellIs" dxfId="567" priority="963" stopIfTrue="1" operator="greaterThanOrEqual">
      <formula>9000</formula>
    </cfRule>
  </conditionalFormatting>
  <conditionalFormatting sqref="E20:H20">
    <cfRule type="cellIs" dxfId="566" priority="970" stopIfTrue="1" operator="lessThanOrEqual">
      <formula>3000</formula>
    </cfRule>
    <cfRule type="cellIs" dxfId="565" priority="971" stopIfTrue="1" operator="between">
      <formula>3000</formula>
      <formula>9000</formula>
    </cfRule>
    <cfRule type="cellIs" dxfId="564" priority="972" stopIfTrue="1" operator="greaterThanOrEqual">
      <formula>9000</formula>
    </cfRule>
  </conditionalFormatting>
  <conditionalFormatting sqref="J14:M14">
    <cfRule type="cellIs" dxfId="563" priority="979" stopIfTrue="1" operator="lessThanOrEqual">
      <formula>3000</formula>
    </cfRule>
    <cfRule type="cellIs" dxfId="562" priority="980" stopIfTrue="1" operator="between">
      <formula>3000</formula>
      <formula>9000</formula>
    </cfRule>
    <cfRule type="cellIs" dxfId="561" priority="981" stopIfTrue="1" operator="greaterThanOrEqual">
      <formula>9000</formula>
    </cfRule>
  </conditionalFormatting>
  <conditionalFormatting sqref="O8">
    <cfRule type="cellIs" dxfId="560" priority="988" stopIfTrue="1" operator="lessThanOrEqual">
      <formula>3000</formula>
    </cfRule>
    <cfRule type="cellIs" dxfId="559" priority="989" stopIfTrue="1" operator="between">
      <formula>3000</formula>
      <formula>9000</formula>
    </cfRule>
    <cfRule type="cellIs" dxfId="558" priority="990" stopIfTrue="1" operator="greaterThanOrEqual">
      <formula>9000</formula>
    </cfRule>
  </conditionalFormatting>
  <conditionalFormatting sqref="J56:M56">
    <cfRule type="cellIs" dxfId="557" priority="751" stopIfTrue="1" operator="lessThanOrEqual">
      <formula>3000</formula>
    </cfRule>
    <cfRule type="cellIs" dxfId="556" priority="752" stopIfTrue="1" operator="between">
      <formula>3000</formula>
      <formula>9000</formula>
    </cfRule>
    <cfRule type="cellIs" dxfId="555" priority="753" stopIfTrue="1" operator="greaterThanOrEqual">
      <formula>9000</formula>
    </cfRule>
  </conditionalFormatting>
  <conditionalFormatting sqref="E56:H56">
    <cfRule type="cellIs" dxfId="554" priority="754" stopIfTrue="1" operator="lessThanOrEqual">
      <formula>3000</formula>
    </cfRule>
    <cfRule type="cellIs" dxfId="553" priority="755" stopIfTrue="1" operator="between">
      <formula>3000</formula>
      <formula>9000</formula>
    </cfRule>
    <cfRule type="cellIs" dxfId="552" priority="756" stopIfTrue="1" operator="greaterThanOrEqual">
      <formula>9000</formula>
    </cfRule>
  </conditionalFormatting>
  <conditionalFormatting sqref="J50:M50">
    <cfRule type="cellIs" dxfId="551" priority="763" stopIfTrue="1" operator="lessThanOrEqual">
      <formula>3000</formula>
    </cfRule>
    <cfRule type="cellIs" dxfId="550" priority="764" stopIfTrue="1" operator="between">
      <formula>3000</formula>
      <formula>9000</formula>
    </cfRule>
    <cfRule type="cellIs" dxfId="549" priority="765" stopIfTrue="1" operator="greaterThanOrEqual">
      <formula>9000</formula>
    </cfRule>
  </conditionalFormatting>
  <conditionalFormatting sqref="P44:S44">
    <cfRule type="cellIs" dxfId="548" priority="913" stopIfTrue="1" operator="lessThanOrEqual">
      <formula>3000</formula>
    </cfRule>
    <cfRule type="cellIs" dxfId="547" priority="914" stopIfTrue="1" operator="between">
      <formula>3000</formula>
      <formula>9000</formula>
    </cfRule>
    <cfRule type="cellIs" dxfId="546" priority="915" stopIfTrue="1" operator="greaterThanOrEqual">
      <formula>9000</formula>
    </cfRule>
  </conditionalFormatting>
  <conditionalFormatting sqref="E44:H44">
    <cfRule type="cellIs" dxfId="545" priority="922" stopIfTrue="1" operator="lessThanOrEqual">
      <formula>3000</formula>
    </cfRule>
    <cfRule type="cellIs" dxfId="544" priority="923" stopIfTrue="1" operator="between">
      <formula>3000</formula>
      <formula>9000</formula>
    </cfRule>
    <cfRule type="cellIs" dxfId="543" priority="924" stopIfTrue="1" operator="greaterThanOrEqual">
      <formula>9000</formula>
    </cfRule>
  </conditionalFormatting>
  <conditionalFormatting sqref="J38:M38">
    <cfRule type="cellIs" dxfId="542" priority="931" stopIfTrue="1" operator="lessThanOrEqual">
      <formula>3000</formula>
    </cfRule>
    <cfRule type="cellIs" dxfId="541" priority="932" stopIfTrue="1" operator="between">
      <formula>3000</formula>
      <formula>9000</formula>
    </cfRule>
    <cfRule type="cellIs" dxfId="540" priority="933" stopIfTrue="1" operator="greaterThanOrEqual">
      <formula>9000</formula>
    </cfRule>
  </conditionalFormatting>
  <conditionalFormatting sqref="O32">
    <cfRule type="cellIs" dxfId="539" priority="940" stopIfTrue="1" operator="lessThanOrEqual">
      <formula>3000</formula>
    </cfRule>
    <cfRule type="cellIs" dxfId="538" priority="941" stopIfTrue="1" operator="between">
      <formula>3000</formula>
      <formula>9000</formula>
    </cfRule>
    <cfRule type="cellIs" dxfId="537" priority="942" stopIfTrue="1" operator="greaterThanOrEqual">
      <formula>9000</formula>
    </cfRule>
  </conditionalFormatting>
  <conditionalFormatting sqref="O38">
    <cfRule type="cellIs" dxfId="536" priority="928" stopIfTrue="1" operator="lessThanOrEqual">
      <formula>3000</formula>
    </cfRule>
    <cfRule type="cellIs" dxfId="535" priority="929" stopIfTrue="1" operator="between">
      <formula>3000</formula>
      <formula>9000</formula>
    </cfRule>
    <cfRule type="cellIs" dxfId="534" priority="930" stopIfTrue="1" operator="greaterThanOrEqual">
      <formula>9000</formula>
    </cfRule>
  </conditionalFormatting>
  <conditionalFormatting sqref="P32:S32">
    <cfRule type="cellIs" dxfId="533" priority="937" stopIfTrue="1" operator="lessThanOrEqual">
      <formula>3000</formula>
    </cfRule>
    <cfRule type="cellIs" dxfId="532" priority="938" stopIfTrue="1" operator="between">
      <formula>3000</formula>
      <formula>9000</formula>
    </cfRule>
    <cfRule type="cellIs" dxfId="531" priority="939" stopIfTrue="1" operator="greaterThanOrEqual">
      <formula>9000</formula>
    </cfRule>
  </conditionalFormatting>
  <conditionalFormatting sqref="E32:H32">
    <cfRule type="cellIs" dxfId="530" priority="946" stopIfTrue="1" operator="lessThanOrEqual">
      <formula>3000</formula>
    </cfRule>
    <cfRule type="cellIs" dxfId="529" priority="947" stopIfTrue="1" operator="between">
      <formula>3000</formula>
      <formula>9000</formula>
    </cfRule>
    <cfRule type="cellIs" dxfId="528" priority="948" stopIfTrue="1" operator="greaterThanOrEqual">
      <formula>9000</formula>
    </cfRule>
  </conditionalFormatting>
  <conditionalFormatting sqref="J26:M26">
    <cfRule type="cellIs" dxfId="527" priority="955" stopIfTrue="1" operator="lessThanOrEqual">
      <formula>3000</formula>
    </cfRule>
    <cfRule type="cellIs" dxfId="526" priority="956" stopIfTrue="1" operator="between">
      <formula>3000</formula>
      <formula>9000</formula>
    </cfRule>
    <cfRule type="cellIs" dxfId="525" priority="957" stopIfTrue="1" operator="greaterThanOrEqual">
      <formula>9000</formula>
    </cfRule>
  </conditionalFormatting>
  <conditionalFormatting sqref="P14:S14">
    <cfRule type="cellIs" dxfId="524" priority="973" stopIfTrue="1" operator="lessThanOrEqual">
      <formula>3000</formula>
    </cfRule>
    <cfRule type="cellIs" dxfId="523" priority="974" stopIfTrue="1" operator="between">
      <formula>3000</formula>
      <formula>9000</formula>
    </cfRule>
    <cfRule type="cellIs" dxfId="522" priority="975" stopIfTrue="1" operator="greaterThanOrEqual">
      <formula>9000</formula>
    </cfRule>
  </conditionalFormatting>
  <conditionalFormatting sqref="E14:H14">
    <cfRule type="cellIs" dxfId="521" priority="982" stopIfTrue="1" operator="lessThanOrEqual">
      <formula>3000</formula>
    </cfRule>
    <cfRule type="cellIs" dxfId="520" priority="983" stopIfTrue="1" operator="between">
      <formula>3000</formula>
      <formula>9000</formula>
    </cfRule>
    <cfRule type="cellIs" dxfId="519" priority="984" stopIfTrue="1" operator="greaterThanOrEqual">
      <formula>9000</formula>
    </cfRule>
  </conditionalFormatting>
  <conditionalFormatting sqref="J8:M8">
    <cfRule type="cellIs" dxfId="518" priority="991" stopIfTrue="1" operator="lessThanOrEqual">
      <formula>3000</formula>
    </cfRule>
    <cfRule type="cellIs" dxfId="517" priority="992" stopIfTrue="1" operator="between">
      <formula>3000</formula>
      <formula>9000</formula>
    </cfRule>
    <cfRule type="cellIs" dxfId="516" priority="993" stopIfTrue="1" operator="greaterThanOrEqual">
      <formula>9000</formula>
    </cfRule>
  </conditionalFormatting>
  <conditionalFormatting sqref="E128:H128">
    <cfRule type="cellIs" dxfId="515" priority="586" stopIfTrue="1" operator="lessThanOrEqual">
      <formula>3000</formula>
    </cfRule>
    <cfRule type="cellIs" dxfId="514" priority="587" stopIfTrue="1" operator="between">
      <formula>3000</formula>
      <formula>9000</formula>
    </cfRule>
    <cfRule type="cellIs" dxfId="513" priority="588" stopIfTrue="1" operator="greaterThanOrEqual">
      <formula>9000</formula>
    </cfRule>
  </conditionalFormatting>
  <conditionalFormatting sqref="J128:M128">
    <cfRule type="cellIs" dxfId="512" priority="583" stopIfTrue="1" operator="lessThanOrEqual">
      <formula>3000</formula>
    </cfRule>
    <cfRule type="cellIs" dxfId="511" priority="584" stopIfTrue="1" operator="between">
      <formula>3000</formula>
      <formula>9000</formula>
    </cfRule>
    <cfRule type="cellIs" dxfId="510" priority="585" stopIfTrue="1" operator="greaterThanOrEqual">
      <formula>9000</formula>
    </cfRule>
  </conditionalFormatting>
  <conditionalFormatting sqref="O128">
    <cfRule type="cellIs" dxfId="509" priority="580" stopIfTrue="1" operator="lessThanOrEqual">
      <formula>3000</formula>
    </cfRule>
    <cfRule type="cellIs" dxfId="508" priority="581" stopIfTrue="1" operator="between">
      <formula>3000</formula>
      <formula>9000</formula>
    </cfRule>
    <cfRule type="cellIs" dxfId="507" priority="582" stopIfTrue="1" operator="greaterThanOrEqual">
      <formula>9000</formula>
    </cfRule>
  </conditionalFormatting>
  <conditionalFormatting sqref="P128:S128">
    <cfRule type="cellIs" dxfId="506" priority="577" stopIfTrue="1" operator="lessThanOrEqual">
      <formula>3000</formula>
    </cfRule>
    <cfRule type="cellIs" dxfId="505" priority="578" stopIfTrue="1" operator="between">
      <formula>3000</formula>
      <formula>9000</formula>
    </cfRule>
    <cfRule type="cellIs" dxfId="504" priority="579" stopIfTrue="1" operator="greaterThanOrEqual">
      <formula>9000</formula>
    </cfRule>
  </conditionalFormatting>
  <conditionalFormatting sqref="E26:H26">
    <cfRule type="cellIs" dxfId="503" priority="958" stopIfTrue="1" operator="lessThanOrEqual">
      <formula>3000</formula>
    </cfRule>
    <cfRule type="cellIs" dxfId="502" priority="959" stopIfTrue="1" operator="between">
      <formula>3000</formula>
      <formula>9000</formula>
    </cfRule>
    <cfRule type="cellIs" dxfId="501" priority="960" stopIfTrue="1" operator="greaterThanOrEqual">
      <formula>9000</formula>
    </cfRule>
  </conditionalFormatting>
  <conditionalFormatting sqref="P26:S26">
    <cfRule type="cellIs" dxfId="500" priority="949" stopIfTrue="1" operator="lessThanOrEqual">
      <formula>3000</formula>
    </cfRule>
    <cfRule type="cellIs" dxfId="499" priority="950" stopIfTrue="1" operator="between">
      <formula>3000</formula>
      <formula>9000</formula>
    </cfRule>
    <cfRule type="cellIs" dxfId="498" priority="951" stopIfTrue="1" operator="greaterThanOrEqual">
      <formula>9000</formula>
    </cfRule>
  </conditionalFormatting>
  <conditionalFormatting sqref="O44">
    <cfRule type="cellIs" dxfId="497" priority="916" stopIfTrue="1" operator="lessThanOrEqual">
      <formula>3000</formula>
    </cfRule>
    <cfRule type="cellIs" dxfId="496" priority="917" stopIfTrue="1" operator="between">
      <formula>3000</formula>
      <formula>9000</formula>
    </cfRule>
    <cfRule type="cellIs" dxfId="495" priority="918" stopIfTrue="1" operator="greaterThanOrEqual">
      <formula>9000</formula>
    </cfRule>
  </conditionalFormatting>
  <conditionalFormatting sqref="E50:H50">
    <cfRule type="cellIs" dxfId="494" priority="766" stopIfTrue="1" operator="lessThanOrEqual">
      <formula>3000</formula>
    </cfRule>
    <cfRule type="cellIs" dxfId="493" priority="767" stopIfTrue="1" operator="between">
      <formula>3000</formula>
      <formula>9000</formula>
    </cfRule>
    <cfRule type="cellIs" dxfId="492" priority="768" stopIfTrue="1" operator="greaterThanOrEqual">
      <formula>9000</formula>
    </cfRule>
  </conditionalFormatting>
  <conditionalFormatting sqref="O50">
    <cfRule type="cellIs" dxfId="491" priority="760" stopIfTrue="1" operator="lessThanOrEqual">
      <formula>3000</formula>
    </cfRule>
    <cfRule type="cellIs" dxfId="490" priority="761" stopIfTrue="1" operator="between">
      <formula>3000</formula>
      <formula>9000</formula>
    </cfRule>
    <cfRule type="cellIs" dxfId="489" priority="762" stopIfTrue="1" operator="greaterThanOrEqual">
      <formula>9000</formula>
    </cfRule>
  </conditionalFormatting>
  <conditionalFormatting sqref="P50:S50">
    <cfRule type="cellIs" dxfId="488" priority="757" stopIfTrue="1" operator="lessThanOrEqual">
      <formula>3000</formula>
    </cfRule>
    <cfRule type="cellIs" dxfId="487" priority="758" stopIfTrue="1" operator="between">
      <formula>3000</formula>
      <formula>9000</formula>
    </cfRule>
    <cfRule type="cellIs" dxfId="486" priority="759" stopIfTrue="1" operator="greaterThanOrEqual">
      <formula>9000</formula>
    </cfRule>
  </conditionalFormatting>
  <conditionalFormatting sqref="J62:M62">
    <cfRule type="cellIs" dxfId="485" priority="739" stopIfTrue="1" operator="lessThanOrEqual">
      <formula>3000</formula>
    </cfRule>
    <cfRule type="cellIs" dxfId="484" priority="740" stopIfTrue="1" operator="between">
      <formula>3000</formula>
      <formula>9000</formula>
    </cfRule>
    <cfRule type="cellIs" dxfId="483" priority="741" stopIfTrue="1" operator="greaterThanOrEqual">
      <formula>9000</formula>
    </cfRule>
  </conditionalFormatting>
  <conditionalFormatting sqref="O56">
    <cfRule type="cellIs" dxfId="482" priority="748" stopIfTrue="1" operator="lessThanOrEqual">
      <formula>3000</formula>
    </cfRule>
    <cfRule type="cellIs" dxfId="481" priority="749" stopIfTrue="1" operator="between">
      <formula>3000</formula>
      <formula>9000</formula>
    </cfRule>
    <cfRule type="cellIs" dxfId="480" priority="750" stopIfTrue="1" operator="greaterThanOrEqual">
      <formula>9000</formula>
    </cfRule>
  </conditionalFormatting>
  <conditionalFormatting sqref="E62:H62">
    <cfRule type="cellIs" dxfId="479" priority="742" stopIfTrue="1" operator="lessThanOrEqual">
      <formula>3000</formula>
    </cfRule>
    <cfRule type="cellIs" dxfId="478" priority="743" stopIfTrue="1" operator="between">
      <formula>3000</formula>
      <formula>9000</formula>
    </cfRule>
    <cfRule type="cellIs" dxfId="477" priority="744" stopIfTrue="1" operator="greaterThanOrEqual">
      <formula>9000</formula>
    </cfRule>
  </conditionalFormatting>
  <conditionalFormatting sqref="P56:S56">
    <cfRule type="cellIs" dxfId="476" priority="745" stopIfTrue="1" operator="lessThanOrEqual">
      <formula>3000</formula>
    </cfRule>
    <cfRule type="cellIs" dxfId="475" priority="746" stopIfTrue="1" operator="between">
      <formula>3000</formula>
      <formula>9000</formula>
    </cfRule>
    <cfRule type="cellIs" dxfId="474" priority="747" stopIfTrue="1" operator="greaterThanOrEqual">
      <formula>9000</formula>
    </cfRule>
  </conditionalFormatting>
  <conditionalFormatting sqref="E68:H68">
    <cfRule type="cellIs" dxfId="473" priority="730" stopIfTrue="1" operator="lessThanOrEqual">
      <formula>3000</formula>
    </cfRule>
    <cfRule type="cellIs" dxfId="472" priority="731" stopIfTrue="1" operator="between">
      <formula>3000</formula>
      <formula>9000</formula>
    </cfRule>
    <cfRule type="cellIs" dxfId="471" priority="732" stopIfTrue="1" operator="greaterThanOrEqual">
      <formula>9000</formula>
    </cfRule>
  </conditionalFormatting>
  <conditionalFormatting sqref="J68:M68">
    <cfRule type="cellIs" dxfId="470" priority="727" stopIfTrue="1" operator="lessThanOrEqual">
      <formula>3000</formula>
    </cfRule>
    <cfRule type="cellIs" dxfId="469" priority="728" stopIfTrue="1" operator="between">
      <formula>3000</formula>
      <formula>9000</formula>
    </cfRule>
    <cfRule type="cellIs" dxfId="468" priority="729" stopIfTrue="1" operator="greaterThanOrEqual">
      <formula>9000</formula>
    </cfRule>
  </conditionalFormatting>
  <conditionalFormatting sqref="O62">
    <cfRule type="cellIs" dxfId="467" priority="736" stopIfTrue="1" operator="lessThanOrEqual">
      <formula>3000</formula>
    </cfRule>
    <cfRule type="cellIs" dxfId="466" priority="737" stopIfTrue="1" operator="between">
      <formula>3000</formula>
      <formula>9000</formula>
    </cfRule>
    <cfRule type="cellIs" dxfId="465" priority="738" stopIfTrue="1" operator="greaterThanOrEqual">
      <formula>9000</formula>
    </cfRule>
  </conditionalFormatting>
  <conditionalFormatting sqref="P62:S62">
    <cfRule type="cellIs" dxfId="464" priority="733" stopIfTrue="1" operator="lessThanOrEqual">
      <formula>3000</formula>
    </cfRule>
    <cfRule type="cellIs" dxfId="463" priority="734" stopIfTrue="1" operator="between">
      <formula>3000</formula>
      <formula>9000</formula>
    </cfRule>
    <cfRule type="cellIs" dxfId="462" priority="735" stopIfTrue="1" operator="greaterThanOrEqual">
      <formula>9000</formula>
    </cfRule>
  </conditionalFormatting>
  <conditionalFormatting sqref="O68">
    <cfRule type="cellIs" dxfId="461" priority="724" stopIfTrue="1" operator="lessThanOrEqual">
      <formula>3000</formula>
    </cfRule>
    <cfRule type="cellIs" dxfId="460" priority="725" stopIfTrue="1" operator="between">
      <formula>3000</formula>
      <formula>9000</formula>
    </cfRule>
    <cfRule type="cellIs" dxfId="459" priority="726" stopIfTrue="1" operator="greaterThanOrEqual">
      <formula>9000</formula>
    </cfRule>
  </conditionalFormatting>
  <conditionalFormatting sqref="P68:S68">
    <cfRule type="cellIs" dxfId="458" priority="721" stopIfTrue="1" operator="lessThanOrEqual">
      <formula>3000</formula>
    </cfRule>
    <cfRule type="cellIs" dxfId="457" priority="722" stopIfTrue="1" operator="between">
      <formula>3000</formula>
      <formula>9000</formula>
    </cfRule>
    <cfRule type="cellIs" dxfId="456" priority="723" stopIfTrue="1" operator="greaterThanOrEqual">
      <formula>9000</formula>
    </cfRule>
  </conditionalFormatting>
  <conditionalFormatting sqref="E74:H74">
    <cfRule type="cellIs" dxfId="455" priority="718" stopIfTrue="1" operator="lessThanOrEqual">
      <formula>3000</formula>
    </cfRule>
    <cfRule type="cellIs" dxfId="454" priority="719" stopIfTrue="1" operator="between">
      <formula>3000</formula>
      <formula>9000</formula>
    </cfRule>
    <cfRule type="cellIs" dxfId="453" priority="720" stopIfTrue="1" operator="greaterThanOrEqual">
      <formula>9000</formula>
    </cfRule>
  </conditionalFormatting>
  <conditionalFormatting sqref="J74:M74">
    <cfRule type="cellIs" dxfId="452" priority="715" stopIfTrue="1" operator="lessThanOrEqual">
      <formula>3000</formula>
    </cfRule>
    <cfRule type="cellIs" dxfId="451" priority="716" stopIfTrue="1" operator="between">
      <formula>3000</formula>
      <formula>9000</formula>
    </cfRule>
    <cfRule type="cellIs" dxfId="450" priority="717" stopIfTrue="1" operator="greaterThanOrEqual">
      <formula>9000</formula>
    </cfRule>
  </conditionalFormatting>
  <conditionalFormatting sqref="O74">
    <cfRule type="cellIs" dxfId="449" priority="712" stopIfTrue="1" operator="lessThanOrEqual">
      <formula>3000</formula>
    </cfRule>
    <cfRule type="cellIs" dxfId="448" priority="713" stopIfTrue="1" operator="between">
      <formula>3000</formula>
      <formula>9000</formula>
    </cfRule>
    <cfRule type="cellIs" dxfId="447" priority="714" stopIfTrue="1" operator="greaterThanOrEqual">
      <formula>9000</formula>
    </cfRule>
  </conditionalFormatting>
  <conditionalFormatting sqref="P74:S74">
    <cfRule type="cellIs" dxfId="446" priority="709" stopIfTrue="1" operator="lessThanOrEqual">
      <formula>3000</formula>
    </cfRule>
    <cfRule type="cellIs" dxfId="445" priority="710" stopIfTrue="1" operator="between">
      <formula>3000</formula>
      <formula>9000</formula>
    </cfRule>
    <cfRule type="cellIs" dxfId="444" priority="711" stopIfTrue="1" operator="greaterThanOrEqual">
      <formula>9000</formula>
    </cfRule>
  </conditionalFormatting>
  <conditionalFormatting sqref="E80:H80">
    <cfRule type="cellIs" dxfId="443" priority="706" stopIfTrue="1" operator="lessThanOrEqual">
      <formula>3000</formula>
    </cfRule>
    <cfRule type="cellIs" dxfId="442" priority="707" stopIfTrue="1" operator="between">
      <formula>3000</formula>
      <formula>9000</formula>
    </cfRule>
    <cfRule type="cellIs" dxfId="441" priority="708" stopIfTrue="1" operator="greaterThanOrEqual">
      <formula>9000</formula>
    </cfRule>
  </conditionalFormatting>
  <conditionalFormatting sqref="J80:M80">
    <cfRule type="cellIs" dxfId="440" priority="703" stopIfTrue="1" operator="lessThanOrEqual">
      <formula>3000</formula>
    </cfRule>
    <cfRule type="cellIs" dxfId="439" priority="704" stopIfTrue="1" operator="between">
      <formula>3000</formula>
      <formula>9000</formula>
    </cfRule>
    <cfRule type="cellIs" dxfId="438" priority="705" stopIfTrue="1" operator="greaterThanOrEqual">
      <formula>9000</formula>
    </cfRule>
  </conditionalFormatting>
  <conditionalFormatting sqref="O80">
    <cfRule type="cellIs" dxfId="437" priority="700" stopIfTrue="1" operator="lessThanOrEqual">
      <formula>3000</formula>
    </cfRule>
    <cfRule type="cellIs" dxfId="436" priority="701" stopIfTrue="1" operator="between">
      <formula>3000</formula>
      <formula>9000</formula>
    </cfRule>
    <cfRule type="cellIs" dxfId="435" priority="702" stopIfTrue="1" operator="greaterThanOrEqual">
      <formula>9000</formula>
    </cfRule>
  </conditionalFormatting>
  <conditionalFormatting sqref="P80:S80">
    <cfRule type="cellIs" dxfId="434" priority="697" stopIfTrue="1" operator="lessThanOrEqual">
      <formula>3000</formula>
    </cfRule>
    <cfRule type="cellIs" dxfId="433" priority="698" stopIfTrue="1" operator="between">
      <formula>3000</formula>
      <formula>9000</formula>
    </cfRule>
    <cfRule type="cellIs" dxfId="432" priority="699" stopIfTrue="1" operator="greaterThanOrEqual">
      <formula>9000</formula>
    </cfRule>
  </conditionalFormatting>
  <conditionalFormatting sqref="E86:H86">
    <cfRule type="cellIs" dxfId="431" priority="694" stopIfTrue="1" operator="lessThanOrEqual">
      <formula>3000</formula>
    </cfRule>
    <cfRule type="cellIs" dxfId="430" priority="695" stopIfTrue="1" operator="between">
      <formula>3000</formula>
      <formula>9000</formula>
    </cfRule>
    <cfRule type="cellIs" dxfId="429" priority="696" stopIfTrue="1" operator="greaterThanOrEqual">
      <formula>9000</formula>
    </cfRule>
  </conditionalFormatting>
  <conditionalFormatting sqref="J86:M86">
    <cfRule type="cellIs" dxfId="428" priority="691" stopIfTrue="1" operator="lessThanOrEqual">
      <formula>3000</formula>
    </cfRule>
    <cfRule type="cellIs" dxfId="427" priority="692" stopIfTrue="1" operator="between">
      <formula>3000</formula>
      <formula>9000</formula>
    </cfRule>
    <cfRule type="cellIs" dxfId="426" priority="693" stopIfTrue="1" operator="greaterThanOrEqual">
      <formula>9000</formula>
    </cfRule>
  </conditionalFormatting>
  <conditionalFormatting sqref="O86">
    <cfRule type="cellIs" dxfId="425" priority="688" stopIfTrue="1" operator="lessThanOrEqual">
      <formula>3000</formula>
    </cfRule>
    <cfRule type="cellIs" dxfId="424" priority="689" stopIfTrue="1" operator="between">
      <formula>3000</formula>
      <formula>9000</formula>
    </cfRule>
    <cfRule type="cellIs" dxfId="423" priority="690" stopIfTrue="1" operator="greaterThanOrEqual">
      <formula>9000</formula>
    </cfRule>
  </conditionalFormatting>
  <conditionalFormatting sqref="P86:S86">
    <cfRule type="cellIs" dxfId="422" priority="685" stopIfTrue="1" operator="lessThanOrEqual">
      <formula>3000</formula>
    </cfRule>
    <cfRule type="cellIs" dxfId="421" priority="686" stopIfTrue="1" operator="between">
      <formula>3000</formula>
      <formula>9000</formula>
    </cfRule>
    <cfRule type="cellIs" dxfId="420" priority="687" stopIfTrue="1" operator="greaterThanOrEqual">
      <formula>9000</formula>
    </cfRule>
  </conditionalFormatting>
  <conditionalFormatting sqref="E92:H92">
    <cfRule type="cellIs" dxfId="419" priority="682" stopIfTrue="1" operator="lessThanOrEqual">
      <formula>3000</formula>
    </cfRule>
    <cfRule type="cellIs" dxfId="418" priority="683" stopIfTrue="1" operator="between">
      <formula>3000</formula>
      <formula>9000</formula>
    </cfRule>
    <cfRule type="cellIs" dxfId="417" priority="684" stopIfTrue="1" operator="greaterThanOrEqual">
      <formula>9000</formula>
    </cfRule>
  </conditionalFormatting>
  <conditionalFormatting sqref="J92:M92">
    <cfRule type="cellIs" dxfId="416" priority="679" stopIfTrue="1" operator="lessThanOrEqual">
      <formula>3000</formula>
    </cfRule>
    <cfRule type="cellIs" dxfId="415" priority="680" stopIfTrue="1" operator="between">
      <formula>3000</formula>
      <formula>9000</formula>
    </cfRule>
    <cfRule type="cellIs" dxfId="414" priority="681" stopIfTrue="1" operator="greaterThanOrEqual">
      <formula>9000</formula>
    </cfRule>
  </conditionalFormatting>
  <conditionalFormatting sqref="O92">
    <cfRule type="cellIs" dxfId="413" priority="676" stopIfTrue="1" operator="lessThanOrEqual">
      <formula>3000</formula>
    </cfRule>
    <cfRule type="cellIs" dxfId="412" priority="677" stopIfTrue="1" operator="between">
      <formula>3000</formula>
      <formula>9000</formula>
    </cfRule>
    <cfRule type="cellIs" dxfId="411" priority="678" stopIfTrue="1" operator="greaterThanOrEqual">
      <formula>9000</formula>
    </cfRule>
  </conditionalFormatting>
  <conditionalFormatting sqref="P92:S92">
    <cfRule type="cellIs" dxfId="410" priority="673" stopIfTrue="1" operator="lessThanOrEqual">
      <formula>3000</formula>
    </cfRule>
    <cfRule type="cellIs" dxfId="409" priority="674" stopIfTrue="1" operator="between">
      <formula>3000</formula>
      <formula>9000</formula>
    </cfRule>
    <cfRule type="cellIs" dxfId="408" priority="675" stopIfTrue="1" operator="greaterThanOrEqual">
      <formula>9000</formula>
    </cfRule>
  </conditionalFormatting>
  <conditionalFormatting sqref="E98:H98">
    <cfRule type="cellIs" dxfId="407" priority="670" stopIfTrue="1" operator="lessThanOrEqual">
      <formula>3000</formula>
    </cfRule>
    <cfRule type="cellIs" dxfId="406" priority="671" stopIfTrue="1" operator="between">
      <formula>3000</formula>
      <formula>9000</formula>
    </cfRule>
    <cfRule type="cellIs" dxfId="405" priority="672" stopIfTrue="1" operator="greaterThanOrEqual">
      <formula>9000</formula>
    </cfRule>
  </conditionalFormatting>
  <conditionalFormatting sqref="J98:M98">
    <cfRule type="cellIs" dxfId="404" priority="667" stopIfTrue="1" operator="lessThanOrEqual">
      <formula>3000</formula>
    </cfRule>
    <cfRule type="cellIs" dxfId="403" priority="668" stopIfTrue="1" operator="between">
      <formula>3000</formula>
      <formula>9000</formula>
    </cfRule>
    <cfRule type="cellIs" dxfId="402" priority="669" stopIfTrue="1" operator="greaterThanOrEqual">
      <formula>9000</formula>
    </cfRule>
  </conditionalFormatting>
  <conditionalFormatting sqref="O98">
    <cfRule type="cellIs" dxfId="401" priority="664" stopIfTrue="1" operator="lessThanOrEqual">
      <formula>3000</formula>
    </cfRule>
    <cfRule type="cellIs" dxfId="400" priority="665" stopIfTrue="1" operator="between">
      <formula>3000</formula>
      <formula>9000</formula>
    </cfRule>
    <cfRule type="cellIs" dxfId="399" priority="666" stopIfTrue="1" operator="greaterThanOrEqual">
      <formula>9000</formula>
    </cfRule>
  </conditionalFormatting>
  <conditionalFormatting sqref="P98:S98">
    <cfRule type="cellIs" dxfId="398" priority="661" stopIfTrue="1" operator="lessThanOrEqual">
      <formula>3000</formula>
    </cfRule>
    <cfRule type="cellIs" dxfId="397" priority="662" stopIfTrue="1" operator="between">
      <formula>3000</formula>
      <formula>9000</formula>
    </cfRule>
    <cfRule type="cellIs" dxfId="396" priority="663" stopIfTrue="1" operator="greaterThanOrEqual">
      <formula>9000</formula>
    </cfRule>
  </conditionalFormatting>
  <conditionalFormatting sqref="E104:H104">
    <cfRule type="cellIs" dxfId="395" priority="658" stopIfTrue="1" operator="lessThanOrEqual">
      <formula>3000</formula>
    </cfRule>
    <cfRule type="cellIs" dxfId="394" priority="659" stopIfTrue="1" operator="between">
      <formula>3000</formula>
      <formula>9000</formula>
    </cfRule>
    <cfRule type="cellIs" dxfId="393" priority="660" stopIfTrue="1" operator="greaterThanOrEqual">
      <formula>9000</formula>
    </cfRule>
  </conditionalFormatting>
  <conditionalFormatting sqref="J104:M104">
    <cfRule type="cellIs" dxfId="392" priority="655" stopIfTrue="1" operator="lessThanOrEqual">
      <formula>3000</formula>
    </cfRule>
    <cfRule type="cellIs" dxfId="391" priority="656" stopIfTrue="1" operator="between">
      <formula>3000</formula>
      <formula>9000</formula>
    </cfRule>
    <cfRule type="cellIs" dxfId="390" priority="657" stopIfTrue="1" operator="greaterThanOrEqual">
      <formula>9000</formula>
    </cfRule>
  </conditionalFormatting>
  <conditionalFormatting sqref="O104">
    <cfRule type="cellIs" dxfId="389" priority="652" stopIfTrue="1" operator="lessThanOrEqual">
      <formula>3000</formula>
    </cfRule>
    <cfRule type="cellIs" dxfId="388" priority="653" stopIfTrue="1" operator="between">
      <formula>3000</formula>
      <formula>9000</formula>
    </cfRule>
    <cfRule type="cellIs" dxfId="387" priority="654" stopIfTrue="1" operator="greaterThanOrEqual">
      <formula>9000</formula>
    </cfRule>
  </conditionalFormatting>
  <conditionalFormatting sqref="P104:S104">
    <cfRule type="cellIs" dxfId="386" priority="649" stopIfTrue="1" operator="lessThanOrEqual">
      <formula>3000</formula>
    </cfRule>
    <cfRule type="cellIs" dxfId="385" priority="650" stopIfTrue="1" operator="between">
      <formula>3000</formula>
      <formula>9000</formula>
    </cfRule>
    <cfRule type="cellIs" dxfId="384" priority="651" stopIfTrue="1" operator="greaterThanOrEqual">
      <formula>9000</formula>
    </cfRule>
  </conditionalFormatting>
  <conditionalFormatting sqref="E110:H110">
    <cfRule type="cellIs" dxfId="383" priority="622" stopIfTrue="1" operator="lessThanOrEqual">
      <formula>3000</formula>
    </cfRule>
    <cfRule type="cellIs" dxfId="382" priority="623" stopIfTrue="1" operator="between">
      <formula>3000</formula>
      <formula>9000</formula>
    </cfRule>
    <cfRule type="cellIs" dxfId="381" priority="624" stopIfTrue="1" operator="greaterThanOrEqual">
      <formula>9000</formula>
    </cfRule>
  </conditionalFormatting>
  <conditionalFormatting sqref="J110:M110">
    <cfRule type="cellIs" dxfId="380" priority="619" stopIfTrue="1" operator="lessThanOrEqual">
      <formula>3000</formula>
    </cfRule>
    <cfRule type="cellIs" dxfId="379" priority="620" stopIfTrue="1" operator="between">
      <formula>3000</formula>
      <formula>9000</formula>
    </cfRule>
    <cfRule type="cellIs" dxfId="378" priority="621" stopIfTrue="1" operator="greaterThanOrEqual">
      <formula>9000</formula>
    </cfRule>
  </conditionalFormatting>
  <conditionalFormatting sqref="O110">
    <cfRule type="cellIs" dxfId="377" priority="616" stopIfTrue="1" operator="lessThanOrEqual">
      <formula>3000</formula>
    </cfRule>
    <cfRule type="cellIs" dxfId="376" priority="617" stopIfTrue="1" operator="between">
      <formula>3000</formula>
      <formula>9000</formula>
    </cfRule>
    <cfRule type="cellIs" dxfId="375" priority="618" stopIfTrue="1" operator="greaterThanOrEqual">
      <formula>9000</formula>
    </cfRule>
  </conditionalFormatting>
  <conditionalFormatting sqref="P110:S110">
    <cfRule type="cellIs" dxfId="374" priority="613" stopIfTrue="1" operator="lessThanOrEqual">
      <formula>3000</formula>
    </cfRule>
    <cfRule type="cellIs" dxfId="373" priority="614" stopIfTrue="1" operator="between">
      <formula>3000</formula>
      <formula>9000</formula>
    </cfRule>
    <cfRule type="cellIs" dxfId="372" priority="615" stopIfTrue="1" operator="greaterThanOrEqual">
      <formula>9000</formula>
    </cfRule>
  </conditionalFormatting>
  <conditionalFormatting sqref="E116:H116">
    <cfRule type="cellIs" dxfId="371" priority="610" stopIfTrue="1" operator="lessThanOrEqual">
      <formula>3000</formula>
    </cfRule>
    <cfRule type="cellIs" dxfId="370" priority="611" stopIfTrue="1" operator="between">
      <formula>3000</formula>
      <formula>9000</formula>
    </cfRule>
    <cfRule type="cellIs" dxfId="369" priority="612" stopIfTrue="1" operator="greaterThanOrEqual">
      <formula>9000</formula>
    </cfRule>
  </conditionalFormatting>
  <conditionalFormatting sqref="J116:M116">
    <cfRule type="cellIs" dxfId="368" priority="607" stopIfTrue="1" operator="lessThanOrEqual">
      <formula>3000</formula>
    </cfRule>
    <cfRule type="cellIs" dxfId="367" priority="608" stopIfTrue="1" operator="between">
      <formula>3000</formula>
      <formula>9000</formula>
    </cfRule>
    <cfRule type="cellIs" dxfId="366" priority="609" stopIfTrue="1" operator="greaterThanOrEqual">
      <formula>9000</formula>
    </cfRule>
  </conditionalFormatting>
  <conditionalFormatting sqref="O116">
    <cfRule type="cellIs" dxfId="365" priority="604" stopIfTrue="1" operator="lessThanOrEqual">
      <formula>3000</formula>
    </cfRule>
    <cfRule type="cellIs" dxfId="364" priority="605" stopIfTrue="1" operator="between">
      <formula>3000</formula>
      <formula>9000</formula>
    </cfRule>
    <cfRule type="cellIs" dxfId="363" priority="606" stopIfTrue="1" operator="greaterThanOrEqual">
      <formula>9000</formula>
    </cfRule>
  </conditionalFormatting>
  <conditionalFormatting sqref="P116:S116">
    <cfRule type="cellIs" dxfId="362" priority="601" stopIfTrue="1" operator="lessThanOrEqual">
      <formula>3000</formula>
    </cfRule>
    <cfRule type="cellIs" dxfId="361" priority="602" stopIfTrue="1" operator="between">
      <formula>3000</formula>
      <formula>9000</formula>
    </cfRule>
    <cfRule type="cellIs" dxfId="360" priority="603" stopIfTrue="1" operator="greaterThanOrEqual">
      <formula>9000</formula>
    </cfRule>
  </conditionalFormatting>
  <conditionalFormatting sqref="E122:H122">
    <cfRule type="cellIs" dxfId="359" priority="598" stopIfTrue="1" operator="lessThanOrEqual">
      <formula>3000</formula>
    </cfRule>
    <cfRule type="cellIs" dxfId="358" priority="599" stopIfTrue="1" operator="between">
      <formula>3000</formula>
      <formula>9000</formula>
    </cfRule>
    <cfRule type="cellIs" dxfId="357" priority="600" stopIfTrue="1" operator="greaterThanOrEqual">
      <formula>9000</formula>
    </cfRule>
  </conditionalFormatting>
  <conditionalFormatting sqref="J122:M122">
    <cfRule type="cellIs" dxfId="356" priority="595" stopIfTrue="1" operator="lessThanOrEqual">
      <formula>3000</formula>
    </cfRule>
    <cfRule type="cellIs" dxfId="355" priority="596" stopIfTrue="1" operator="between">
      <formula>3000</formula>
      <formula>9000</formula>
    </cfRule>
    <cfRule type="cellIs" dxfId="354" priority="597" stopIfTrue="1" operator="greaterThanOrEqual">
      <formula>9000</formula>
    </cfRule>
  </conditionalFormatting>
  <conditionalFormatting sqref="O122">
    <cfRule type="cellIs" dxfId="353" priority="592" stopIfTrue="1" operator="lessThanOrEqual">
      <formula>3000</formula>
    </cfRule>
    <cfRule type="cellIs" dxfId="352" priority="593" stopIfTrue="1" operator="between">
      <formula>3000</formula>
      <formula>9000</formula>
    </cfRule>
    <cfRule type="cellIs" dxfId="351" priority="594" stopIfTrue="1" operator="greaterThanOrEqual">
      <formula>9000</formula>
    </cfRule>
  </conditionalFormatting>
  <conditionalFormatting sqref="P122:S122">
    <cfRule type="cellIs" dxfId="350" priority="589" stopIfTrue="1" operator="lessThanOrEqual">
      <formula>3000</formula>
    </cfRule>
    <cfRule type="cellIs" dxfId="349" priority="590" stopIfTrue="1" operator="between">
      <formula>3000</formula>
      <formula>9000</formula>
    </cfRule>
    <cfRule type="cellIs" dxfId="348" priority="591" stopIfTrue="1" operator="greaterThanOrEqual">
      <formula>9000</formula>
    </cfRule>
  </conditionalFormatting>
  <conditionalFormatting sqref="E134:H134">
    <cfRule type="cellIs" dxfId="347" priority="562" stopIfTrue="1" operator="lessThanOrEqual">
      <formula>3000</formula>
    </cfRule>
    <cfRule type="cellIs" dxfId="346" priority="563" stopIfTrue="1" operator="between">
      <formula>3000</formula>
      <formula>9000</formula>
    </cfRule>
    <cfRule type="cellIs" dxfId="345" priority="564" stopIfTrue="1" operator="greaterThanOrEqual">
      <formula>9000</formula>
    </cfRule>
  </conditionalFormatting>
  <conditionalFormatting sqref="J134:M134">
    <cfRule type="cellIs" dxfId="344" priority="559" stopIfTrue="1" operator="lessThanOrEqual">
      <formula>3000</formula>
    </cfRule>
    <cfRule type="cellIs" dxfId="343" priority="560" stopIfTrue="1" operator="between">
      <formula>3000</formula>
      <formula>9000</formula>
    </cfRule>
    <cfRule type="cellIs" dxfId="342" priority="561" stopIfTrue="1" operator="greaterThanOrEqual">
      <formula>9000</formula>
    </cfRule>
  </conditionalFormatting>
  <conditionalFormatting sqref="O134">
    <cfRule type="cellIs" dxfId="341" priority="556" stopIfTrue="1" operator="lessThanOrEqual">
      <formula>3000</formula>
    </cfRule>
    <cfRule type="cellIs" dxfId="340" priority="557" stopIfTrue="1" operator="between">
      <formula>3000</formula>
      <formula>9000</formula>
    </cfRule>
    <cfRule type="cellIs" dxfId="339" priority="558" stopIfTrue="1" operator="greaterThanOrEqual">
      <formula>9000</formula>
    </cfRule>
  </conditionalFormatting>
  <conditionalFormatting sqref="P134:S134">
    <cfRule type="cellIs" dxfId="338" priority="553" stopIfTrue="1" operator="lessThanOrEqual">
      <formula>3000</formula>
    </cfRule>
    <cfRule type="cellIs" dxfId="337" priority="554" stopIfTrue="1" operator="between">
      <formula>3000</formula>
      <formula>9000</formula>
    </cfRule>
    <cfRule type="cellIs" dxfId="336" priority="555" stopIfTrue="1" operator="greaterThanOrEqual">
      <formula>9000</formula>
    </cfRule>
  </conditionalFormatting>
  <conditionalFormatting sqref="E140:H140">
    <cfRule type="cellIs" dxfId="335" priority="550" stopIfTrue="1" operator="lessThanOrEqual">
      <formula>3000</formula>
    </cfRule>
    <cfRule type="cellIs" dxfId="334" priority="551" stopIfTrue="1" operator="between">
      <formula>3000</formula>
      <formula>9000</formula>
    </cfRule>
    <cfRule type="cellIs" dxfId="333" priority="552" stopIfTrue="1" operator="greaterThanOrEqual">
      <formula>9000</formula>
    </cfRule>
  </conditionalFormatting>
  <conditionalFormatting sqref="J140:M140">
    <cfRule type="cellIs" dxfId="332" priority="547" stopIfTrue="1" operator="lessThanOrEqual">
      <formula>3000</formula>
    </cfRule>
    <cfRule type="cellIs" dxfId="331" priority="548" stopIfTrue="1" operator="between">
      <formula>3000</formula>
      <formula>9000</formula>
    </cfRule>
    <cfRule type="cellIs" dxfId="330" priority="549" stopIfTrue="1" operator="greaterThanOrEqual">
      <formula>9000</formula>
    </cfRule>
  </conditionalFormatting>
  <conditionalFormatting sqref="O140">
    <cfRule type="cellIs" dxfId="329" priority="544" stopIfTrue="1" operator="lessThanOrEqual">
      <formula>3000</formula>
    </cfRule>
    <cfRule type="cellIs" dxfId="328" priority="545" stopIfTrue="1" operator="between">
      <formula>3000</formula>
      <formula>9000</formula>
    </cfRule>
    <cfRule type="cellIs" dxfId="327" priority="546" stopIfTrue="1" operator="greaterThanOrEqual">
      <formula>9000</formula>
    </cfRule>
  </conditionalFormatting>
  <conditionalFormatting sqref="P140:S140">
    <cfRule type="cellIs" dxfId="326" priority="541" stopIfTrue="1" operator="lessThanOrEqual">
      <formula>3000</formula>
    </cfRule>
    <cfRule type="cellIs" dxfId="325" priority="542" stopIfTrue="1" operator="between">
      <formula>3000</formula>
      <formula>9000</formula>
    </cfRule>
    <cfRule type="cellIs" dxfId="324" priority="543" stopIfTrue="1" operator="greaterThanOrEqual">
      <formula>9000</formula>
    </cfRule>
  </conditionalFormatting>
  <conditionalFormatting sqref="AF20">
    <cfRule type="cellIs" dxfId="323" priority="484" stopIfTrue="1" operator="lessThanOrEqual">
      <formula>3000</formula>
    </cfRule>
    <cfRule type="cellIs" dxfId="322" priority="485" stopIfTrue="1" operator="between">
      <formula>3000</formula>
      <formula>9000</formula>
    </cfRule>
    <cfRule type="cellIs" dxfId="321" priority="486" stopIfTrue="1" operator="greaterThanOrEqual">
      <formula>9000</formula>
    </cfRule>
  </conditionalFormatting>
  <conditionalFormatting sqref="AA20:AD20">
    <cfRule type="cellIs" dxfId="320" priority="487" stopIfTrue="1" operator="lessThanOrEqual">
      <formula>3000</formula>
    </cfRule>
    <cfRule type="cellIs" dxfId="319" priority="488" stopIfTrue="1" operator="between">
      <formula>3000</formula>
      <formula>9000</formula>
    </cfRule>
    <cfRule type="cellIs" dxfId="318" priority="489" stopIfTrue="1" operator="greaterThanOrEqual">
      <formula>9000</formula>
    </cfRule>
  </conditionalFormatting>
  <conditionalFormatting sqref="AF14">
    <cfRule type="cellIs" dxfId="317" priority="496" stopIfTrue="1" operator="lessThanOrEqual">
      <formula>3000</formula>
    </cfRule>
    <cfRule type="cellIs" dxfId="316" priority="497" stopIfTrue="1" operator="between">
      <formula>3000</formula>
      <formula>9000</formula>
    </cfRule>
    <cfRule type="cellIs" dxfId="315" priority="498" stopIfTrue="1" operator="greaterThanOrEqual">
      <formula>9000</formula>
    </cfRule>
  </conditionalFormatting>
  <conditionalFormatting sqref="AG8:AJ8">
    <cfRule type="cellIs" dxfId="314" priority="505" stopIfTrue="1" operator="lessThanOrEqual">
      <formula>3000</formula>
    </cfRule>
    <cfRule type="cellIs" dxfId="313" priority="506" stopIfTrue="1" operator="between">
      <formula>3000</formula>
      <formula>9000</formula>
    </cfRule>
    <cfRule type="cellIs" dxfId="312" priority="507" stopIfTrue="1" operator="greaterThanOrEqual">
      <formula>9000</formula>
    </cfRule>
  </conditionalFormatting>
  <conditionalFormatting sqref="V8:Y8">
    <cfRule type="cellIs" dxfId="311" priority="514" stopIfTrue="1" operator="lessThanOrEqual">
      <formula>3000</formula>
    </cfRule>
    <cfRule type="cellIs" dxfId="310" priority="515" stopIfTrue="1" operator="between">
      <formula>3000</formula>
      <formula>9000</formula>
    </cfRule>
    <cfRule type="cellIs" dxfId="309" priority="516" stopIfTrue="1" operator="greaterThanOrEqual">
      <formula>9000</formula>
    </cfRule>
  </conditionalFormatting>
  <conditionalFormatting sqref="AA44:AD44">
    <cfRule type="cellIs" dxfId="308" priority="439" stopIfTrue="1" operator="lessThanOrEqual">
      <formula>3000</formula>
    </cfRule>
    <cfRule type="cellIs" dxfId="307" priority="440" stopIfTrue="1" operator="between">
      <formula>3000</formula>
      <formula>9000</formula>
    </cfRule>
    <cfRule type="cellIs" dxfId="306" priority="441" stopIfTrue="1" operator="greaterThanOrEqual">
      <formula>9000</formula>
    </cfRule>
  </conditionalFormatting>
  <conditionalFormatting sqref="AG38:AJ38">
    <cfRule type="cellIs" dxfId="305" priority="445" stopIfTrue="1" operator="lessThanOrEqual">
      <formula>3000</formula>
    </cfRule>
    <cfRule type="cellIs" dxfId="304" priority="446" stopIfTrue="1" operator="between">
      <formula>3000</formula>
      <formula>9000</formula>
    </cfRule>
    <cfRule type="cellIs" dxfId="303" priority="447" stopIfTrue="1" operator="greaterThanOrEqual">
      <formula>9000</formula>
    </cfRule>
  </conditionalFormatting>
  <conditionalFormatting sqref="V38:Y38">
    <cfRule type="cellIs" dxfId="302" priority="454" stopIfTrue="1" operator="lessThanOrEqual">
      <formula>3000</formula>
    </cfRule>
    <cfRule type="cellIs" dxfId="301" priority="455" stopIfTrue="1" operator="between">
      <formula>3000</formula>
      <formula>9000</formula>
    </cfRule>
    <cfRule type="cellIs" dxfId="300" priority="456" stopIfTrue="1" operator="greaterThanOrEqual">
      <formula>9000</formula>
    </cfRule>
  </conditionalFormatting>
  <conditionalFormatting sqref="AA32:AD32">
    <cfRule type="cellIs" dxfId="299" priority="463" stopIfTrue="1" operator="lessThanOrEqual">
      <formula>3000</formula>
    </cfRule>
    <cfRule type="cellIs" dxfId="298" priority="464" stopIfTrue="1" operator="between">
      <formula>3000</formula>
      <formula>9000</formula>
    </cfRule>
    <cfRule type="cellIs" dxfId="297" priority="465" stopIfTrue="1" operator="greaterThanOrEqual">
      <formula>9000</formula>
    </cfRule>
  </conditionalFormatting>
  <conditionalFormatting sqref="AF26">
    <cfRule type="cellIs" dxfId="296" priority="472" stopIfTrue="1" operator="lessThanOrEqual">
      <formula>3000</formula>
    </cfRule>
    <cfRule type="cellIs" dxfId="295" priority="473" stopIfTrue="1" operator="between">
      <formula>3000</formula>
      <formula>9000</formula>
    </cfRule>
    <cfRule type="cellIs" dxfId="294" priority="474" stopIfTrue="1" operator="greaterThanOrEqual">
      <formula>9000</formula>
    </cfRule>
  </conditionalFormatting>
  <conditionalFormatting sqref="AG20:AJ20">
    <cfRule type="cellIs" dxfId="293" priority="481" stopIfTrue="1" operator="lessThanOrEqual">
      <formula>3000</formula>
    </cfRule>
    <cfRule type="cellIs" dxfId="292" priority="482" stopIfTrue="1" operator="between">
      <formula>3000</formula>
      <formula>9000</formula>
    </cfRule>
    <cfRule type="cellIs" dxfId="291" priority="483" stopIfTrue="1" operator="greaterThanOrEqual">
      <formula>9000</formula>
    </cfRule>
  </conditionalFormatting>
  <conditionalFormatting sqref="V20:Y20">
    <cfRule type="cellIs" dxfId="290" priority="490" stopIfTrue="1" operator="lessThanOrEqual">
      <formula>3000</formula>
    </cfRule>
    <cfRule type="cellIs" dxfId="289" priority="491" stopIfTrue="1" operator="between">
      <formula>3000</formula>
      <formula>9000</formula>
    </cfRule>
    <cfRule type="cellIs" dxfId="288" priority="492" stopIfTrue="1" operator="greaterThanOrEqual">
      <formula>9000</formula>
    </cfRule>
  </conditionalFormatting>
  <conditionalFormatting sqref="AA14:AD14">
    <cfRule type="cellIs" dxfId="287" priority="499" stopIfTrue="1" operator="lessThanOrEqual">
      <formula>3000</formula>
    </cfRule>
    <cfRule type="cellIs" dxfId="286" priority="500" stopIfTrue="1" operator="between">
      <formula>3000</formula>
      <formula>9000</formula>
    </cfRule>
    <cfRule type="cellIs" dxfId="285" priority="501" stopIfTrue="1" operator="greaterThanOrEqual">
      <formula>9000</formula>
    </cfRule>
  </conditionalFormatting>
  <conditionalFormatting sqref="AF8">
    <cfRule type="cellIs" dxfId="284" priority="508" stopIfTrue="1" operator="lessThanOrEqual">
      <formula>3000</formula>
    </cfRule>
    <cfRule type="cellIs" dxfId="283" priority="509" stopIfTrue="1" operator="between">
      <formula>3000</formula>
      <formula>9000</formula>
    </cfRule>
    <cfRule type="cellIs" dxfId="282" priority="510" stopIfTrue="1" operator="greaterThanOrEqual">
      <formula>9000</formula>
    </cfRule>
  </conditionalFormatting>
  <conditionalFormatting sqref="AA56:AD56">
    <cfRule type="cellIs" dxfId="281" priority="271" stopIfTrue="1" operator="lessThanOrEqual">
      <formula>3000</formula>
    </cfRule>
    <cfRule type="cellIs" dxfId="280" priority="272" stopIfTrue="1" operator="between">
      <formula>3000</formula>
      <formula>9000</formula>
    </cfRule>
    <cfRule type="cellIs" dxfId="279" priority="273" stopIfTrue="1" operator="greaterThanOrEqual">
      <formula>9000</formula>
    </cfRule>
  </conditionalFormatting>
  <conditionalFormatting sqref="V56:Y56">
    <cfRule type="cellIs" dxfId="278" priority="274" stopIfTrue="1" operator="lessThanOrEqual">
      <formula>3000</formula>
    </cfRule>
    <cfRule type="cellIs" dxfId="277" priority="275" stopIfTrue="1" operator="between">
      <formula>3000</formula>
      <formula>9000</formula>
    </cfRule>
    <cfRule type="cellIs" dxfId="276" priority="276" stopIfTrue="1" operator="greaterThanOrEqual">
      <formula>9000</formula>
    </cfRule>
  </conditionalFormatting>
  <conditionalFormatting sqref="AA50:AD50">
    <cfRule type="cellIs" dxfId="275" priority="283" stopIfTrue="1" operator="lessThanOrEqual">
      <formula>3000</formula>
    </cfRule>
    <cfRule type="cellIs" dxfId="274" priority="284" stopIfTrue="1" operator="between">
      <formula>3000</formula>
      <formula>9000</formula>
    </cfRule>
    <cfRule type="cellIs" dxfId="273" priority="285" stopIfTrue="1" operator="greaterThanOrEqual">
      <formula>9000</formula>
    </cfRule>
  </conditionalFormatting>
  <conditionalFormatting sqref="AG44:AJ44">
    <cfRule type="cellIs" dxfId="272" priority="433" stopIfTrue="1" operator="lessThanOrEqual">
      <formula>3000</formula>
    </cfRule>
    <cfRule type="cellIs" dxfId="271" priority="434" stopIfTrue="1" operator="between">
      <formula>3000</formula>
      <formula>9000</formula>
    </cfRule>
    <cfRule type="cellIs" dxfId="270" priority="435" stopIfTrue="1" operator="greaterThanOrEqual">
      <formula>9000</formula>
    </cfRule>
  </conditionalFormatting>
  <conditionalFormatting sqref="V44:Y44">
    <cfRule type="cellIs" dxfId="269" priority="442" stopIfTrue="1" operator="lessThanOrEqual">
      <formula>3000</formula>
    </cfRule>
    <cfRule type="cellIs" dxfId="268" priority="443" stopIfTrue="1" operator="between">
      <formula>3000</formula>
      <formula>9000</formula>
    </cfRule>
    <cfRule type="cellIs" dxfId="267" priority="444" stopIfTrue="1" operator="greaterThanOrEqual">
      <formula>9000</formula>
    </cfRule>
  </conditionalFormatting>
  <conditionalFormatting sqref="AA38:AD38">
    <cfRule type="cellIs" dxfId="266" priority="451" stopIfTrue="1" operator="lessThanOrEqual">
      <formula>3000</formula>
    </cfRule>
    <cfRule type="cellIs" dxfId="265" priority="452" stopIfTrue="1" operator="between">
      <formula>3000</formula>
      <formula>9000</formula>
    </cfRule>
    <cfRule type="cellIs" dxfId="264" priority="453" stopIfTrue="1" operator="greaterThanOrEqual">
      <formula>9000</formula>
    </cfRule>
  </conditionalFormatting>
  <conditionalFormatting sqref="AF32">
    <cfRule type="cellIs" dxfId="263" priority="460" stopIfTrue="1" operator="lessThanOrEqual">
      <formula>3000</formula>
    </cfRule>
    <cfRule type="cellIs" dxfId="262" priority="461" stopIfTrue="1" operator="between">
      <formula>3000</formula>
      <formula>9000</formula>
    </cfRule>
    <cfRule type="cellIs" dxfId="261" priority="462" stopIfTrue="1" operator="greaterThanOrEqual">
      <formula>9000</formula>
    </cfRule>
  </conditionalFormatting>
  <conditionalFormatting sqref="AF38">
    <cfRule type="cellIs" dxfId="260" priority="448" stopIfTrue="1" operator="lessThanOrEqual">
      <formula>3000</formula>
    </cfRule>
    <cfRule type="cellIs" dxfId="259" priority="449" stopIfTrue="1" operator="between">
      <formula>3000</formula>
      <formula>9000</formula>
    </cfRule>
    <cfRule type="cellIs" dxfId="258" priority="450" stopIfTrue="1" operator="greaterThanOrEqual">
      <formula>9000</formula>
    </cfRule>
  </conditionalFormatting>
  <conditionalFormatting sqref="AG32:AJ32">
    <cfRule type="cellIs" dxfId="257" priority="457" stopIfTrue="1" operator="lessThanOrEqual">
      <formula>3000</formula>
    </cfRule>
    <cfRule type="cellIs" dxfId="256" priority="458" stopIfTrue="1" operator="between">
      <formula>3000</formula>
      <formula>9000</formula>
    </cfRule>
    <cfRule type="cellIs" dxfId="255" priority="459" stopIfTrue="1" operator="greaterThanOrEqual">
      <formula>9000</formula>
    </cfRule>
  </conditionalFormatting>
  <conditionalFormatting sqref="V32:Y32">
    <cfRule type="cellIs" dxfId="254" priority="466" stopIfTrue="1" operator="lessThanOrEqual">
      <formula>3000</formula>
    </cfRule>
    <cfRule type="cellIs" dxfId="253" priority="467" stopIfTrue="1" operator="between">
      <formula>3000</formula>
      <formula>9000</formula>
    </cfRule>
    <cfRule type="cellIs" dxfId="252" priority="468" stopIfTrue="1" operator="greaterThanOrEqual">
      <formula>9000</formula>
    </cfRule>
  </conditionalFormatting>
  <conditionalFormatting sqref="AA26:AD26">
    <cfRule type="cellIs" dxfId="251" priority="475" stopIfTrue="1" operator="lessThanOrEqual">
      <formula>3000</formula>
    </cfRule>
    <cfRule type="cellIs" dxfId="250" priority="476" stopIfTrue="1" operator="between">
      <formula>3000</formula>
      <formula>9000</formula>
    </cfRule>
    <cfRule type="cellIs" dxfId="249" priority="477" stopIfTrue="1" operator="greaterThanOrEqual">
      <formula>9000</formula>
    </cfRule>
  </conditionalFormatting>
  <conditionalFormatting sqref="AG14:AJ14">
    <cfRule type="cellIs" dxfId="248" priority="493" stopIfTrue="1" operator="lessThanOrEqual">
      <formula>3000</formula>
    </cfRule>
    <cfRule type="cellIs" dxfId="247" priority="494" stopIfTrue="1" operator="between">
      <formula>3000</formula>
      <formula>9000</formula>
    </cfRule>
    <cfRule type="cellIs" dxfId="246" priority="495" stopIfTrue="1" operator="greaterThanOrEqual">
      <formula>9000</formula>
    </cfRule>
  </conditionalFormatting>
  <conditionalFormatting sqref="V14:Y14">
    <cfRule type="cellIs" dxfId="245" priority="502" stopIfTrue="1" operator="lessThanOrEqual">
      <formula>3000</formula>
    </cfRule>
    <cfRule type="cellIs" dxfId="244" priority="503" stopIfTrue="1" operator="between">
      <formula>3000</formula>
      <formula>9000</formula>
    </cfRule>
    <cfRule type="cellIs" dxfId="243" priority="504" stopIfTrue="1" operator="greaterThanOrEqual">
      <formula>9000</formula>
    </cfRule>
  </conditionalFormatting>
  <conditionalFormatting sqref="AA8:AD8">
    <cfRule type="cellIs" dxfId="242" priority="511" stopIfTrue="1" operator="lessThanOrEqual">
      <formula>3000</formula>
    </cfRule>
    <cfRule type="cellIs" dxfId="241" priority="512" stopIfTrue="1" operator="between">
      <formula>3000</formula>
      <formula>9000</formula>
    </cfRule>
    <cfRule type="cellIs" dxfId="240" priority="513" stopIfTrue="1" operator="greaterThanOrEqual">
      <formula>9000</formula>
    </cfRule>
  </conditionalFormatting>
  <conditionalFormatting sqref="V128:Y128">
    <cfRule type="cellIs" dxfId="239" priority="106" stopIfTrue="1" operator="lessThanOrEqual">
      <formula>3000</formula>
    </cfRule>
    <cfRule type="cellIs" dxfId="238" priority="107" stopIfTrue="1" operator="between">
      <formula>3000</formula>
      <formula>9000</formula>
    </cfRule>
    <cfRule type="cellIs" dxfId="237" priority="108" stopIfTrue="1" operator="greaterThanOrEqual">
      <formula>9000</formula>
    </cfRule>
  </conditionalFormatting>
  <conditionalFormatting sqref="AA128:AD128">
    <cfRule type="cellIs" dxfId="236" priority="103" stopIfTrue="1" operator="lessThanOrEqual">
      <formula>3000</formula>
    </cfRule>
    <cfRule type="cellIs" dxfId="235" priority="104" stopIfTrue="1" operator="between">
      <formula>3000</formula>
      <formula>9000</formula>
    </cfRule>
    <cfRule type="cellIs" dxfId="234" priority="105" stopIfTrue="1" operator="greaterThanOrEqual">
      <formula>9000</formula>
    </cfRule>
  </conditionalFormatting>
  <conditionalFormatting sqref="AF128">
    <cfRule type="cellIs" dxfId="233" priority="100" stopIfTrue="1" operator="lessThanOrEqual">
      <formula>3000</formula>
    </cfRule>
    <cfRule type="cellIs" dxfId="232" priority="101" stopIfTrue="1" operator="between">
      <formula>3000</formula>
      <formula>9000</formula>
    </cfRule>
    <cfRule type="cellIs" dxfId="231" priority="102" stopIfTrue="1" operator="greaterThanOrEqual">
      <formula>9000</formula>
    </cfRule>
  </conditionalFormatting>
  <conditionalFormatting sqref="AG128:AJ128">
    <cfRule type="cellIs" dxfId="230" priority="97" stopIfTrue="1" operator="lessThanOrEqual">
      <formula>3000</formula>
    </cfRule>
    <cfRule type="cellIs" dxfId="229" priority="98" stopIfTrue="1" operator="between">
      <formula>3000</formula>
      <formula>9000</formula>
    </cfRule>
    <cfRule type="cellIs" dxfId="228" priority="99" stopIfTrue="1" operator="greaterThanOrEqual">
      <formula>9000</formula>
    </cfRule>
  </conditionalFormatting>
  <conditionalFormatting sqref="V26:Y26">
    <cfRule type="cellIs" dxfId="227" priority="478" stopIfTrue="1" operator="lessThanOrEqual">
      <formula>3000</formula>
    </cfRule>
    <cfRule type="cellIs" dxfId="226" priority="479" stopIfTrue="1" operator="between">
      <formula>3000</formula>
      <formula>9000</formula>
    </cfRule>
    <cfRule type="cellIs" dxfId="225" priority="480" stopIfTrue="1" operator="greaterThanOrEqual">
      <formula>9000</formula>
    </cfRule>
  </conditionalFormatting>
  <conditionalFormatting sqref="AG26:AJ26">
    <cfRule type="cellIs" dxfId="224" priority="469" stopIfTrue="1" operator="lessThanOrEqual">
      <formula>3000</formula>
    </cfRule>
    <cfRule type="cellIs" dxfId="223" priority="470" stopIfTrue="1" operator="between">
      <formula>3000</formula>
      <formula>9000</formula>
    </cfRule>
    <cfRule type="cellIs" dxfId="222" priority="471" stopIfTrue="1" operator="greaterThanOrEqual">
      <formula>9000</formula>
    </cfRule>
  </conditionalFormatting>
  <conditionalFormatting sqref="AF44">
    <cfRule type="cellIs" dxfId="221" priority="436" stopIfTrue="1" operator="lessThanOrEqual">
      <formula>3000</formula>
    </cfRule>
    <cfRule type="cellIs" dxfId="220" priority="437" stopIfTrue="1" operator="between">
      <formula>3000</formula>
      <formula>9000</formula>
    </cfRule>
    <cfRule type="cellIs" dxfId="219" priority="438" stopIfTrue="1" operator="greaterThanOrEqual">
      <formula>9000</formula>
    </cfRule>
  </conditionalFormatting>
  <conditionalFormatting sqref="V50:Y50">
    <cfRule type="cellIs" dxfId="218" priority="286" stopIfTrue="1" operator="lessThanOrEqual">
      <formula>3000</formula>
    </cfRule>
    <cfRule type="cellIs" dxfId="217" priority="287" stopIfTrue="1" operator="between">
      <formula>3000</formula>
      <formula>9000</formula>
    </cfRule>
    <cfRule type="cellIs" dxfId="216" priority="288" stopIfTrue="1" operator="greaterThanOrEqual">
      <formula>9000</formula>
    </cfRule>
  </conditionalFormatting>
  <conditionalFormatting sqref="AF50">
    <cfRule type="cellIs" dxfId="215" priority="280" stopIfTrue="1" operator="lessThanOrEqual">
      <formula>3000</formula>
    </cfRule>
    <cfRule type="cellIs" dxfId="214" priority="281" stopIfTrue="1" operator="between">
      <formula>3000</formula>
      <formula>9000</formula>
    </cfRule>
    <cfRule type="cellIs" dxfId="213" priority="282" stopIfTrue="1" operator="greaterThanOrEqual">
      <formula>9000</formula>
    </cfRule>
  </conditionalFormatting>
  <conditionalFormatting sqref="AG50:AJ50">
    <cfRule type="cellIs" dxfId="212" priority="277" stopIfTrue="1" operator="lessThanOrEqual">
      <formula>3000</formula>
    </cfRule>
    <cfRule type="cellIs" dxfId="211" priority="278" stopIfTrue="1" operator="between">
      <formula>3000</formula>
      <formula>9000</formula>
    </cfRule>
    <cfRule type="cellIs" dxfId="210" priority="279" stopIfTrue="1" operator="greaterThanOrEqual">
      <formula>9000</formula>
    </cfRule>
  </conditionalFormatting>
  <conditionalFormatting sqref="AA62:AD62">
    <cfRule type="cellIs" dxfId="209" priority="259" stopIfTrue="1" operator="lessThanOrEqual">
      <formula>3000</formula>
    </cfRule>
    <cfRule type="cellIs" dxfId="208" priority="260" stopIfTrue="1" operator="between">
      <formula>3000</formula>
      <formula>9000</formula>
    </cfRule>
    <cfRule type="cellIs" dxfId="207" priority="261" stopIfTrue="1" operator="greaterThanOrEqual">
      <formula>9000</formula>
    </cfRule>
  </conditionalFormatting>
  <conditionalFormatting sqref="AF56">
    <cfRule type="cellIs" dxfId="206" priority="268" stopIfTrue="1" operator="lessThanOrEqual">
      <formula>3000</formula>
    </cfRule>
    <cfRule type="cellIs" dxfId="205" priority="269" stopIfTrue="1" operator="between">
      <formula>3000</formula>
      <formula>9000</formula>
    </cfRule>
    <cfRule type="cellIs" dxfId="204" priority="270" stopIfTrue="1" operator="greaterThanOrEqual">
      <formula>9000</formula>
    </cfRule>
  </conditionalFormatting>
  <conditionalFormatting sqref="V62:Y62">
    <cfRule type="cellIs" dxfId="203" priority="262" stopIfTrue="1" operator="lessThanOrEqual">
      <formula>3000</formula>
    </cfRule>
    <cfRule type="cellIs" dxfId="202" priority="263" stopIfTrue="1" operator="between">
      <formula>3000</formula>
      <formula>9000</formula>
    </cfRule>
    <cfRule type="cellIs" dxfId="201" priority="264" stopIfTrue="1" operator="greaterThanOrEqual">
      <formula>9000</formula>
    </cfRule>
  </conditionalFormatting>
  <conditionalFormatting sqref="AG56:AJ56">
    <cfRule type="cellIs" dxfId="200" priority="265" stopIfTrue="1" operator="lessThanOrEqual">
      <formula>3000</formula>
    </cfRule>
    <cfRule type="cellIs" dxfId="199" priority="266" stopIfTrue="1" operator="between">
      <formula>3000</formula>
      <formula>9000</formula>
    </cfRule>
    <cfRule type="cellIs" dxfId="198" priority="267" stopIfTrue="1" operator="greaterThanOrEqual">
      <formula>9000</formula>
    </cfRule>
  </conditionalFormatting>
  <conditionalFormatting sqref="V68:Y68">
    <cfRule type="cellIs" dxfId="197" priority="250" stopIfTrue="1" operator="lessThanOrEqual">
      <formula>3000</formula>
    </cfRule>
    <cfRule type="cellIs" dxfId="196" priority="251" stopIfTrue="1" operator="between">
      <formula>3000</formula>
      <formula>9000</formula>
    </cfRule>
    <cfRule type="cellIs" dxfId="195" priority="252" stopIfTrue="1" operator="greaterThanOrEqual">
      <formula>9000</formula>
    </cfRule>
  </conditionalFormatting>
  <conditionalFormatting sqref="AA68:AD68">
    <cfRule type="cellIs" dxfId="194" priority="247" stopIfTrue="1" operator="lessThanOrEqual">
      <formula>3000</formula>
    </cfRule>
    <cfRule type="cellIs" dxfId="193" priority="248" stopIfTrue="1" operator="between">
      <formula>3000</formula>
      <formula>9000</formula>
    </cfRule>
    <cfRule type="cellIs" dxfId="192" priority="249" stopIfTrue="1" operator="greaterThanOrEqual">
      <formula>9000</formula>
    </cfRule>
  </conditionalFormatting>
  <conditionalFormatting sqref="AF62">
    <cfRule type="cellIs" dxfId="191" priority="256" stopIfTrue="1" operator="lessThanOrEqual">
      <formula>3000</formula>
    </cfRule>
    <cfRule type="cellIs" dxfId="190" priority="257" stopIfTrue="1" operator="between">
      <formula>3000</formula>
      <formula>9000</formula>
    </cfRule>
    <cfRule type="cellIs" dxfId="189" priority="258" stopIfTrue="1" operator="greaterThanOrEqual">
      <formula>9000</formula>
    </cfRule>
  </conditionalFormatting>
  <conditionalFormatting sqref="AG62:AJ62">
    <cfRule type="cellIs" dxfId="188" priority="253" stopIfTrue="1" operator="lessThanOrEqual">
      <formula>3000</formula>
    </cfRule>
    <cfRule type="cellIs" dxfId="187" priority="254" stopIfTrue="1" operator="between">
      <formula>3000</formula>
      <formula>9000</formula>
    </cfRule>
    <cfRule type="cellIs" dxfId="186" priority="255" stopIfTrue="1" operator="greaterThanOrEqual">
      <formula>9000</formula>
    </cfRule>
  </conditionalFormatting>
  <conditionalFormatting sqref="AF68">
    <cfRule type="cellIs" dxfId="185" priority="244" stopIfTrue="1" operator="lessThanOrEqual">
      <formula>3000</formula>
    </cfRule>
    <cfRule type="cellIs" dxfId="184" priority="245" stopIfTrue="1" operator="between">
      <formula>3000</formula>
      <formula>9000</formula>
    </cfRule>
    <cfRule type="cellIs" dxfId="183" priority="246" stopIfTrue="1" operator="greaterThanOrEqual">
      <formula>9000</formula>
    </cfRule>
  </conditionalFormatting>
  <conditionalFormatting sqref="AG68:AJ68">
    <cfRule type="cellIs" dxfId="182" priority="241" stopIfTrue="1" operator="lessThanOrEqual">
      <formula>3000</formula>
    </cfRule>
    <cfRule type="cellIs" dxfId="181" priority="242" stopIfTrue="1" operator="between">
      <formula>3000</formula>
      <formula>9000</formula>
    </cfRule>
    <cfRule type="cellIs" dxfId="180" priority="243" stopIfTrue="1" operator="greaterThanOrEqual">
      <formula>9000</formula>
    </cfRule>
  </conditionalFormatting>
  <conditionalFormatting sqref="V74:Y74">
    <cfRule type="cellIs" dxfId="179" priority="238" stopIfTrue="1" operator="lessThanOrEqual">
      <formula>3000</formula>
    </cfRule>
    <cfRule type="cellIs" dxfId="178" priority="239" stopIfTrue="1" operator="between">
      <formula>3000</formula>
      <formula>9000</formula>
    </cfRule>
    <cfRule type="cellIs" dxfId="177" priority="240" stopIfTrue="1" operator="greaterThanOrEqual">
      <formula>9000</formula>
    </cfRule>
  </conditionalFormatting>
  <conditionalFormatting sqref="AA74:AD74">
    <cfRule type="cellIs" dxfId="176" priority="235" stopIfTrue="1" operator="lessThanOrEqual">
      <formula>3000</formula>
    </cfRule>
    <cfRule type="cellIs" dxfId="175" priority="236" stopIfTrue="1" operator="between">
      <formula>3000</formula>
      <formula>9000</formula>
    </cfRule>
    <cfRule type="cellIs" dxfId="174" priority="237" stopIfTrue="1" operator="greaterThanOrEqual">
      <formula>9000</formula>
    </cfRule>
  </conditionalFormatting>
  <conditionalFormatting sqref="AF74">
    <cfRule type="cellIs" dxfId="173" priority="232" stopIfTrue="1" operator="lessThanOrEqual">
      <formula>3000</formula>
    </cfRule>
    <cfRule type="cellIs" dxfId="172" priority="233" stopIfTrue="1" operator="between">
      <formula>3000</formula>
      <formula>9000</formula>
    </cfRule>
    <cfRule type="cellIs" dxfId="171" priority="234" stopIfTrue="1" operator="greaterThanOrEqual">
      <formula>9000</formula>
    </cfRule>
  </conditionalFormatting>
  <conditionalFormatting sqref="AG74:AJ74">
    <cfRule type="cellIs" dxfId="170" priority="229" stopIfTrue="1" operator="lessThanOrEqual">
      <formula>3000</formula>
    </cfRule>
    <cfRule type="cellIs" dxfId="169" priority="230" stopIfTrue="1" operator="between">
      <formula>3000</formula>
      <formula>9000</formula>
    </cfRule>
    <cfRule type="cellIs" dxfId="168" priority="231" stopIfTrue="1" operator="greaterThanOrEqual">
      <formula>9000</formula>
    </cfRule>
  </conditionalFormatting>
  <conditionalFormatting sqref="V80:Y80">
    <cfRule type="cellIs" dxfId="167" priority="226" stopIfTrue="1" operator="lessThanOrEqual">
      <formula>3000</formula>
    </cfRule>
    <cfRule type="cellIs" dxfId="166" priority="227" stopIfTrue="1" operator="between">
      <formula>3000</formula>
      <formula>9000</formula>
    </cfRule>
    <cfRule type="cellIs" dxfId="165" priority="228" stopIfTrue="1" operator="greaterThanOrEqual">
      <formula>9000</formula>
    </cfRule>
  </conditionalFormatting>
  <conditionalFormatting sqref="AA80:AD80">
    <cfRule type="cellIs" dxfId="164" priority="223" stopIfTrue="1" operator="lessThanOrEqual">
      <formula>3000</formula>
    </cfRule>
    <cfRule type="cellIs" dxfId="163" priority="224" stopIfTrue="1" operator="between">
      <formula>3000</formula>
      <formula>9000</formula>
    </cfRule>
    <cfRule type="cellIs" dxfId="162" priority="225" stopIfTrue="1" operator="greaterThanOrEqual">
      <formula>9000</formula>
    </cfRule>
  </conditionalFormatting>
  <conditionalFormatting sqref="AF80">
    <cfRule type="cellIs" dxfId="161" priority="220" stopIfTrue="1" operator="lessThanOrEqual">
      <formula>3000</formula>
    </cfRule>
    <cfRule type="cellIs" dxfId="160" priority="221" stopIfTrue="1" operator="between">
      <formula>3000</formula>
      <formula>9000</formula>
    </cfRule>
    <cfRule type="cellIs" dxfId="159" priority="222" stopIfTrue="1" operator="greaterThanOrEqual">
      <formula>9000</formula>
    </cfRule>
  </conditionalFormatting>
  <conditionalFormatting sqref="AG80:AJ80">
    <cfRule type="cellIs" dxfId="158" priority="217" stopIfTrue="1" operator="lessThanOrEqual">
      <formula>3000</formula>
    </cfRule>
    <cfRule type="cellIs" dxfId="157" priority="218" stopIfTrue="1" operator="between">
      <formula>3000</formula>
      <formula>9000</formula>
    </cfRule>
    <cfRule type="cellIs" dxfId="156" priority="219" stopIfTrue="1" operator="greaterThanOrEqual">
      <formula>9000</formula>
    </cfRule>
  </conditionalFormatting>
  <conditionalFormatting sqref="V86:Y86">
    <cfRule type="cellIs" dxfId="155" priority="214" stopIfTrue="1" operator="lessThanOrEqual">
      <formula>3000</formula>
    </cfRule>
    <cfRule type="cellIs" dxfId="154" priority="215" stopIfTrue="1" operator="between">
      <formula>3000</formula>
      <formula>9000</formula>
    </cfRule>
    <cfRule type="cellIs" dxfId="153" priority="216" stopIfTrue="1" operator="greaterThanOrEqual">
      <formula>9000</formula>
    </cfRule>
  </conditionalFormatting>
  <conditionalFormatting sqref="AA86:AD86">
    <cfRule type="cellIs" dxfId="152" priority="211" stopIfTrue="1" operator="lessThanOrEqual">
      <formula>3000</formula>
    </cfRule>
    <cfRule type="cellIs" dxfId="151" priority="212" stopIfTrue="1" operator="between">
      <formula>3000</formula>
      <formula>9000</formula>
    </cfRule>
    <cfRule type="cellIs" dxfId="150" priority="213" stopIfTrue="1" operator="greaterThanOrEqual">
      <formula>9000</formula>
    </cfRule>
  </conditionalFormatting>
  <conditionalFormatting sqref="AF86">
    <cfRule type="cellIs" dxfId="149" priority="208" stopIfTrue="1" operator="lessThanOrEqual">
      <formula>3000</formula>
    </cfRule>
    <cfRule type="cellIs" dxfId="148" priority="209" stopIfTrue="1" operator="between">
      <formula>3000</formula>
      <formula>9000</formula>
    </cfRule>
    <cfRule type="cellIs" dxfId="147" priority="210" stopIfTrue="1" operator="greaterThanOrEqual">
      <formula>9000</formula>
    </cfRule>
  </conditionalFormatting>
  <conditionalFormatting sqref="AG86:AJ86">
    <cfRule type="cellIs" dxfId="146" priority="205" stopIfTrue="1" operator="lessThanOrEqual">
      <formula>3000</formula>
    </cfRule>
    <cfRule type="cellIs" dxfId="145" priority="206" stopIfTrue="1" operator="between">
      <formula>3000</formula>
      <formula>9000</formula>
    </cfRule>
    <cfRule type="cellIs" dxfId="144" priority="207" stopIfTrue="1" operator="greaterThanOrEqual">
      <formula>9000</formula>
    </cfRule>
  </conditionalFormatting>
  <conditionalFormatting sqref="V92:Y92">
    <cfRule type="cellIs" dxfId="143" priority="202" stopIfTrue="1" operator="lessThanOrEqual">
      <formula>3000</formula>
    </cfRule>
    <cfRule type="cellIs" dxfId="142" priority="203" stopIfTrue="1" operator="between">
      <formula>3000</formula>
      <formula>9000</formula>
    </cfRule>
    <cfRule type="cellIs" dxfId="141" priority="204" stopIfTrue="1" operator="greaterThanOrEqual">
      <formula>9000</formula>
    </cfRule>
  </conditionalFormatting>
  <conditionalFormatting sqref="AA92:AD92">
    <cfRule type="cellIs" dxfId="140" priority="199" stopIfTrue="1" operator="lessThanOrEqual">
      <formula>3000</formula>
    </cfRule>
    <cfRule type="cellIs" dxfId="139" priority="200" stopIfTrue="1" operator="between">
      <formula>3000</formula>
      <formula>9000</formula>
    </cfRule>
    <cfRule type="cellIs" dxfId="138" priority="201" stopIfTrue="1" operator="greaterThanOrEqual">
      <formula>9000</formula>
    </cfRule>
  </conditionalFormatting>
  <conditionalFormatting sqref="AF92">
    <cfRule type="cellIs" dxfId="137" priority="196" stopIfTrue="1" operator="lessThanOrEqual">
      <formula>3000</formula>
    </cfRule>
    <cfRule type="cellIs" dxfId="136" priority="197" stopIfTrue="1" operator="between">
      <formula>3000</formula>
      <formula>9000</formula>
    </cfRule>
    <cfRule type="cellIs" dxfId="135" priority="198" stopIfTrue="1" operator="greaterThanOrEqual">
      <formula>9000</formula>
    </cfRule>
  </conditionalFormatting>
  <conditionalFormatting sqref="AG92:AJ92">
    <cfRule type="cellIs" dxfId="134" priority="193" stopIfTrue="1" operator="lessThanOrEqual">
      <formula>3000</formula>
    </cfRule>
    <cfRule type="cellIs" dxfId="133" priority="194" stopIfTrue="1" operator="between">
      <formula>3000</formula>
      <formula>9000</formula>
    </cfRule>
    <cfRule type="cellIs" dxfId="132" priority="195" stopIfTrue="1" operator="greaterThanOrEqual">
      <formula>9000</formula>
    </cfRule>
  </conditionalFormatting>
  <conditionalFormatting sqref="V98:Y98">
    <cfRule type="cellIs" dxfId="131" priority="190" stopIfTrue="1" operator="lessThanOrEqual">
      <formula>3000</formula>
    </cfRule>
    <cfRule type="cellIs" dxfId="130" priority="191" stopIfTrue="1" operator="between">
      <formula>3000</formula>
      <formula>9000</formula>
    </cfRule>
    <cfRule type="cellIs" dxfId="129" priority="192" stopIfTrue="1" operator="greaterThanOrEqual">
      <formula>9000</formula>
    </cfRule>
  </conditionalFormatting>
  <conditionalFormatting sqref="AA98:AD98">
    <cfRule type="cellIs" dxfId="128" priority="187" stopIfTrue="1" operator="lessThanOrEqual">
      <formula>3000</formula>
    </cfRule>
    <cfRule type="cellIs" dxfId="127" priority="188" stopIfTrue="1" operator="between">
      <formula>3000</formula>
      <formula>9000</formula>
    </cfRule>
    <cfRule type="cellIs" dxfId="126" priority="189" stopIfTrue="1" operator="greaterThanOrEqual">
      <formula>9000</formula>
    </cfRule>
  </conditionalFormatting>
  <conditionalFormatting sqref="AF98">
    <cfRule type="cellIs" dxfId="125" priority="184" stopIfTrue="1" operator="lessThanOrEqual">
      <formula>3000</formula>
    </cfRule>
    <cfRule type="cellIs" dxfId="124" priority="185" stopIfTrue="1" operator="between">
      <formula>3000</formula>
      <formula>9000</formula>
    </cfRule>
    <cfRule type="cellIs" dxfId="123" priority="186" stopIfTrue="1" operator="greaterThanOrEqual">
      <formula>9000</formula>
    </cfRule>
  </conditionalFormatting>
  <conditionalFormatting sqref="AG98:AJ98">
    <cfRule type="cellIs" dxfId="122" priority="181" stopIfTrue="1" operator="lessThanOrEqual">
      <formula>3000</formula>
    </cfRule>
    <cfRule type="cellIs" dxfId="121" priority="182" stopIfTrue="1" operator="between">
      <formula>3000</formula>
      <formula>9000</formula>
    </cfRule>
    <cfRule type="cellIs" dxfId="120" priority="183" stopIfTrue="1" operator="greaterThanOrEqual">
      <formula>9000</formula>
    </cfRule>
  </conditionalFormatting>
  <conditionalFormatting sqref="V104:Y104">
    <cfRule type="cellIs" dxfId="119" priority="178" stopIfTrue="1" operator="lessThanOrEqual">
      <formula>3000</formula>
    </cfRule>
    <cfRule type="cellIs" dxfId="118" priority="179" stopIfTrue="1" operator="between">
      <formula>3000</formula>
      <formula>9000</formula>
    </cfRule>
    <cfRule type="cellIs" dxfId="117" priority="180" stopIfTrue="1" operator="greaterThanOrEqual">
      <formula>9000</formula>
    </cfRule>
  </conditionalFormatting>
  <conditionalFormatting sqref="AA104:AD104">
    <cfRule type="cellIs" dxfId="116" priority="175" stopIfTrue="1" operator="lessThanOrEqual">
      <formula>3000</formula>
    </cfRule>
    <cfRule type="cellIs" dxfId="115" priority="176" stopIfTrue="1" operator="between">
      <formula>3000</formula>
      <formula>9000</formula>
    </cfRule>
    <cfRule type="cellIs" dxfId="114" priority="177" stopIfTrue="1" operator="greaterThanOrEqual">
      <formula>9000</formula>
    </cfRule>
  </conditionalFormatting>
  <conditionalFormatting sqref="AF104">
    <cfRule type="cellIs" dxfId="113" priority="172" stopIfTrue="1" operator="lessThanOrEqual">
      <formula>3000</formula>
    </cfRule>
    <cfRule type="cellIs" dxfId="112" priority="173" stopIfTrue="1" operator="between">
      <formula>3000</formula>
      <formula>9000</formula>
    </cfRule>
    <cfRule type="cellIs" dxfId="111" priority="174" stopIfTrue="1" operator="greaterThanOrEqual">
      <formula>9000</formula>
    </cfRule>
  </conditionalFormatting>
  <conditionalFormatting sqref="AG104:AJ104">
    <cfRule type="cellIs" dxfId="110" priority="169" stopIfTrue="1" operator="lessThanOrEqual">
      <formula>3000</formula>
    </cfRule>
    <cfRule type="cellIs" dxfId="109" priority="170" stopIfTrue="1" operator="between">
      <formula>3000</formula>
      <formula>9000</formula>
    </cfRule>
    <cfRule type="cellIs" dxfId="108" priority="171" stopIfTrue="1" operator="greaterThanOrEqual">
      <formula>9000</formula>
    </cfRule>
  </conditionalFormatting>
  <conditionalFormatting sqref="V110:Y110">
    <cfRule type="cellIs" dxfId="107" priority="142" stopIfTrue="1" operator="lessThanOrEqual">
      <formula>3000</formula>
    </cfRule>
    <cfRule type="cellIs" dxfId="106" priority="143" stopIfTrue="1" operator="between">
      <formula>3000</formula>
      <formula>9000</formula>
    </cfRule>
    <cfRule type="cellIs" dxfId="105" priority="144" stopIfTrue="1" operator="greaterThanOrEqual">
      <formula>9000</formula>
    </cfRule>
  </conditionalFormatting>
  <conditionalFormatting sqref="AA110:AD110">
    <cfRule type="cellIs" dxfId="104" priority="139" stopIfTrue="1" operator="lessThanOrEqual">
      <formula>3000</formula>
    </cfRule>
    <cfRule type="cellIs" dxfId="103" priority="140" stopIfTrue="1" operator="between">
      <formula>3000</formula>
      <formula>9000</formula>
    </cfRule>
    <cfRule type="cellIs" dxfId="102" priority="141" stopIfTrue="1" operator="greaterThanOrEqual">
      <formula>9000</formula>
    </cfRule>
  </conditionalFormatting>
  <conditionalFormatting sqref="AF110">
    <cfRule type="cellIs" dxfId="101" priority="136" stopIfTrue="1" operator="lessThanOrEqual">
      <formula>3000</formula>
    </cfRule>
    <cfRule type="cellIs" dxfId="100" priority="137" stopIfTrue="1" operator="between">
      <formula>3000</formula>
      <formula>9000</formula>
    </cfRule>
    <cfRule type="cellIs" dxfId="99" priority="138" stopIfTrue="1" operator="greaterThanOrEqual">
      <formula>9000</formula>
    </cfRule>
  </conditionalFormatting>
  <conditionalFormatting sqref="AG110:AJ110">
    <cfRule type="cellIs" dxfId="98" priority="133" stopIfTrue="1" operator="lessThanOrEqual">
      <formula>3000</formula>
    </cfRule>
    <cfRule type="cellIs" dxfId="97" priority="134" stopIfTrue="1" operator="between">
      <formula>3000</formula>
      <formula>9000</formula>
    </cfRule>
    <cfRule type="cellIs" dxfId="96" priority="135" stopIfTrue="1" operator="greaterThanOrEqual">
      <formula>9000</formula>
    </cfRule>
  </conditionalFormatting>
  <conditionalFormatting sqref="V116:Y116">
    <cfRule type="cellIs" dxfId="95" priority="130" stopIfTrue="1" operator="lessThanOrEqual">
      <formula>3000</formula>
    </cfRule>
    <cfRule type="cellIs" dxfId="94" priority="131" stopIfTrue="1" operator="between">
      <formula>3000</formula>
      <formula>9000</formula>
    </cfRule>
    <cfRule type="cellIs" dxfId="93" priority="132" stopIfTrue="1" operator="greaterThanOrEqual">
      <formula>9000</formula>
    </cfRule>
  </conditionalFormatting>
  <conditionalFormatting sqref="AA116:AD116">
    <cfRule type="cellIs" dxfId="92" priority="127" stopIfTrue="1" operator="lessThanOrEqual">
      <formula>3000</formula>
    </cfRule>
    <cfRule type="cellIs" dxfId="91" priority="128" stopIfTrue="1" operator="between">
      <formula>3000</formula>
      <formula>9000</formula>
    </cfRule>
    <cfRule type="cellIs" dxfId="90" priority="129" stopIfTrue="1" operator="greaterThanOrEqual">
      <formula>9000</formula>
    </cfRule>
  </conditionalFormatting>
  <conditionalFormatting sqref="AF116">
    <cfRule type="cellIs" dxfId="89" priority="124" stopIfTrue="1" operator="lessThanOrEqual">
      <formula>3000</formula>
    </cfRule>
    <cfRule type="cellIs" dxfId="88" priority="125" stopIfTrue="1" operator="between">
      <formula>3000</formula>
      <formula>9000</formula>
    </cfRule>
    <cfRule type="cellIs" dxfId="87" priority="126" stopIfTrue="1" operator="greaterThanOrEqual">
      <formula>9000</formula>
    </cfRule>
  </conditionalFormatting>
  <conditionalFormatting sqref="AG116:AJ116">
    <cfRule type="cellIs" dxfId="86" priority="121" stopIfTrue="1" operator="lessThanOrEqual">
      <formula>3000</formula>
    </cfRule>
    <cfRule type="cellIs" dxfId="85" priority="122" stopIfTrue="1" operator="between">
      <formula>3000</formula>
      <formula>9000</formula>
    </cfRule>
    <cfRule type="cellIs" dxfId="84" priority="123" stopIfTrue="1" operator="greaterThanOrEqual">
      <formula>9000</formula>
    </cfRule>
  </conditionalFormatting>
  <conditionalFormatting sqref="V122:Y122">
    <cfRule type="cellIs" dxfId="83" priority="118" stopIfTrue="1" operator="lessThanOrEqual">
      <formula>3000</formula>
    </cfRule>
    <cfRule type="cellIs" dxfId="82" priority="119" stopIfTrue="1" operator="between">
      <formula>3000</formula>
      <formula>9000</formula>
    </cfRule>
    <cfRule type="cellIs" dxfId="81" priority="120" stopIfTrue="1" operator="greaterThanOrEqual">
      <formula>9000</formula>
    </cfRule>
  </conditionalFormatting>
  <conditionalFormatting sqref="AA122:AD122">
    <cfRule type="cellIs" dxfId="80" priority="115" stopIfTrue="1" operator="lessThanOrEqual">
      <formula>3000</formula>
    </cfRule>
    <cfRule type="cellIs" dxfId="79" priority="116" stopIfTrue="1" operator="between">
      <formula>3000</formula>
      <formula>9000</formula>
    </cfRule>
    <cfRule type="cellIs" dxfId="78" priority="117" stopIfTrue="1" operator="greaterThanOrEqual">
      <formula>9000</formula>
    </cfRule>
  </conditionalFormatting>
  <conditionalFormatting sqref="AF122">
    <cfRule type="cellIs" dxfId="77" priority="112" stopIfTrue="1" operator="lessThanOrEqual">
      <formula>3000</formula>
    </cfRule>
    <cfRule type="cellIs" dxfId="76" priority="113" stopIfTrue="1" operator="between">
      <formula>3000</formula>
      <formula>9000</formula>
    </cfRule>
    <cfRule type="cellIs" dxfId="75" priority="114" stopIfTrue="1" operator="greaterThanOrEqual">
      <formula>9000</formula>
    </cfRule>
  </conditionalFormatting>
  <conditionalFormatting sqref="AG122:AJ122">
    <cfRule type="cellIs" dxfId="74" priority="109" stopIfTrue="1" operator="lessThanOrEqual">
      <formula>3000</formula>
    </cfRule>
    <cfRule type="cellIs" dxfId="73" priority="110" stopIfTrue="1" operator="between">
      <formula>3000</formula>
      <formula>9000</formula>
    </cfRule>
    <cfRule type="cellIs" dxfId="72" priority="111" stopIfTrue="1" operator="greaterThanOrEqual">
      <formula>9000</formula>
    </cfRule>
  </conditionalFormatting>
  <conditionalFormatting sqref="V134:Y134">
    <cfRule type="cellIs" dxfId="71" priority="82" stopIfTrue="1" operator="lessThanOrEqual">
      <formula>3000</formula>
    </cfRule>
    <cfRule type="cellIs" dxfId="70" priority="83" stopIfTrue="1" operator="between">
      <formula>3000</formula>
      <formula>9000</formula>
    </cfRule>
    <cfRule type="cellIs" dxfId="69" priority="84" stopIfTrue="1" operator="greaterThanOrEqual">
      <formula>9000</formula>
    </cfRule>
  </conditionalFormatting>
  <conditionalFormatting sqref="AA134:AD134">
    <cfRule type="cellIs" dxfId="68" priority="79" stopIfTrue="1" operator="lessThanOrEqual">
      <formula>3000</formula>
    </cfRule>
    <cfRule type="cellIs" dxfId="67" priority="80" stopIfTrue="1" operator="between">
      <formula>3000</formula>
      <formula>9000</formula>
    </cfRule>
    <cfRule type="cellIs" dxfId="66" priority="81" stopIfTrue="1" operator="greaterThanOrEqual">
      <formula>9000</formula>
    </cfRule>
  </conditionalFormatting>
  <conditionalFormatting sqref="AF134">
    <cfRule type="cellIs" dxfId="65" priority="76" stopIfTrue="1" operator="lessThanOrEqual">
      <formula>3000</formula>
    </cfRule>
    <cfRule type="cellIs" dxfId="64" priority="77" stopIfTrue="1" operator="between">
      <formula>3000</formula>
      <formula>9000</formula>
    </cfRule>
    <cfRule type="cellIs" dxfId="63" priority="78" stopIfTrue="1" operator="greaterThanOrEqual">
      <formula>9000</formula>
    </cfRule>
  </conditionalFormatting>
  <conditionalFormatting sqref="AG134:AJ134">
    <cfRule type="cellIs" dxfId="62" priority="73" stopIfTrue="1" operator="lessThanOrEqual">
      <formula>3000</formula>
    </cfRule>
    <cfRule type="cellIs" dxfId="61" priority="74" stopIfTrue="1" operator="between">
      <formula>3000</formula>
      <formula>9000</formula>
    </cfRule>
    <cfRule type="cellIs" dxfId="60" priority="75" stopIfTrue="1" operator="greaterThanOrEqual">
      <formula>9000</formula>
    </cfRule>
  </conditionalFormatting>
  <conditionalFormatting sqref="V140:Y140">
    <cfRule type="cellIs" dxfId="59" priority="70" stopIfTrue="1" operator="lessThanOrEqual">
      <formula>3000</formula>
    </cfRule>
    <cfRule type="cellIs" dxfId="58" priority="71" stopIfTrue="1" operator="between">
      <formula>3000</formula>
      <formula>9000</formula>
    </cfRule>
    <cfRule type="cellIs" dxfId="57" priority="72" stopIfTrue="1" operator="greaterThanOrEqual">
      <formula>9000</formula>
    </cfRule>
  </conditionalFormatting>
  <conditionalFormatting sqref="AA140:AD140">
    <cfRule type="cellIs" dxfId="56" priority="67" stopIfTrue="1" operator="lessThanOrEqual">
      <formula>3000</formula>
    </cfRule>
    <cfRule type="cellIs" dxfId="55" priority="68" stopIfTrue="1" operator="between">
      <formula>3000</formula>
      <formula>9000</formula>
    </cfRule>
    <cfRule type="cellIs" dxfId="54" priority="69" stopIfTrue="1" operator="greaterThanOrEqual">
      <formula>9000</formula>
    </cfRule>
  </conditionalFormatting>
  <conditionalFormatting sqref="AF140">
    <cfRule type="cellIs" dxfId="53" priority="64" stopIfTrue="1" operator="lessThanOrEqual">
      <formula>3000</formula>
    </cfRule>
    <cfRule type="cellIs" dxfId="52" priority="65" stopIfTrue="1" operator="between">
      <formula>3000</formula>
      <formula>9000</formula>
    </cfRule>
    <cfRule type="cellIs" dxfId="51" priority="66" stopIfTrue="1" operator="greaterThanOrEqual">
      <formula>9000</formula>
    </cfRule>
  </conditionalFormatting>
  <conditionalFormatting sqref="AG140:AJ140">
    <cfRule type="cellIs" dxfId="50" priority="61" stopIfTrue="1" operator="lessThanOrEqual">
      <formula>3000</formula>
    </cfRule>
    <cfRule type="cellIs" dxfId="49" priority="62" stopIfTrue="1" operator="between">
      <formula>3000</formula>
      <formula>9000</formula>
    </cfRule>
    <cfRule type="cellIs" dxfId="48" priority="63" stopIfTrue="1" operator="greaterThanOrEqual">
      <formula>9000</formula>
    </cfRule>
  </conditionalFormatting>
  <conditionalFormatting sqref="E152:H152">
    <cfRule type="cellIs" dxfId="47" priority="46" stopIfTrue="1" operator="lessThanOrEqual">
      <formula>3000</formula>
    </cfRule>
    <cfRule type="cellIs" dxfId="46" priority="47" stopIfTrue="1" operator="between">
      <formula>3000</formula>
      <formula>9000</formula>
    </cfRule>
    <cfRule type="cellIs" dxfId="45" priority="48" stopIfTrue="1" operator="greaterThanOrEqual">
      <formula>9000</formula>
    </cfRule>
  </conditionalFormatting>
  <conditionalFormatting sqref="J152:M152">
    <cfRule type="cellIs" dxfId="44" priority="43" stopIfTrue="1" operator="lessThanOrEqual">
      <formula>3000</formula>
    </cfRule>
    <cfRule type="cellIs" dxfId="43" priority="44" stopIfTrue="1" operator="between">
      <formula>3000</formula>
      <formula>9000</formula>
    </cfRule>
    <cfRule type="cellIs" dxfId="42" priority="45" stopIfTrue="1" operator="greaterThanOrEqual">
      <formula>9000</formula>
    </cfRule>
  </conditionalFormatting>
  <conditionalFormatting sqref="O152">
    <cfRule type="cellIs" dxfId="41" priority="40" stopIfTrue="1" operator="lessThanOrEqual">
      <formula>3000</formula>
    </cfRule>
    <cfRule type="cellIs" dxfId="40" priority="41" stopIfTrue="1" operator="between">
      <formula>3000</formula>
      <formula>9000</formula>
    </cfRule>
    <cfRule type="cellIs" dxfId="39" priority="42" stopIfTrue="1" operator="greaterThanOrEqual">
      <formula>9000</formula>
    </cfRule>
  </conditionalFormatting>
  <conditionalFormatting sqref="P152:S152">
    <cfRule type="cellIs" dxfId="38" priority="37" stopIfTrue="1" operator="lessThanOrEqual">
      <formula>3000</formula>
    </cfRule>
    <cfRule type="cellIs" dxfId="37" priority="38" stopIfTrue="1" operator="between">
      <formula>3000</formula>
      <formula>9000</formula>
    </cfRule>
    <cfRule type="cellIs" dxfId="36" priority="39" stopIfTrue="1" operator="greaterThanOrEqual">
      <formula>9000</formula>
    </cfRule>
  </conditionalFormatting>
  <conditionalFormatting sqref="E146:H146">
    <cfRule type="cellIs" dxfId="35" priority="34" stopIfTrue="1" operator="lessThanOrEqual">
      <formula>3000</formula>
    </cfRule>
    <cfRule type="cellIs" dxfId="34" priority="35" stopIfTrue="1" operator="between">
      <formula>3000</formula>
      <formula>9000</formula>
    </cfRule>
    <cfRule type="cellIs" dxfId="33" priority="36" stopIfTrue="1" operator="greaterThanOrEqual">
      <formula>9000</formula>
    </cfRule>
  </conditionalFormatting>
  <conditionalFormatting sqref="J146:M146">
    <cfRule type="cellIs" dxfId="32" priority="31" stopIfTrue="1" operator="lessThanOrEqual">
      <formula>3000</formula>
    </cfRule>
    <cfRule type="cellIs" dxfId="31" priority="32" stopIfTrue="1" operator="between">
      <formula>3000</formula>
      <formula>9000</formula>
    </cfRule>
    <cfRule type="cellIs" dxfId="30" priority="33" stopIfTrue="1" operator="greaterThanOrEqual">
      <formula>9000</formula>
    </cfRule>
  </conditionalFormatting>
  <conditionalFormatting sqref="O146">
    <cfRule type="cellIs" dxfId="29" priority="28" stopIfTrue="1" operator="lessThanOrEqual">
      <formula>3000</formula>
    </cfRule>
    <cfRule type="cellIs" dxfId="28" priority="29" stopIfTrue="1" operator="between">
      <formula>3000</formula>
      <formula>9000</formula>
    </cfRule>
    <cfRule type="cellIs" dxfId="27" priority="30" stopIfTrue="1" operator="greaterThanOrEqual">
      <formula>9000</formula>
    </cfRule>
  </conditionalFormatting>
  <conditionalFormatting sqref="P146:S146">
    <cfRule type="cellIs" dxfId="26" priority="25" stopIfTrue="1" operator="lessThanOrEqual">
      <formula>3000</formula>
    </cfRule>
    <cfRule type="cellIs" dxfId="25" priority="26" stopIfTrue="1" operator="between">
      <formula>3000</formula>
      <formula>9000</formula>
    </cfRule>
    <cfRule type="cellIs" dxfId="24" priority="27" stopIfTrue="1" operator="greaterThanOrEqual">
      <formula>9000</formula>
    </cfRule>
  </conditionalFormatting>
  <conditionalFormatting sqref="V152:Y152">
    <cfRule type="cellIs" dxfId="23" priority="22" stopIfTrue="1" operator="lessThanOrEqual">
      <formula>3000</formula>
    </cfRule>
    <cfRule type="cellIs" dxfId="22" priority="23" stopIfTrue="1" operator="between">
      <formula>3000</formula>
      <formula>9000</formula>
    </cfRule>
    <cfRule type="cellIs" dxfId="21" priority="24" stopIfTrue="1" operator="greaterThanOrEqual">
      <formula>9000</formula>
    </cfRule>
  </conditionalFormatting>
  <conditionalFormatting sqref="AA152:AD152">
    <cfRule type="cellIs" dxfId="20" priority="19" stopIfTrue="1" operator="lessThanOrEqual">
      <formula>3000</formula>
    </cfRule>
    <cfRule type="cellIs" dxfId="19" priority="20" stopIfTrue="1" operator="between">
      <formula>3000</formula>
      <formula>9000</formula>
    </cfRule>
    <cfRule type="cellIs" dxfId="18" priority="21" stopIfTrue="1" operator="greaterThanOrEqual">
      <formula>9000</formula>
    </cfRule>
  </conditionalFormatting>
  <conditionalFormatting sqref="AF152">
    <cfRule type="cellIs" dxfId="17" priority="16" stopIfTrue="1" operator="lessThanOrEqual">
      <formula>3000</formula>
    </cfRule>
    <cfRule type="cellIs" dxfId="16" priority="17" stopIfTrue="1" operator="between">
      <formula>3000</formula>
      <formula>9000</formula>
    </cfRule>
    <cfRule type="cellIs" dxfId="15" priority="18" stopIfTrue="1" operator="greaterThanOrEqual">
      <formula>9000</formula>
    </cfRule>
  </conditionalFormatting>
  <conditionalFormatting sqref="AG152:AJ152">
    <cfRule type="cellIs" dxfId="14" priority="13" stopIfTrue="1" operator="lessThanOrEqual">
      <formula>3000</formula>
    </cfRule>
    <cfRule type="cellIs" dxfId="13" priority="14" stopIfTrue="1" operator="between">
      <formula>3000</formula>
      <formula>9000</formula>
    </cfRule>
    <cfRule type="cellIs" dxfId="12" priority="15" stopIfTrue="1" operator="greaterThanOrEqual">
      <formula>9000</formula>
    </cfRule>
  </conditionalFormatting>
  <conditionalFormatting sqref="V146:Y146">
    <cfRule type="cellIs" dxfId="11" priority="10" stopIfTrue="1" operator="lessThanOrEqual">
      <formula>3000</formula>
    </cfRule>
    <cfRule type="cellIs" dxfId="10" priority="11" stopIfTrue="1" operator="between">
      <formula>3000</formula>
      <formula>9000</formula>
    </cfRule>
    <cfRule type="cellIs" dxfId="9" priority="12" stopIfTrue="1" operator="greaterThanOrEqual">
      <formula>9000</formula>
    </cfRule>
  </conditionalFormatting>
  <conditionalFormatting sqref="AA146:AD146">
    <cfRule type="cellIs" dxfId="8" priority="7" stopIfTrue="1" operator="lessThanOrEqual">
      <formula>3000</formula>
    </cfRule>
    <cfRule type="cellIs" dxfId="7" priority="8" stopIfTrue="1" operator="between">
      <formula>3000</formula>
      <formula>9000</formula>
    </cfRule>
    <cfRule type="cellIs" dxfId="6" priority="9" stopIfTrue="1" operator="greaterThanOrEqual">
      <formula>9000</formula>
    </cfRule>
  </conditionalFormatting>
  <conditionalFormatting sqref="AF146">
    <cfRule type="cellIs" dxfId="5" priority="4" stopIfTrue="1" operator="lessThanOrEqual">
      <formula>3000</formula>
    </cfRule>
    <cfRule type="cellIs" dxfId="4" priority="5" stopIfTrue="1" operator="between">
      <formula>3000</formula>
      <formula>9000</formula>
    </cfRule>
    <cfRule type="cellIs" dxfId="3" priority="6" stopIfTrue="1" operator="greaterThanOrEqual">
      <formula>9000</formula>
    </cfRule>
  </conditionalFormatting>
  <conditionalFormatting sqref="AG146:AJ146">
    <cfRule type="cellIs" dxfId="2" priority="1" stopIfTrue="1" operator="lessThanOrEqual">
      <formula>3000</formula>
    </cfRule>
    <cfRule type="cellIs" dxfId="1" priority="2" stopIfTrue="1" operator="between">
      <formula>3000</formula>
      <formula>9000</formula>
    </cfRule>
    <cfRule type="cellIs" dxfId="0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LNB summary</vt:lpstr>
      <vt:lpstr>SD</vt:lpstr>
      <vt:lpstr>OB</vt:lpstr>
    </vt:vector>
  </TitlesOfParts>
  <Company>Lenovo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Fiona Wen</dc:creator>
  <cp:lastModifiedBy>xiaoyuge@gmail.com</cp:lastModifiedBy>
  <dcterms:created xsi:type="dcterms:W3CDTF">2020-04-21T05:34:06Z</dcterms:created>
  <dcterms:modified xsi:type="dcterms:W3CDTF">2023-01-10T10:19:42Z</dcterms:modified>
</cp:coreProperties>
</file>