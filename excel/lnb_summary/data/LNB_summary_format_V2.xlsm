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107" codeName="{A63ED3A1-9429-3D75-F2AA-CA7E51A8F3A1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/Users/joyce/kingfish-python/kingfish-python/excel/lnb_summary/data/"/>
    </mc:Choice>
  </mc:AlternateContent>
  <xr:revisionPtr revIDLastSave="0" documentId="13_ncr:1_{C7A47BEF-B2BD-C04A-9CAA-6647FEB34E0D}" xr6:coauthVersionLast="47" xr6:coauthVersionMax="47" xr10:uidLastSave="{00000000-0000-0000-0000-000000000000}"/>
  <bookViews>
    <workbookView xWindow="0" yWindow="500" windowWidth="28800" windowHeight="16140" tabRatio="595" xr2:uid="{00000000-000D-0000-FFFF-FFFF00000000}"/>
  </bookViews>
  <sheets>
    <sheet name="LNB summary" sheetId="2" r:id="rId1"/>
    <sheet name="SD" sheetId="3" r:id="rId2"/>
    <sheet name="OB" sheetId="1" r:id="rId3"/>
  </sheets>
  <definedNames>
    <definedName name="_xlnm._FilterDatabase" localSheetId="0" hidden="1">'LNB summary'!$A$2:$AO$264</definedName>
    <definedName name="_xlnm._FilterDatabase" localSheetId="2" hidden="1">OB!$A$8:$AO$162</definedName>
    <definedName name="_xlnm._FilterDatabase" localSheetId="1" hidden="1">SD!$A$3:$AO$114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O3" i="2" l="1"/>
  <c r="AO9" i="2"/>
  <c r="AO15" i="2"/>
  <c r="AO21" i="2"/>
  <c r="AO260" i="2" s="1"/>
  <c r="AO27" i="2"/>
  <c r="AO33" i="2"/>
  <c r="AO39" i="2"/>
  <c r="AO45" i="2"/>
  <c r="AO51" i="2"/>
  <c r="AO57" i="2"/>
  <c r="AO63" i="2"/>
  <c r="AO69" i="2"/>
  <c r="AO75" i="2"/>
  <c r="AO81" i="2"/>
  <c r="AO87" i="2"/>
  <c r="AO93" i="2"/>
  <c r="AO99" i="2"/>
  <c r="AO105" i="2"/>
  <c r="AO111" i="2"/>
  <c r="AO117" i="2"/>
  <c r="AO123" i="2"/>
  <c r="AO129" i="2"/>
  <c r="AO135" i="2"/>
  <c r="AO141" i="2"/>
  <c r="AO147" i="2"/>
  <c r="AO153" i="2"/>
  <c r="AO159" i="2"/>
  <c r="AO165" i="2"/>
  <c r="AO171" i="2"/>
  <c r="AO177" i="2"/>
  <c r="AO183" i="2"/>
  <c r="AO189" i="2"/>
  <c r="AO195" i="2"/>
  <c r="AO201" i="2"/>
  <c r="AO207" i="2"/>
  <c r="AO213" i="2"/>
  <c r="AO219" i="2"/>
  <c r="AO225" i="2"/>
  <c r="AO231" i="2"/>
  <c r="AO237" i="2"/>
  <c r="AO243" i="2"/>
  <c r="AO249" i="2"/>
  <c r="AN3" i="2"/>
  <c r="AN9" i="2"/>
  <c r="AN15" i="2"/>
  <c r="AN21" i="2"/>
  <c r="AN27" i="2"/>
  <c r="AN33" i="2"/>
  <c r="AN39" i="2"/>
  <c r="AN45" i="2"/>
  <c r="AN51" i="2"/>
  <c r="AN57" i="2"/>
  <c r="AN63" i="2"/>
  <c r="AN69" i="2"/>
  <c r="AN75" i="2"/>
  <c r="AN81" i="2"/>
  <c r="AN87" i="2"/>
  <c r="AN93" i="2"/>
  <c r="AN99" i="2"/>
  <c r="AN105" i="2"/>
  <c r="AN111" i="2"/>
  <c r="AN117" i="2"/>
  <c r="AN123" i="2"/>
  <c r="AN129" i="2"/>
  <c r="AN135" i="2"/>
  <c r="AN141" i="2"/>
  <c r="AN147" i="2"/>
  <c r="AN153" i="2"/>
  <c r="AN159" i="2"/>
  <c r="AN165" i="2"/>
  <c r="AN171" i="2"/>
  <c r="AN177" i="2"/>
  <c r="AN183" i="2"/>
  <c r="AN189" i="2"/>
  <c r="AN195" i="2"/>
  <c r="AN201" i="2"/>
  <c r="AN207" i="2"/>
  <c r="AN213" i="2"/>
  <c r="AN219" i="2"/>
  <c r="AN225" i="2"/>
  <c r="AN231" i="2"/>
  <c r="AN237" i="2"/>
  <c r="AN243" i="2"/>
  <c r="AN249" i="2"/>
  <c r="AN260" i="2"/>
</calcChain>
</file>

<file path=xl/sharedStrings.xml><?xml version="1.0" encoding="utf-8"?>
<sst xmlns="http://schemas.openxmlformats.org/spreadsheetml/2006/main" count="742" uniqueCount="127">
  <si>
    <t>Total</t>
    <phoneticPr fontId="3" type="noConversion"/>
  </si>
  <si>
    <t>Current week</t>
    <phoneticPr fontId="3" type="noConversion"/>
  </si>
  <si>
    <t>Capabity</t>
  </si>
  <si>
    <t>BOH</t>
  </si>
  <si>
    <t>Rolling</t>
    <phoneticPr fontId="3" type="noConversion"/>
  </si>
  <si>
    <t>Demand</t>
  </si>
  <si>
    <t>Supply</t>
  </si>
  <si>
    <t>TTL supply</t>
    <phoneticPr fontId="3" type="noConversion"/>
  </si>
  <si>
    <t>Delta</t>
  </si>
  <si>
    <t>DOI</t>
  </si>
  <si>
    <t>LOI</t>
  </si>
  <si>
    <t>Memory 8Gb DDR4 2666 onboard</t>
    <phoneticPr fontId="4" type="noConversion"/>
  </si>
  <si>
    <t>Memory 8Gb DDR4 3200 onboard</t>
    <phoneticPr fontId="4" type="noConversion"/>
  </si>
  <si>
    <t>Memory 16Gb DDR4 2666 onboard</t>
    <phoneticPr fontId="4" type="noConversion"/>
  </si>
  <si>
    <t>Memory 16Gb DDR4 3200 onboard</t>
    <phoneticPr fontId="4" type="noConversion"/>
  </si>
  <si>
    <t>Memory 4GB DDR4 3200 SODIMM</t>
    <phoneticPr fontId="4" type="noConversion"/>
  </si>
  <si>
    <t>Memory 8GB DDR4 3200 SODIMM</t>
    <phoneticPr fontId="4" type="noConversion"/>
  </si>
  <si>
    <t>Memory 16GB DDR4 3200 SODIMM</t>
    <phoneticPr fontId="4" type="noConversion"/>
  </si>
  <si>
    <t xml:space="preserve">Total </t>
    <phoneticPr fontId="3" type="noConversion"/>
  </si>
  <si>
    <t>Memory 16Gb LPDDR4 3733 onboard</t>
    <phoneticPr fontId="4" type="noConversion"/>
  </si>
  <si>
    <t>Memory 32Gb LPDDR4X 432B 4266 onboard</t>
    <phoneticPr fontId="4" type="noConversion"/>
  </si>
  <si>
    <t>Memory 64Gb LPDDR4X 200B 4266 onboard G2</t>
    <phoneticPr fontId="4" type="noConversion"/>
  </si>
  <si>
    <t>Memory 8GB DDR4 3200 SODIMM G2</t>
    <phoneticPr fontId="4" type="noConversion"/>
  </si>
  <si>
    <t>Memory 16GB DDR4 3200 SODIMM G2</t>
    <phoneticPr fontId="4" type="noConversion"/>
  </si>
  <si>
    <t>Memory 8Gb DDR4 3200 onboard G2</t>
    <phoneticPr fontId="4" type="noConversion"/>
  </si>
  <si>
    <t>Memory 8GB DDR4 3200 SODIMM G3</t>
    <phoneticPr fontId="4" type="noConversion"/>
  </si>
  <si>
    <t>Memory 16GB DDR4 3200 SODIMM G3</t>
    <phoneticPr fontId="4" type="noConversion"/>
  </si>
  <si>
    <t>Memory 8GB DDR5 4800 SODIMM</t>
    <phoneticPr fontId="4" type="noConversion"/>
  </si>
  <si>
    <t>Memory 16GB DDR5 4800 SODIMM</t>
    <phoneticPr fontId="4" type="noConversion"/>
  </si>
  <si>
    <t>Memory 16Gb LPDDR5 315B 6400 onboard</t>
    <phoneticPr fontId="4" type="noConversion"/>
  </si>
  <si>
    <t>Memory 32Gb LPDDR5 315B 6400 onboard</t>
    <phoneticPr fontId="4" type="noConversion"/>
  </si>
  <si>
    <t>Memory 64Gb LPDDR5 315B 6400 onboard</t>
    <phoneticPr fontId="4" type="noConversion"/>
  </si>
  <si>
    <t>Demand</t>
    <phoneticPr fontId="2" type="noConversion"/>
  </si>
  <si>
    <t>Memory 16Gb DDR4 3200 onboard G3</t>
    <phoneticPr fontId="4" type="noConversion"/>
  </si>
  <si>
    <t>Memory 16Gb DDR5 4800 onboard</t>
    <phoneticPr fontId="4" type="noConversion"/>
  </si>
  <si>
    <t>Memory 64Gb LPDDR4X 200B 4266 onboard G3</t>
    <phoneticPr fontId="4" type="noConversion"/>
  </si>
  <si>
    <r>
      <t xml:space="preserve">Memory 16Gb LPDDR4X 200B 4266 onboard </t>
    </r>
    <r>
      <rPr>
        <b/>
        <sz val="12"/>
        <color rgb="FFFF0000"/>
        <rFont val="Arial"/>
        <family val="2"/>
      </rPr>
      <t>G2</t>
    </r>
    <phoneticPr fontId="4" type="noConversion"/>
  </si>
  <si>
    <r>
      <t xml:space="preserve">Memory 32Gb LPDDR4X </t>
    </r>
    <r>
      <rPr>
        <b/>
        <sz val="12"/>
        <color rgb="FFFF0000"/>
        <rFont val="Arial"/>
        <family val="2"/>
      </rPr>
      <t xml:space="preserve">200B </t>
    </r>
    <r>
      <rPr>
        <b/>
        <sz val="12"/>
        <rFont val="Arial"/>
        <family val="2"/>
      </rPr>
      <t xml:space="preserve">4266 onboard </t>
    </r>
    <r>
      <rPr>
        <b/>
        <sz val="12"/>
        <color rgb="FFFF0000"/>
        <rFont val="Arial"/>
        <family val="2"/>
      </rPr>
      <t>G2</t>
    </r>
    <phoneticPr fontId="4" type="noConversion"/>
  </si>
  <si>
    <r>
      <t xml:space="preserve">Memory 32Gb LPDDR4X </t>
    </r>
    <r>
      <rPr>
        <b/>
        <sz val="12"/>
        <color rgb="FFFF0000"/>
        <rFont val="Arial"/>
        <family val="2"/>
      </rPr>
      <t>432B</t>
    </r>
    <r>
      <rPr>
        <b/>
        <sz val="12"/>
        <rFont val="Arial"/>
        <family val="2"/>
      </rPr>
      <t xml:space="preserve"> 4266 onboard </t>
    </r>
    <r>
      <rPr>
        <b/>
        <sz val="12"/>
        <color rgb="FFFF0000"/>
        <rFont val="Arial"/>
        <family val="2"/>
      </rPr>
      <t>G2</t>
    </r>
    <phoneticPr fontId="4" type="noConversion"/>
  </si>
  <si>
    <r>
      <t xml:space="preserve">Memory 64Gb LPDDR4X </t>
    </r>
    <r>
      <rPr>
        <b/>
        <sz val="12"/>
        <color rgb="FFFF0000"/>
        <rFont val="Arial"/>
        <family val="2"/>
      </rPr>
      <t>432B</t>
    </r>
    <r>
      <rPr>
        <b/>
        <sz val="12"/>
        <rFont val="Arial"/>
        <family val="2"/>
      </rPr>
      <t xml:space="preserve"> 4266 onboard </t>
    </r>
    <r>
      <rPr>
        <b/>
        <sz val="12"/>
        <color rgb="FFFF0000"/>
        <rFont val="Arial"/>
        <family val="2"/>
      </rPr>
      <t>G2</t>
    </r>
    <phoneticPr fontId="4" type="noConversion"/>
  </si>
  <si>
    <r>
      <t xml:space="preserve">Memory 16Gb LPDDR4X 200B 4266 onboard </t>
    </r>
    <r>
      <rPr>
        <b/>
        <sz val="12"/>
        <color rgb="FFFF0000"/>
        <rFont val="Arial"/>
        <family val="2"/>
      </rPr>
      <t>G3</t>
    </r>
    <phoneticPr fontId="4" type="noConversion"/>
  </si>
  <si>
    <r>
      <t xml:space="preserve">Memory 32Gb LPDDR4X </t>
    </r>
    <r>
      <rPr>
        <b/>
        <sz val="12"/>
        <color rgb="FFFF0000"/>
        <rFont val="Arial"/>
        <family val="2"/>
      </rPr>
      <t>200B</t>
    </r>
    <r>
      <rPr>
        <b/>
        <sz val="12"/>
        <rFont val="Arial"/>
        <family val="2"/>
      </rPr>
      <t xml:space="preserve"> 4266 onboard </t>
    </r>
    <r>
      <rPr>
        <b/>
        <sz val="12"/>
        <color rgb="FFFF0000"/>
        <rFont val="Arial"/>
        <family val="2"/>
      </rPr>
      <t>G3</t>
    </r>
    <phoneticPr fontId="4" type="noConversion"/>
  </si>
  <si>
    <t>Memory 32Gb LPDDR5 315B 6400 onboard G2</t>
    <phoneticPr fontId="4" type="noConversion"/>
  </si>
  <si>
    <t>Memory 64Gb LPDDR5 315B 6400 onboard G2</t>
    <phoneticPr fontId="4" type="noConversion"/>
  </si>
  <si>
    <t>Feb</t>
    <phoneticPr fontId="3" type="noConversion"/>
  </si>
  <si>
    <t>Mar</t>
    <phoneticPr fontId="3" type="noConversion"/>
  </si>
  <si>
    <t>FYQ4</t>
    <phoneticPr fontId="3" type="noConversion"/>
  </si>
  <si>
    <t>Memory 8GB DDR5 5600 SODIMM</t>
    <phoneticPr fontId="4" type="noConversion"/>
  </si>
  <si>
    <t>Memory 16GB DDR5 5600 SODIMM</t>
    <phoneticPr fontId="4" type="noConversion"/>
  </si>
  <si>
    <t>Memory 32Gb LPDDR5x 315B 7500 onboard</t>
    <phoneticPr fontId="4" type="noConversion"/>
  </si>
  <si>
    <t>Memory 64Gb LPDDR5x 315B 7500 onboard</t>
    <phoneticPr fontId="4" type="noConversion"/>
  </si>
  <si>
    <t>Jan</t>
    <phoneticPr fontId="3" type="noConversion"/>
  </si>
  <si>
    <t>Capabity</t>
    <phoneticPr fontId="3" type="noConversion"/>
  </si>
  <si>
    <t>BOH</t>
    <phoneticPr fontId="3" type="noConversion"/>
  </si>
  <si>
    <t>Unnamed: 4_level_1</t>
    <phoneticPr fontId="3" type="noConversion"/>
  </si>
  <si>
    <t>TTL</t>
    <phoneticPr fontId="3" type="noConversion"/>
  </si>
  <si>
    <t>Memory 8Gb DDR4 2666 onboard</t>
    <phoneticPr fontId="3" type="noConversion"/>
  </si>
  <si>
    <t>Demand</t>
    <phoneticPr fontId="3" type="noConversion"/>
  </si>
  <si>
    <t>Supply</t>
    <phoneticPr fontId="3" type="noConversion"/>
  </si>
  <si>
    <t>LOI</t>
    <phoneticPr fontId="3" type="noConversion"/>
  </si>
  <si>
    <t>Delta</t>
    <phoneticPr fontId="3" type="noConversion"/>
  </si>
  <si>
    <t>DOI</t>
    <phoneticPr fontId="3" type="noConversion"/>
  </si>
  <si>
    <t>Memory 8Gb DDR4 3200 onboard</t>
    <phoneticPr fontId="3" type="noConversion"/>
  </si>
  <si>
    <t>Memory 8Gb DDR4 3200 onboard G2</t>
    <phoneticPr fontId="3" type="noConversion"/>
  </si>
  <si>
    <t>Memory 16Gb DDR4 3200 onboard G3</t>
    <phoneticPr fontId="3" type="noConversion"/>
  </si>
  <si>
    <t>Memory 16Gb DDR4 2666 onboard</t>
    <phoneticPr fontId="3" type="noConversion"/>
  </si>
  <si>
    <t>Memory 16Gb DDR4 3200 onboard</t>
    <phoneticPr fontId="3" type="noConversion"/>
  </si>
  <si>
    <t>Memory 32Gb DDR4 3200 onboard</t>
    <phoneticPr fontId="3" type="noConversion"/>
  </si>
  <si>
    <t>Memory 4GB DDR4 2666 SODIMM</t>
    <phoneticPr fontId="3" type="noConversion"/>
  </si>
  <si>
    <t>Memory 4GB DDR4 3200 SODIMM</t>
    <phoneticPr fontId="3" type="noConversion"/>
  </si>
  <si>
    <t>Memory 8GB DDR4 2666 SODIMM</t>
    <phoneticPr fontId="3" type="noConversion"/>
  </si>
  <si>
    <t>Memory 8GB DDR4 3200 SODIMM</t>
    <phoneticPr fontId="3" type="noConversion"/>
  </si>
  <si>
    <t>Memory 8GB DDR4 3200 SODIMM G2</t>
    <phoneticPr fontId="3" type="noConversion"/>
  </si>
  <si>
    <t>Memory 8GB DDR4 3200 SODIMM G3</t>
    <phoneticPr fontId="3" type="noConversion"/>
  </si>
  <si>
    <t>Memory 16GB DDR4 2666 SODIMM</t>
    <phoneticPr fontId="3" type="noConversion"/>
  </si>
  <si>
    <t>Memory 16GB DDR4 3200 SODIMM</t>
    <phoneticPr fontId="3" type="noConversion"/>
  </si>
  <si>
    <t>Memory 16GB DDR4 3200 SODIMM G2</t>
    <phoneticPr fontId="3" type="noConversion"/>
  </si>
  <si>
    <t>Memory 16GB DDR4 3200 SODIMM G3</t>
    <phoneticPr fontId="3" type="noConversion"/>
  </si>
  <si>
    <t>Memory 32GB DDR4 2666 SODIMM</t>
    <phoneticPr fontId="3" type="noConversion"/>
  </si>
  <si>
    <t>Memory 32GB DDR4 3200 SODIMM</t>
    <phoneticPr fontId="3" type="noConversion"/>
  </si>
  <si>
    <t>Memory 16Gb LPDDR4 3733 onboard</t>
    <phoneticPr fontId="3" type="noConversion"/>
  </si>
  <si>
    <t>Memory 16Gb LPDDR4X 200B 4266 onboard G3</t>
    <phoneticPr fontId="3" type="noConversion"/>
  </si>
  <si>
    <t>Memory 16Gb LPDDR4X 200B 4266 onboard G2</t>
    <phoneticPr fontId="3" type="noConversion"/>
  </si>
  <si>
    <t>Memory 32Gb LPDDR4X 432B 4266 onboard</t>
    <phoneticPr fontId="3" type="noConversion"/>
  </si>
  <si>
    <t>Memory 32Gb LPDDR4X 200B 4266 onboard G2</t>
    <phoneticPr fontId="3" type="noConversion"/>
  </si>
  <si>
    <t>Memory 32Gb LPDDR4X 432B 4266 onboard G2</t>
    <phoneticPr fontId="3" type="noConversion"/>
  </si>
  <si>
    <t>Memory 64Gb LPDDR4X 432B 4266 onboard G2</t>
    <phoneticPr fontId="3" type="noConversion"/>
  </si>
  <si>
    <t>Memory 32Gb LPDDR4X 200B 4266 onboard G3</t>
    <phoneticPr fontId="3" type="noConversion"/>
  </si>
  <si>
    <t>Memory 64Gb LPDDR4X 200B 4266 onboard G2</t>
    <phoneticPr fontId="3" type="noConversion"/>
  </si>
  <si>
    <t>Memory 64Gb LPDDR4X 200B 4266 onboard G3</t>
    <phoneticPr fontId="3" type="noConversion"/>
  </si>
  <si>
    <t>Memory 8GB DDR5 4800 SODIMM</t>
    <phoneticPr fontId="3" type="noConversion"/>
  </si>
  <si>
    <t>Memory 16GB DDR5 4800 SODIMM</t>
    <phoneticPr fontId="3" type="noConversion"/>
  </si>
  <si>
    <t>Memory 16Gb LPDDR5 315B 6400 onboard</t>
    <phoneticPr fontId="3" type="noConversion"/>
  </si>
  <si>
    <t>Memory 32Gb LPDDR5 315B 6400 onboard</t>
    <phoneticPr fontId="3" type="noConversion"/>
  </si>
  <si>
    <t>Memory 64Gb LPDDR5 315B 6400 onboard</t>
    <phoneticPr fontId="3" type="noConversion"/>
  </si>
  <si>
    <t>Memory 16Gb DDR5 4800 onboard</t>
    <phoneticPr fontId="3" type="noConversion"/>
  </si>
  <si>
    <t>Memory 16GB DDR5 5400 SODIMM</t>
    <phoneticPr fontId="3" type="noConversion"/>
  </si>
  <si>
    <t>Memory 32Gb LPDDR5 315B 6400 onboard G2</t>
    <phoneticPr fontId="3" type="noConversion"/>
  </si>
  <si>
    <t>Memory 64Gb LPDDR5 315B 6400 onboard G2</t>
    <phoneticPr fontId="3" type="noConversion"/>
  </si>
  <si>
    <t>Memory 8GB DDR5 5600 SODIMM</t>
    <phoneticPr fontId="3" type="noConversion"/>
  </si>
  <si>
    <t>Memory 16GB DDR5 5600 SODIMM</t>
    <phoneticPr fontId="3" type="noConversion"/>
  </si>
  <si>
    <t>Memory 32Gb LPDDR5x 315B 7500 onboard</t>
    <phoneticPr fontId="3" type="noConversion"/>
  </si>
  <si>
    <t>Memory 64Gb LPDDR5x 315B 7500 onboard</t>
    <phoneticPr fontId="3" type="noConversion"/>
  </si>
  <si>
    <t>1Gb  Eqv.</t>
    <phoneticPr fontId="3" type="noConversion"/>
  </si>
  <si>
    <t>Apr</t>
    <phoneticPr fontId="3" type="noConversion"/>
  </si>
  <si>
    <t>May</t>
    <phoneticPr fontId="3" type="noConversion"/>
  </si>
  <si>
    <t>Jun</t>
    <phoneticPr fontId="3" type="noConversion"/>
  </si>
  <si>
    <t>FYQ1</t>
    <phoneticPr fontId="3" type="noConversion"/>
  </si>
  <si>
    <t>Total.1</t>
    <phoneticPr fontId="3" type="noConversion"/>
  </si>
  <si>
    <t>Unnamed: 39_level_1</t>
    <phoneticPr fontId="3" type="noConversion"/>
  </si>
  <si>
    <t>Unnamed: 40_level_1</t>
    <phoneticPr fontId="3" type="noConversion"/>
  </si>
  <si>
    <t xml:space="preserve">last Q </t>
    <phoneticPr fontId="3" type="noConversion"/>
  </si>
  <si>
    <t>Memory 32Gb DDR4 3200 onboard G2</t>
    <phoneticPr fontId="4" type="noConversion"/>
  </si>
  <si>
    <t>Memory 16Gb DDR5 5600 onboard</t>
    <phoneticPr fontId="4" type="noConversion"/>
  </si>
  <si>
    <t>Memory 128Gb LPDDR5x 315B 7500 onboard</t>
    <phoneticPr fontId="4" type="noConversion"/>
  </si>
  <si>
    <t>TTL supply</t>
  </si>
  <si>
    <t>Memory 4GB DDR4 2666 SODIMM</t>
    <phoneticPr fontId="2" type="noConversion"/>
  </si>
  <si>
    <t>Memory 8GB DDR4 2666 SODIMM</t>
  </si>
  <si>
    <t xml:space="preserve"> </t>
    <phoneticPr fontId="4" type="noConversion"/>
  </si>
  <si>
    <t>Memory 16GB DDR4 2666 SODIMM</t>
  </si>
  <si>
    <t>Memory 32GB DDR4 2666 SODIMM</t>
  </si>
  <si>
    <t>Memory 32GB DDR4 3200 SODIMM G3</t>
    <phoneticPr fontId="4" type="noConversion"/>
  </si>
  <si>
    <t>Memory 16GB DDR4 XMP5400 SODIMM</t>
    <phoneticPr fontId="4" type="noConversion"/>
  </si>
  <si>
    <t>Memory 16GB DDR5 XMP6400 SODIMM</t>
    <phoneticPr fontId="4" type="noConversion"/>
  </si>
  <si>
    <t xml:space="preserve">Total </t>
  </si>
  <si>
    <t>1Gb  Eqv.</t>
  </si>
  <si>
    <t>Demand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</si>
</sst>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.0_);[Red]\(0.0\)"/>
    <numFmt numFmtId="177" formatCode="0.0,;[Red]\(0.0,\)"/>
    <numFmt numFmtId="178" formatCode="m/d;@"/>
    <numFmt numFmtId="179" formatCode="0.0000,;[Red]\(0.0000,\)"/>
    <numFmt numFmtId="180" formatCode="0.00,;[Red]\(0.00,\)"/>
  </numFmts>
  <fonts count="20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scheme val="minor"/>
    </font>
    <font>
      <sz val="9"/>
      <name val="等线"/>
      <family val="2"/>
      <charset val="134"/>
      <scheme val="minor"/>
    </font>
    <font>
      <sz val="9"/>
      <name val="宋体"/>
      <family val="3"/>
      <charset val="134"/>
    </font>
    <font>
      <sz val="9"/>
      <name val="等线"/>
      <family val="3"/>
      <charset val="134"/>
      <scheme val="minor"/>
    </font>
    <font>
      <sz val="12"/>
      <name val="宋体"/>
      <family val="3"/>
      <charset val="134"/>
    </font>
    <font>
      <sz val="11"/>
      <color indexed="8"/>
      <name val="等线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b/>
      <sz val="12"/>
      <color rgb="FFFF0000"/>
      <name val="Arial"/>
      <family val="2"/>
    </font>
    <font>
      <b/>
      <sz val="12"/>
      <color indexed="8"/>
      <name val="Arial"/>
      <family val="2"/>
    </font>
    <font>
      <b/>
      <sz val="10"/>
      <name val="微软雅黑"/>
      <family val="2"/>
      <charset val="134"/>
    </font>
    <font>
      <sz val="10"/>
      <name val="微软雅黑"/>
      <family val="2"/>
      <charset val="134"/>
    </font>
    <font>
      <sz val="10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sz val="10"/>
      <color indexed="8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</fills>
  <borders count="4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5">
    <xf numFmtId="0" fontId="0" fillId="0" borderId="0">
      <alignment vertical="center"/>
    </xf>
    <xf numFmtId="0" fontId="5" fillId="0" borderId="0"/>
    <xf numFmtId="0" fontId="6" fillId="0" borderId="0">
      <alignment vertical="center"/>
    </xf>
    <xf numFmtId="0" fontId="1" fillId="0" borderId="0"/>
    <xf numFmtId="0" fontId="5" fillId="0" borderId="0"/>
  </cellStyleXfs>
  <cellXfs count="213">
    <xf numFmtId="0" fontId="0" fillId="0" borderId="0" xfId="0">
      <alignment vertical="center"/>
    </xf>
    <xf numFmtId="176" fontId="7" fillId="0" borderId="7" xfId="0" applyNumberFormat="1" applyFont="1" applyBorder="1" applyAlignment="1">
      <alignment horizontal="center" vertical="center"/>
    </xf>
    <xf numFmtId="176" fontId="7" fillId="0" borderId="11" xfId="0" applyNumberFormat="1" applyFont="1" applyBorder="1" applyAlignment="1">
      <alignment horizontal="center" vertical="center"/>
    </xf>
    <xf numFmtId="176" fontId="7" fillId="0" borderId="7" xfId="2" applyNumberFormat="1" applyFont="1" applyBorder="1" applyAlignment="1">
      <alignment horizontal="center" vertical="center"/>
    </xf>
    <xf numFmtId="176" fontId="7" fillId="0" borderId="11" xfId="2" applyNumberFormat="1" applyFont="1" applyBorder="1" applyAlignment="1">
      <alignment horizontal="center" vertical="center"/>
    </xf>
    <xf numFmtId="176" fontId="7" fillId="0" borderId="9" xfId="2" applyNumberFormat="1" applyFont="1" applyBorder="1" applyAlignment="1">
      <alignment horizontal="left" vertical="center"/>
    </xf>
    <xf numFmtId="176" fontId="7" fillId="0" borderId="0" xfId="0" applyNumberFormat="1" applyFont="1" applyAlignment="1">
      <alignment horizontal="center" vertical="center"/>
    </xf>
    <xf numFmtId="177" fontId="8" fillId="3" borderId="14" xfId="0" applyNumberFormat="1" applyFont="1" applyFill="1" applyBorder="1" applyAlignment="1">
      <alignment horizontal="center" vertical="center"/>
    </xf>
    <xf numFmtId="177" fontId="8" fillId="3" borderId="16" xfId="0" applyNumberFormat="1" applyFont="1" applyFill="1" applyBorder="1" applyAlignment="1">
      <alignment horizontal="center" vertical="center"/>
    </xf>
    <xf numFmtId="177" fontId="8" fillId="3" borderId="15" xfId="0" applyNumberFormat="1" applyFont="1" applyFill="1" applyBorder="1" applyAlignment="1">
      <alignment horizontal="center" vertical="center"/>
    </xf>
    <xf numFmtId="177" fontId="8" fillId="6" borderId="15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176" fontId="7" fillId="0" borderId="0" xfId="2" applyNumberFormat="1" applyFont="1" applyAlignment="1">
      <alignment horizontal="center" vertical="center"/>
    </xf>
    <xf numFmtId="38" fontId="8" fillId="0" borderId="0" xfId="2" applyNumberFormat="1" applyFont="1" applyAlignment="1">
      <alignment horizontal="center" vertical="center"/>
    </xf>
    <xf numFmtId="176" fontId="7" fillId="8" borderId="9" xfId="0" applyNumberFormat="1" applyFont="1" applyFill="1" applyBorder="1" applyAlignment="1">
      <alignment horizontal="left" vertical="center"/>
    </xf>
    <xf numFmtId="0" fontId="8" fillId="0" borderId="0" xfId="2" applyFont="1" applyAlignment="1">
      <alignment horizontal="center" vertical="center"/>
    </xf>
    <xf numFmtId="0" fontId="8" fillId="8" borderId="0" xfId="2" applyFont="1" applyFill="1" applyAlignment="1">
      <alignment horizontal="left" vertical="center"/>
    </xf>
    <xf numFmtId="38" fontId="8" fillId="0" borderId="0" xfId="2" applyNumberFormat="1" applyFont="1">
      <alignment vertical="center"/>
    </xf>
    <xf numFmtId="176" fontId="11" fillId="12" borderId="3" xfId="0" applyNumberFormat="1" applyFont="1" applyFill="1" applyBorder="1" applyAlignment="1">
      <alignment horizontal="center" vertical="center"/>
    </xf>
    <xf numFmtId="177" fontId="12" fillId="11" borderId="3" xfId="0" applyNumberFormat="1" applyFont="1" applyFill="1" applyBorder="1" applyAlignment="1">
      <alignment horizontal="center" vertical="center"/>
    </xf>
    <xf numFmtId="177" fontId="13" fillId="0" borderId="8" xfId="0" applyNumberFormat="1" applyFont="1" applyBorder="1" applyAlignment="1">
      <alignment horizontal="center" vertical="center"/>
    </xf>
    <xf numFmtId="177" fontId="13" fillId="0" borderId="0" xfId="0" applyNumberFormat="1" applyFont="1" applyAlignment="1">
      <alignment horizontal="center" vertical="center"/>
    </xf>
    <xf numFmtId="177" fontId="13" fillId="3" borderId="8" xfId="0" applyNumberFormat="1" applyFont="1" applyFill="1" applyBorder="1" applyAlignment="1">
      <alignment horizontal="center" vertical="center"/>
    </xf>
    <xf numFmtId="177" fontId="13" fillId="0" borderId="13" xfId="0" applyNumberFormat="1" applyFont="1" applyBorder="1" applyAlignment="1">
      <alignment horizontal="center" vertical="center"/>
    </xf>
    <xf numFmtId="177" fontId="13" fillId="0" borderId="13" xfId="1" applyNumberFormat="1" applyFont="1" applyBorder="1" applyAlignment="1">
      <alignment horizontal="center" vertical="center"/>
    </xf>
    <xf numFmtId="176" fontId="14" fillId="0" borderId="7" xfId="2" applyNumberFormat="1" applyFont="1" applyBorder="1" applyAlignment="1">
      <alignment horizontal="center" vertical="center"/>
    </xf>
    <xf numFmtId="177" fontId="13" fillId="0" borderId="8" xfId="2" applyNumberFormat="1" applyFont="1" applyBorder="1" applyAlignment="1">
      <alignment horizontal="center" vertical="center"/>
    </xf>
    <xf numFmtId="177" fontId="13" fillId="0" borderId="0" xfId="2" applyNumberFormat="1" applyFont="1" applyAlignment="1">
      <alignment horizontal="center" vertical="center"/>
    </xf>
    <xf numFmtId="177" fontId="13" fillId="3" borderId="8" xfId="2" applyNumberFormat="1" applyFont="1" applyFill="1" applyBorder="1" applyAlignment="1">
      <alignment horizontal="center" vertical="center"/>
    </xf>
    <xf numFmtId="0" fontId="13" fillId="0" borderId="0" xfId="2" applyFont="1" applyAlignment="1">
      <alignment horizontal="center" vertical="center"/>
    </xf>
    <xf numFmtId="38" fontId="13" fillId="0" borderId="0" xfId="2" applyNumberFormat="1" applyFont="1" applyAlignment="1">
      <alignment horizontal="center" vertical="center"/>
    </xf>
    <xf numFmtId="176" fontId="14" fillId="0" borderId="0" xfId="2" applyNumberFormat="1" applyFont="1" applyAlignment="1">
      <alignment horizontal="center" vertical="center"/>
    </xf>
    <xf numFmtId="177" fontId="13" fillId="4" borderId="0" xfId="2" applyNumberFormat="1" applyFont="1" applyFill="1" applyAlignment="1">
      <alignment horizontal="center" vertical="center"/>
    </xf>
    <xf numFmtId="176" fontId="14" fillId="0" borderId="11" xfId="2" applyNumberFormat="1" applyFont="1" applyBorder="1" applyAlignment="1">
      <alignment horizontal="center" vertical="center"/>
    </xf>
    <xf numFmtId="177" fontId="13" fillId="4" borderId="12" xfId="2" applyNumberFormat="1" applyFont="1" applyFill="1" applyBorder="1" applyAlignment="1">
      <alignment horizontal="center" vertical="center"/>
    </xf>
    <xf numFmtId="177" fontId="13" fillId="5" borderId="12" xfId="2" applyNumberFormat="1" applyFont="1" applyFill="1" applyBorder="1" applyAlignment="1">
      <alignment horizontal="center" vertical="center"/>
    </xf>
    <xf numFmtId="176" fontId="14" fillId="0" borderId="9" xfId="2" applyNumberFormat="1" applyFont="1" applyBorder="1" applyAlignment="1">
      <alignment horizontal="left" vertical="center"/>
    </xf>
    <xf numFmtId="177" fontId="13" fillId="5" borderId="8" xfId="2" applyNumberFormat="1" applyFont="1" applyFill="1" applyBorder="1" applyAlignment="1">
      <alignment horizontal="center" vertical="center"/>
    </xf>
    <xf numFmtId="176" fontId="15" fillId="0" borderId="3" xfId="2" applyNumberFormat="1" applyFont="1" applyBorder="1" applyAlignment="1">
      <alignment horizontal="center" vertical="center"/>
    </xf>
    <xf numFmtId="0" fontId="15" fillId="0" borderId="3" xfId="0" applyFont="1" applyBorder="1" applyAlignment="1">
      <alignment horizontal="center" vertical="center"/>
    </xf>
    <xf numFmtId="176" fontId="15" fillId="3" borderId="20" xfId="0" applyNumberFormat="1" applyFont="1" applyFill="1" applyBorder="1" applyAlignment="1">
      <alignment horizontal="center" vertical="center"/>
    </xf>
    <xf numFmtId="176" fontId="15" fillId="3" borderId="3" xfId="0" applyNumberFormat="1" applyFont="1" applyFill="1" applyBorder="1" applyAlignment="1">
      <alignment horizontal="center" vertical="center"/>
    </xf>
    <xf numFmtId="14" fontId="15" fillId="0" borderId="3" xfId="0" applyNumberFormat="1" applyFont="1" applyBorder="1" applyAlignment="1">
      <alignment horizontal="center" vertical="center"/>
    </xf>
    <xf numFmtId="177" fontId="15" fillId="9" borderId="3" xfId="1" applyNumberFormat="1" applyFont="1" applyFill="1" applyBorder="1" applyAlignment="1">
      <alignment horizontal="center" vertical="center"/>
    </xf>
    <xf numFmtId="38" fontId="16" fillId="0" borderId="0" xfId="2" applyNumberFormat="1" applyFont="1" applyAlignment="1">
      <alignment horizontal="center" vertical="center"/>
    </xf>
    <xf numFmtId="176" fontId="15" fillId="9" borderId="3" xfId="0" applyNumberFormat="1" applyFont="1" applyFill="1" applyBorder="1" applyAlignment="1">
      <alignment horizontal="center" vertical="center"/>
    </xf>
    <xf numFmtId="176" fontId="7" fillId="8" borderId="9" xfId="2" applyNumberFormat="1" applyFont="1" applyFill="1" applyBorder="1" applyAlignment="1">
      <alignment horizontal="left" vertical="center"/>
    </xf>
    <xf numFmtId="0" fontId="16" fillId="0" borderId="0" xfId="2" applyFont="1" applyAlignment="1">
      <alignment horizontal="center" vertical="center"/>
    </xf>
    <xf numFmtId="0" fontId="8" fillId="3" borderId="0" xfId="0" applyFont="1" applyFill="1">
      <alignment vertical="center"/>
    </xf>
    <xf numFmtId="177" fontId="8" fillId="6" borderId="14" xfId="0" applyNumberFormat="1" applyFont="1" applyFill="1" applyBorder="1">
      <alignment vertical="center"/>
    </xf>
    <xf numFmtId="177" fontId="8" fillId="6" borderId="16" xfId="0" applyNumberFormat="1" applyFont="1" applyFill="1" applyBorder="1">
      <alignment vertical="center"/>
    </xf>
    <xf numFmtId="0" fontId="8" fillId="6" borderId="0" xfId="0" applyFont="1" applyFill="1">
      <alignment vertical="center"/>
    </xf>
    <xf numFmtId="0" fontId="8" fillId="0" borderId="0" xfId="2" applyFont="1">
      <alignment vertical="center"/>
    </xf>
    <xf numFmtId="0" fontId="8" fillId="3" borderId="0" xfId="2" applyFont="1" applyFill="1">
      <alignment vertical="center"/>
    </xf>
    <xf numFmtId="0" fontId="17" fillId="0" borderId="0" xfId="2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7" fillId="3" borderId="0" xfId="0" applyFont="1" applyFill="1">
      <alignment vertical="center"/>
    </xf>
    <xf numFmtId="0" fontId="17" fillId="6" borderId="0" xfId="0" applyFont="1" applyFill="1">
      <alignment vertical="center"/>
    </xf>
    <xf numFmtId="0" fontId="17" fillId="0" borderId="0" xfId="2" applyFont="1">
      <alignment vertical="center"/>
    </xf>
    <xf numFmtId="177" fontId="12" fillId="11" borderId="21" xfId="0" applyNumberFormat="1" applyFont="1" applyFill="1" applyBorder="1" applyAlignment="1">
      <alignment horizontal="center" vertical="center"/>
    </xf>
    <xf numFmtId="177" fontId="13" fillId="0" borderId="22" xfId="0" applyNumberFormat="1" applyFont="1" applyBorder="1" applyAlignment="1">
      <alignment horizontal="center" vertical="center"/>
    </xf>
    <xf numFmtId="177" fontId="13" fillId="0" borderId="22" xfId="1" applyNumberFormat="1" applyFont="1" applyBorder="1" applyAlignment="1">
      <alignment horizontal="center" vertical="center"/>
    </xf>
    <xf numFmtId="177" fontId="8" fillId="6" borderId="15" xfId="0" applyNumberFormat="1" applyFont="1" applyFill="1" applyBorder="1">
      <alignment vertical="center"/>
    </xf>
    <xf numFmtId="177" fontId="8" fillId="3" borderId="26" xfId="0" applyNumberFormat="1" applyFont="1" applyFill="1" applyBorder="1" applyAlignment="1">
      <alignment horizontal="center" vertical="center"/>
    </xf>
    <xf numFmtId="177" fontId="8" fillId="6" borderId="27" xfId="0" applyNumberFormat="1" applyFont="1" applyFill="1" applyBorder="1" applyAlignment="1">
      <alignment horizontal="center" vertical="center"/>
    </xf>
    <xf numFmtId="177" fontId="8" fillId="3" borderId="27" xfId="0" applyNumberFormat="1" applyFont="1" applyFill="1" applyBorder="1" applyAlignment="1">
      <alignment horizontal="center" vertical="center"/>
    </xf>
    <xf numFmtId="177" fontId="8" fillId="6" borderId="26" xfId="0" applyNumberFormat="1" applyFont="1" applyFill="1" applyBorder="1">
      <alignment vertical="center"/>
    </xf>
    <xf numFmtId="177" fontId="17" fillId="3" borderId="14" xfId="2" applyNumberFormat="1" applyFont="1" applyFill="1" applyBorder="1" applyAlignment="1">
      <alignment horizontal="center" vertical="center"/>
    </xf>
    <xf numFmtId="177" fontId="17" fillId="3" borderId="16" xfId="2" applyNumberFormat="1" applyFont="1" applyFill="1" applyBorder="1" applyAlignment="1">
      <alignment horizontal="center" vertical="center"/>
    </xf>
    <xf numFmtId="177" fontId="17" fillId="3" borderId="28" xfId="0" applyNumberFormat="1" applyFont="1" applyFill="1" applyBorder="1" applyAlignment="1">
      <alignment horizontal="center" vertical="center"/>
    </xf>
    <xf numFmtId="177" fontId="8" fillId="3" borderId="29" xfId="0" applyNumberFormat="1" applyFont="1" applyFill="1" applyBorder="1" applyAlignment="1">
      <alignment horizontal="center" vertical="center"/>
    </xf>
    <xf numFmtId="177" fontId="8" fillId="3" borderId="20" xfId="0" applyNumberFormat="1" applyFont="1" applyFill="1" applyBorder="1" applyAlignment="1">
      <alignment horizontal="center" vertical="center"/>
    </xf>
    <xf numFmtId="177" fontId="8" fillId="3" borderId="30" xfId="0" applyNumberFormat="1" applyFont="1" applyFill="1" applyBorder="1" applyAlignment="1">
      <alignment horizontal="center" vertical="center"/>
    </xf>
    <xf numFmtId="177" fontId="8" fillId="6" borderId="29" xfId="0" applyNumberFormat="1" applyFont="1" applyFill="1" applyBorder="1">
      <alignment vertical="center"/>
    </xf>
    <xf numFmtId="177" fontId="8" fillId="6" borderId="20" xfId="0" applyNumberFormat="1" applyFont="1" applyFill="1" applyBorder="1">
      <alignment vertical="center"/>
    </xf>
    <xf numFmtId="177" fontId="8" fillId="6" borderId="20" xfId="0" applyNumberFormat="1" applyFont="1" applyFill="1" applyBorder="1" applyAlignment="1">
      <alignment horizontal="center" vertical="center"/>
    </xf>
    <xf numFmtId="177" fontId="8" fillId="6" borderId="30" xfId="0" applyNumberFormat="1" applyFont="1" applyFill="1" applyBorder="1" applyAlignment="1">
      <alignment horizontal="center" vertical="center"/>
    </xf>
    <xf numFmtId="177" fontId="8" fillId="3" borderId="19" xfId="0" applyNumberFormat="1" applyFont="1" applyFill="1" applyBorder="1" applyAlignment="1">
      <alignment horizontal="center" vertical="center"/>
    </xf>
    <xf numFmtId="177" fontId="8" fillId="3" borderId="17" xfId="0" applyNumberFormat="1" applyFont="1" applyFill="1" applyBorder="1" applyAlignment="1">
      <alignment horizontal="center" vertical="center"/>
    </xf>
    <xf numFmtId="177" fontId="8" fillId="3" borderId="18" xfId="0" applyNumberFormat="1" applyFont="1" applyFill="1" applyBorder="1" applyAlignment="1">
      <alignment horizontal="center" vertical="center"/>
    </xf>
    <xf numFmtId="177" fontId="8" fillId="6" borderId="19" xfId="0" applyNumberFormat="1" applyFont="1" applyFill="1" applyBorder="1">
      <alignment vertical="center"/>
    </xf>
    <xf numFmtId="177" fontId="8" fillId="6" borderId="17" xfId="0" applyNumberFormat="1" applyFont="1" applyFill="1" applyBorder="1">
      <alignment vertical="center"/>
    </xf>
    <xf numFmtId="177" fontId="8" fillId="6" borderId="17" xfId="0" applyNumberFormat="1" applyFont="1" applyFill="1" applyBorder="1" applyAlignment="1">
      <alignment horizontal="center" vertical="center"/>
    </xf>
    <xf numFmtId="177" fontId="8" fillId="6" borderId="18" xfId="0" applyNumberFormat="1" applyFont="1" applyFill="1" applyBorder="1" applyAlignment="1">
      <alignment horizontal="center" vertical="center"/>
    </xf>
    <xf numFmtId="177" fontId="17" fillId="0" borderId="14" xfId="2" applyNumberFormat="1" applyFont="1" applyBorder="1" applyAlignment="1">
      <alignment horizontal="center" vertical="center"/>
    </xf>
    <xf numFmtId="177" fontId="17" fillId="0" borderId="16" xfId="2" applyNumberFormat="1" applyFont="1" applyBorder="1" applyAlignment="1">
      <alignment horizontal="center" vertical="center"/>
    </xf>
    <xf numFmtId="177" fontId="17" fillId="0" borderId="28" xfId="0" applyNumberFormat="1" applyFont="1" applyBorder="1" applyAlignment="1">
      <alignment horizontal="center" vertical="center"/>
    </xf>
    <xf numFmtId="177" fontId="8" fillId="0" borderId="14" xfId="2" applyNumberFormat="1" applyFont="1" applyBorder="1" applyAlignment="1">
      <alignment horizontal="center" vertical="center"/>
    </xf>
    <xf numFmtId="177" fontId="8" fillId="0" borderId="16" xfId="2" applyNumberFormat="1" applyFont="1" applyBorder="1" applyAlignment="1">
      <alignment horizontal="center" vertical="center"/>
    </xf>
    <xf numFmtId="177" fontId="8" fillId="0" borderId="28" xfId="0" applyNumberFormat="1" applyFont="1" applyBorder="1" applyAlignment="1">
      <alignment horizontal="center" vertical="center"/>
    </xf>
    <xf numFmtId="177" fontId="8" fillId="0" borderId="14" xfId="0" applyNumberFormat="1" applyFont="1" applyBorder="1" applyAlignment="1">
      <alignment horizontal="center" vertical="center"/>
    </xf>
    <xf numFmtId="177" fontId="8" fillId="0" borderId="16" xfId="0" applyNumberFormat="1" applyFont="1" applyBorder="1" applyAlignment="1">
      <alignment horizontal="center" vertical="center"/>
    </xf>
    <xf numFmtId="177" fontId="13" fillId="0" borderId="9" xfId="2" applyNumberFormat="1" applyFont="1" applyBorder="1" applyAlignment="1">
      <alignment horizontal="center" vertical="center"/>
    </xf>
    <xf numFmtId="177" fontId="13" fillId="0" borderId="9" xfId="0" applyNumberFormat="1" applyFont="1" applyBorder="1" applyAlignment="1">
      <alignment horizontal="center" vertical="center"/>
    </xf>
    <xf numFmtId="177" fontId="13" fillId="0" borderId="11" xfId="0" applyNumberFormat="1" applyFont="1" applyBorder="1" applyAlignment="1">
      <alignment horizontal="center" vertical="center"/>
    </xf>
    <xf numFmtId="177" fontId="13" fillId="3" borderId="21" xfId="2" applyNumberFormat="1" applyFont="1" applyFill="1" applyBorder="1" applyAlignment="1">
      <alignment horizontal="center" vertical="center"/>
    </xf>
    <xf numFmtId="177" fontId="13" fillId="0" borderId="31" xfId="1" applyNumberFormat="1" applyFont="1" applyBorder="1" applyAlignment="1">
      <alignment horizontal="center" vertical="center"/>
    </xf>
    <xf numFmtId="176" fontId="7" fillId="3" borderId="23" xfId="0" applyNumberFormat="1" applyFont="1" applyFill="1" applyBorder="1" applyAlignment="1">
      <alignment horizontal="center" vertical="center"/>
    </xf>
    <xf numFmtId="176" fontId="7" fillId="3" borderId="24" xfId="0" applyNumberFormat="1" applyFont="1" applyFill="1" applyBorder="1" applyAlignment="1">
      <alignment horizontal="center" vertical="center"/>
    </xf>
    <xf numFmtId="176" fontId="7" fillId="3" borderId="25" xfId="0" applyNumberFormat="1" applyFont="1" applyFill="1" applyBorder="1" applyAlignment="1">
      <alignment horizontal="center" vertical="center"/>
    </xf>
    <xf numFmtId="176" fontId="7" fillId="6" borderId="23" xfId="0" applyNumberFormat="1" applyFont="1" applyFill="1" applyBorder="1" applyAlignment="1">
      <alignment horizontal="center" vertical="center"/>
    </xf>
    <xf numFmtId="176" fontId="7" fillId="6" borderId="24" xfId="0" applyNumberFormat="1" applyFont="1" applyFill="1" applyBorder="1" applyAlignment="1">
      <alignment horizontal="center" vertical="center"/>
    </xf>
    <xf numFmtId="176" fontId="7" fillId="6" borderId="25" xfId="0" applyNumberFormat="1" applyFont="1" applyFill="1" applyBorder="1" applyAlignment="1">
      <alignment horizontal="center" vertical="center"/>
    </xf>
    <xf numFmtId="177" fontId="8" fillId="3" borderId="28" xfId="0" applyNumberFormat="1" applyFont="1" applyFill="1" applyBorder="1" applyAlignment="1">
      <alignment horizontal="center" vertical="center"/>
    </xf>
    <xf numFmtId="177" fontId="8" fillId="6" borderId="28" xfId="0" applyNumberFormat="1" applyFont="1" applyFill="1" applyBorder="1">
      <alignment vertical="center"/>
    </xf>
    <xf numFmtId="177" fontId="18" fillId="3" borderId="12" xfId="2" applyNumberFormat="1" applyFont="1" applyFill="1" applyBorder="1" applyAlignment="1">
      <alignment horizontal="center" vertical="center"/>
    </xf>
    <xf numFmtId="177" fontId="18" fillId="3" borderId="14" xfId="2" applyNumberFormat="1" applyFont="1" applyFill="1" applyBorder="1" applyAlignment="1">
      <alignment horizontal="center" vertical="center"/>
    </xf>
    <xf numFmtId="177" fontId="8" fillId="6" borderId="29" xfId="0" applyNumberFormat="1" applyFont="1" applyFill="1" applyBorder="1" applyAlignment="1">
      <alignment horizontal="center" vertical="center"/>
    </xf>
    <xf numFmtId="178" fontId="15" fillId="0" borderId="3" xfId="0" applyNumberFormat="1" applyFont="1" applyBorder="1" applyAlignment="1">
      <alignment horizontal="center" vertical="center"/>
    </xf>
    <xf numFmtId="178" fontId="15" fillId="9" borderId="3" xfId="1" applyNumberFormat="1" applyFont="1" applyFill="1" applyBorder="1" applyAlignment="1">
      <alignment horizontal="center" vertical="center"/>
    </xf>
    <xf numFmtId="177" fontId="14" fillId="0" borderId="7" xfId="2" applyNumberFormat="1" applyFont="1" applyBorder="1" applyAlignment="1">
      <alignment horizontal="center" vertical="center"/>
    </xf>
    <xf numFmtId="177" fontId="14" fillId="0" borderId="0" xfId="2" applyNumberFormat="1" applyFont="1" applyAlignment="1">
      <alignment horizontal="center" vertical="center"/>
    </xf>
    <xf numFmtId="177" fontId="14" fillId="0" borderId="11" xfId="2" applyNumberFormat="1" applyFont="1" applyBorder="1" applyAlignment="1">
      <alignment horizontal="center" vertical="center"/>
    </xf>
    <xf numFmtId="177" fontId="7" fillId="8" borderId="9" xfId="2" applyNumberFormat="1" applyFont="1" applyFill="1" applyBorder="1" applyAlignment="1">
      <alignment horizontal="left" vertical="center"/>
    </xf>
    <xf numFmtId="177" fontId="13" fillId="3" borderId="14" xfId="0" applyNumberFormat="1" applyFont="1" applyFill="1" applyBorder="1" applyAlignment="1">
      <alignment horizontal="center" vertical="center"/>
    </xf>
    <xf numFmtId="177" fontId="13" fillId="3" borderId="32" xfId="0" applyNumberFormat="1" applyFont="1" applyFill="1" applyBorder="1" applyAlignment="1">
      <alignment horizontal="center" vertical="center"/>
    </xf>
    <xf numFmtId="177" fontId="13" fillId="3" borderId="16" xfId="0" applyNumberFormat="1" applyFont="1" applyFill="1" applyBorder="1" applyAlignment="1">
      <alignment horizontal="center" vertical="center"/>
    </xf>
    <xf numFmtId="179" fontId="13" fillId="3" borderId="8" xfId="2" applyNumberFormat="1" applyFont="1" applyFill="1" applyBorder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176" fontId="8" fillId="3" borderId="0" xfId="0" applyNumberFormat="1" applyFont="1" applyFill="1">
      <alignment vertical="center"/>
    </xf>
    <xf numFmtId="177" fontId="13" fillId="3" borderId="33" xfId="0" applyNumberFormat="1" applyFont="1" applyFill="1" applyBorder="1" applyAlignment="1">
      <alignment horizontal="center" vertical="center"/>
    </xf>
    <xf numFmtId="180" fontId="13" fillId="3" borderId="16" xfId="0" applyNumberFormat="1" applyFont="1" applyFill="1" applyBorder="1" applyAlignment="1">
      <alignment horizontal="center" vertical="center"/>
    </xf>
    <xf numFmtId="177" fontId="13" fillId="3" borderId="34" xfId="0" applyNumberFormat="1" applyFont="1" applyFill="1" applyBorder="1" applyAlignment="1">
      <alignment horizontal="center" vertical="center"/>
    </xf>
    <xf numFmtId="177" fontId="13" fillId="3" borderId="15" xfId="0" applyNumberFormat="1" applyFont="1" applyFill="1" applyBorder="1" applyAlignment="1">
      <alignment horizontal="center" vertical="center"/>
    </xf>
    <xf numFmtId="177" fontId="13" fillId="3" borderId="7" xfId="0" applyNumberFormat="1" applyFont="1" applyFill="1" applyBorder="1" applyAlignment="1">
      <alignment horizontal="center" vertical="center"/>
    </xf>
    <xf numFmtId="177" fontId="13" fillId="6" borderId="14" xfId="0" applyNumberFormat="1" applyFont="1" applyFill="1" applyBorder="1" applyAlignment="1">
      <alignment horizontal="center" vertical="center"/>
    </xf>
    <xf numFmtId="177" fontId="13" fillId="6" borderId="32" xfId="0" applyNumberFormat="1" applyFont="1" applyFill="1" applyBorder="1" applyAlignment="1">
      <alignment horizontal="center" vertical="center"/>
    </xf>
    <xf numFmtId="177" fontId="13" fillId="6" borderId="16" xfId="0" applyNumberFormat="1" applyFont="1" applyFill="1" applyBorder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177" fontId="13" fillId="6" borderId="33" xfId="0" applyNumberFormat="1" applyFont="1" applyFill="1" applyBorder="1" applyAlignment="1">
      <alignment horizontal="center" vertical="center"/>
    </xf>
    <xf numFmtId="177" fontId="13" fillId="6" borderId="34" xfId="0" applyNumberFormat="1" applyFont="1" applyFill="1" applyBorder="1" applyAlignment="1">
      <alignment horizontal="center" vertical="center"/>
    </xf>
    <xf numFmtId="38" fontId="8" fillId="0" borderId="0" xfId="0" applyNumberFormat="1" applyFont="1" applyAlignment="1">
      <alignment horizontal="center" vertical="center"/>
    </xf>
    <xf numFmtId="177" fontId="13" fillId="5" borderId="11" xfId="0" applyNumberFormat="1" applyFont="1" applyFill="1" applyBorder="1" applyAlignment="1">
      <alignment horizontal="center" vertical="center"/>
    </xf>
    <xf numFmtId="176" fontId="7" fillId="0" borderId="3" xfId="0" applyNumberFormat="1" applyFont="1" applyBorder="1" applyAlignment="1">
      <alignment horizontal="left" vertical="center"/>
    </xf>
    <xf numFmtId="177" fontId="13" fillId="0" borderId="1" xfId="0" applyNumberFormat="1" applyFont="1" applyBorder="1" applyAlignment="1">
      <alignment horizontal="center" vertical="center"/>
    </xf>
    <xf numFmtId="177" fontId="13" fillId="0" borderId="35" xfId="0" applyNumberFormat="1" applyFont="1" applyBorder="1" applyAlignment="1">
      <alignment horizontal="center" vertical="center"/>
    </xf>
    <xf numFmtId="177" fontId="13" fillId="0" borderId="2" xfId="0" applyNumberFormat="1" applyFont="1" applyBorder="1" applyAlignment="1">
      <alignment horizontal="center" vertical="center"/>
    </xf>
    <xf numFmtId="177" fontId="13" fillId="0" borderId="36" xfId="0" applyNumberFormat="1" applyFont="1" applyBorder="1" applyAlignment="1">
      <alignment horizontal="center" vertical="center"/>
    </xf>
    <xf numFmtId="177" fontId="13" fillId="3" borderId="9" xfId="0" applyNumberFormat="1" applyFont="1" applyFill="1" applyBorder="1" applyAlignment="1">
      <alignment horizontal="center" vertical="center"/>
    </xf>
    <xf numFmtId="0" fontId="13" fillId="14" borderId="0" xfId="2" applyFont="1" applyFill="1" applyAlignment="1">
      <alignment horizontal="center" vertical="center"/>
    </xf>
    <xf numFmtId="177" fontId="13" fillId="4" borderId="12" xfId="0" applyNumberFormat="1" applyFont="1" applyFill="1" applyBorder="1" applyAlignment="1">
      <alignment horizontal="center" vertical="center"/>
    </xf>
    <xf numFmtId="177" fontId="13" fillId="5" borderId="10" xfId="2" applyNumberFormat="1" applyFont="1" applyFill="1" applyBorder="1" applyAlignment="1">
      <alignment horizontal="center" vertical="center"/>
    </xf>
    <xf numFmtId="177" fontId="13" fillId="0" borderId="37" xfId="0" applyNumberFormat="1" applyFont="1" applyBorder="1" applyAlignment="1">
      <alignment horizontal="center" vertical="center"/>
    </xf>
    <xf numFmtId="177" fontId="13" fillId="0" borderId="38" xfId="0" applyNumberFormat="1" applyFont="1" applyBorder="1" applyAlignment="1">
      <alignment horizontal="center" vertical="center"/>
    </xf>
    <xf numFmtId="177" fontId="13" fillId="0" borderId="39" xfId="0" applyNumberFormat="1" applyFont="1" applyBorder="1" applyAlignment="1">
      <alignment horizontal="center" vertical="center"/>
    </xf>
    <xf numFmtId="176" fontId="7" fillId="0" borderId="3" xfId="0" applyNumberFormat="1" applyFont="1" applyBorder="1" applyAlignment="1">
      <alignment horizontal="center" vertical="center"/>
    </xf>
    <xf numFmtId="177" fontId="13" fillId="5" borderId="0" xfId="0" applyNumberFormat="1" applyFont="1" applyFill="1" applyAlignment="1">
      <alignment horizontal="center" vertical="center"/>
    </xf>
    <xf numFmtId="176" fontId="14" fillId="3" borderId="19" xfId="0" applyNumberFormat="1" applyFont="1" applyFill="1" applyBorder="1" applyAlignment="1">
      <alignment horizontal="center" vertical="center"/>
    </xf>
    <xf numFmtId="0" fontId="13" fillId="3" borderId="0" xfId="0" applyFont="1" applyFill="1">
      <alignment vertical="center"/>
    </xf>
    <xf numFmtId="38" fontId="13" fillId="3" borderId="0" xfId="0" applyNumberFormat="1" applyFont="1" applyFill="1">
      <alignment vertical="center"/>
    </xf>
    <xf numFmtId="176" fontId="14" fillId="3" borderId="17" xfId="0" applyNumberFormat="1" applyFont="1" applyFill="1" applyBorder="1" applyAlignment="1">
      <alignment horizontal="center" vertical="center"/>
    </xf>
    <xf numFmtId="176" fontId="14" fillId="3" borderId="43" xfId="0" applyNumberFormat="1" applyFont="1" applyFill="1" applyBorder="1" applyAlignment="1">
      <alignment horizontal="center" vertical="center"/>
    </xf>
    <xf numFmtId="176" fontId="14" fillId="6" borderId="19" xfId="0" applyNumberFormat="1" applyFont="1" applyFill="1" applyBorder="1" applyAlignment="1">
      <alignment horizontal="center" vertical="center"/>
    </xf>
    <xf numFmtId="177" fontId="13" fillId="6" borderId="14" xfId="0" applyNumberFormat="1" applyFont="1" applyFill="1" applyBorder="1">
      <alignment vertical="center"/>
    </xf>
    <xf numFmtId="177" fontId="13" fillId="6" borderId="32" xfId="0" applyNumberFormat="1" applyFont="1" applyFill="1" applyBorder="1">
      <alignment vertical="center"/>
    </xf>
    <xf numFmtId="0" fontId="13" fillId="6" borderId="0" xfId="0" applyFont="1" applyFill="1">
      <alignment vertical="center"/>
    </xf>
    <xf numFmtId="176" fontId="14" fillId="6" borderId="17" xfId="0" applyNumberFormat="1" applyFont="1" applyFill="1" applyBorder="1" applyAlignment="1">
      <alignment horizontal="center" vertical="center"/>
    </xf>
    <xf numFmtId="177" fontId="13" fillId="6" borderId="16" xfId="0" applyNumberFormat="1" applyFont="1" applyFill="1" applyBorder="1">
      <alignment vertical="center"/>
    </xf>
    <xf numFmtId="177" fontId="13" fillId="6" borderId="33" xfId="0" applyNumberFormat="1" applyFont="1" applyFill="1" applyBorder="1">
      <alignment vertical="center"/>
    </xf>
    <xf numFmtId="176" fontId="14" fillId="6" borderId="18" xfId="0" applyNumberFormat="1" applyFont="1" applyFill="1" applyBorder="1" applyAlignment="1">
      <alignment horizontal="center" vertical="center"/>
    </xf>
    <xf numFmtId="176" fontId="10" fillId="8" borderId="23" xfId="0" applyNumberFormat="1" applyFont="1" applyFill="1" applyBorder="1" applyAlignment="1">
      <alignment horizontal="left" vertical="center"/>
    </xf>
    <xf numFmtId="176" fontId="10" fillId="8" borderId="24" xfId="0" applyNumberFormat="1" applyFont="1" applyFill="1" applyBorder="1" applyAlignment="1">
      <alignment horizontal="left" vertical="center"/>
    </xf>
    <xf numFmtId="176" fontId="10" fillId="8" borderId="25" xfId="0" applyNumberFormat="1" applyFont="1" applyFill="1" applyBorder="1" applyAlignment="1">
      <alignment horizontal="left" vertical="center"/>
    </xf>
    <xf numFmtId="176" fontId="14" fillId="7" borderId="6" xfId="2" applyNumberFormat="1" applyFont="1" applyFill="1" applyBorder="1" applyAlignment="1">
      <alignment horizontal="left" vertical="center"/>
    </xf>
    <xf numFmtId="176" fontId="14" fillId="7" borderId="9" xfId="2" applyNumberFormat="1" applyFont="1" applyFill="1" applyBorder="1" applyAlignment="1">
      <alignment horizontal="left" vertical="center"/>
    </xf>
    <xf numFmtId="176" fontId="14" fillId="7" borderId="10" xfId="2" applyNumberFormat="1" applyFont="1" applyFill="1" applyBorder="1" applyAlignment="1">
      <alignment horizontal="left" vertical="center"/>
    </xf>
    <xf numFmtId="176" fontId="7" fillId="0" borderId="6" xfId="2" applyNumberFormat="1" applyFont="1" applyBorder="1" applyAlignment="1">
      <alignment horizontal="left" vertical="center"/>
    </xf>
    <xf numFmtId="176" fontId="7" fillId="0" borderId="9" xfId="2" applyNumberFormat="1" applyFont="1" applyBorder="1" applyAlignment="1">
      <alignment horizontal="left" vertical="center"/>
    </xf>
    <xf numFmtId="176" fontId="7" fillId="0" borderId="10" xfId="2" applyNumberFormat="1" applyFont="1" applyBorder="1" applyAlignment="1">
      <alignment horizontal="left" vertical="center"/>
    </xf>
    <xf numFmtId="176" fontId="14" fillId="12" borderId="6" xfId="2" applyNumberFormat="1" applyFont="1" applyFill="1" applyBorder="1" applyAlignment="1">
      <alignment horizontal="left" vertical="center"/>
    </xf>
    <xf numFmtId="176" fontId="14" fillId="12" borderId="9" xfId="2" applyNumberFormat="1" applyFont="1" applyFill="1" applyBorder="1" applyAlignment="1">
      <alignment horizontal="left" vertical="center"/>
    </xf>
    <xf numFmtId="176" fontId="14" fillId="12" borderId="10" xfId="2" applyNumberFormat="1" applyFont="1" applyFill="1" applyBorder="1" applyAlignment="1">
      <alignment horizontal="left" vertical="center"/>
    </xf>
    <xf numFmtId="176" fontId="15" fillId="9" borderId="3" xfId="0" applyNumberFormat="1" applyFont="1" applyFill="1" applyBorder="1" applyAlignment="1">
      <alignment horizontal="center" vertical="center"/>
    </xf>
    <xf numFmtId="0" fontId="15" fillId="10" borderId="3" xfId="0" applyFont="1" applyFill="1" applyBorder="1" applyAlignment="1">
      <alignment horizontal="center" vertical="center"/>
    </xf>
    <xf numFmtId="176" fontId="15" fillId="0" borderId="4" xfId="2" applyNumberFormat="1" applyFont="1" applyBorder="1" applyAlignment="1">
      <alignment horizontal="center" vertical="center"/>
    </xf>
    <xf numFmtId="176" fontId="15" fillId="0" borderId="5" xfId="2" applyNumberFormat="1" applyFont="1" applyBorder="1" applyAlignment="1">
      <alignment horizontal="center" vertical="center"/>
    </xf>
    <xf numFmtId="176" fontId="7" fillId="7" borderId="6" xfId="2" applyNumberFormat="1" applyFont="1" applyFill="1" applyBorder="1" applyAlignment="1">
      <alignment horizontal="left" vertical="center"/>
    </xf>
    <xf numFmtId="176" fontId="7" fillId="7" borderId="9" xfId="2" applyNumberFormat="1" applyFont="1" applyFill="1" applyBorder="1" applyAlignment="1">
      <alignment horizontal="left" vertical="center"/>
    </xf>
    <xf numFmtId="176" fontId="7" fillId="7" borderId="10" xfId="2" applyNumberFormat="1" applyFont="1" applyFill="1" applyBorder="1" applyAlignment="1">
      <alignment horizontal="left" vertical="center"/>
    </xf>
    <xf numFmtId="176" fontId="9" fillId="0" borderId="6" xfId="2" applyNumberFormat="1" applyFont="1" applyBorder="1" applyAlignment="1">
      <alignment horizontal="left" vertical="center"/>
    </xf>
    <xf numFmtId="176" fontId="9" fillId="0" borderId="9" xfId="2" applyNumberFormat="1" applyFont="1" applyBorder="1" applyAlignment="1">
      <alignment horizontal="left" vertical="center"/>
    </xf>
    <xf numFmtId="176" fontId="9" fillId="0" borderId="10" xfId="2" applyNumberFormat="1" applyFont="1" applyBorder="1" applyAlignment="1">
      <alignment horizontal="left" vertical="center"/>
    </xf>
    <xf numFmtId="176" fontId="7" fillId="8" borderId="6" xfId="2" applyNumberFormat="1" applyFont="1" applyFill="1" applyBorder="1" applyAlignment="1">
      <alignment horizontal="left" vertical="center"/>
    </xf>
    <xf numFmtId="176" fontId="7" fillId="8" borderId="9" xfId="2" applyNumberFormat="1" applyFont="1" applyFill="1" applyBorder="1" applyAlignment="1">
      <alignment horizontal="left" vertical="center"/>
    </xf>
    <xf numFmtId="176" fontId="7" fillId="8" borderId="10" xfId="2" applyNumberFormat="1" applyFont="1" applyFill="1" applyBorder="1" applyAlignment="1">
      <alignment horizontal="left" vertical="center"/>
    </xf>
    <xf numFmtId="176" fontId="15" fillId="2" borderId="1" xfId="2" applyNumberFormat="1" applyFont="1" applyFill="1" applyBorder="1" applyAlignment="1">
      <alignment horizontal="center" vertical="center"/>
    </xf>
    <xf numFmtId="176" fontId="15" fillId="2" borderId="2" xfId="2" applyNumberFormat="1" applyFont="1" applyFill="1" applyBorder="1" applyAlignment="1">
      <alignment horizontal="center" vertical="center"/>
    </xf>
    <xf numFmtId="176" fontId="9" fillId="7" borderId="6" xfId="2" applyNumberFormat="1" applyFont="1" applyFill="1" applyBorder="1" applyAlignment="1">
      <alignment horizontal="left" vertical="center"/>
    </xf>
    <xf numFmtId="176" fontId="9" fillId="7" borderId="9" xfId="2" applyNumberFormat="1" applyFont="1" applyFill="1" applyBorder="1" applyAlignment="1">
      <alignment horizontal="left" vertical="center"/>
    </xf>
    <xf numFmtId="176" fontId="9" fillId="7" borderId="10" xfId="2" applyNumberFormat="1" applyFont="1" applyFill="1" applyBorder="1" applyAlignment="1">
      <alignment horizontal="left" vertical="center"/>
    </xf>
    <xf numFmtId="176" fontId="7" fillId="13" borderId="21" xfId="0" applyNumberFormat="1" applyFont="1" applyFill="1" applyBorder="1" applyAlignment="1">
      <alignment horizontal="left" vertical="center"/>
    </xf>
    <xf numFmtId="176" fontId="7" fillId="13" borderId="8" xfId="0" applyNumberFormat="1" applyFont="1" applyFill="1" applyBorder="1" applyAlignment="1">
      <alignment horizontal="left" vertical="center"/>
    </xf>
    <xf numFmtId="176" fontId="7" fillId="13" borderId="31" xfId="0" applyNumberFormat="1" applyFont="1" applyFill="1" applyBorder="1" applyAlignment="1">
      <alignment horizontal="left" vertical="center"/>
    </xf>
    <xf numFmtId="176" fontId="19" fillId="3" borderId="40" xfId="0" applyNumberFormat="1" applyFont="1" applyFill="1" applyBorder="1" applyAlignment="1">
      <alignment horizontal="left" vertical="center"/>
    </xf>
    <xf numFmtId="176" fontId="19" fillId="3" borderId="41" xfId="0" applyNumberFormat="1" applyFont="1" applyFill="1" applyBorder="1" applyAlignment="1">
      <alignment horizontal="left" vertical="center"/>
    </xf>
    <xf numFmtId="176" fontId="19" fillId="3" borderId="42" xfId="0" applyNumberFormat="1" applyFont="1" applyFill="1" applyBorder="1" applyAlignment="1">
      <alignment horizontal="left" vertical="center"/>
    </xf>
    <xf numFmtId="176" fontId="14" fillId="8" borderId="1" xfId="2" applyNumberFormat="1" applyFont="1" applyFill="1" applyBorder="1" applyAlignment="1">
      <alignment horizontal="left" vertical="center"/>
    </xf>
    <xf numFmtId="176" fontId="14" fillId="8" borderId="9" xfId="2" applyNumberFormat="1" applyFont="1" applyFill="1" applyBorder="1" applyAlignment="1">
      <alignment horizontal="left" vertical="center"/>
    </xf>
    <xf numFmtId="176" fontId="14" fillId="8" borderId="10" xfId="2" applyNumberFormat="1" applyFont="1" applyFill="1" applyBorder="1" applyAlignment="1">
      <alignment horizontal="left" vertical="center"/>
    </xf>
    <xf numFmtId="176" fontId="19" fillId="6" borderId="40" xfId="0" applyNumberFormat="1" applyFont="1" applyFill="1" applyBorder="1" applyAlignment="1">
      <alignment horizontal="left" vertical="center"/>
    </xf>
    <xf numFmtId="176" fontId="19" fillId="6" borderId="41" xfId="0" applyNumberFormat="1" applyFont="1" applyFill="1" applyBorder="1" applyAlignment="1">
      <alignment horizontal="left" vertical="center"/>
    </xf>
    <xf numFmtId="176" fontId="19" fillId="6" borderId="42" xfId="0" applyNumberFormat="1" applyFont="1" applyFill="1" applyBorder="1" applyAlignment="1">
      <alignment horizontal="left" vertical="center"/>
    </xf>
    <xf numFmtId="176" fontId="14" fillId="8" borderId="6" xfId="2" applyNumberFormat="1" applyFont="1" applyFill="1" applyBorder="1" applyAlignment="1">
      <alignment horizontal="left" vertical="center"/>
    </xf>
    <xf numFmtId="176" fontId="7" fillId="0" borderId="1" xfId="2" applyNumberFormat="1" applyFont="1" applyBorder="1" applyAlignment="1">
      <alignment horizontal="left" vertical="center"/>
    </xf>
    <xf numFmtId="0" fontId="8" fillId="0" borderId="9" xfId="2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13" fillId="0" borderId="9" xfId="2" applyFont="1" applyBorder="1" applyAlignment="1">
      <alignment horizontal="center" vertical="center"/>
    </xf>
    <xf numFmtId="176" fontId="10" fillId="8" borderId="21" xfId="0" applyNumberFormat="1" applyFont="1" applyFill="1" applyBorder="1" applyAlignment="1">
      <alignment horizontal="left" vertical="center"/>
    </xf>
    <xf numFmtId="176" fontId="10" fillId="8" borderId="8" xfId="0" applyNumberFormat="1" applyFont="1" applyFill="1" applyBorder="1" applyAlignment="1">
      <alignment horizontal="left" vertical="center"/>
    </xf>
    <xf numFmtId="176" fontId="10" fillId="8" borderId="31" xfId="0" applyNumberFormat="1" applyFont="1" applyFill="1" applyBorder="1" applyAlignment="1">
      <alignment horizontal="left" vertical="center"/>
    </xf>
    <xf numFmtId="177" fontId="7" fillId="7" borderId="6" xfId="2" applyNumberFormat="1" applyFont="1" applyFill="1" applyBorder="1" applyAlignment="1">
      <alignment horizontal="left" vertical="center"/>
    </xf>
    <xf numFmtId="177" fontId="7" fillId="7" borderId="9" xfId="2" applyNumberFormat="1" applyFont="1" applyFill="1" applyBorder="1" applyAlignment="1">
      <alignment horizontal="left" vertical="center"/>
    </xf>
    <xf numFmtId="177" fontId="7" fillId="7" borderId="10" xfId="2" applyNumberFormat="1" applyFont="1" applyFill="1" applyBorder="1" applyAlignment="1">
      <alignment horizontal="left" vertical="center"/>
    </xf>
  </cellXfs>
  <cellStyles count="5">
    <cellStyle name="常规" xfId="0" builtinId="0"/>
    <cellStyle name="常规 2" xfId="2" xr:uid="{00000000-0005-0000-0000-000001000000}"/>
    <cellStyle name="常规 3" xfId="1" xr:uid="{00000000-0005-0000-0000-000002000000}"/>
    <cellStyle name="常规 3 2" xfId="4" xr:uid="{00000000-0005-0000-0000-000003000000}"/>
    <cellStyle name="常规 4" xfId="3" xr:uid="{00000000-0005-0000-0000-000004000000}"/>
  </cellStyles>
  <dxfs count="2508"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CCFFCC"/>
      <color rgb="FFFFFF97"/>
      <color rgb="FFADDB7B"/>
      <color rgb="FFA365D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264"/>
  <sheetViews>
    <sheetView tabSelected="1" topLeftCell="A232" zoomScale="86" zoomScaleNormal="70" workbookViewId="0">
      <pane xSplit="1" topLeftCell="D1" activePane="topRight" state="frozen"/>
      <selection pane="topRight" activeCell="B258" sqref="A258:XFD258"/>
    </sheetView>
  </sheetViews>
  <sheetFormatPr baseColWidth="10" defaultColWidth="9" defaultRowHeight="16"/>
  <cols>
    <col min="1" max="1" width="46.6640625" style="16" customWidth="1"/>
    <col min="2" max="2" width="12.6640625" style="52" bestFit="1" customWidth="1"/>
    <col min="3" max="3" width="15.6640625" style="52" customWidth="1"/>
    <col min="4" max="4" width="14.33203125" style="52" customWidth="1"/>
    <col min="5" max="20" width="12" style="52" customWidth="1"/>
    <col min="21" max="21" width="12" style="53" customWidth="1"/>
    <col min="22" max="36" width="12" style="52" customWidth="1"/>
    <col min="37" max="37" width="12.33203125" style="52" customWidth="1"/>
    <col min="38" max="38" width="12.33203125" style="53" customWidth="1"/>
    <col min="39" max="39" width="5.33203125" style="58" bestFit="1" customWidth="1"/>
    <col min="40" max="41" width="14.33203125" style="17" bestFit="1" customWidth="1"/>
    <col min="42" max="245" width="9" style="52"/>
    <col min="246" max="246" width="20.33203125" style="52" customWidth="1"/>
    <col min="247" max="247" width="8.33203125" style="52" customWidth="1"/>
    <col min="248" max="248" width="10" style="52" customWidth="1"/>
    <col min="249" max="249" width="8.33203125" style="52" customWidth="1"/>
    <col min="250" max="252" width="9.33203125" style="52" bestFit="1" customWidth="1"/>
    <col min="253" max="253" width="8.33203125" style="52" bestFit="1" customWidth="1"/>
    <col min="254" max="254" width="8.33203125" style="52" customWidth="1"/>
    <col min="255" max="257" width="9.33203125" style="52" bestFit="1" customWidth="1"/>
    <col min="258" max="258" width="8.33203125" style="52" bestFit="1" customWidth="1"/>
    <col min="259" max="259" width="8.33203125" style="52" customWidth="1"/>
    <col min="260" max="262" width="9.33203125" style="52" bestFit="1" customWidth="1"/>
    <col min="263" max="263" width="8.33203125" style="52" bestFit="1" customWidth="1"/>
    <col min="264" max="265" width="8.33203125" style="52" customWidth="1"/>
    <col min="266" max="266" width="9" style="52" bestFit="1" customWidth="1"/>
    <col min="267" max="501" width="9" style="52"/>
    <col min="502" max="502" width="20.33203125" style="52" customWidth="1"/>
    <col min="503" max="503" width="8.33203125" style="52" customWidth="1"/>
    <col min="504" max="504" width="10" style="52" customWidth="1"/>
    <col min="505" max="505" width="8.33203125" style="52" customWidth="1"/>
    <col min="506" max="508" width="9.33203125" style="52" bestFit="1" customWidth="1"/>
    <col min="509" max="509" width="8.33203125" style="52" bestFit="1" customWidth="1"/>
    <col min="510" max="510" width="8.33203125" style="52" customWidth="1"/>
    <col min="511" max="513" width="9.33203125" style="52" bestFit="1" customWidth="1"/>
    <col min="514" max="514" width="8.33203125" style="52" bestFit="1" customWidth="1"/>
    <col min="515" max="515" width="8.33203125" style="52" customWidth="1"/>
    <col min="516" max="518" width="9.33203125" style="52" bestFit="1" customWidth="1"/>
    <col min="519" max="519" width="8.33203125" style="52" bestFit="1" customWidth="1"/>
    <col min="520" max="521" width="8.33203125" style="52" customWidth="1"/>
    <col min="522" max="522" width="9" style="52" bestFit="1" customWidth="1"/>
    <col min="523" max="757" width="9" style="52"/>
    <col min="758" max="758" width="20.33203125" style="52" customWidth="1"/>
    <col min="759" max="759" width="8.33203125" style="52" customWidth="1"/>
    <col min="760" max="760" width="10" style="52" customWidth="1"/>
    <col min="761" max="761" width="8.33203125" style="52" customWidth="1"/>
    <col min="762" max="764" width="9.33203125" style="52" bestFit="1" customWidth="1"/>
    <col min="765" max="765" width="8.33203125" style="52" bestFit="1" customWidth="1"/>
    <col min="766" max="766" width="8.33203125" style="52" customWidth="1"/>
    <col min="767" max="769" width="9.33203125" style="52" bestFit="1" customWidth="1"/>
    <col min="770" max="770" width="8.33203125" style="52" bestFit="1" customWidth="1"/>
    <col min="771" max="771" width="8.33203125" style="52" customWidth="1"/>
    <col min="772" max="774" width="9.33203125" style="52" bestFit="1" customWidth="1"/>
    <col min="775" max="775" width="8.33203125" style="52" bestFit="1" customWidth="1"/>
    <col min="776" max="777" width="8.33203125" style="52" customWidth="1"/>
    <col min="778" max="778" width="9" style="52" bestFit="1" customWidth="1"/>
    <col min="779" max="1013" width="9" style="52"/>
    <col min="1014" max="1014" width="20.33203125" style="52" customWidth="1"/>
    <col min="1015" max="1015" width="8.33203125" style="52" customWidth="1"/>
    <col min="1016" max="1016" width="10" style="52" customWidth="1"/>
    <col min="1017" max="1017" width="8.33203125" style="52" customWidth="1"/>
    <col min="1018" max="1020" width="9.33203125" style="52" bestFit="1" customWidth="1"/>
    <col min="1021" max="1021" width="8.33203125" style="52" bestFit="1" customWidth="1"/>
    <col min="1022" max="1022" width="8.33203125" style="52" customWidth="1"/>
    <col min="1023" max="1025" width="9.33203125" style="52" bestFit="1" customWidth="1"/>
    <col min="1026" max="1026" width="8.33203125" style="52" bestFit="1" customWidth="1"/>
    <col min="1027" max="1027" width="8.33203125" style="52" customWidth="1"/>
    <col min="1028" max="1030" width="9.33203125" style="52" bestFit="1" customWidth="1"/>
    <col min="1031" max="1031" width="8.33203125" style="52" bestFit="1" customWidth="1"/>
    <col min="1032" max="1033" width="8.33203125" style="52" customWidth="1"/>
    <col min="1034" max="1034" width="9" style="52" bestFit="1" customWidth="1"/>
    <col min="1035" max="1269" width="9" style="52"/>
    <col min="1270" max="1270" width="20.33203125" style="52" customWidth="1"/>
    <col min="1271" max="1271" width="8.33203125" style="52" customWidth="1"/>
    <col min="1272" max="1272" width="10" style="52" customWidth="1"/>
    <col min="1273" max="1273" width="8.33203125" style="52" customWidth="1"/>
    <col min="1274" max="1276" width="9.33203125" style="52" bestFit="1" customWidth="1"/>
    <col min="1277" max="1277" width="8.33203125" style="52" bestFit="1" customWidth="1"/>
    <col min="1278" max="1278" width="8.33203125" style="52" customWidth="1"/>
    <col min="1279" max="1281" width="9.33203125" style="52" bestFit="1" customWidth="1"/>
    <col min="1282" max="1282" width="8.33203125" style="52" bestFit="1" customWidth="1"/>
    <col min="1283" max="1283" width="8.33203125" style="52" customWidth="1"/>
    <col min="1284" max="1286" width="9.33203125" style="52" bestFit="1" customWidth="1"/>
    <col min="1287" max="1287" width="8.33203125" style="52" bestFit="1" customWidth="1"/>
    <col min="1288" max="1289" width="8.33203125" style="52" customWidth="1"/>
    <col min="1290" max="1290" width="9" style="52" bestFit="1" customWidth="1"/>
    <col min="1291" max="1525" width="9" style="52"/>
    <col min="1526" max="1526" width="20.33203125" style="52" customWidth="1"/>
    <col min="1527" max="1527" width="8.33203125" style="52" customWidth="1"/>
    <col min="1528" max="1528" width="10" style="52" customWidth="1"/>
    <col min="1529" max="1529" width="8.33203125" style="52" customWidth="1"/>
    <col min="1530" max="1532" width="9.33203125" style="52" bestFit="1" customWidth="1"/>
    <col min="1533" max="1533" width="8.33203125" style="52" bestFit="1" customWidth="1"/>
    <col min="1534" max="1534" width="8.33203125" style="52" customWidth="1"/>
    <col min="1535" max="1537" width="9.33203125" style="52" bestFit="1" customWidth="1"/>
    <col min="1538" max="1538" width="8.33203125" style="52" bestFit="1" customWidth="1"/>
    <col min="1539" max="1539" width="8.33203125" style="52" customWidth="1"/>
    <col min="1540" max="1542" width="9.33203125" style="52" bestFit="1" customWidth="1"/>
    <col min="1543" max="1543" width="8.33203125" style="52" bestFit="1" customWidth="1"/>
    <col min="1544" max="1545" width="8.33203125" style="52" customWidth="1"/>
    <col min="1546" max="1546" width="9" style="52" bestFit="1" customWidth="1"/>
    <col min="1547" max="1781" width="9" style="52"/>
    <col min="1782" max="1782" width="20.33203125" style="52" customWidth="1"/>
    <col min="1783" max="1783" width="8.33203125" style="52" customWidth="1"/>
    <col min="1784" max="1784" width="10" style="52" customWidth="1"/>
    <col min="1785" max="1785" width="8.33203125" style="52" customWidth="1"/>
    <col min="1786" max="1788" width="9.33203125" style="52" bestFit="1" customWidth="1"/>
    <col min="1789" max="1789" width="8.33203125" style="52" bestFit="1" customWidth="1"/>
    <col min="1790" max="1790" width="8.33203125" style="52" customWidth="1"/>
    <col min="1791" max="1793" width="9.33203125" style="52" bestFit="1" customWidth="1"/>
    <col min="1794" max="1794" width="8.33203125" style="52" bestFit="1" customWidth="1"/>
    <col min="1795" max="1795" width="8.33203125" style="52" customWidth="1"/>
    <col min="1796" max="1798" width="9.33203125" style="52" bestFit="1" customWidth="1"/>
    <col min="1799" max="1799" width="8.33203125" style="52" bestFit="1" customWidth="1"/>
    <col min="1800" max="1801" width="8.33203125" style="52" customWidth="1"/>
    <col min="1802" max="1802" width="9" style="52" bestFit="1" customWidth="1"/>
    <col min="1803" max="2037" width="9" style="52"/>
    <col min="2038" max="2038" width="20.33203125" style="52" customWidth="1"/>
    <col min="2039" max="2039" width="8.33203125" style="52" customWidth="1"/>
    <col min="2040" max="2040" width="10" style="52" customWidth="1"/>
    <col min="2041" max="2041" width="8.33203125" style="52" customWidth="1"/>
    <col min="2042" max="2044" width="9.33203125" style="52" bestFit="1" customWidth="1"/>
    <col min="2045" max="2045" width="8.33203125" style="52" bestFit="1" customWidth="1"/>
    <col min="2046" max="2046" width="8.33203125" style="52" customWidth="1"/>
    <col min="2047" max="2049" width="9.33203125" style="52" bestFit="1" customWidth="1"/>
    <col min="2050" max="2050" width="8.33203125" style="52" bestFit="1" customWidth="1"/>
    <col min="2051" max="2051" width="8.33203125" style="52" customWidth="1"/>
    <col min="2052" max="2054" width="9.33203125" style="52" bestFit="1" customWidth="1"/>
    <col min="2055" max="2055" width="8.33203125" style="52" bestFit="1" customWidth="1"/>
    <col min="2056" max="2057" width="8.33203125" style="52" customWidth="1"/>
    <col min="2058" max="2058" width="9" style="52" bestFit="1" customWidth="1"/>
    <col min="2059" max="2293" width="9" style="52"/>
    <col min="2294" max="2294" width="20.33203125" style="52" customWidth="1"/>
    <col min="2295" max="2295" width="8.33203125" style="52" customWidth="1"/>
    <col min="2296" max="2296" width="10" style="52" customWidth="1"/>
    <col min="2297" max="2297" width="8.33203125" style="52" customWidth="1"/>
    <col min="2298" max="2300" width="9.33203125" style="52" bestFit="1" customWidth="1"/>
    <col min="2301" max="2301" width="8.33203125" style="52" bestFit="1" customWidth="1"/>
    <col min="2302" max="2302" width="8.33203125" style="52" customWidth="1"/>
    <col min="2303" max="2305" width="9.33203125" style="52" bestFit="1" customWidth="1"/>
    <col min="2306" max="2306" width="8.33203125" style="52" bestFit="1" customWidth="1"/>
    <col min="2307" max="2307" width="8.33203125" style="52" customWidth="1"/>
    <col min="2308" max="2310" width="9.33203125" style="52" bestFit="1" customWidth="1"/>
    <col min="2311" max="2311" width="8.33203125" style="52" bestFit="1" customWidth="1"/>
    <col min="2312" max="2313" width="8.33203125" style="52" customWidth="1"/>
    <col min="2314" max="2314" width="9" style="52" bestFit="1" customWidth="1"/>
    <col min="2315" max="2549" width="9" style="52"/>
    <col min="2550" max="2550" width="20.33203125" style="52" customWidth="1"/>
    <col min="2551" max="2551" width="8.33203125" style="52" customWidth="1"/>
    <col min="2552" max="2552" width="10" style="52" customWidth="1"/>
    <col min="2553" max="2553" width="8.33203125" style="52" customWidth="1"/>
    <col min="2554" max="2556" width="9.33203125" style="52" bestFit="1" customWidth="1"/>
    <col min="2557" max="2557" width="8.33203125" style="52" bestFit="1" customWidth="1"/>
    <col min="2558" max="2558" width="8.33203125" style="52" customWidth="1"/>
    <col min="2559" max="2561" width="9.33203125" style="52" bestFit="1" customWidth="1"/>
    <col min="2562" max="2562" width="8.33203125" style="52" bestFit="1" customWidth="1"/>
    <col min="2563" max="2563" width="8.33203125" style="52" customWidth="1"/>
    <col min="2564" max="2566" width="9.33203125" style="52" bestFit="1" customWidth="1"/>
    <col min="2567" max="2567" width="8.33203125" style="52" bestFit="1" customWidth="1"/>
    <col min="2568" max="2569" width="8.33203125" style="52" customWidth="1"/>
    <col min="2570" max="2570" width="9" style="52" bestFit="1" customWidth="1"/>
    <col min="2571" max="2805" width="9" style="52"/>
    <col min="2806" max="2806" width="20.33203125" style="52" customWidth="1"/>
    <col min="2807" max="2807" width="8.33203125" style="52" customWidth="1"/>
    <col min="2808" max="2808" width="10" style="52" customWidth="1"/>
    <col min="2809" max="2809" width="8.33203125" style="52" customWidth="1"/>
    <col min="2810" max="2812" width="9.33203125" style="52" bestFit="1" customWidth="1"/>
    <col min="2813" max="2813" width="8.33203125" style="52" bestFit="1" customWidth="1"/>
    <col min="2814" max="2814" width="8.33203125" style="52" customWidth="1"/>
    <col min="2815" max="2817" width="9.33203125" style="52" bestFit="1" customWidth="1"/>
    <col min="2818" max="2818" width="8.33203125" style="52" bestFit="1" customWidth="1"/>
    <col min="2819" max="2819" width="8.33203125" style="52" customWidth="1"/>
    <col min="2820" max="2822" width="9.33203125" style="52" bestFit="1" customWidth="1"/>
    <col min="2823" max="2823" width="8.33203125" style="52" bestFit="1" customWidth="1"/>
    <col min="2824" max="2825" width="8.33203125" style="52" customWidth="1"/>
    <col min="2826" max="2826" width="9" style="52" bestFit="1" customWidth="1"/>
    <col min="2827" max="3061" width="9" style="52"/>
    <col min="3062" max="3062" width="20.33203125" style="52" customWidth="1"/>
    <col min="3063" max="3063" width="8.33203125" style="52" customWidth="1"/>
    <col min="3064" max="3064" width="10" style="52" customWidth="1"/>
    <col min="3065" max="3065" width="8.33203125" style="52" customWidth="1"/>
    <col min="3066" max="3068" width="9.33203125" style="52" bestFit="1" customWidth="1"/>
    <col min="3069" max="3069" width="8.33203125" style="52" bestFit="1" customWidth="1"/>
    <col min="3070" max="3070" width="8.33203125" style="52" customWidth="1"/>
    <col min="3071" max="3073" width="9.33203125" style="52" bestFit="1" customWidth="1"/>
    <col min="3074" max="3074" width="8.33203125" style="52" bestFit="1" customWidth="1"/>
    <col min="3075" max="3075" width="8.33203125" style="52" customWidth="1"/>
    <col min="3076" max="3078" width="9.33203125" style="52" bestFit="1" customWidth="1"/>
    <col min="3079" max="3079" width="8.33203125" style="52" bestFit="1" customWidth="1"/>
    <col min="3080" max="3081" width="8.33203125" style="52" customWidth="1"/>
    <col min="3082" max="3082" width="9" style="52" bestFit="1" customWidth="1"/>
    <col min="3083" max="3317" width="9" style="52"/>
    <col min="3318" max="3318" width="20.33203125" style="52" customWidth="1"/>
    <col min="3319" max="3319" width="8.33203125" style="52" customWidth="1"/>
    <col min="3320" max="3320" width="10" style="52" customWidth="1"/>
    <col min="3321" max="3321" width="8.33203125" style="52" customWidth="1"/>
    <col min="3322" max="3324" width="9.33203125" style="52" bestFit="1" customWidth="1"/>
    <col min="3325" max="3325" width="8.33203125" style="52" bestFit="1" customWidth="1"/>
    <col min="3326" max="3326" width="8.33203125" style="52" customWidth="1"/>
    <col min="3327" max="3329" width="9.33203125" style="52" bestFit="1" customWidth="1"/>
    <col min="3330" max="3330" width="8.33203125" style="52" bestFit="1" customWidth="1"/>
    <col min="3331" max="3331" width="8.33203125" style="52" customWidth="1"/>
    <col min="3332" max="3334" width="9.33203125" style="52" bestFit="1" customWidth="1"/>
    <col min="3335" max="3335" width="8.33203125" style="52" bestFit="1" customWidth="1"/>
    <col min="3336" max="3337" width="8.33203125" style="52" customWidth="1"/>
    <col min="3338" max="3338" width="9" style="52" bestFit="1" customWidth="1"/>
    <col min="3339" max="3573" width="9" style="52"/>
    <col min="3574" max="3574" width="20.33203125" style="52" customWidth="1"/>
    <col min="3575" max="3575" width="8.33203125" style="52" customWidth="1"/>
    <col min="3576" max="3576" width="10" style="52" customWidth="1"/>
    <col min="3577" max="3577" width="8.33203125" style="52" customWidth="1"/>
    <col min="3578" max="3580" width="9.33203125" style="52" bestFit="1" customWidth="1"/>
    <col min="3581" max="3581" width="8.33203125" style="52" bestFit="1" customWidth="1"/>
    <col min="3582" max="3582" width="8.33203125" style="52" customWidth="1"/>
    <col min="3583" max="3585" width="9.33203125" style="52" bestFit="1" customWidth="1"/>
    <col min="3586" max="3586" width="8.33203125" style="52" bestFit="1" customWidth="1"/>
    <col min="3587" max="3587" width="8.33203125" style="52" customWidth="1"/>
    <col min="3588" max="3590" width="9.33203125" style="52" bestFit="1" customWidth="1"/>
    <col min="3591" max="3591" width="8.33203125" style="52" bestFit="1" customWidth="1"/>
    <col min="3592" max="3593" width="8.33203125" style="52" customWidth="1"/>
    <col min="3594" max="3594" width="9" style="52" bestFit="1" customWidth="1"/>
    <col min="3595" max="3829" width="9" style="52"/>
    <col min="3830" max="3830" width="20.33203125" style="52" customWidth="1"/>
    <col min="3831" max="3831" width="8.33203125" style="52" customWidth="1"/>
    <col min="3832" max="3832" width="10" style="52" customWidth="1"/>
    <col min="3833" max="3833" width="8.33203125" style="52" customWidth="1"/>
    <col min="3834" max="3836" width="9.33203125" style="52" bestFit="1" customWidth="1"/>
    <col min="3837" max="3837" width="8.33203125" style="52" bestFit="1" customWidth="1"/>
    <col min="3838" max="3838" width="8.33203125" style="52" customWidth="1"/>
    <col min="3839" max="3841" width="9.33203125" style="52" bestFit="1" customWidth="1"/>
    <col min="3842" max="3842" width="8.33203125" style="52" bestFit="1" customWidth="1"/>
    <col min="3843" max="3843" width="8.33203125" style="52" customWidth="1"/>
    <col min="3844" max="3846" width="9.33203125" style="52" bestFit="1" customWidth="1"/>
    <col min="3847" max="3847" width="8.33203125" style="52" bestFit="1" customWidth="1"/>
    <col min="3848" max="3849" width="8.33203125" style="52" customWidth="1"/>
    <col min="3850" max="3850" width="9" style="52" bestFit="1" customWidth="1"/>
    <col min="3851" max="4085" width="9" style="52"/>
    <col min="4086" max="4086" width="20.33203125" style="52" customWidth="1"/>
    <col min="4087" max="4087" width="8.33203125" style="52" customWidth="1"/>
    <col min="4088" max="4088" width="10" style="52" customWidth="1"/>
    <col min="4089" max="4089" width="8.33203125" style="52" customWidth="1"/>
    <col min="4090" max="4092" width="9.33203125" style="52" bestFit="1" customWidth="1"/>
    <col min="4093" max="4093" width="8.33203125" style="52" bestFit="1" customWidth="1"/>
    <col min="4094" max="4094" width="8.33203125" style="52" customWidth="1"/>
    <col min="4095" max="4097" width="9.33203125" style="52" bestFit="1" customWidth="1"/>
    <col min="4098" max="4098" width="8.33203125" style="52" bestFit="1" customWidth="1"/>
    <col min="4099" max="4099" width="8.33203125" style="52" customWidth="1"/>
    <col min="4100" max="4102" width="9.33203125" style="52" bestFit="1" customWidth="1"/>
    <col min="4103" max="4103" width="8.33203125" style="52" bestFit="1" customWidth="1"/>
    <col min="4104" max="4105" width="8.33203125" style="52" customWidth="1"/>
    <col min="4106" max="4106" width="9" style="52" bestFit="1" customWidth="1"/>
    <col min="4107" max="4341" width="9" style="52"/>
    <col min="4342" max="4342" width="20.33203125" style="52" customWidth="1"/>
    <col min="4343" max="4343" width="8.33203125" style="52" customWidth="1"/>
    <col min="4344" max="4344" width="10" style="52" customWidth="1"/>
    <col min="4345" max="4345" width="8.33203125" style="52" customWidth="1"/>
    <col min="4346" max="4348" width="9.33203125" style="52" bestFit="1" customWidth="1"/>
    <col min="4349" max="4349" width="8.33203125" style="52" bestFit="1" customWidth="1"/>
    <col min="4350" max="4350" width="8.33203125" style="52" customWidth="1"/>
    <col min="4351" max="4353" width="9.33203125" style="52" bestFit="1" customWidth="1"/>
    <col min="4354" max="4354" width="8.33203125" style="52" bestFit="1" customWidth="1"/>
    <col min="4355" max="4355" width="8.33203125" style="52" customWidth="1"/>
    <col min="4356" max="4358" width="9.33203125" style="52" bestFit="1" customWidth="1"/>
    <col min="4359" max="4359" width="8.33203125" style="52" bestFit="1" customWidth="1"/>
    <col min="4360" max="4361" width="8.33203125" style="52" customWidth="1"/>
    <col min="4362" max="4362" width="9" style="52" bestFit="1" customWidth="1"/>
    <col min="4363" max="4597" width="9" style="52"/>
    <col min="4598" max="4598" width="20.33203125" style="52" customWidth="1"/>
    <col min="4599" max="4599" width="8.33203125" style="52" customWidth="1"/>
    <col min="4600" max="4600" width="10" style="52" customWidth="1"/>
    <col min="4601" max="4601" width="8.33203125" style="52" customWidth="1"/>
    <col min="4602" max="4604" width="9.33203125" style="52" bestFit="1" customWidth="1"/>
    <col min="4605" max="4605" width="8.33203125" style="52" bestFit="1" customWidth="1"/>
    <col min="4606" max="4606" width="8.33203125" style="52" customWidth="1"/>
    <col min="4607" max="4609" width="9.33203125" style="52" bestFit="1" customWidth="1"/>
    <col min="4610" max="4610" width="8.33203125" style="52" bestFit="1" customWidth="1"/>
    <col min="4611" max="4611" width="8.33203125" style="52" customWidth="1"/>
    <col min="4612" max="4614" width="9.33203125" style="52" bestFit="1" customWidth="1"/>
    <col min="4615" max="4615" width="8.33203125" style="52" bestFit="1" customWidth="1"/>
    <col min="4616" max="4617" width="8.33203125" style="52" customWidth="1"/>
    <col min="4618" max="4618" width="9" style="52" bestFit="1" customWidth="1"/>
    <col min="4619" max="4853" width="9" style="52"/>
    <col min="4854" max="4854" width="20.33203125" style="52" customWidth="1"/>
    <col min="4855" max="4855" width="8.33203125" style="52" customWidth="1"/>
    <col min="4856" max="4856" width="10" style="52" customWidth="1"/>
    <col min="4857" max="4857" width="8.33203125" style="52" customWidth="1"/>
    <col min="4858" max="4860" width="9.33203125" style="52" bestFit="1" customWidth="1"/>
    <col min="4861" max="4861" width="8.33203125" style="52" bestFit="1" customWidth="1"/>
    <col min="4862" max="4862" width="8.33203125" style="52" customWidth="1"/>
    <col min="4863" max="4865" width="9.33203125" style="52" bestFit="1" customWidth="1"/>
    <col min="4866" max="4866" width="8.33203125" style="52" bestFit="1" customWidth="1"/>
    <col min="4867" max="4867" width="8.33203125" style="52" customWidth="1"/>
    <col min="4868" max="4870" width="9.33203125" style="52" bestFit="1" customWidth="1"/>
    <col min="4871" max="4871" width="8.33203125" style="52" bestFit="1" customWidth="1"/>
    <col min="4872" max="4873" width="8.33203125" style="52" customWidth="1"/>
    <col min="4874" max="4874" width="9" style="52" bestFit="1" customWidth="1"/>
    <col min="4875" max="5109" width="9" style="52"/>
    <col min="5110" max="5110" width="20.33203125" style="52" customWidth="1"/>
    <col min="5111" max="5111" width="8.33203125" style="52" customWidth="1"/>
    <col min="5112" max="5112" width="10" style="52" customWidth="1"/>
    <col min="5113" max="5113" width="8.33203125" style="52" customWidth="1"/>
    <col min="5114" max="5116" width="9.33203125" style="52" bestFit="1" customWidth="1"/>
    <col min="5117" max="5117" width="8.33203125" style="52" bestFit="1" customWidth="1"/>
    <col min="5118" max="5118" width="8.33203125" style="52" customWidth="1"/>
    <col min="5119" max="5121" width="9.33203125" style="52" bestFit="1" customWidth="1"/>
    <col min="5122" max="5122" width="8.33203125" style="52" bestFit="1" customWidth="1"/>
    <col min="5123" max="5123" width="8.33203125" style="52" customWidth="1"/>
    <col min="5124" max="5126" width="9.33203125" style="52" bestFit="1" customWidth="1"/>
    <col min="5127" max="5127" width="8.33203125" style="52" bestFit="1" customWidth="1"/>
    <col min="5128" max="5129" width="8.33203125" style="52" customWidth="1"/>
    <col min="5130" max="5130" width="9" style="52" bestFit="1" customWidth="1"/>
    <col min="5131" max="5365" width="9" style="52"/>
    <col min="5366" max="5366" width="20.33203125" style="52" customWidth="1"/>
    <col min="5367" max="5367" width="8.33203125" style="52" customWidth="1"/>
    <col min="5368" max="5368" width="10" style="52" customWidth="1"/>
    <col min="5369" max="5369" width="8.33203125" style="52" customWidth="1"/>
    <col min="5370" max="5372" width="9.33203125" style="52" bestFit="1" customWidth="1"/>
    <col min="5373" max="5373" width="8.33203125" style="52" bestFit="1" customWidth="1"/>
    <col min="5374" max="5374" width="8.33203125" style="52" customWidth="1"/>
    <col min="5375" max="5377" width="9.33203125" style="52" bestFit="1" customWidth="1"/>
    <col min="5378" max="5378" width="8.33203125" style="52" bestFit="1" customWidth="1"/>
    <col min="5379" max="5379" width="8.33203125" style="52" customWidth="1"/>
    <col min="5380" max="5382" width="9.33203125" style="52" bestFit="1" customWidth="1"/>
    <col min="5383" max="5383" width="8.33203125" style="52" bestFit="1" customWidth="1"/>
    <col min="5384" max="5385" width="8.33203125" style="52" customWidth="1"/>
    <col min="5386" max="5386" width="9" style="52" bestFit="1" customWidth="1"/>
    <col min="5387" max="5621" width="9" style="52"/>
    <col min="5622" max="5622" width="20.33203125" style="52" customWidth="1"/>
    <col min="5623" max="5623" width="8.33203125" style="52" customWidth="1"/>
    <col min="5624" max="5624" width="10" style="52" customWidth="1"/>
    <col min="5625" max="5625" width="8.33203125" style="52" customWidth="1"/>
    <col min="5626" max="5628" width="9.33203125" style="52" bestFit="1" customWidth="1"/>
    <col min="5629" max="5629" width="8.33203125" style="52" bestFit="1" customWidth="1"/>
    <col min="5630" max="5630" width="8.33203125" style="52" customWidth="1"/>
    <col min="5631" max="5633" width="9.33203125" style="52" bestFit="1" customWidth="1"/>
    <col min="5634" max="5634" width="8.33203125" style="52" bestFit="1" customWidth="1"/>
    <col min="5635" max="5635" width="8.33203125" style="52" customWidth="1"/>
    <col min="5636" max="5638" width="9.33203125" style="52" bestFit="1" customWidth="1"/>
    <col min="5639" max="5639" width="8.33203125" style="52" bestFit="1" customWidth="1"/>
    <col min="5640" max="5641" width="8.33203125" style="52" customWidth="1"/>
    <col min="5642" max="5642" width="9" style="52" bestFit="1" customWidth="1"/>
    <col min="5643" max="5877" width="9" style="52"/>
    <col min="5878" max="5878" width="20.33203125" style="52" customWidth="1"/>
    <col min="5879" max="5879" width="8.33203125" style="52" customWidth="1"/>
    <col min="5880" max="5880" width="10" style="52" customWidth="1"/>
    <col min="5881" max="5881" width="8.33203125" style="52" customWidth="1"/>
    <col min="5882" max="5884" width="9.33203125" style="52" bestFit="1" customWidth="1"/>
    <col min="5885" max="5885" width="8.33203125" style="52" bestFit="1" customWidth="1"/>
    <col min="5886" max="5886" width="8.33203125" style="52" customWidth="1"/>
    <col min="5887" max="5889" width="9.33203125" style="52" bestFit="1" customWidth="1"/>
    <col min="5890" max="5890" width="8.33203125" style="52" bestFit="1" customWidth="1"/>
    <col min="5891" max="5891" width="8.33203125" style="52" customWidth="1"/>
    <col min="5892" max="5894" width="9.33203125" style="52" bestFit="1" customWidth="1"/>
    <col min="5895" max="5895" width="8.33203125" style="52" bestFit="1" customWidth="1"/>
    <col min="5896" max="5897" width="8.33203125" style="52" customWidth="1"/>
    <col min="5898" max="5898" width="9" style="52" bestFit="1" customWidth="1"/>
    <col min="5899" max="6133" width="9" style="52"/>
    <col min="6134" max="6134" width="20.33203125" style="52" customWidth="1"/>
    <col min="6135" max="6135" width="8.33203125" style="52" customWidth="1"/>
    <col min="6136" max="6136" width="10" style="52" customWidth="1"/>
    <col min="6137" max="6137" width="8.33203125" style="52" customWidth="1"/>
    <col min="6138" max="6140" width="9.33203125" style="52" bestFit="1" customWidth="1"/>
    <col min="6141" max="6141" width="8.33203125" style="52" bestFit="1" customWidth="1"/>
    <col min="6142" max="6142" width="8.33203125" style="52" customWidth="1"/>
    <col min="6143" max="6145" width="9.33203125" style="52" bestFit="1" customWidth="1"/>
    <col min="6146" max="6146" width="8.33203125" style="52" bestFit="1" customWidth="1"/>
    <col min="6147" max="6147" width="8.33203125" style="52" customWidth="1"/>
    <col min="6148" max="6150" width="9.33203125" style="52" bestFit="1" customWidth="1"/>
    <col min="6151" max="6151" width="8.33203125" style="52" bestFit="1" customWidth="1"/>
    <col min="6152" max="6153" width="8.33203125" style="52" customWidth="1"/>
    <col min="6154" max="6154" width="9" style="52" bestFit="1" customWidth="1"/>
    <col min="6155" max="6389" width="9" style="52"/>
    <col min="6390" max="6390" width="20.33203125" style="52" customWidth="1"/>
    <col min="6391" max="6391" width="8.33203125" style="52" customWidth="1"/>
    <col min="6392" max="6392" width="10" style="52" customWidth="1"/>
    <col min="6393" max="6393" width="8.33203125" style="52" customWidth="1"/>
    <col min="6394" max="6396" width="9.33203125" style="52" bestFit="1" customWidth="1"/>
    <col min="6397" max="6397" width="8.33203125" style="52" bestFit="1" customWidth="1"/>
    <col min="6398" max="6398" width="8.33203125" style="52" customWidth="1"/>
    <col min="6399" max="6401" width="9.33203125" style="52" bestFit="1" customWidth="1"/>
    <col min="6402" max="6402" width="8.33203125" style="52" bestFit="1" customWidth="1"/>
    <col min="6403" max="6403" width="8.33203125" style="52" customWidth="1"/>
    <col min="6404" max="6406" width="9.33203125" style="52" bestFit="1" customWidth="1"/>
    <col min="6407" max="6407" width="8.33203125" style="52" bestFit="1" customWidth="1"/>
    <col min="6408" max="6409" width="8.33203125" style="52" customWidth="1"/>
    <col min="6410" max="6410" width="9" style="52" bestFit="1" customWidth="1"/>
    <col min="6411" max="6645" width="9" style="52"/>
    <col min="6646" max="6646" width="20.33203125" style="52" customWidth="1"/>
    <col min="6647" max="6647" width="8.33203125" style="52" customWidth="1"/>
    <col min="6648" max="6648" width="10" style="52" customWidth="1"/>
    <col min="6649" max="6649" width="8.33203125" style="52" customWidth="1"/>
    <col min="6650" max="6652" width="9.33203125" style="52" bestFit="1" customWidth="1"/>
    <col min="6653" max="6653" width="8.33203125" style="52" bestFit="1" customWidth="1"/>
    <col min="6654" max="6654" width="8.33203125" style="52" customWidth="1"/>
    <col min="6655" max="6657" width="9.33203125" style="52" bestFit="1" customWidth="1"/>
    <col min="6658" max="6658" width="8.33203125" style="52" bestFit="1" customWidth="1"/>
    <col min="6659" max="6659" width="8.33203125" style="52" customWidth="1"/>
    <col min="6660" max="6662" width="9.33203125" style="52" bestFit="1" customWidth="1"/>
    <col min="6663" max="6663" width="8.33203125" style="52" bestFit="1" customWidth="1"/>
    <col min="6664" max="6665" width="8.33203125" style="52" customWidth="1"/>
    <col min="6666" max="6666" width="9" style="52" bestFit="1" customWidth="1"/>
    <col min="6667" max="6901" width="9" style="52"/>
    <col min="6902" max="6902" width="20.33203125" style="52" customWidth="1"/>
    <col min="6903" max="6903" width="8.33203125" style="52" customWidth="1"/>
    <col min="6904" max="6904" width="10" style="52" customWidth="1"/>
    <col min="6905" max="6905" width="8.33203125" style="52" customWidth="1"/>
    <col min="6906" max="6908" width="9.33203125" style="52" bestFit="1" customWidth="1"/>
    <col min="6909" max="6909" width="8.33203125" style="52" bestFit="1" customWidth="1"/>
    <col min="6910" max="6910" width="8.33203125" style="52" customWidth="1"/>
    <col min="6911" max="6913" width="9.33203125" style="52" bestFit="1" customWidth="1"/>
    <col min="6914" max="6914" width="8.33203125" style="52" bestFit="1" customWidth="1"/>
    <col min="6915" max="6915" width="8.33203125" style="52" customWidth="1"/>
    <col min="6916" max="6918" width="9.33203125" style="52" bestFit="1" customWidth="1"/>
    <col min="6919" max="6919" width="8.33203125" style="52" bestFit="1" customWidth="1"/>
    <col min="6920" max="6921" width="8.33203125" style="52" customWidth="1"/>
    <col min="6922" max="6922" width="9" style="52" bestFit="1" customWidth="1"/>
    <col min="6923" max="7157" width="9" style="52"/>
    <col min="7158" max="7158" width="20.33203125" style="52" customWidth="1"/>
    <col min="7159" max="7159" width="8.33203125" style="52" customWidth="1"/>
    <col min="7160" max="7160" width="10" style="52" customWidth="1"/>
    <col min="7161" max="7161" width="8.33203125" style="52" customWidth="1"/>
    <col min="7162" max="7164" width="9.33203125" style="52" bestFit="1" customWidth="1"/>
    <col min="7165" max="7165" width="8.33203125" style="52" bestFit="1" customWidth="1"/>
    <col min="7166" max="7166" width="8.33203125" style="52" customWidth="1"/>
    <col min="7167" max="7169" width="9.33203125" style="52" bestFit="1" customWidth="1"/>
    <col min="7170" max="7170" width="8.33203125" style="52" bestFit="1" customWidth="1"/>
    <col min="7171" max="7171" width="8.33203125" style="52" customWidth="1"/>
    <col min="7172" max="7174" width="9.33203125" style="52" bestFit="1" customWidth="1"/>
    <col min="7175" max="7175" width="8.33203125" style="52" bestFit="1" customWidth="1"/>
    <col min="7176" max="7177" width="8.33203125" style="52" customWidth="1"/>
    <col min="7178" max="7178" width="9" style="52" bestFit="1" customWidth="1"/>
    <col min="7179" max="7413" width="9" style="52"/>
    <col min="7414" max="7414" width="20.33203125" style="52" customWidth="1"/>
    <col min="7415" max="7415" width="8.33203125" style="52" customWidth="1"/>
    <col min="7416" max="7416" width="10" style="52" customWidth="1"/>
    <col min="7417" max="7417" width="8.33203125" style="52" customWidth="1"/>
    <col min="7418" max="7420" width="9.33203125" style="52" bestFit="1" customWidth="1"/>
    <col min="7421" max="7421" width="8.33203125" style="52" bestFit="1" customWidth="1"/>
    <col min="7422" max="7422" width="8.33203125" style="52" customWidth="1"/>
    <col min="7423" max="7425" width="9.33203125" style="52" bestFit="1" customWidth="1"/>
    <col min="7426" max="7426" width="8.33203125" style="52" bestFit="1" customWidth="1"/>
    <col min="7427" max="7427" width="8.33203125" style="52" customWidth="1"/>
    <col min="7428" max="7430" width="9.33203125" style="52" bestFit="1" customWidth="1"/>
    <col min="7431" max="7431" width="8.33203125" style="52" bestFit="1" customWidth="1"/>
    <col min="7432" max="7433" width="8.33203125" style="52" customWidth="1"/>
    <col min="7434" max="7434" width="9" style="52" bestFit="1" customWidth="1"/>
    <col min="7435" max="7669" width="9" style="52"/>
    <col min="7670" max="7670" width="20.33203125" style="52" customWidth="1"/>
    <col min="7671" max="7671" width="8.33203125" style="52" customWidth="1"/>
    <col min="7672" max="7672" width="10" style="52" customWidth="1"/>
    <col min="7673" max="7673" width="8.33203125" style="52" customWidth="1"/>
    <col min="7674" max="7676" width="9.33203125" style="52" bestFit="1" customWidth="1"/>
    <col min="7677" max="7677" width="8.33203125" style="52" bestFit="1" customWidth="1"/>
    <col min="7678" max="7678" width="8.33203125" style="52" customWidth="1"/>
    <col min="7679" max="7681" width="9.33203125" style="52" bestFit="1" customWidth="1"/>
    <col min="7682" max="7682" width="8.33203125" style="52" bestFit="1" customWidth="1"/>
    <col min="7683" max="7683" width="8.33203125" style="52" customWidth="1"/>
    <col min="7684" max="7686" width="9.33203125" style="52" bestFit="1" customWidth="1"/>
    <col min="7687" max="7687" width="8.33203125" style="52" bestFit="1" customWidth="1"/>
    <col min="7688" max="7689" width="8.33203125" style="52" customWidth="1"/>
    <col min="7690" max="7690" width="9" style="52" bestFit="1" customWidth="1"/>
    <col min="7691" max="7925" width="9" style="52"/>
    <col min="7926" max="7926" width="20.33203125" style="52" customWidth="1"/>
    <col min="7927" max="7927" width="8.33203125" style="52" customWidth="1"/>
    <col min="7928" max="7928" width="10" style="52" customWidth="1"/>
    <col min="7929" max="7929" width="8.33203125" style="52" customWidth="1"/>
    <col min="7930" max="7932" width="9.33203125" style="52" bestFit="1" customWidth="1"/>
    <col min="7933" max="7933" width="8.33203125" style="52" bestFit="1" customWidth="1"/>
    <col min="7934" max="7934" width="8.33203125" style="52" customWidth="1"/>
    <col min="7935" max="7937" width="9.33203125" style="52" bestFit="1" customWidth="1"/>
    <col min="7938" max="7938" width="8.33203125" style="52" bestFit="1" customWidth="1"/>
    <col min="7939" max="7939" width="8.33203125" style="52" customWidth="1"/>
    <col min="7940" max="7942" width="9.33203125" style="52" bestFit="1" customWidth="1"/>
    <col min="7943" max="7943" width="8.33203125" style="52" bestFit="1" customWidth="1"/>
    <col min="7944" max="7945" width="8.33203125" style="52" customWidth="1"/>
    <col min="7946" max="7946" width="9" style="52" bestFit="1" customWidth="1"/>
    <col min="7947" max="8181" width="9" style="52"/>
    <col min="8182" max="8182" width="20.33203125" style="52" customWidth="1"/>
    <col min="8183" max="8183" width="8.33203125" style="52" customWidth="1"/>
    <col min="8184" max="8184" width="10" style="52" customWidth="1"/>
    <col min="8185" max="8185" width="8.33203125" style="52" customWidth="1"/>
    <col min="8186" max="8188" width="9.33203125" style="52" bestFit="1" customWidth="1"/>
    <col min="8189" max="8189" width="8.33203125" style="52" bestFit="1" customWidth="1"/>
    <col min="8190" max="8190" width="8.33203125" style="52" customWidth="1"/>
    <col min="8191" max="8193" width="9.33203125" style="52" bestFit="1" customWidth="1"/>
    <col min="8194" max="8194" width="8.33203125" style="52" bestFit="1" customWidth="1"/>
    <col min="8195" max="8195" width="8.33203125" style="52" customWidth="1"/>
    <col min="8196" max="8198" width="9.33203125" style="52" bestFit="1" customWidth="1"/>
    <col min="8199" max="8199" width="8.33203125" style="52" bestFit="1" customWidth="1"/>
    <col min="8200" max="8201" width="8.33203125" style="52" customWidth="1"/>
    <col min="8202" max="8202" width="9" style="52" bestFit="1" customWidth="1"/>
    <col min="8203" max="8437" width="9" style="52"/>
    <col min="8438" max="8438" width="20.33203125" style="52" customWidth="1"/>
    <col min="8439" max="8439" width="8.33203125" style="52" customWidth="1"/>
    <col min="8440" max="8440" width="10" style="52" customWidth="1"/>
    <col min="8441" max="8441" width="8.33203125" style="52" customWidth="1"/>
    <col min="8442" max="8444" width="9.33203125" style="52" bestFit="1" customWidth="1"/>
    <col min="8445" max="8445" width="8.33203125" style="52" bestFit="1" customWidth="1"/>
    <col min="8446" max="8446" width="8.33203125" style="52" customWidth="1"/>
    <col min="8447" max="8449" width="9.33203125" style="52" bestFit="1" customWidth="1"/>
    <col min="8450" max="8450" width="8.33203125" style="52" bestFit="1" customWidth="1"/>
    <col min="8451" max="8451" width="8.33203125" style="52" customWidth="1"/>
    <col min="8452" max="8454" width="9.33203125" style="52" bestFit="1" customWidth="1"/>
    <col min="8455" max="8455" width="8.33203125" style="52" bestFit="1" customWidth="1"/>
    <col min="8456" max="8457" width="8.33203125" style="52" customWidth="1"/>
    <col min="8458" max="8458" width="9" style="52" bestFit="1" customWidth="1"/>
    <col min="8459" max="8693" width="9" style="52"/>
    <col min="8694" max="8694" width="20.33203125" style="52" customWidth="1"/>
    <col min="8695" max="8695" width="8.33203125" style="52" customWidth="1"/>
    <col min="8696" max="8696" width="10" style="52" customWidth="1"/>
    <col min="8697" max="8697" width="8.33203125" style="52" customWidth="1"/>
    <col min="8698" max="8700" width="9.33203125" style="52" bestFit="1" customWidth="1"/>
    <col min="8701" max="8701" width="8.33203125" style="52" bestFit="1" customWidth="1"/>
    <col min="8702" max="8702" width="8.33203125" style="52" customWidth="1"/>
    <col min="8703" max="8705" width="9.33203125" style="52" bestFit="1" customWidth="1"/>
    <col min="8706" max="8706" width="8.33203125" style="52" bestFit="1" customWidth="1"/>
    <col min="8707" max="8707" width="8.33203125" style="52" customWidth="1"/>
    <col min="8708" max="8710" width="9.33203125" style="52" bestFit="1" customWidth="1"/>
    <col min="8711" max="8711" width="8.33203125" style="52" bestFit="1" customWidth="1"/>
    <col min="8712" max="8713" width="8.33203125" style="52" customWidth="1"/>
    <col min="8714" max="8714" width="9" style="52" bestFit="1" customWidth="1"/>
    <col min="8715" max="8949" width="9" style="52"/>
    <col min="8950" max="8950" width="20.33203125" style="52" customWidth="1"/>
    <col min="8951" max="8951" width="8.33203125" style="52" customWidth="1"/>
    <col min="8952" max="8952" width="10" style="52" customWidth="1"/>
    <col min="8953" max="8953" width="8.33203125" style="52" customWidth="1"/>
    <col min="8954" max="8956" width="9.33203125" style="52" bestFit="1" customWidth="1"/>
    <col min="8957" max="8957" width="8.33203125" style="52" bestFit="1" customWidth="1"/>
    <col min="8958" max="8958" width="8.33203125" style="52" customWidth="1"/>
    <col min="8959" max="8961" width="9.33203125" style="52" bestFit="1" customWidth="1"/>
    <col min="8962" max="8962" width="8.33203125" style="52" bestFit="1" customWidth="1"/>
    <col min="8963" max="8963" width="8.33203125" style="52" customWidth="1"/>
    <col min="8964" max="8966" width="9.33203125" style="52" bestFit="1" customWidth="1"/>
    <col min="8967" max="8967" width="8.33203125" style="52" bestFit="1" customWidth="1"/>
    <col min="8968" max="8969" width="8.33203125" style="52" customWidth="1"/>
    <col min="8970" max="8970" width="9" style="52" bestFit="1" customWidth="1"/>
    <col min="8971" max="9205" width="9" style="52"/>
    <col min="9206" max="9206" width="20.33203125" style="52" customWidth="1"/>
    <col min="9207" max="9207" width="8.33203125" style="52" customWidth="1"/>
    <col min="9208" max="9208" width="10" style="52" customWidth="1"/>
    <col min="9209" max="9209" width="8.33203125" style="52" customWidth="1"/>
    <col min="9210" max="9212" width="9.33203125" style="52" bestFit="1" customWidth="1"/>
    <col min="9213" max="9213" width="8.33203125" style="52" bestFit="1" customWidth="1"/>
    <col min="9214" max="9214" width="8.33203125" style="52" customWidth="1"/>
    <col min="9215" max="9217" width="9.33203125" style="52" bestFit="1" customWidth="1"/>
    <col min="9218" max="9218" width="8.33203125" style="52" bestFit="1" customWidth="1"/>
    <col min="9219" max="9219" width="8.33203125" style="52" customWidth="1"/>
    <col min="9220" max="9222" width="9.33203125" style="52" bestFit="1" customWidth="1"/>
    <col min="9223" max="9223" width="8.33203125" style="52" bestFit="1" customWidth="1"/>
    <col min="9224" max="9225" width="8.33203125" style="52" customWidth="1"/>
    <col min="9226" max="9226" width="9" style="52" bestFit="1" customWidth="1"/>
    <col min="9227" max="9461" width="9" style="52"/>
    <col min="9462" max="9462" width="20.33203125" style="52" customWidth="1"/>
    <col min="9463" max="9463" width="8.33203125" style="52" customWidth="1"/>
    <col min="9464" max="9464" width="10" style="52" customWidth="1"/>
    <col min="9465" max="9465" width="8.33203125" style="52" customWidth="1"/>
    <col min="9466" max="9468" width="9.33203125" style="52" bestFit="1" customWidth="1"/>
    <col min="9469" max="9469" width="8.33203125" style="52" bestFit="1" customWidth="1"/>
    <col min="9470" max="9470" width="8.33203125" style="52" customWidth="1"/>
    <col min="9471" max="9473" width="9.33203125" style="52" bestFit="1" customWidth="1"/>
    <col min="9474" max="9474" width="8.33203125" style="52" bestFit="1" customWidth="1"/>
    <col min="9475" max="9475" width="8.33203125" style="52" customWidth="1"/>
    <col min="9476" max="9478" width="9.33203125" style="52" bestFit="1" customWidth="1"/>
    <col min="9479" max="9479" width="8.33203125" style="52" bestFit="1" customWidth="1"/>
    <col min="9480" max="9481" width="8.33203125" style="52" customWidth="1"/>
    <col min="9482" max="9482" width="9" style="52" bestFit="1" customWidth="1"/>
    <col min="9483" max="9717" width="9" style="52"/>
    <col min="9718" max="9718" width="20.33203125" style="52" customWidth="1"/>
    <col min="9719" max="9719" width="8.33203125" style="52" customWidth="1"/>
    <col min="9720" max="9720" width="10" style="52" customWidth="1"/>
    <col min="9721" max="9721" width="8.33203125" style="52" customWidth="1"/>
    <col min="9722" max="9724" width="9.33203125" style="52" bestFit="1" customWidth="1"/>
    <col min="9725" max="9725" width="8.33203125" style="52" bestFit="1" customWidth="1"/>
    <col min="9726" max="9726" width="8.33203125" style="52" customWidth="1"/>
    <col min="9727" max="9729" width="9.33203125" style="52" bestFit="1" customWidth="1"/>
    <col min="9730" max="9730" width="8.33203125" style="52" bestFit="1" customWidth="1"/>
    <col min="9731" max="9731" width="8.33203125" style="52" customWidth="1"/>
    <col min="9732" max="9734" width="9.33203125" style="52" bestFit="1" customWidth="1"/>
    <col min="9735" max="9735" width="8.33203125" style="52" bestFit="1" customWidth="1"/>
    <col min="9736" max="9737" width="8.33203125" style="52" customWidth="1"/>
    <col min="9738" max="9738" width="9" style="52" bestFit="1" customWidth="1"/>
    <col min="9739" max="9973" width="9" style="52"/>
    <col min="9974" max="9974" width="20.33203125" style="52" customWidth="1"/>
    <col min="9975" max="9975" width="8.33203125" style="52" customWidth="1"/>
    <col min="9976" max="9976" width="10" style="52" customWidth="1"/>
    <col min="9977" max="9977" width="8.33203125" style="52" customWidth="1"/>
    <col min="9978" max="9980" width="9.33203125" style="52" bestFit="1" customWidth="1"/>
    <col min="9981" max="9981" width="8.33203125" style="52" bestFit="1" customWidth="1"/>
    <col min="9982" max="9982" width="8.33203125" style="52" customWidth="1"/>
    <col min="9983" max="9985" width="9.33203125" style="52" bestFit="1" customWidth="1"/>
    <col min="9986" max="9986" width="8.33203125" style="52" bestFit="1" customWidth="1"/>
    <col min="9987" max="9987" width="8.33203125" style="52" customWidth="1"/>
    <col min="9988" max="9990" width="9.33203125" style="52" bestFit="1" customWidth="1"/>
    <col min="9991" max="9991" width="8.33203125" style="52" bestFit="1" customWidth="1"/>
    <col min="9992" max="9993" width="8.33203125" style="52" customWidth="1"/>
    <col min="9994" max="9994" width="9" style="52" bestFit="1" customWidth="1"/>
    <col min="9995" max="10229" width="9" style="52"/>
    <col min="10230" max="10230" width="20.33203125" style="52" customWidth="1"/>
    <col min="10231" max="10231" width="8.33203125" style="52" customWidth="1"/>
    <col min="10232" max="10232" width="10" style="52" customWidth="1"/>
    <col min="10233" max="10233" width="8.33203125" style="52" customWidth="1"/>
    <col min="10234" max="10236" width="9.33203125" style="52" bestFit="1" customWidth="1"/>
    <col min="10237" max="10237" width="8.33203125" style="52" bestFit="1" customWidth="1"/>
    <col min="10238" max="10238" width="8.33203125" style="52" customWidth="1"/>
    <col min="10239" max="10241" width="9.33203125" style="52" bestFit="1" customWidth="1"/>
    <col min="10242" max="10242" width="8.33203125" style="52" bestFit="1" customWidth="1"/>
    <col min="10243" max="10243" width="8.33203125" style="52" customWidth="1"/>
    <col min="10244" max="10246" width="9.33203125" style="52" bestFit="1" customWidth="1"/>
    <col min="10247" max="10247" width="8.33203125" style="52" bestFit="1" customWidth="1"/>
    <col min="10248" max="10249" width="8.33203125" style="52" customWidth="1"/>
    <col min="10250" max="10250" width="9" style="52" bestFit="1" customWidth="1"/>
    <col min="10251" max="10485" width="9" style="52"/>
    <col min="10486" max="10486" width="20.33203125" style="52" customWidth="1"/>
    <col min="10487" max="10487" width="8.33203125" style="52" customWidth="1"/>
    <col min="10488" max="10488" width="10" style="52" customWidth="1"/>
    <col min="10489" max="10489" width="8.33203125" style="52" customWidth="1"/>
    <col min="10490" max="10492" width="9.33203125" style="52" bestFit="1" customWidth="1"/>
    <col min="10493" max="10493" width="8.33203125" style="52" bestFit="1" customWidth="1"/>
    <col min="10494" max="10494" width="8.33203125" style="52" customWidth="1"/>
    <col min="10495" max="10497" width="9.33203125" style="52" bestFit="1" customWidth="1"/>
    <col min="10498" max="10498" width="8.33203125" style="52" bestFit="1" customWidth="1"/>
    <col min="10499" max="10499" width="8.33203125" style="52" customWidth="1"/>
    <col min="10500" max="10502" width="9.33203125" style="52" bestFit="1" customWidth="1"/>
    <col min="10503" max="10503" width="8.33203125" style="52" bestFit="1" customWidth="1"/>
    <col min="10504" max="10505" width="8.33203125" style="52" customWidth="1"/>
    <col min="10506" max="10506" width="9" style="52" bestFit="1" customWidth="1"/>
    <col min="10507" max="10741" width="9" style="52"/>
    <col min="10742" max="10742" width="20.33203125" style="52" customWidth="1"/>
    <col min="10743" max="10743" width="8.33203125" style="52" customWidth="1"/>
    <col min="10744" max="10744" width="10" style="52" customWidth="1"/>
    <col min="10745" max="10745" width="8.33203125" style="52" customWidth="1"/>
    <col min="10746" max="10748" width="9.33203125" style="52" bestFit="1" customWidth="1"/>
    <col min="10749" max="10749" width="8.33203125" style="52" bestFit="1" customWidth="1"/>
    <col min="10750" max="10750" width="8.33203125" style="52" customWidth="1"/>
    <col min="10751" max="10753" width="9.33203125" style="52" bestFit="1" customWidth="1"/>
    <col min="10754" max="10754" width="8.33203125" style="52" bestFit="1" customWidth="1"/>
    <col min="10755" max="10755" width="8.33203125" style="52" customWidth="1"/>
    <col min="10756" max="10758" width="9.33203125" style="52" bestFit="1" customWidth="1"/>
    <col min="10759" max="10759" width="8.33203125" style="52" bestFit="1" customWidth="1"/>
    <col min="10760" max="10761" width="8.33203125" style="52" customWidth="1"/>
    <col min="10762" max="10762" width="9" style="52" bestFit="1" customWidth="1"/>
    <col min="10763" max="10997" width="9" style="52"/>
    <col min="10998" max="10998" width="20.33203125" style="52" customWidth="1"/>
    <col min="10999" max="10999" width="8.33203125" style="52" customWidth="1"/>
    <col min="11000" max="11000" width="10" style="52" customWidth="1"/>
    <col min="11001" max="11001" width="8.33203125" style="52" customWidth="1"/>
    <col min="11002" max="11004" width="9.33203125" style="52" bestFit="1" customWidth="1"/>
    <col min="11005" max="11005" width="8.33203125" style="52" bestFit="1" customWidth="1"/>
    <col min="11006" max="11006" width="8.33203125" style="52" customWidth="1"/>
    <col min="11007" max="11009" width="9.33203125" style="52" bestFit="1" customWidth="1"/>
    <col min="11010" max="11010" width="8.33203125" style="52" bestFit="1" customWidth="1"/>
    <col min="11011" max="11011" width="8.33203125" style="52" customWidth="1"/>
    <col min="11012" max="11014" width="9.33203125" style="52" bestFit="1" customWidth="1"/>
    <col min="11015" max="11015" width="8.33203125" style="52" bestFit="1" customWidth="1"/>
    <col min="11016" max="11017" width="8.33203125" style="52" customWidth="1"/>
    <col min="11018" max="11018" width="9" style="52" bestFit="1" customWidth="1"/>
    <col min="11019" max="11253" width="9" style="52"/>
    <col min="11254" max="11254" width="20.33203125" style="52" customWidth="1"/>
    <col min="11255" max="11255" width="8.33203125" style="52" customWidth="1"/>
    <col min="11256" max="11256" width="10" style="52" customWidth="1"/>
    <col min="11257" max="11257" width="8.33203125" style="52" customWidth="1"/>
    <col min="11258" max="11260" width="9.33203125" style="52" bestFit="1" customWidth="1"/>
    <col min="11261" max="11261" width="8.33203125" style="52" bestFit="1" customWidth="1"/>
    <col min="11262" max="11262" width="8.33203125" style="52" customWidth="1"/>
    <col min="11263" max="11265" width="9.33203125" style="52" bestFit="1" customWidth="1"/>
    <col min="11266" max="11266" width="8.33203125" style="52" bestFit="1" customWidth="1"/>
    <col min="11267" max="11267" width="8.33203125" style="52" customWidth="1"/>
    <col min="11268" max="11270" width="9.33203125" style="52" bestFit="1" customWidth="1"/>
    <col min="11271" max="11271" width="8.33203125" style="52" bestFit="1" customWidth="1"/>
    <col min="11272" max="11273" width="8.33203125" style="52" customWidth="1"/>
    <col min="11274" max="11274" width="9" style="52" bestFit="1" customWidth="1"/>
    <col min="11275" max="11509" width="9" style="52"/>
    <col min="11510" max="11510" width="20.33203125" style="52" customWidth="1"/>
    <col min="11511" max="11511" width="8.33203125" style="52" customWidth="1"/>
    <col min="11512" max="11512" width="10" style="52" customWidth="1"/>
    <col min="11513" max="11513" width="8.33203125" style="52" customWidth="1"/>
    <col min="11514" max="11516" width="9.33203125" style="52" bestFit="1" customWidth="1"/>
    <col min="11517" max="11517" width="8.33203125" style="52" bestFit="1" customWidth="1"/>
    <col min="11518" max="11518" width="8.33203125" style="52" customWidth="1"/>
    <col min="11519" max="11521" width="9.33203125" style="52" bestFit="1" customWidth="1"/>
    <col min="11522" max="11522" width="8.33203125" style="52" bestFit="1" customWidth="1"/>
    <col min="11523" max="11523" width="8.33203125" style="52" customWidth="1"/>
    <col min="11524" max="11526" width="9.33203125" style="52" bestFit="1" customWidth="1"/>
    <col min="11527" max="11527" width="8.33203125" style="52" bestFit="1" customWidth="1"/>
    <col min="11528" max="11529" width="8.33203125" style="52" customWidth="1"/>
    <col min="11530" max="11530" width="9" style="52" bestFit="1" customWidth="1"/>
    <col min="11531" max="11765" width="9" style="52"/>
    <col min="11766" max="11766" width="20.33203125" style="52" customWidth="1"/>
    <col min="11767" max="11767" width="8.33203125" style="52" customWidth="1"/>
    <col min="11768" max="11768" width="10" style="52" customWidth="1"/>
    <col min="11769" max="11769" width="8.33203125" style="52" customWidth="1"/>
    <col min="11770" max="11772" width="9.33203125" style="52" bestFit="1" customWidth="1"/>
    <col min="11773" max="11773" width="8.33203125" style="52" bestFit="1" customWidth="1"/>
    <col min="11774" max="11774" width="8.33203125" style="52" customWidth="1"/>
    <col min="11775" max="11777" width="9.33203125" style="52" bestFit="1" customWidth="1"/>
    <col min="11778" max="11778" width="8.33203125" style="52" bestFit="1" customWidth="1"/>
    <col min="11779" max="11779" width="8.33203125" style="52" customWidth="1"/>
    <col min="11780" max="11782" width="9.33203125" style="52" bestFit="1" customWidth="1"/>
    <col min="11783" max="11783" width="8.33203125" style="52" bestFit="1" customWidth="1"/>
    <col min="11784" max="11785" width="8.33203125" style="52" customWidth="1"/>
    <col min="11786" max="11786" width="9" style="52" bestFit="1" customWidth="1"/>
    <col min="11787" max="12021" width="9" style="52"/>
    <col min="12022" max="12022" width="20.33203125" style="52" customWidth="1"/>
    <col min="12023" max="12023" width="8.33203125" style="52" customWidth="1"/>
    <col min="12024" max="12024" width="10" style="52" customWidth="1"/>
    <col min="12025" max="12025" width="8.33203125" style="52" customWidth="1"/>
    <col min="12026" max="12028" width="9.33203125" style="52" bestFit="1" customWidth="1"/>
    <col min="12029" max="12029" width="8.33203125" style="52" bestFit="1" customWidth="1"/>
    <col min="12030" max="12030" width="8.33203125" style="52" customWidth="1"/>
    <col min="12031" max="12033" width="9.33203125" style="52" bestFit="1" customWidth="1"/>
    <col min="12034" max="12034" width="8.33203125" style="52" bestFit="1" customWidth="1"/>
    <col min="12035" max="12035" width="8.33203125" style="52" customWidth="1"/>
    <col min="12036" max="12038" width="9.33203125" style="52" bestFit="1" customWidth="1"/>
    <col min="12039" max="12039" width="8.33203125" style="52" bestFit="1" customWidth="1"/>
    <col min="12040" max="12041" width="8.33203125" style="52" customWidth="1"/>
    <col min="12042" max="12042" width="9" style="52" bestFit="1" customWidth="1"/>
    <col min="12043" max="12277" width="9" style="52"/>
    <col min="12278" max="12278" width="20.33203125" style="52" customWidth="1"/>
    <col min="12279" max="12279" width="8.33203125" style="52" customWidth="1"/>
    <col min="12280" max="12280" width="10" style="52" customWidth="1"/>
    <col min="12281" max="12281" width="8.33203125" style="52" customWidth="1"/>
    <col min="12282" max="12284" width="9.33203125" style="52" bestFit="1" customWidth="1"/>
    <col min="12285" max="12285" width="8.33203125" style="52" bestFit="1" customWidth="1"/>
    <col min="12286" max="12286" width="8.33203125" style="52" customWidth="1"/>
    <col min="12287" max="12289" width="9.33203125" style="52" bestFit="1" customWidth="1"/>
    <col min="12290" max="12290" width="8.33203125" style="52" bestFit="1" customWidth="1"/>
    <col min="12291" max="12291" width="8.33203125" style="52" customWidth="1"/>
    <col min="12292" max="12294" width="9.33203125" style="52" bestFit="1" customWidth="1"/>
    <col min="12295" max="12295" width="8.33203125" style="52" bestFit="1" customWidth="1"/>
    <col min="12296" max="12297" width="8.33203125" style="52" customWidth="1"/>
    <col min="12298" max="12298" width="9" style="52" bestFit="1" customWidth="1"/>
    <col min="12299" max="12533" width="9" style="52"/>
    <col min="12534" max="12534" width="20.33203125" style="52" customWidth="1"/>
    <col min="12535" max="12535" width="8.33203125" style="52" customWidth="1"/>
    <col min="12536" max="12536" width="10" style="52" customWidth="1"/>
    <col min="12537" max="12537" width="8.33203125" style="52" customWidth="1"/>
    <col min="12538" max="12540" width="9.33203125" style="52" bestFit="1" customWidth="1"/>
    <col min="12541" max="12541" width="8.33203125" style="52" bestFit="1" customWidth="1"/>
    <col min="12542" max="12542" width="8.33203125" style="52" customWidth="1"/>
    <col min="12543" max="12545" width="9.33203125" style="52" bestFit="1" customWidth="1"/>
    <col min="12546" max="12546" width="8.33203125" style="52" bestFit="1" customWidth="1"/>
    <col min="12547" max="12547" width="8.33203125" style="52" customWidth="1"/>
    <col min="12548" max="12550" width="9.33203125" style="52" bestFit="1" customWidth="1"/>
    <col min="12551" max="12551" width="8.33203125" style="52" bestFit="1" customWidth="1"/>
    <col min="12552" max="12553" width="8.33203125" style="52" customWidth="1"/>
    <col min="12554" max="12554" width="9" style="52" bestFit="1" customWidth="1"/>
    <col min="12555" max="12789" width="9" style="52"/>
    <col min="12790" max="12790" width="20.33203125" style="52" customWidth="1"/>
    <col min="12791" max="12791" width="8.33203125" style="52" customWidth="1"/>
    <col min="12792" max="12792" width="10" style="52" customWidth="1"/>
    <col min="12793" max="12793" width="8.33203125" style="52" customWidth="1"/>
    <col min="12794" max="12796" width="9.33203125" style="52" bestFit="1" customWidth="1"/>
    <col min="12797" max="12797" width="8.33203125" style="52" bestFit="1" customWidth="1"/>
    <col min="12798" max="12798" width="8.33203125" style="52" customWidth="1"/>
    <col min="12799" max="12801" width="9.33203125" style="52" bestFit="1" customWidth="1"/>
    <col min="12802" max="12802" width="8.33203125" style="52" bestFit="1" customWidth="1"/>
    <col min="12803" max="12803" width="8.33203125" style="52" customWidth="1"/>
    <col min="12804" max="12806" width="9.33203125" style="52" bestFit="1" customWidth="1"/>
    <col min="12807" max="12807" width="8.33203125" style="52" bestFit="1" customWidth="1"/>
    <col min="12808" max="12809" width="8.33203125" style="52" customWidth="1"/>
    <col min="12810" max="12810" width="9" style="52" bestFit="1" customWidth="1"/>
    <col min="12811" max="13045" width="9" style="52"/>
    <col min="13046" max="13046" width="20.33203125" style="52" customWidth="1"/>
    <col min="13047" max="13047" width="8.33203125" style="52" customWidth="1"/>
    <col min="13048" max="13048" width="10" style="52" customWidth="1"/>
    <col min="13049" max="13049" width="8.33203125" style="52" customWidth="1"/>
    <col min="13050" max="13052" width="9.33203125" style="52" bestFit="1" customWidth="1"/>
    <col min="13053" max="13053" width="8.33203125" style="52" bestFit="1" customWidth="1"/>
    <col min="13054" max="13054" width="8.33203125" style="52" customWidth="1"/>
    <col min="13055" max="13057" width="9.33203125" style="52" bestFit="1" customWidth="1"/>
    <col min="13058" max="13058" width="8.33203125" style="52" bestFit="1" customWidth="1"/>
    <col min="13059" max="13059" width="8.33203125" style="52" customWidth="1"/>
    <col min="13060" max="13062" width="9.33203125" style="52" bestFit="1" customWidth="1"/>
    <col min="13063" max="13063" width="8.33203125" style="52" bestFit="1" customWidth="1"/>
    <col min="13064" max="13065" width="8.33203125" style="52" customWidth="1"/>
    <col min="13066" max="13066" width="9" style="52" bestFit="1" customWidth="1"/>
    <col min="13067" max="13301" width="9" style="52"/>
    <col min="13302" max="13302" width="20.33203125" style="52" customWidth="1"/>
    <col min="13303" max="13303" width="8.33203125" style="52" customWidth="1"/>
    <col min="13304" max="13304" width="10" style="52" customWidth="1"/>
    <col min="13305" max="13305" width="8.33203125" style="52" customWidth="1"/>
    <col min="13306" max="13308" width="9.33203125" style="52" bestFit="1" customWidth="1"/>
    <col min="13309" max="13309" width="8.33203125" style="52" bestFit="1" customWidth="1"/>
    <col min="13310" max="13310" width="8.33203125" style="52" customWidth="1"/>
    <col min="13311" max="13313" width="9.33203125" style="52" bestFit="1" customWidth="1"/>
    <col min="13314" max="13314" width="8.33203125" style="52" bestFit="1" customWidth="1"/>
    <col min="13315" max="13315" width="8.33203125" style="52" customWidth="1"/>
    <col min="13316" max="13318" width="9.33203125" style="52" bestFit="1" customWidth="1"/>
    <col min="13319" max="13319" width="8.33203125" style="52" bestFit="1" customWidth="1"/>
    <col min="13320" max="13321" width="8.33203125" style="52" customWidth="1"/>
    <col min="13322" max="13322" width="9" style="52" bestFit="1" customWidth="1"/>
    <col min="13323" max="13557" width="9" style="52"/>
    <col min="13558" max="13558" width="20.33203125" style="52" customWidth="1"/>
    <col min="13559" max="13559" width="8.33203125" style="52" customWidth="1"/>
    <col min="13560" max="13560" width="10" style="52" customWidth="1"/>
    <col min="13561" max="13561" width="8.33203125" style="52" customWidth="1"/>
    <col min="13562" max="13564" width="9.33203125" style="52" bestFit="1" customWidth="1"/>
    <col min="13565" max="13565" width="8.33203125" style="52" bestFit="1" customWidth="1"/>
    <col min="13566" max="13566" width="8.33203125" style="52" customWidth="1"/>
    <col min="13567" max="13569" width="9.33203125" style="52" bestFit="1" customWidth="1"/>
    <col min="13570" max="13570" width="8.33203125" style="52" bestFit="1" customWidth="1"/>
    <col min="13571" max="13571" width="8.33203125" style="52" customWidth="1"/>
    <col min="13572" max="13574" width="9.33203125" style="52" bestFit="1" customWidth="1"/>
    <col min="13575" max="13575" width="8.33203125" style="52" bestFit="1" customWidth="1"/>
    <col min="13576" max="13577" width="8.33203125" style="52" customWidth="1"/>
    <col min="13578" max="13578" width="9" style="52" bestFit="1" customWidth="1"/>
    <col min="13579" max="13813" width="9" style="52"/>
    <col min="13814" max="13814" width="20.33203125" style="52" customWidth="1"/>
    <col min="13815" max="13815" width="8.33203125" style="52" customWidth="1"/>
    <col min="13816" max="13816" width="10" style="52" customWidth="1"/>
    <col min="13817" max="13817" width="8.33203125" style="52" customWidth="1"/>
    <col min="13818" max="13820" width="9.33203125" style="52" bestFit="1" customWidth="1"/>
    <col min="13821" max="13821" width="8.33203125" style="52" bestFit="1" customWidth="1"/>
    <col min="13822" max="13822" width="8.33203125" style="52" customWidth="1"/>
    <col min="13823" max="13825" width="9.33203125" style="52" bestFit="1" customWidth="1"/>
    <col min="13826" max="13826" width="8.33203125" style="52" bestFit="1" customWidth="1"/>
    <col min="13827" max="13827" width="8.33203125" style="52" customWidth="1"/>
    <col min="13828" max="13830" width="9.33203125" style="52" bestFit="1" customWidth="1"/>
    <col min="13831" max="13831" width="8.33203125" style="52" bestFit="1" customWidth="1"/>
    <col min="13832" max="13833" width="8.33203125" style="52" customWidth="1"/>
    <col min="13834" max="13834" width="9" style="52" bestFit="1" customWidth="1"/>
    <col min="13835" max="14069" width="9" style="52"/>
    <col min="14070" max="14070" width="20.33203125" style="52" customWidth="1"/>
    <col min="14071" max="14071" width="8.33203125" style="52" customWidth="1"/>
    <col min="14072" max="14072" width="10" style="52" customWidth="1"/>
    <col min="14073" max="14073" width="8.33203125" style="52" customWidth="1"/>
    <col min="14074" max="14076" width="9.33203125" style="52" bestFit="1" customWidth="1"/>
    <col min="14077" max="14077" width="8.33203125" style="52" bestFit="1" customWidth="1"/>
    <col min="14078" max="14078" width="8.33203125" style="52" customWidth="1"/>
    <col min="14079" max="14081" width="9.33203125" style="52" bestFit="1" customWidth="1"/>
    <col min="14082" max="14082" width="8.33203125" style="52" bestFit="1" customWidth="1"/>
    <col min="14083" max="14083" width="8.33203125" style="52" customWidth="1"/>
    <col min="14084" max="14086" width="9.33203125" style="52" bestFit="1" customWidth="1"/>
    <col min="14087" max="14087" width="8.33203125" style="52" bestFit="1" customWidth="1"/>
    <col min="14088" max="14089" width="8.33203125" style="52" customWidth="1"/>
    <col min="14090" max="14090" width="9" style="52" bestFit="1" customWidth="1"/>
    <col min="14091" max="14325" width="9" style="52"/>
    <col min="14326" max="14326" width="20.33203125" style="52" customWidth="1"/>
    <col min="14327" max="14327" width="8.33203125" style="52" customWidth="1"/>
    <col min="14328" max="14328" width="10" style="52" customWidth="1"/>
    <col min="14329" max="14329" width="8.33203125" style="52" customWidth="1"/>
    <col min="14330" max="14332" width="9.33203125" style="52" bestFit="1" customWidth="1"/>
    <col min="14333" max="14333" width="8.33203125" style="52" bestFit="1" customWidth="1"/>
    <col min="14334" max="14334" width="8.33203125" style="52" customWidth="1"/>
    <col min="14335" max="14337" width="9.33203125" style="52" bestFit="1" customWidth="1"/>
    <col min="14338" max="14338" width="8.33203125" style="52" bestFit="1" customWidth="1"/>
    <col min="14339" max="14339" width="8.33203125" style="52" customWidth="1"/>
    <col min="14340" max="14342" width="9.33203125" style="52" bestFit="1" customWidth="1"/>
    <col min="14343" max="14343" width="8.33203125" style="52" bestFit="1" customWidth="1"/>
    <col min="14344" max="14345" width="8.33203125" style="52" customWidth="1"/>
    <col min="14346" max="14346" width="9" style="52" bestFit="1" customWidth="1"/>
    <col min="14347" max="14581" width="9" style="52"/>
    <col min="14582" max="14582" width="20.33203125" style="52" customWidth="1"/>
    <col min="14583" max="14583" width="8.33203125" style="52" customWidth="1"/>
    <col min="14584" max="14584" width="10" style="52" customWidth="1"/>
    <col min="14585" max="14585" width="8.33203125" style="52" customWidth="1"/>
    <col min="14586" max="14588" width="9.33203125" style="52" bestFit="1" customWidth="1"/>
    <col min="14589" max="14589" width="8.33203125" style="52" bestFit="1" customWidth="1"/>
    <col min="14590" max="14590" width="8.33203125" style="52" customWidth="1"/>
    <col min="14591" max="14593" width="9.33203125" style="52" bestFit="1" customWidth="1"/>
    <col min="14594" max="14594" width="8.33203125" style="52" bestFit="1" customWidth="1"/>
    <col min="14595" max="14595" width="8.33203125" style="52" customWidth="1"/>
    <col min="14596" max="14598" width="9.33203125" style="52" bestFit="1" customWidth="1"/>
    <col min="14599" max="14599" width="8.33203125" style="52" bestFit="1" customWidth="1"/>
    <col min="14600" max="14601" width="8.33203125" style="52" customWidth="1"/>
    <col min="14602" max="14602" width="9" style="52" bestFit="1" customWidth="1"/>
    <col min="14603" max="14837" width="9" style="52"/>
    <col min="14838" max="14838" width="20.33203125" style="52" customWidth="1"/>
    <col min="14839" max="14839" width="8.33203125" style="52" customWidth="1"/>
    <col min="14840" max="14840" width="10" style="52" customWidth="1"/>
    <col min="14841" max="14841" width="8.33203125" style="52" customWidth="1"/>
    <col min="14842" max="14844" width="9.33203125" style="52" bestFit="1" customWidth="1"/>
    <col min="14845" max="14845" width="8.33203125" style="52" bestFit="1" customWidth="1"/>
    <col min="14846" max="14846" width="8.33203125" style="52" customWidth="1"/>
    <col min="14847" max="14849" width="9.33203125" style="52" bestFit="1" customWidth="1"/>
    <col min="14850" max="14850" width="8.33203125" style="52" bestFit="1" customWidth="1"/>
    <col min="14851" max="14851" width="8.33203125" style="52" customWidth="1"/>
    <col min="14852" max="14854" width="9.33203125" style="52" bestFit="1" customWidth="1"/>
    <col min="14855" max="14855" width="8.33203125" style="52" bestFit="1" customWidth="1"/>
    <col min="14856" max="14857" width="8.33203125" style="52" customWidth="1"/>
    <col min="14858" max="14858" width="9" style="52" bestFit="1" customWidth="1"/>
    <col min="14859" max="15093" width="9" style="52"/>
    <col min="15094" max="15094" width="20.33203125" style="52" customWidth="1"/>
    <col min="15095" max="15095" width="8.33203125" style="52" customWidth="1"/>
    <col min="15096" max="15096" width="10" style="52" customWidth="1"/>
    <col min="15097" max="15097" width="8.33203125" style="52" customWidth="1"/>
    <col min="15098" max="15100" width="9.33203125" style="52" bestFit="1" customWidth="1"/>
    <col min="15101" max="15101" width="8.33203125" style="52" bestFit="1" customWidth="1"/>
    <col min="15102" max="15102" width="8.33203125" style="52" customWidth="1"/>
    <col min="15103" max="15105" width="9.33203125" style="52" bestFit="1" customWidth="1"/>
    <col min="15106" max="15106" width="8.33203125" style="52" bestFit="1" customWidth="1"/>
    <col min="15107" max="15107" width="8.33203125" style="52" customWidth="1"/>
    <col min="15108" max="15110" width="9.33203125" style="52" bestFit="1" customWidth="1"/>
    <col min="15111" max="15111" width="8.33203125" style="52" bestFit="1" customWidth="1"/>
    <col min="15112" max="15113" width="8.33203125" style="52" customWidth="1"/>
    <col min="15114" max="15114" width="9" style="52" bestFit="1" customWidth="1"/>
    <col min="15115" max="15349" width="9" style="52"/>
    <col min="15350" max="15350" width="20.33203125" style="52" customWidth="1"/>
    <col min="15351" max="15351" width="8.33203125" style="52" customWidth="1"/>
    <col min="15352" max="15352" width="10" style="52" customWidth="1"/>
    <col min="15353" max="15353" width="8.33203125" style="52" customWidth="1"/>
    <col min="15354" max="15356" width="9.33203125" style="52" bestFit="1" customWidth="1"/>
    <col min="15357" max="15357" width="8.33203125" style="52" bestFit="1" customWidth="1"/>
    <col min="15358" max="15358" width="8.33203125" style="52" customWidth="1"/>
    <col min="15359" max="15361" width="9.33203125" style="52" bestFit="1" customWidth="1"/>
    <col min="15362" max="15362" width="8.33203125" style="52" bestFit="1" customWidth="1"/>
    <col min="15363" max="15363" width="8.33203125" style="52" customWidth="1"/>
    <col min="15364" max="15366" width="9.33203125" style="52" bestFit="1" customWidth="1"/>
    <col min="15367" max="15367" width="8.33203125" style="52" bestFit="1" customWidth="1"/>
    <col min="15368" max="15369" width="8.33203125" style="52" customWidth="1"/>
    <col min="15370" max="15370" width="9" style="52" bestFit="1" customWidth="1"/>
    <col min="15371" max="15605" width="9" style="52"/>
    <col min="15606" max="15606" width="20.33203125" style="52" customWidth="1"/>
    <col min="15607" max="15607" width="8.33203125" style="52" customWidth="1"/>
    <col min="15608" max="15608" width="10" style="52" customWidth="1"/>
    <col min="15609" max="15609" width="8.33203125" style="52" customWidth="1"/>
    <col min="15610" max="15612" width="9.33203125" style="52" bestFit="1" customWidth="1"/>
    <col min="15613" max="15613" width="8.33203125" style="52" bestFit="1" customWidth="1"/>
    <col min="15614" max="15614" width="8.33203125" style="52" customWidth="1"/>
    <col min="15615" max="15617" width="9.33203125" style="52" bestFit="1" customWidth="1"/>
    <col min="15618" max="15618" width="8.33203125" style="52" bestFit="1" customWidth="1"/>
    <col min="15619" max="15619" width="8.33203125" style="52" customWidth="1"/>
    <col min="15620" max="15622" width="9.33203125" style="52" bestFit="1" customWidth="1"/>
    <col min="15623" max="15623" width="8.33203125" style="52" bestFit="1" customWidth="1"/>
    <col min="15624" max="15625" width="8.33203125" style="52" customWidth="1"/>
    <col min="15626" max="15626" width="9" style="52" bestFit="1" customWidth="1"/>
    <col min="15627" max="15861" width="9" style="52"/>
    <col min="15862" max="15862" width="20.33203125" style="52" customWidth="1"/>
    <col min="15863" max="15863" width="8.33203125" style="52" customWidth="1"/>
    <col min="15864" max="15864" width="10" style="52" customWidth="1"/>
    <col min="15865" max="15865" width="8.33203125" style="52" customWidth="1"/>
    <col min="15866" max="15868" width="9.33203125" style="52" bestFit="1" customWidth="1"/>
    <col min="15869" max="15869" width="8.33203125" style="52" bestFit="1" customWidth="1"/>
    <col min="15870" max="15870" width="8.33203125" style="52" customWidth="1"/>
    <col min="15871" max="15873" width="9.33203125" style="52" bestFit="1" customWidth="1"/>
    <col min="15874" max="15874" width="8.33203125" style="52" bestFit="1" customWidth="1"/>
    <col min="15875" max="15875" width="8.33203125" style="52" customWidth="1"/>
    <col min="15876" max="15878" width="9.33203125" style="52" bestFit="1" customWidth="1"/>
    <col min="15879" max="15879" width="8.33203125" style="52" bestFit="1" customWidth="1"/>
    <col min="15880" max="15881" width="8.33203125" style="52" customWidth="1"/>
    <col min="15882" max="15882" width="9" style="52" bestFit="1" customWidth="1"/>
    <col min="15883" max="16117" width="9" style="52"/>
    <col min="16118" max="16118" width="20.33203125" style="52" customWidth="1"/>
    <col min="16119" max="16119" width="8.33203125" style="52" customWidth="1"/>
    <col min="16120" max="16120" width="10" style="52" customWidth="1"/>
    <col min="16121" max="16121" width="8.33203125" style="52" customWidth="1"/>
    <col min="16122" max="16124" width="9.33203125" style="52" bestFit="1" customWidth="1"/>
    <col min="16125" max="16125" width="8.33203125" style="52" bestFit="1" customWidth="1"/>
    <col min="16126" max="16126" width="8.33203125" style="52" customWidth="1"/>
    <col min="16127" max="16129" width="9.33203125" style="52" bestFit="1" customWidth="1"/>
    <col min="16130" max="16130" width="8.33203125" style="52" bestFit="1" customWidth="1"/>
    <col min="16131" max="16131" width="8.33203125" style="52" customWidth="1"/>
    <col min="16132" max="16134" width="9.33203125" style="52" bestFit="1" customWidth="1"/>
    <col min="16135" max="16135" width="8.33203125" style="52" bestFit="1" customWidth="1"/>
    <col min="16136" max="16137" width="8.33203125" style="52" customWidth="1"/>
    <col min="16138" max="16138" width="9" style="52" bestFit="1" customWidth="1"/>
    <col min="16139" max="16384" width="9" style="52"/>
  </cols>
  <sheetData>
    <row r="1" spans="1:41" s="47" customFormat="1" ht="14.25" customHeight="1" thickBot="1">
      <c r="A1" s="185" t="s">
        <v>0</v>
      </c>
      <c r="B1" s="186"/>
      <c r="C1" s="38" t="s">
        <v>1</v>
      </c>
      <c r="D1" s="18" t="s">
        <v>111</v>
      </c>
      <c r="E1" s="172" t="s">
        <v>51</v>
      </c>
      <c r="F1" s="172"/>
      <c r="G1" s="172"/>
      <c r="H1" s="172"/>
      <c r="I1" s="45" t="s">
        <v>51</v>
      </c>
      <c r="J1" s="173" t="s">
        <v>44</v>
      </c>
      <c r="K1" s="173"/>
      <c r="L1" s="173"/>
      <c r="M1" s="173"/>
      <c r="N1" s="39" t="s">
        <v>44</v>
      </c>
      <c r="O1" s="173" t="s">
        <v>45</v>
      </c>
      <c r="P1" s="173"/>
      <c r="Q1" s="173"/>
      <c r="R1" s="173"/>
      <c r="S1" s="173"/>
      <c r="T1" s="39" t="s">
        <v>45</v>
      </c>
      <c r="U1" s="40" t="s">
        <v>46</v>
      </c>
      <c r="V1" s="172" t="s">
        <v>104</v>
      </c>
      <c r="W1" s="172"/>
      <c r="X1" s="172"/>
      <c r="Y1" s="172"/>
      <c r="Z1" s="45" t="s">
        <v>104</v>
      </c>
      <c r="AA1" s="173" t="s">
        <v>105</v>
      </c>
      <c r="AB1" s="173"/>
      <c r="AC1" s="173"/>
      <c r="AD1" s="173"/>
      <c r="AE1" s="39" t="s">
        <v>105</v>
      </c>
      <c r="AF1" s="173" t="s">
        <v>106</v>
      </c>
      <c r="AG1" s="173"/>
      <c r="AH1" s="173"/>
      <c r="AI1" s="173"/>
      <c r="AJ1" s="173"/>
      <c r="AK1" s="39" t="s">
        <v>106</v>
      </c>
      <c r="AL1" s="40" t="s">
        <v>107</v>
      </c>
      <c r="AM1" s="54" t="s">
        <v>107</v>
      </c>
      <c r="AN1" s="41" t="s">
        <v>46</v>
      </c>
      <c r="AO1" s="41" t="s">
        <v>107</v>
      </c>
    </row>
    <row r="2" spans="1:41" s="47" customFormat="1" ht="17.25" customHeight="1" thickBot="1">
      <c r="A2" s="174" t="s">
        <v>52</v>
      </c>
      <c r="B2" s="175"/>
      <c r="C2" s="38" t="s">
        <v>53</v>
      </c>
      <c r="D2" s="18" t="s">
        <v>4</v>
      </c>
      <c r="E2" s="42" t="s">
        <v>54</v>
      </c>
      <c r="F2" s="108">
        <v>44927</v>
      </c>
      <c r="G2" s="108">
        <v>44935</v>
      </c>
      <c r="H2" s="108">
        <v>44942</v>
      </c>
      <c r="I2" s="43" t="s">
        <v>55</v>
      </c>
      <c r="J2" s="108">
        <v>44949</v>
      </c>
      <c r="K2" s="108">
        <v>44956</v>
      </c>
      <c r="L2" s="108">
        <v>44963</v>
      </c>
      <c r="M2" s="108">
        <v>44970</v>
      </c>
      <c r="N2" s="39" t="s">
        <v>0</v>
      </c>
      <c r="O2" s="108">
        <v>44977</v>
      </c>
      <c r="P2" s="108">
        <v>44984</v>
      </c>
      <c r="Q2" s="108">
        <v>44991</v>
      </c>
      <c r="R2" s="108">
        <v>44998</v>
      </c>
      <c r="S2" s="108">
        <v>45005</v>
      </c>
      <c r="T2" s="39" t="s">
        <v>0</v>
      </c>
      <c r="U2" s="40" t="s">
        <v>0</v>
      </c>
      <c r="V2" s="108">
        <v>45012</v>
      </c>
      <c r="W2" s="108">
        <v>45019</v>
      </c>
      <c r="X2" s="108">
        <v>45026</v>
      </c>
      <c r="Y2" s="108">
        <v>45033</v>
      </c>
      <c r="Z2" s="109" t="s">
        <v>55</v>
      </c>
      <c r="AA2" s="108">
        <v>45040</v>
      </c>
      <c r="AB2" s="108">
        <v>45047</v>
      </c>
      <c r="AC2" s="108">
        <v>45054</v>
      </c>
      <c r="AD2" s="108">
        <v>45061</v>
      </c>
      <c r="AE2" s="108" t="s">
        <v>0</v>
      </c>
      <c r="AF2" s="108">
        <v>45068</v>
      </c>
      <c r="AG2" s="108">
        <v>45075</v>
      </c>
      <c r="AH2" s="108">
        <v>45082</v>
      </c>
      <c r="AI2" s="108">
        <v>45089</v>
      </c>
      <c r="AJ2" s="108">
        <v>45096</v>
      </c>
      <c r="AK2" s="39" t="s">
        <v>0</v>
      </c>
      <c r="AL2" s="40" t="s">
        <v>0</v>
      </c>
      <c r="AM2" s="54" t="s">
        <v>108</v>
      </c>
      <c r="AN2" s="44" t="s">
        <v>109</v>
      </c>
      <c r="AO2" s="44" t="s">
        <v>110</v>
      </c>
    </row>
    <row r="3" spans="1:41" s="15" customFormat="1">
      <c r="A3" s="166" t="s">
        <v>56</v>
      </c>
      <c r="B3" s="3" t="s">
        <v>57</v>
      </c>
      <c r="C3" s="26"/>
      <c r="D3" s="26"/>
      <c r="E3" s="27"/>
      <c r="F3" s="27">
        <v>0</v>
      </c>
      <c r="G3" s="27">
        <v>-19866</v>
      </c>
      <c r="H3" s="27">
        <v>0</v>
      </c>
      <c r="I3" s="26">
        <v>-19866</v>
      </c>
      <c r="J3" s="27">
        <v>0</v>
      </c>
      <c r="K3" s="27">
        <v>0</v>
      </c>
      <c r="L3" s="27">
        <v>0</v>
      </c>
      <c r="M3" s="27">
        <v>0</v>
      </c>
      <c r="N3" s="26">
        <v>0</v>
      </c>
      <c r="O3" s="27">
        <v>0</v>
      </c>
      <c r="P3" s="27">
        <v>0</v>
      </c>
      <c r="Q3" s="27">
        <v>0</v>
      </c>
      <c r="R3" s="27">
        <v>0</v>
      </c>
      <c r="S3" s="27">
        <v>0</v>
      </c>
      <c r="T3" s="26">
        <v>0</v>
      </c>
      <c r="U3" s="28">
        <v>-12740</v>
      </c>
      <c r="V3" s="27">
        <v>0</v>
      </c>
      <c r="W3" s="27">
        <v>0</v>
      </c>
      <c r="X3" s="27">
        <v>0</v>
      </c>
      <c r="Y3" s="27">
        <v>0</v>
      </c>
      <c r="Z3" s="26">
        <v>0</v>
      </c>
      <c r="AA3" s="27">
        <v>0</v>
      </c>
      <c r="AB3" s="27">
        <v>0</v>
      </c>
      <c r="AC3" s="27">
        <v>0</v>
      </c>
      <c r="AD3" s="27">
        <v>0</v>
      </c>
      <c r="AE3" s="26">
        <v>0</v>
      </c>
      <c r="AF3" s="27">
        <v>0</v>
      </c>
      <c r="AG3" s="27">
        <v>0</v>
      </c>
      <c r="AH3" s="27">
        <v>0</v>
      </c>
      <c r="AI3" s="27">
        <v>0</v>
      </c>
      <c r="AJ3" s="27">
        <v>0</v>
      </c>
      <c r="AK3" s="26">
        <v>0</v>
      </c>
      <c r="AL3" s="28">
        <v>0</v>
      </c>
      <c r="AM3" s="54">
        <v>8</v>
      </c>
      <c r="AN3" s="13">
        <f>U3*AM3</f>
        <v>-101920</v>
      </c>
      <c r="AO3" s="13">
        <f>AM3*AL3</f>
        <v>0</v>
      </c>
    </row>
    <row r="4" spans="1:41" s="15" customFormat="1">
      <c r="A4" s="167"/>
      <c r="B4" s="12" t="s">
        <v>58</v>
      </c>
      <c r="C4" s="26"/>
      <c r="D4" s="26"/>
      <c r="E4" s="27"/>
      <c r="F4" s="27">
        <v>0</v>
      </c>
      <c r="G4" s="27">
        <v>0</v>
      </c>
      <c r="H4" s="27">
        <v>0</v>
      </c>
      <c r="I4" s="26">
        <v>0</v>
      </c>
      <c r="J4" s="27">
        <v>0</v>
      </c>
      <c r="K4" s="27">
        <v>0</v>
      </c>
      <c r="L4" s="27">
        <v>0</v>
      </c>
      <c r="M4" s="27">
        <v>0</v>
      </c>
      <c r="N4" s="26">
        <v>0</v>
      </c>
      <c r="O4" s="27">
        <v>0</v>
      </c>
      <c r="P4" s="27">
        <v>0</v>
      </c>
      <c r="Q4" s="27">
        <v>0</v>
      </c>
      <c r="R4" s="27">
        <v>0</v>
      </c>
      <c r="S4" s="27">
        <v>0</v>
      </c>
      <c r="T4" s="26">
        <v>0</v>
      </c>
      <c r="U4" s="28">
        <v>0</v>
      </c>
      <c r="V4" s="27">
        <v>0</v>
      </c>
      <c r="W4" s="27">
        <v>0</v>
      </c>
      <c r="X4" s="27">
        <v>0</v>
      </c>
      <c r="Y4" s="27">
        <v>0</v>
      </c>
      <c r="Z4" s="26">
        <v>0</v>
      </c>
      <c r="AA4" s="27">
        <v>0</v>
      </c>
      <c r="AB4" s="27">
        <v>0</v>
      </c>
      <c r="AC4" s="27">
        <v>0</v>
      </c>
      <c r="AD4" s="27">
        <v>0</v>
      </c>
      <c r="AE4" s="26">
        <v>0</v>
      </c>
      <c r="AF4" s="27">
        <v>0</v>
      </c>
      <c r="AG4" s="27">
        <v>0</v>
      </c>
      <c r="AH4" s="27">
        <v>0</v>
      </c>
      <c r="AI4" s="27">
        <v>0</v>
      </c>
      <c r="AJ4" s="27">
        <v>0</v>
      </c>
      <c r="AK4" s="26">
        <v>0</v>
      </c>
      <c r="AL4" s="28">
        <v>0</v>
      </c>
      <c r="AM4" s="54"/>
      <c r="AN4" s="13">
        <v>0</v>
      </c>
      <c r="AO4" s="13">
        <v>0</v>
      </c>
    </row>
    <row r="5" spans="1:41" s="15" customFormat="1">
      <c r="A5" s="167"/>
      <c r="B5" s="12" t="s">
        <v>59</v>
      </c>
      <c r="C5" s="26">
        <v>0</v>
      </c>
      <c r="D5" s="26">
        <v>0</v>
      </c>
      <c r="E5" s="27"/>
      <c r="F5" s="27">
        <v>0</v>
      </c>
      <c r="G5" s="27">
        <v>0</v>
      </c>
      <c r="H5" s="27">
        <v>0</v>
      </c>
      <c r="I5" s="26">
        <v>0</v>
      </c>
      <c r="J5" s="27">
        <v>0</v>
      </c>
      <c r="K5" s="27">
        <v>0</v>
      </c>
      <c r="L5" s="27">
        <v>0</v>
      </c>
      <c r="M5" s="27">
        <v>0</v>
      </c>
      <c r="N5" s="26">
        <v>0</v>
      </c>
      <c r="O5" s="27">
        <v>0</v>
      </c>
      <c r="P5" s="27">
        <v>0</v>
      </c>
      <c r="Q5" s="27">
        <v>0</v>
      </c>
      <c r="R5" s="27">
        <v>0</v>
      </c>
      <c r="S5" s="27">
        <v>0</v>
      </c>
      <c r="T5" s="26">
        <v>0</v>
      </c>
      <c r="U5" s="28">
        <v>0</v>
      </c>
      <c r="V5" s="27">
        <v>0</v>
      </c>
      <c r="W5" s="27">
        <v>0</v>
      </c>
      <c r="X5" s="27">
        <v>0</v>
      </c>
      <c r="Y5" s="27">
        <v>0</v>
      </c>
      <c r="Z5" s="26">
        <v>0</v>
      </c>
      <c r="AA5" s="27">
        <v>0</v>
      </c>
      <c r="AB5" s="27">
        <v>0</v>
      </c>
      <c r="AC5" s="27">
        <v>0</v>
      </c>
      <c r="AD5" s="27">
        <v>0</v>
      </c>
      <c r="AE5" s="26">
        <v>0</v>
      </c>
      <c r="AF5" s="27">
        <v>0</v>
      </c>
      <c r="AG5" s="27">
        <v>0</v>
      </c>
      <c r="AH5" s="27">
        <v>0</v>
      </c>
      <c r="AI5" s="27">
        <v>0</v>
      </c>
      <c r="AJ5" s="27">
        <v>0</v>
      </c>
      <c r="AK5" s="26">
        <v>0</v>
      </c>
      <c r="AL5" s="28">
        <v>0</v>
      </c>
      <c r="AM5" s="54"/>
      <c r="AN5" s="13">
        <v>0</v>
      </c>
      <c r="AO5" s="13">
        <v>0</v>
      </c>
    </row>
    <row r="6" spans="1:41" s="15" customFormat="1">
      <c r="A6" s="167"/>
      <c r="B6" s="12" t="s">
        <v>7</v>
      </c>
      <c r="C6" s="26"/>
      <c r="D6" s="26"/>
      <c r="E6" s="32"/>
      <c r="F6" s="27">
        <v>0</v>
      </c>
      <c r="G6" s="27">
        <v>0</v>
      </c>
      <c r="H6" s="27">
        <v>0</v>
      </c>
      <c r="I6" s="26">
        <v>0</v>
      </c>
      <c r="J6" s="32">
        <v>0</v>
      </c>
      <c r="K6" s="27">
        <v>0</v>
      </c>
      <c r="L6" s="27">
        <v>0</v>
      </c>
      <c r="M6" s="27">
        <v>0</v>
      </c>
      <c r="N6" s="26">
        <v>0</v>
      </c>
      <c r="O6" s="32">
        <v>0</v>
      </c>
      <c r="P6" s="27">
        <v>0</v>
      </c>
      <c r="Q6" s="27">
        <v>0</v>
      </c>
      <c r="R6" s="27">
        <v>0</v>
      </c>
      <c r="S6" s="27">
        <v>0</v>
      </c>
      <c r="T6" s="26">
        <v>0</v>
      </c>
      <c r="U6" s="28">
        <v>7126</v>
      </c>
      <c r="V6" s="32">
        <v>0</v>
      </c>
      <c r="W6" s="27">
        <v>0</v>
      </c>
      <c r="X6" s="27">
        <v>0</v>
      </c>
      <c r="Y6" s="27">
        <v>0</v>
      </c>
      <c r="Z6" s="26">
        <v>0</v>
      </c>
      <c r="AA6" s="32">
        <v>0</v>
      </c>
      <c r="AB6" s="27">
        <v>0</v>
      </c>
      <c r="AC6" s="27">
        <v>0</v>
      </c>
      <c r="AD6" s="27">
        <v>0</v>
      </c>
      <c r="AE6" s="26">
        <v>0</v>
      </c>
      <c r="AF6" s="32">
        <v>0</v>
      </c>
      <c r="AG6" s="27">
        <v>0</v>
      </c>
      <c r="AH6" s="27">
        <v>0</v>
      </c>
      <c r="AI6" s="27">
        <v>0</v>
      </c>
      <c r="AJ6" s="27">
        <v>0</v>
      </c>
      <c r="AK6" s="26">
        <v>0</v>
      </c>
      <c r="AL6" s="28">
        <v>19866</v>
      </c>
      <c r="AM6" s="54"/>
      <c r="AN6" s="13">
        <v>0</v>
      </c>
      <c r="AO6" s="13">
        <v>0</v>
      </c>
    </row>
    <row r="7" spans="1:41" s="15" customFormat="1" ht="17" thickBot="1">
      <c r="A7" s="168"/>
      <c r="B7" s="4" t="s">
        <v>60</v>
      </c>
      <c r="C7" s="26">
        <v>20250</v>
      </c>
      <c r="D7" s="37">
        <v>7126</v>
      </c>
      <c r="E7" s="21"/>
      <c r="F7" s="21">
        <v>0</v>
      </c>
      <c r="G7" s="21">
        <v>19866</v>
      </c>
      <c r="H7" s="21">
        <v>19866</v>
      </c>
      <c r="I7" s="20">
        <v>19866</v>
      </c>
      <c r="J7" s="21">
        <v>19866</v>
      </c>
      <c r="K7" s="21">
        <v>19866</v>
      </c>
      <c r="L7" s="21">
        <v>19866</v>
      </c>
      <c r="M7" s="21">
        <v>19866</v>
      </c>
      <c r="N7" s="20">
        <v>19866</v>
      </c>
      <c r="O7" s="21">
        <v>19866</v>
      </c>
      <c r="P7" s="21">
        <v>19866</v>
      </c>
      <c r="Q7" s="21">
        <v>19866</v>
      </c>
      <c r="R7" s="21">
        <v>19866</v>
      </c>
      <c r="S7" s="21">
        <v>19866</v>
      </c>
      <c r="T7" s="20">
        <v>19866</v>
      </c>
      <c r="U7" s="22">
        <v>19866</v>
      </c>
      <c r="V7" s="21">
        <v>19866</v>
      </c>
      <c r="W7" s="21">
        <v>19866</v>
      </c>
      <c r="X7" s="21">
        <v>19866</v>
      </c>
      <c r="Y7" s="21">
        <v>19866</v>
      </c>
      <c r="Z7" s="20">
        <v>19866</v>
      </c>
      <c r="AA7" s="21">
        <v>19866</v>
      </c>
      <c r="AB7" s="21">
        <v>19866</v>
      </c>
      <c r="AC7" s="21">
        <v>19866</v>
      </c>
      <c r="AD7" s="21">
        <v>19866</v>
      </c>
      <c r="AE7" s="20">
        <v>19866</v>
      </c>
      <c r="AF7" s="21">
        <v>19866</v>
      </c>
      <c r="AG7" s="21">
        <v>19866</v>
      </c>
      <c r="AH7" s="21">
        <v>19866</v>
      </c>
      <c r="AI7" s="21">
        <v>19866</v>
      </c>
      <c r="AJ7" s="21">
        <v>19866</v>
      </c>
      <c r="AK7" s="20">
        <v>19866</v>
      </c>
      <c r="AL7" s="22">
        <v>19866</v>
      </c>
      <c r="AM7" s="54"/>
      <c r="AN7" s="13">
        <v>0</v>
      </c>
      <c r="AO7" s="13">
        <v>0</v>
      </c>
    </row>
    <row r="8" spans="1:41" s="15" customFormat="1" ht="17" thickBot="1">
      <c r="A8" s="46"/>
      <c r="B8" s="12" t="s">
        <v>61</v>
      </c>
      <c r="C8" s="26"/>
      <c r="D8" s="26"/>
      <c r="E8" s="19">
        <v>0</v>
      </c>
      <c r="F8" s="19"/>
      <c r="G8" s="19"/>
      <c r="H8" s="19"/>
      <c r="I8" s="23"/>
      <c r="J8" s="19"/>
      <c r="K8" s="19"/>
      <c r="L8" s="19"/>
      <c r="M8" s="19"/>
      <c r="N8" s="23"/>
      <c r="O8" s="19"/>
      <c r="P8" s="19"/>
      <c r="Q8" s="19"/>
      <c r="R8" s="19"/>
      <c r="S8" s="19"/>
      <c r="T8" s="23"/>
      <c r="U8" s="24"/>
      <c r="V8" s="19"/>
      <c r="W8" s="19"/>
      <c r="X8" s="19"/>
      <c r="Y8" s="19"/>
      <c r="Z8" s="23"/>
      <c r="AA8" s="19"/>
      <c r="AB8" s="19"/>
      <c r="AC8" s="19"/>
      <c r="AD8" s="19"/>
      <c r="AE8" s="23"/>
      <c r="AF8" s="19"/>
      <c r="AG8" s="19"/>
      <c r="AH8" s="19"/>
      <c r="AI8" s="19"/>
      <c r="AJ8" s="19"/>
      <c r="AK8" s="23"/>
      <c r="AL8" s="24"/>
      <c r="AM8" s="54"/>
      <c r="AN8" s="13">
        <v>0</v>
      </c>
      <c r="AO8" s="13">
        <v>0</v>
      </c>
    </row>
    <row r="9" spans="1:41" s="15" customFormat="1">
      <c r="A9" s="166" t="s">
        <v>62</v>
      </c>
      <c r="B9" s="3" t="s">
        <v>57</v>
      </c>
      <c r="C9" s="26"/>
      <c r="D9" s="26"/>
      <c r="E9" s="27"/>
      <c r="F9" s="27">
        <v>821120</v>
      </c>
      <c r="G9" s="27">
        <v>-1019423</v>
      </c>
      <c r="H9" s="27">
        <v>251303</v>
      </c>
      <c r="I9" s="26">
        <v>106760</v>
      </c>
      <c r="J9" s="27">
        <v>286088</v>
      </c>
      <c r="K9" s="27">
        <v>26484</v>
      </c>
      <c r="L9" s="27">
        <v>136259</v>
      </c>
      <c r="M9" s="27">
        <v>250304</v>
      </c>
      <c r="N9" s="26">
        <v>699135</v>
      </c>
      <c r="O9" s="27">
        <v>331473</v>
      </c>
      <c r="P9" s="27">
        <v>19028</v>
      </c>
      <c r="Q9" s="27">
        <v>438832</v>
      </c>
      <c r="R9" s="27">
        <v>158690</v>
      </c>
      <c r="S9" s="27">
        <v>3600</v>
      </c>
      <c r="T9" s="26">
        <v>951623</v>
      </c>
      <c r="U9" s="28">
        <v>2664437</v>
      </c>
      <c r="V9" s="27">
        <v>22641</v>
      </c>
      <c r="W9" s="27">
        <v>2880</v>
      </c>
      <c r="X9" s="27">
        <v>3240</v>
      </c>
      <c r="Y9" s="27">
        <v>68120</v>
      </c>
      <c r="Z9" s="26">
        <v>96881</v>
      </c>
      <c r="AA9" s="27">
        <v>4160</v>
      </c>
      <c r="AB9" s="27">
        <v>2320</v>
      </c>
      <c r="AC9" s="27">
        <v>25340</v>
      </c>
      <c r="AD9" s="27">
        <v>0</v>
      </c>
      <c r="AE9" s="26">
        <v>31820</v>
      </c>
      <c r="AF9" s="27">
        <v>0</v>
      </c>
      <c r="AG9" s="27">
        <v>0</v>
      </c>
      <c r="AH9" s="27">
        <v>0</v>
      </c>
      <c r="AI9" s="27">
        <v>0</v>
      </c>
      <c r="AJ9" s="27">
        <v>0</v>
      </c>
      <c r="AK9" s="26">
        <v>0</v>
      </c>
      <c r="AL9" s="28">
        <v>128701</v>
      </c>
      <c r="AM9" s="54">
        <v>8</v>
      </c>
      <c r="AN9" s="13">
        <f>U9*AM9</f>
        <v>21315496</v>
      </c>
      <c r="AO9" s="13">
        <f>AM9*AL9</f>
        <v>1029608</v>
      </c>
    </row>
    <row r="10" spans="1:41" s="15" customFormat="1">
      <c r="A10" s="167"/>
      <c r="B10" s="12" t="s">
        <v>58</v>
      </c>
      <c r="C10" s="26"/>
      <c r="D10" s="26"/>
      <c r="E10" s="27"/>
      <c r="F10" s="27">
        <v>821120</v>
      </c>
      <c r="G10" s="27">
        <v>72200</v>
      </c>
      <c r="H10" s="27">
        <v>0</v>
      </c>
      <c r="I10" s="26">
        <v>947080</v>
      </c>
      <c r="J10" s="27">
        <v>0</v>
      </c>
      <c r="K10" s="27">
        <v>0</v>
      </c>
      <c r="L10" s="27">
        <v>200000</v>
      </c>
      <c r="M10" s="27">
        <v>200000</v>
      </c>
      <c r="N10" s="26">
        <v>400000</v>
      </c>
      <c r="O10" s="27">
        <v>0</v>
      </c>
      <c r="P10" s="27">
        <v>0</v>
      </c>
      <c r="Q10" s="27">
        <v>499800</v>
      </c>
      <c r="R10" s="27">
        <v>0</v>
      </c>
      <c r="S10" s="27">
        <v>0</v>
      </c>
      <c r="T10" s="26">
        <v>499800</v>
      </c>
      <c r="U10" s="28">
        <v>0</v>
      </c>
      <c r="V10" s="27">
        <v>0</v>
      </c>
      <c r="W10" s="27">
        <v>0</v>
      </c>
      <c r="X10" s="27">
        <v>0</v>
      </c>
      <c r="Y10" s="27">
        <v>0</v>
      </c>
      <c r="Z10" s="26">
        <v>0</v>
      </c>
      <c r="AA10" s="27">
        <v>0</v>
      </c>
      <c r="AB10" s="27">
        <v>0</v>
      </c>
      <c r="AC10" s="27">
        <v>0</v>
      </c>
      <c r="AD10" s="27">
        <v>0</v>
      </c>
      <c r="AE10" s="26">
        <v>0</v>
      </c>
      <c r="AF10" s="27">
        <v>0</v>
      </c>
      <c r="AG10" s="27">
        <v>0</v>
      </c>
      <c r="AH10" s="27">
        <v>0</v>
      </c>
      <c r="AI10" s="27">
        <v>0</v>
      </c>
      <c r="AJ10" s="27">
        <v>0</v>
      </c>
      <c r="AK10" s="26">
        <v>0</v>
      </c>
      <c r="AL10" s="28">
        <v>0</v>
      </c>
      <c r="AM10" s="54"/>
      <c r="AN10" s="13">
        <v>0</v>
      </c>
      <c r="AO10" s="13">
        <v>0</v>
      </c>
    </row>
    <row r="11" spans="1:41" s="15" customFormat="1">
      <c r="A11" s="167"/>
      <c r="B11" s="12" t="s">
        <v>59</v>
      </c>
      <c r="C11" s="26">
        <v>416880</v>
      </c>
      <c r="D11" s="26">
        <v>416880</v>
      </c>
      <c r="E11" s="27"/>
      <c r="F11" s="27">
        <v>0</v>
      </c>
      <c r="G11" s="27">
        <v>416880</v>
      </c>
      <c r="H11" s="27">
        <v>0</v>
      </c>
      <c r="I11" s="26">
        <v>0</v>
      </c>
      <c r="J11" s="27">
        <v>0</v>
      </c>
      <c r="K11" s="27">
        <v>0</v>
      </c>
      <c r="L11" s="27">
        <v>0</v>
      </c>
      <c r="M11" s="27">
        <v>0</v>
      </c>
      <c r="N11" s="26">
        <v>0</v>
      </c>
      <c r="O11" s="27">
        <v>0</v>
      </c>
      <c r="P11" s="27">
        <v>0</v>
      </c>
      <c r="Q11" s="27">
        <v>0</v>
      </c>
      <c r="R11" s="27">
        <v>0</v>
      </c>
      <c r="S11" s="27">
        <v>0</v>
      </c>
      <c r="T11" s="26">
        <v>0</v>
      </c>
      <c r="U11" s="28">
        <v>0</v>
      </c>
      <c r="V11" s="27">
        <v>0</v>
      </c>
      <c r="W11" s="27">
        <v>0</v>
      </c>
      <c r="X11" s="27">
        <v>0</v>
      </c>
      <c r="Y11" s="27">
        <v>0</v>
      </c>
      <c r="Z11" s="26">
        <v>0</v>
      </c>
      <c r="AA11" s="27">
        <v>0</v>
      </c>
      <c r="AB11" s="27">
        <v>0</v>
      </c>
      <c r="AC11" s="27">
        <v>0</v>
      </c>
      <c r="AD11" s="27">
        <v>0</v>
      </c>
      <c r="AE11" s="26">
        <v>0</v>
      </c>
      <c r="AF11" s="27">
        <v>0</v>
      </c>
      <c r="AG11" s="27">
        <v>0</v>
      </c>
      <c r="AH11" s="27">
        <v>0</v>
      </c>
      <c r="AI11" s="27">
        <v>0</v>
      </c>
      <c r="AJ11" s="27">
        <v>0</v>
      </c>
      <c r="AK11" s="26">
        <v>0</v>
      </c>
      <c r="AL11" s="28">
        <v>0</v>
      </c>
      <c r="AM11" s="54"/>
      <c r="AN11" s="13">
        <v>0</v>
      </c>
      <c r="AO11" s="13">
        <v>0</v>
      </c>
    </row>
    <row r="12" spans="1:41" s="15" customFormat="1">
      <c r="A12" s="167"/>
      <c r="B12" s="12" t="s">
        <v>7</v>
      </c>
      <c r="C12" s="26"/>
      <c r="D12" s="26"/>
      <c r="E12" s="32"/>
      <c r="F12" s="27">
        <v>821120</v>
      </c>
      <c r="G12" s="27">
        <v>489080</v>
      </c>
      <c r="H12" s="27">
        <v>0</v>
      </c>
      <c r="I12" s="26">
        <v>1363960</v>
      </c>
      <c r="J12" s="32">
        <v>0</v>
      </c>
      <c r="K12" s="27">
        <v>0</v>
      </c>
      <c r="L12" s="27">
        <v>200000</v>
      </c>
      <c r="M12" s="27">
        <v>200000</v>
      </c>
      <c r="N12" s="26">
        <v>400000</v>
      </c>
      <c r="O12" s="32">
        <v>0</v>
      </c>
      <c r="P12" s="27">
        <v>0</v>
      </c>
      <c r="Q12" s="27">
        <v>499800</v>
      </c>
      <c r="R12" s="27">
        <v>0</v>
      </c>
      <c r="S12" s="27">
        <v>0</v>
      </c>
      <c r="T12" s="26">
        <v>499800</v>
      </c>
      <c r="U12" s="28">
        <v>3170679</v>
      </c>
      <c r="V12" s="32">
        <v>0</v>
      </c>
      <c r="W12" s="27">
        <v>0</v>
      </c>
      <c r="X12" s="27">
        <v>0</v>
      </c>
      <c r="Y12" s="27">
        <v>0</v>
      </c>
      <c r="Z12" s="26">
        <v>0</v>
      </c>
      <c r="AA12" s="32">
        <v>0</v>
      </c>
      <c r="AB12" s="27">
        <v>0</v>
      </c>
      <c r="AC12" s="27">
        <v>0</v>
      </c>
      <c r="AD12" s="27">
        <v>0</v>
      </c>
      <c r="AE12" s="26">
        <v>0</v>
      </c>
      <c r="AF12" s="32">
        <v>0</v>
      </c>
      <c r="AG12" s="27">
        <v>0</v>
      </c>
      <c r="AH12" s="27">
        <v>0</v>
      </c>
      <c r="AI12" s="27">
        <v>0</v>
      </c>
      <c r="AJ12" s="27">
        <v>0</v>
      </c>
      <c r="AK12" s="26">
        <v>0</v>
      </c>
      <c r="AL12" s="28">
        <v>506242</v>
      </c>
      <c r="AM12" s="54"/>
      <c r="AN12" s="13">
        <v>0</v>
      </c>
      <c r="AO12" s="13">
        <v>0</v>
      </c>
    </row>
    <row r="13" spans="1:41" s="15" customFormat="1" ht="17" thickBot="1">
      <c r="A13" s="168"/>
      <c r="B13" s="4" t="s">
        <v>60</v>
      </c>
      <c r="C13" s="26">
        <v>1932636</v>
      </c>
      <c r="D13" s="37">
        <v>906919</v>
      </c>
      <c r="E13" s="21"/>
      <c r="F13" s="21">
        <v>0</v>
      </c>
      <c r="G13" s="21">
        <v>1508503</v>
      </c>
      <c r="H13" s="21">
        <v>1257200</v>
      </c>
      <c r="I13" s="20">
        <v>1257200</v>
      </c>
      <c r="J13" s="21">
        <v>971112</v>
      </c>
      <c r="K13" s="21">
        <v>944628</v>
      </c>
      <c r="L13" s="21">
        <v>1008369</v>
      </c>
      <c r="M13" s="21">
        <v>958065</v>
      </c>
      <c r="N13" s="20">
        <v>958065</v>
      </c>
      <c r="O13" s="21">
        <v>626592</v>
      </c>
      <c r="P13" s="21">
        <v>607564</v>
      </c>
      <c r="Q13" s="21">
        <v>668532</v>
      </c>
      <c r="R13" s="21">
        <v>509842</v>
      </c>
      <c r="S13" s="21">
        <v>506242</v>
      </c>
      <c r="T13" s="20">
        <v>506242</v>
      </c>
      <c r="U13" s="22">
        <v>506242</v>
      </c>
      <c r="V13" s="21">
        <v>483601</v>
      </c>
      <c r="W13" s="21">
        <v>480721</v>
      </c>
      <c r="X13" s="21">
        <v>477481</v>
      </c>
      <c r="Y13" s="21">
        <v>409361</v>
      </c>
      <c r="Z13" s="20">
        <v>409361</v>
      </c>
      <c r="AA13" s="21">
        <v>405201</v>
      </c>
      <c r="AB13" s="21">
        <v>402881</v>
      </c>
      <c r="AC13" s="21">
        <v>377541</v>
      </c>
      <c r="AD13" s="21">
        <v>377541</v>
      </c>
      <c r="AE13" s="20">
        <v>377541</v>
      </c>
      <c r="AF13" s="21">
        <v>377541</v>
      </c>
      <c r="AG13" s="21">
        <v>377541</v>
      </c>
      <c r="AH13" s="21">
        <v>377541</v>
      </c>
      <c r="AI13" s="21">
        <v>377541</v>
      </c>
      <c r="AJ13" s="21">
        <v>377541</v>
      </c>
      <c r="AK13" s="20">
        <v>377541</v>
      </c>
      <c r="AL13" s="22">
        <v>377541</v>
      </c>
      <c r="AM13" s="54"/>
      <c r="AN13" s="13">
        <v>0</v>
      </c>
      <c r="AO13" s="13">
        <v>0</v>
      </c>
    </row>
    <row r="14" spans="1:41" s="15" customFormat="1" ht="17" thickBot="1">
      <c r="A14" s="46"/>
      <c r="B14" s="12" t="s">
        <v>61</v>
      </c>
      <c r="C14" s="26"/>
      <c r="D14" s="26"/>
      <c r="E14" s="19">
        <v>0</v>
      </c>
      <c r="F14" s="19"/>
      <c r="G14" s="19"/>
      <c r="H14" s="19"/>
      <c r="I14" s="23"/>
      <c r="J14" s="19"/>
      <c r="K14" s="19"/>
      <c r="L14" s="19"/>
      <c r="M14" s="19"/>
      <c r="N14" s="23"/>
      <c r="O14" s="19"/>
      <c r="P14" s="19"/>
      <c r="Q14" s="19"/>
      <c r="R14" s="19"/>
      <c r="S14" s="19"/>
      <c r="T14" s="23"/>
      <c r="U14" s="24"/>
      <c r="V14" s="19"/>
      <c r="W14" s="19"/>
      <c r="X14" s="19"/>
      <c r="Y14" s="19"/>
      <c r="Z14" s="23"/>
      <c r="AA14" s="19"/>
      <c r="AB14" s="19"/>
      <c r="AC14" s="19"/>
      <c r="AD14" s="19"/>
      <c r="AE14" s="23"/>
      <c r="AF14" s="19"/>
      <c r="AG14" s="19"/>
      <c r="AH14" s="19"/>
      <c r="AI14" s="19"/>
      <c r="AJ14" s="19"/>
      <c r="AK14" s="23"/>
      <c r="AL14" s="24"/>
      <c r="AM14" s="54"/>
      <c r="AN14" s="13">
        <v>0</v>
      </c>
      <c r="AO14" s="13">
        <v>0</v>
      </c>
    </row>
    <row r="15" spans="1:41" s="15" customFormat="1">
      <c r="A15" s="166" t="s">
        <v>63</v>
      </c>
      <c r="B15" s="3" t="s">
        <v>57</v>
      </c>
      <c r="C15" s="26"/>
      <c r="D15" s="26"/>
      <c r="E15" s="27"/>
      <c r="F15" s="27">
        <v>0</v>
      </c>
      <c r="G15" s="27">
        <v>0</v>
      </c>
      <c r="H15" s="27">
        <v>0</v>
      </c>
      <c r="I15" s="26">
        <v>0</v>
      </c>
      <c r="J15" s="27">
        <v>0</v>
      </c>
      <c r="K15" s="27">
        <v>0</v>
      </c>
      <c r="L15" s="27">
        <v>0</v>
      </c>
      <c r="M15" s="27">
        <v>0</v>
      </c>
      <c r="N15" s="26">
        <v>0</v>
      </c>
      <c r="O15" s="27">
        <v>0</v>
      </c>
      <c r="P15" s="27">
        <v>0</v>
      </c>
      <c r="Q15" s="27">
        <v>0</v>
      </c>
      <c r="R15" s="27">
        <v>0</v>
      </c>
      <c r="S15" s="27">
        <v>0</v>
      </c>
      <c r="T15" s="26">
        <v>0</v>
      </c>
      <c r="U15" s="28">
        <v>0</v>
      </c>
      <c r="V15" s="27">
        <v>0</v>
      </c>
      <c r="W15" s="27">
        <v>0</v>
      </c>
      <c r="X15" s="27">
        <v>0</v>
      </c>
      <c r="Y15" s="27">
        <v>0</v>
      </c>
      <c r="Z15" s="26">
        <v>0</v>
      </c>
      <c r="AA15" s="27">
        <v>0</v>
      </c>
      <c r="AB15" s="27">
        <v>0</v>
      </c>
      <c r="AC15" s="27">
        <v>0</v>
      </c>
      <c r="AD15" s="27">
        <v>0</v>
      </c>
      <c r="AE15" s="26">
        <v>0</v>
      </c>
      <c r="AF15" s="27">
        <v>0</v>
      </c>
      <c r="AG15" s="27">
        <v>0</v>
      </c>
      <c r="AH15" s="27">
        <v>0</v>
      </c>
      <c r="AI15" s="27">
        <v>0</v>
      </c>
      <c r="AJ15" s="27">
        <v>0</v>
      </c>
      <c r="AK15" s="26">
        <v>0</v>
      </c>
      <c r="AL15" s="28">
        <v>0</v>
      </c>
      <c r="AM15" s="54">
        <v>8</v>
      </c>
      <c r="AN15" s="13">
        <f>U15*AM15</f>
        <v>0</v>
      </c>
      <c r="AO15" s="13">
        <f>AM15*AL15</f>
        <v>0</v>
      </c>
    </row>
    <row r="16" spans="1:41" s="15" customFormat="1">
      <c r="A16" s="167"/>
      <c r="B16" s="12" t="s">
        <v>58</v>
      </c>
      <c r="C16" s="26"/>
      <c r="D16" s="26"/>
      <c r="E16" s="27"/>
      <c r="F16" s="27">
        <v>0</v>
      </c>
      <c r="G16" s="27">
        <v>0</v>
      </c>
      <c r="H16" s="27">
        <v>0</v>
      </c>
      <c r="I16" s="26">
        <v>0</v>
      </c>
      <c r="J16" s="27">
        <v>0</v>
      </c>
      <c r="K16" s="27">
        <v>0</v>
      </c>
      <c r="L16" s="27">
        <v>0</v>
      </c>
      <c r="M16" s="27">
        <v>0</v>
      </c>
      <c r="N16" s="26">
        <v>0</v>
      </c>
      <c r="O16" s="27">
        <v>0</v>
      </c>
      <c r="P16" s="27">
        <v>0</v>
      </c>
      <c r="Q16" s="27">
        <v>0</v>
      </c>
      <c r="R16" s="27">
        <v>0</v>
      </c>
      <c r="S16" s="27">
        <v>0</v>
      </c>
      <c r="T16" s="26">
        <v>0</v>
      </c>
      <c r="U16" s="28">
        <v>0</v>
      </c>
      <c r="V16" s="27">
        <v>0</v>
      </c>
      <c r="W16" s="27">
        <v>0</v>
      </c>
      <c r="X16" s="27">
        <v>0</v>
      </c>
      <c r="Y16" s="27">
        <v>0</v>
      </c>
      <c r="Z16" s="26">
        <v>0</v>
      </c>
      <c r="AA16" s="27">
        <v>0</v>
      </c>
      <c r="AB16" s="27">
        <v>0</v>
      </c>
      <c r="AC16" s="27">
        <v>0</v>
      </c>
      <c r="AD16" s="27">
        <v>0</v>
      </c>
      <c r="AE16" s="26">
        <v>0</v>
      </c>
      <c r="AF16" s="27">
        <v>0</v>
      </c>
      <c r="AG16" s="27">
        <v>0</v>
      </c>
      <c r="AH16" s="27">
        <v>0</v>
      </c>
      <c r="AI16" s="27">
        <v>0</v>
      </c>
      <c r="AJ16" s="27">
        <v>0</v>
      </c>
      <c r="AK16" s="26">
        <v>0</v>
      </c>
      <c r="AL16" s="28">
        <v>0</v>
      </c>
      <c r="AM16" s="54"/>
      <c r="AN16" s="13">
        <v>0</v>
      </c>
      <c r="AO16" s="13">
        <v>0</v>
      </c>
    </row>
    <row r="17" spans="1:41" s="15" customFormat="1">
      <c r="A17" s="167"/>
      <c r="B17" s="12" t="s">
        <v>59</v>
      </c>
      <c r="C17" s="26">
        <v>0</v>
      </c>
      <c r="D17" s="26">
        <v>0</v>
      </c>
      <c r="E17" s="27"/>
      <c r="F17" s="27">
        <v>0</v>
      </c>
      <c r="G17" s="27">
        <v>0</v>
      </c>
      <c r="H17" s="27">
        <v>0</v>
      </c>
      <c r="I17" s="26">
        <v>0</v>
      </c>
      <c r="J17" s="27">
        <v>0</v>
      </c>
      <c r="K17" s="27">
        <v>0</v>
      </c>
      <c r="L17" s="27">
        <v>0</v>
      </c>
      <c r="M17" s="27">
        <v>0</v>
      </c>
      <c r="N17" s="26">
        <v>0</v>
      </c>
      <c r="O17" s="27">
        <v>0</v>
      </c>
      <c r="P17" s="27">
        <v>0</v>
      </c>
      <c r="Q17" s="27">
        <v>0</v>
      </c>
      <c r="R17" s="27">
        <v>0</v>
      </c>
      <c r="S17" s="27">
        <v>0</v>
      </c>
      <c r="T17" s="26">
        <v>0</v>
      </c>
      <c r="U17" s="28">
        <v>0</v>
      </c>
      <c r="V17" s="27">
        <v>0</v>
      </c>
      <c r="W17" s="27">
        <v>0</v>
      </c>
      <c r="X17" s="27">
        <v>0</v>
      </c>
      <c r="Y17" s="27">
        <v>0</v>
      </c>
      <c r="Z17" s="26">
        <v>0</v>
      </c>
      <c r="AA17" s="27">
        <v>0</v>
      </c>
      <c r="AB17" s="27">
        <v>0</v>
      </c>
      <c r="AC17" s="27">
        <v>0</v>
      </c>
      <c r="AD17" s="27">
        <v>0</v>
      </c>
      <c r="AE17" s="26">
        <v>0</v>
      </c>
      <c r="AF17" s="27">
        <v>0</v>
      </c>
      <c r="AG17" s="27">
        <v>0</v>
      </c>
      <c r="AH17" s="27">
        <v>0</v>
      </c>
      <c r="AI17" s="27">
        <v>0</v>
      </c>
      <c r="AJ17" s="27">
        <v>0</v>
      </c>
      <c r="AK17" s="26">
        <v>0</v>
      </c>
      <c r="AL17" s="28">
        <v>0</v>
      </c>
      <c r="AM17" s="54"/>
      <c r="AN17" s="13">
        <v>0</v>
      </c>
      <c r="AO17" s="13">
        <v>0</v>
      </c>
    </row>
    <row r="18" spans="1:41" s="15" customFormat="1">
      <c r="A18" s="167"/>
      <c r="B18" s="12" t="s">
        <v>7</v>
      </c>
      <c r="C18" s="26"/>
      <c r="D18" s="26"/>
      <c r="E18" s="32"/>
      <c r="F18" s="27">
        <v>0</v>
      </c>
      <c r="G18" s="27">
        <v>0</v>
      </c>
      <c r="H18" s="27">
        <v>0</v>
      </c>
      <c r="I18" s="26">
        <v>0</v>
      </c>
      <c r="J18" s="32">
        <v>0</v>
      </c>
      <c r="K18" s="27">
        <v>0</v>
      </c>
      <c r="L18" s="27">
        <v>0</v>
      </c>
      <c r="M18" s="27">
        <v>0</v>
      </c>
      <c r="N18" s="26">
        <v>0</v>
      </c>
      <c r="O18" s="32">
        <v>0</v>
      </c>
      <c r="P18" s="27">
        <v>0</v>
      </c>
      <c r="Q18" s="27">
        <v>0</v>
      </c>
      <c r="R18" s="27">
        <v>0</v>
      </c>
      <c r="S18" s="27">
        <v>0</v>
      </c>
      <c r="T18" s="26">
        <v>0</v>
      </c>
      <c r="U18" s="28">
        <v>0</v>
      </c>
      <c r="V18" s="32">
        <v>0</v>
      </c>
      <c r="W18" s="27">
        <v>0</v>
      </c>
      <c r="X18" s="27">
        <v>0</v>
      </c>
      <c r="Y18" s="27">
        <v>0</v>
      </c>
      <c r="Z18" s="26">
        <v>0</v>
      </c>
      <c r="AA18" s="32">
        <v>0</v>
      </c>
      <c r="AB18" s="27">
        <v>0</v>
      </c>
      <c r="AC18" s="27">
        <v>0</v>
      </c>
      <c r="AD18" s="27">
        <v>0</v>
      </c>
      <c r="AE18" s="26">
        <v>0</v>
      </c>
      <c r="AF18" s="32">
        <v>0</v>
      </c>
      <c r="AG18" s="27">
        <v>0</v>
      </c>
      <c r="AH18" s="27">
        <v>0</v>
      </c>
      <c r="AI18" s="27">
        <v>0</v>
      </c>
      <c r="AJ18" s="27">
        <v>0</v>
      </c>
      <c r="AK18" s="26">
        <v>0</v>
      </c>
      <c r="AL18" s="28">
        <v>0</v>
      </c>
      <c r="AM18" s="54"/>
      <c r="AN18" s="13">
        <v>0</v>
      </c>
      <c r="AO18" s="13">
        <v>0</v>
      </c>
    </row>
    <row r="19" spans="1:41" s="15" customFormat="1" ht="17" thickBot="1">
      <c r="A19" s="168"/>
      <c r="B19" s="4" t="s">
        <v>60</v>
      </c>
      <c r="C19" s="26">
        <v>0</v>
      </c>
      <c r="D19" s="37">
        <v>0</v>
      </c>
      <c r="E19" s="21"/>
      <c r="F19" s="21">
        <v>0</v>
      </c>
      <c r="G19" s="21">
        <v>0</v>
      </c>
      <c r="H19" s="21">
        <v>0</v>
      </c>
      <c r="I19" s="20">
        <v>0</v>
      </c>
      <c r="J19" s="21">
        <v>0</v>
      </c>
      <c r="K19" s="21">
        <v>0</v>
      </c>
      <c r="L19" s="21">
        <v>0</v>
      </c>
      <c r="M19" s="21">
        <v>0</v>
      </c>
      <c r="N19" s="20">
        <v>0</v>
      </c>
      <c r="O19" s="21">
        <v>0</v>
      </c>
      <c r="P19" s="21">
        <v>0</v>
      </c>
      <c r="Q19" s="21">
        <v>0</v>
      </c>
      <c r="R19" s="21">
        <v>0</v>
      </c>
      <c r="S19" s="21">
        <v>0</v>
      </c>
      <c r="T19" s="20">
        <v>0</v>
      </c>
      <c r="U19" s="22">
        <v>0</v>
      </c>
      <c r="V19" s="21">
        <v>0</v>
      </c>
      <c r="W19" s="21">
        <v>0</v>
      </c>
      <c r="X19" s="21">
        <v>0</v>
      </c>
      <c r="Y19" s="21">
        <v>0</v>
      </c>
      <c r="Z19" s="20">
        <v>0</v>
      </c>
      <c r="AA19" s="21">
        <v>0</v>
      </c>
      <c r="AB19" s="21">
        <v>0</v>
      </c>
      <c r="AC19" s="21">
        <v>0</v>
      </c>
      <c r="AD19" s="21">
        <v>0</v>
      </c>
      <c r="AE19" s="20">
        <v>0</v>
      </c>
      <c r="AF19" s="21">
        <v>0</v>
      </c>
      <c r="AG19" s="21">
        <v>0</v>
      </c>
      <c r="AH19" s="21">
        <v>0</v>
      </c>
      <c r="AI19" s="21">
        <v>0</v>
      </c>
      <c r="AJ19" s="21">
        <v>0</v>
      </c>
      <c r="AK19" s="20">
        <v>0</v>
      </c>
      <c r="AL19" s="22">
        <v>0</v>
      </c>
      <c r="AM19" s="54"/>
      <c r="AN19" s="13">
        <v>0</v>
      </c>
      <c r="AO19" s="13">
        <v>0</v>
      </c>
    </row>
    <row r="20" spans="1:41" s="15" customFormat="1" ht="17" thickBot="1">
      <c r="A20" s="46"/>
      <c r="B20" s="12" t="s">
        <v>61</v>
      </c>
      <c r="C20" s="26"/>
      <c r="D20" s="26"/>
      <c r="E20" s="19"/>
      <c r="F20" s="19"/>
      <c r="G20" s="19"/>
      <c r="H20" s="19"/>
      <c r="I20" s="23"/>
      <c r="J20" s="19"/>
      <c r="K20" s="19"/>
      <c r="L20" s="19"/>
      <c r="M20" s="19"/>
      <c r="N20" s="23"/>
      <c r="O20" s="19"/>
      <c r="P20" s="19"/>
      <c r="Q20" s="19"/>
      <c r="R20" s="19"/>
      <c r="S20" s="19"/>
      <c r="T20" s="23"/>
      <c r="U20" s="24"/>
      <c r="V20" s="19"/>
      <c r="W20" s="19"/>
      <c r="X20" s="19"/>
      <c r="Y20" s="19"/>
      <c r="Z20" s="23"/>
      <c r="AA20" s="19"/>
      <c r="AB20" s="19"/>
      <c r="AC20" s="19"/>
      <c r="AD20" s="19"/>
      <c r="AE20" s="23"/>
      <c r="AF20" s="19"/>
      <c r="AG20" s="19"/>
      <c r="AH20" s="19"/>
      <c r="AI20" s="19"/>
      <c r="AJ20" s="19"/>
      <c r="AK20" s="23"/>
      <c r="AL20" s="24"/>
      <c r="AM20" s="54"/>
      <c r="AN20" s="13">
        <v>0</v>
      </c>
      <c r="AO20" s="13">
        <v>0</v>
      </c>
    </row>
    <row r="21" spans="1:41" s="11" customFormat="1">
      <c r="A21" s="187" t="s">
        <v>64</v>
      </c>
      <c r="B21" s="1" t="s">
        <v>57</v>
      </c>
      <c r="C21" s="20"/>
      <c r="D21" s="20"/>
      <c r="E21" s="27"/>
      <c r="F21" s="27">
        <v>1757158</v>
      </c>
      <c r="G21" s="27">
        <v>-1503975</v>
      </c>
      <c r="H21" s="27">
        <v>976397</v>
      </c>
      <c r="I21" s="26">
        <v>1249580</v>
      </c>
      <c r="J21" s="27">
        <v>1079683</v>
      </c>
      <c r="K21" s="27">
        <v>410642</v>
      </c>
      <c r="L21" s="27">
        <v>400608</v>
      </c>
      <c r="M21" s="27">
        <v>738616</v>
      </c>
      <c r="N21" s="26">
        <v>2629549</v>
      </c>
      <c r="O21" s="27">
        <v>398638</v>
      </c>
      <c r="P21" s="27">
        <v>164150</v>
      </c>
      <c r="Q21" s="27">
        <v>891718</v>
      </c>
      <c r="R21" s="27">
        <v>420008</v>
      </c>
      <c r="S21" s="27">
        <v>73908</v>
      </c>
      <c r="T21" s="26">
        <v>1948422</v>
      </c>
      <c r="U21" s="28">
        <v>7450764</v>
      </c>
      <c r="V21" s="27">
        <v>30575</v>
      </c>
      <c r="W21" s="27">
        <v>0</v>
      </c>
      <c r="X21" s="27">
        <v>0</v>
      </c>
      <c r="Y21" s="27">
        <v>39199</v>
      </c>
      <c r="Z21" s="26">
        <v>69774</v>
      </c>
      <c r="AA21" s="27">
        <v>5999</v>
      </c>
      <c r="AB21" s="27">
        <v>0</v>
      </c>
      <c r="AC21" s="27">
        <v>10000</v>
      </c>
      <c r="AD21" s="27">
        <v>0</v>
      </c>
      <c r="AE21" s="26">
        <v>15999</v>
      </c>
      <c r="AF21" s="27">
        <v>0</v>
      </c>
      <c r="AG21" s="27">
        <v>0</v>
      </c>
      <c r="AH21" s="27">
        <v>0</v>
      </c>
      <c r="AI21" s="27">
        <v>0</v>
      </c>
      <c r="AJ21" s="27">
        <v>0</v>
      </c>
      <c r="AK21" s="26">
        <v>0</v>
      </c>
      <c r="AL21" s="28">
        <v>85773</v>
      </c>
      <c r="AM21" s="55">
        <v>16</v>
      </c>
      <c r="AN21" s="13">
        <f>U21*AM21</f>
        <v>119212224</v>
      </c>
      <c r="AO21" s="13">
        <f>AM21*AL21</f>
        <v>1372368</v>
      </c>
    </row>
    <row r="22" spans="1:41" s="11" customFormat="1">
      <c r="A22" s="188"/>
      <c r="B22" s="6" t="s">
        <v>58</v>
      </c>
      <c r="C22" s="26"/>
      <c r="D22" s="20"/>
      <c r="E22" s="27"/>
      <c r="F22" s="27">
        <v>1757158</v>
      </c>
      <c r="G22" s="27">
        <v>356574</v>
      </c>
      <c r="H22" s="27">
        <v>0</v>
      </c>
      <c r="I22" s="26">
        <v>2133732</v>
      </c>
      <c r="J22" s="27">
        <v>0</v>
      </c>
      <c r="K22" s="27">
        <v>0</v>
      </c>
      <c r="L22" s="27">
        <v>500000</v>
      </c>
      <c r="M22" s="27">
        <v>790000</v>
      </c>
      <c r="N22" s="26">
        <v>1290000</v>
      </c>
      <c r="O22" s="27">
        <v>560000</v>
      </c>
      <c r="P22" s="27">
        <v>0</v>
      </c>
      <c r="Q22" s="27">
        <v>500000</v>
      </c>
      <c r="R22" s="27">
        <v>400000</v>
      </c>
      <c r="S22" s="27">
        <v>0</v>
      </c>
      <c r="T22" s="26">
        <v>1460000</v>
      </c>
      <c r="U22" s="28">
        <v>0</v>
      </c>
      <c r="V22" s="27">
        <v>0</v>
      </c>
      <c r="W22" s="27">
        <v>0</v>
      </c>
      <c r="X22" s="27">
        <v>0</v>
      </c>
      <c r="Y22" s="27">
        <v>0</v>
      </c>
      <c r="Z22" s="26">
        <v>0</v>
      </c>
      <c r="AA22" s="27">
        <v>0</v>
      </c>
      <c r="AB22" s="27">
        <v>0</v>
      </c>
      <c r="AC22" s="27">
        <v>0</v>
      </c>
      <c r="AD22" s="27">
        <v>0</v>
      </c>
      <c r="AE22" s="26">
        <v>0</v>
      </c>
      <c r="AF22" s="27">
        <v>0</v>
      </c>
      <c r="AG22" s="27">
        <v>0</v>
      </c>
      <c r="AH22" s="27">
        <v>0</v>
      </c>
      <c r="AI22" s="27">
        <v>0</v>
      </c>
      <c r="AJ22" s="27">
        <v>0</v>
      </c>
      <c r="AK22" s="26">
        <v>0</v>
      </c>
      <c r="AL22" s="28">
        <v>0</v>
      </c>
      <c r="AM22" s="55"/>
      <c r="AN22" s="13">
        <v>0</v>
      </c>
      <c r="AO22" s="13">
        <v>0</v>
      </c>
    </row>
    <row r="23" spans="1:41" s="11" customFormat="1">
      <c r="A23" s="188"/>
      <c r="B23" s="6" t="s">
        <v>59</v>
      </c>
      <c r="C23" s="26">
        <v>1532853</v>
      </c>
      <c r="D23" s="20">
        <v>1532853</v>
      </c>
      <c r="E23" s="27"/>
      <c r="F23" s="27">
        <v>0</v>
      </c>
      <c r="G23" s="27">
        <v>1532853</v>
      </c>
      <c r="H23" s="27">
        <v>0</v>
      </c>
      <c r="I23" s="26">
        <v>0</v>
      </c>
      <c r="J23" s="27">
        <v>0</v>
      </c>
      <c r="K23" s="27">
        <v>0</v>
      </c>
      <c r="L23" s="27">
        <v>0</v>
      </c>
      <c r="M23" s="27">
        <v>0</v>
      </c>
      <c r="N23" s="26">
        <v>257600</v>
      </c>
      <c r="O23" s="27">
        <v>0</v>
      </c>
      <c r="P23" s="27">
        <v>0</v>
      </c>
      <c r="Q23" s="27">
        <v>0</v>
      </c>
      <c r="R23" s="27">
        <v>0</v>
      </c>
      <c r="S23" s="27">
        <v>0</v>
      </c>
      <c r="T23" s="26">
        <v>0</v>
      </c>
      <c r="U23" s="28">
        <v>257600</v>
      </c>
      <c r="V23" s="27">
        <v>0</v>
      </c>
      <c r="W23" s="27">
        <v>0</v>
      </c>
      <c r="X23" s="27">
        <v>0</v>
      </c>
      <c r="Y23" s="27">
        <v>0</v>
      </c>
      <c r="Z23" s="26">
        <v>0</v>
      </c>
      <c r="AA23" s="27">
        <v>0</v>
      </c>
      <c r="AB23" s="27">
        <v>0</v>
      </c>
      <c r="AC23" s="27">
        <v>0</v>
      </c>
      <c r="AD23" s="27">
        <v>0</v>
      </c>
      <c r="AE23" s="26">
        <v>0</v>
      </c>
      <c r="AF23" s="27">
        <v>0</v>
      </c>
      <c r="AG23" s="27">
        <v>0</v>
      </c>
      <c r="AH23" s="27">
        <v>0</v>
      </c>
      <c r="AI23" s="27">
        <v>0</v>
      </c>
      <c r="AJ23" s="27">
        <v>0</v>
      </c>
      <c r="AK23" s="26">
        <v>0</v>
      </c>
      <c r="AL23" s="28">
        <v>0</v>
      </c>
      <c r="AM23" s="55"/>
      <c r="AN23" s="13">
        <v>0</v>
      </c>
      <c r="AO23" s="13">
        <v>0</v>
      </c>
    </row>
    <row r="24" spans="1:41" s="11" customFormat="1">
      <c r="A24" s="188"/>
      <c r="B24" s="6" t="s">
        <v>7</v>
      </c>
      <c r="C24" s="26"/>
      <c r="D24" s="20"/>
      <c r="E24" s="32"/>
      <c r="F24" s="27">
        <v>1757158</v>
      </c>
      <c r="G24" s="27">
        <v>1889427</v>
      </c>
      <c r="H24" s="27">
        <v>0</v>
      </c>
      <c r="I24" s="26">
        <v>3666585</v>
      </c>
      <c r="J24" s="32">
        <v>0</v>
      </c>
      <c r="K24" s="27">
        <v>0</v>
      </c>
      <c r="L24" s="27">
        <v>500000</v>
      </c>
      <c r="M24" s="27">
        <v>790000</v>
      </c>
      <c r="N24" s="26">
        <v>1290000</v>
      </c>
      <c r="O24" s="32">
        <v>560000</v>
      </c>
      <c r="P24" s="27">
        <v>0</v>
      </c>
      <c r="Q24" s="27">
        <v>500000</v>
      </c>
      <c r="R24" s="27">
        <v>400000</v>
      </c>
      <c r="S24" s="27">
        <v>0</v>
      </c>
      <c r="T24" s="26">
        <v>1460000</v>
      </c>
      <c r="U24" s="28">
        <v>8039798</v>
      </c>
      <c r="V24" s="32">
        <v>0</v>
      </c>
      <c r="W24" s="27">
        <v>0</v>
      </c>
      <c r="X24" s="27">
        <v>0</v>
      </c>
      <c r="Y24" s="27">
        <v>0</v>
      </c>
      <c r="Z24" s="26">
        <v>0</v>
      </c>
      <c r="AA24" s="32">
        <v>0</v>
      </c>
      <c r="AB24" s="27">
        <v>0</v>
      </c>
      <c r="AC24" s="27">
        <v>0</v>
      </c>
      <c r="AD24" s="27">
        <v>0</v>
      </c>
      <c r="AE24" s="26">
        <v>0</v>
      </c>
      <c r="AF24" s="32">
        <v>0</v>
      </c>
      <c r="AG24" s="27">
        <v>0</v>
      </c>
      <c r="AH24" s="27">
        <v>0</v>
      </c>
      <c r="AI24" s="27">
        <v>0</v>
      </c>
      <c r="AJ24" s="27">
        <v>0</v>
      </c>
      <c r="AK24" s="26">
        <v>0</v>
      </c>
      <c r="AL24" s="28">
        <v>589034</v>
      </c>
      <c r="AM24" s="55"/>
      <c r="AN24" s="13">
        <v>0</v>
      </c>
      <c r="AO24" s="13">
        <v>0</v>
      </c>
    </row>
    <row r="25" spans="1:41" s="11" customFormat="1" ht="17" thickBot="1">
      <c r="A25" s="189"/>
      <c r="B25" s="2" t="s">
        <v>60</v>
      </c>
      <c r="C25" s="26">
        <v>4014560</v>
      </c>
      <c r="D25" s="37">
        <v>1623213</v>
      </c>
      <c r="E25" s="21"/>
      <c r="F25" s="21">
        <v>0</v>
      </c>
      <c r="G25" s="21">
        <v>3393402</v>
      </c>
      <c r="H25" s="21">
        <v>2417005</v>
      </c>
      <c r="I25" s="20">
        <v>2417005</v>
      </c>
      <c r="J25" s="21">
        <v>1337322</v>
      </c>
      <c r="K25" s="21">
        <v>926680</v>
      </c>
      <c r="L25" s="21">
        <v>1026072</v>
      </c>
      <c r="M25" s="21">
        <v>1077456</v>
      </c>
      <c r="N25" s="20">
        <v>1077456</v>
      </c>
      <c r="O25" s="21">
        <v>1238818</v>
      </c>
      <c r="P25" s="21">
        <v>1074668</v>
      </c>
      <c r="Q25" s="21">
        <v>682950</v>
      </c>
      <c r="R25" s="21">
        <v>662942</v>
      </c>
      <c r="S25" s="21">
        <v>589034</v>
      </c>
      <c r="T25" s="20">
        <v>589034</v>
      </c>
      <c r="U25" s="22">
        <v>589034</v>
      </c>
      <c r="V25" s="21">
        <v>558459</v>
      </c>
      <c r="W25" s="21">
        <v>558459</v>
      </c>
      <c r="X25" s="21">
        <v>558459</v>
      </c>
      <c r="Y25" s="21">
        <v>519260</v>
      </c>
      <c r="Z25" s="20">
        <v>519260</v>
      </c>
      <c r="AA25" s="21">
        <v>513261</v>
      </c>
      <c r="AB25" s="21">
        <v>513261</v>
      </c>
      <c r="AC25" s="21">
        <v>503261</v>
      </c>
      <c r="AD25" s="21">
        <v>503261</v>
      </c>
      <c r="AE25" s="20">
        <v>503261</v>
      </c>
      <c r="AF25" s="21">
        <v>503261</v>
      </c>
      <c r="AG25" s="21">
        <v>503261</v>
      </c>
      <c r="AH25" s="21">
        <v>503261</v>
      </c>
      <c r="AI25" s="21">
        <v>503261</v>
      </c>
      <c r="AJ25" s="21">
        <v>503261</v>
      </c>
      <c r="AK25" s="20">
        <v>503261</v>
      </c>
      <c r="AL25" s="22">
        <v>503261</v>
      </c>
      <c r="AM25" s="55"/>
      <c r="AN25" s="13">
        <v>0</v>
      </c>
      <c r="AO25" s="13">
        <v>0</v>
      </c>
    </row>
    <row r="26" spans="1:41" s="11" customFormat="1" ht="17" thickBot="1">
      <c r="A26" s="14"/>
      <c r="B26" s="6" t="s">
        <v>61</v>
      </c>
      <c r="C26" s="20"/>
      <c r="D26" s="20"/>
      <c r="E26" s="19">
        <v>0</v>
      </c>
      <c r="F26" s="19"/>
      <c r="G26" s="19"/>
      <c r="H26" s="19"/>
      <c r="I26" s="23"/>
      <c r="J26" s="19"/>
      <c r="K26" s="19"/>
      <c r="L26" s="19"/>
      <c r="M26" s="19"/>
      <c r="N26" s="23"/>
      <c r="O26" s="19"/>
      <c r="P26" s="19"/>
      <c r="Q26" s="19"/>
      <c r="R26" s="19"/>
      <c r="S26" s="19"/>
      <c r="T26" s="23"/>
      <c r="U26" s="24"/>
      <c r="V26" s="19"/>
      <c r="W26" s="19"/>
      <c r="X26" s="19"/>
      <c r="Y26" s="19"/>
      <c r="Z26" s="23"/>
      <c r="AA26" s="19"/>
      <c r="AB26" s="19"/>
      <c r="AC26" s="19"/>
      <c r="AD26" s="19"/>
      <c r="AE26" s="23"/>
      <c r="AF26" s="19"/>
      <c r="AG26" s="19"/>
      <c r="AH26" s="19"/>
      <c r="AI26" s="19"/>
      <c r="AJ26" s="19"/>
      <c r="AK26" s="23"/>
      <c r="AL26" s="24"/>
      <c r="AM26" s="55"/>
      <c r="AN26" s="13">
        <v>0</v>
      </c>
      <c r="AO26" s="13">
        <v>0</v>
      </c>
    </row>
    <row r="27" spans="1:41" s="15" customFormat="1">
      <c r="A27" s="179" t="s">
        <v>65</v>
      </c>
      <c r="B27" s="3" t="s">
        <v>57</v>
      </c>
      <c r="C27" s="26"/>
      <c r="D27" s="26"/>
      <c r="E27" s="27"/>
      <c r="F27" s="27">
        <v>0</v>
      </c>
      <c r="G27" s="27">
        <v>-11834</v>
      </c>
      <c r="H27" s="27">
        <v>0</v>
      </c>
      <c r="I27" s="26">
        <v>-11834</v>
      </c>
      <c r="J27" s="27">
        <v>0</v>
      </c>
      <c r="K27" s="27">
        <v>0</v>
      </c>
      <c r="L27" s="27">
        <v>0</v>
      </c>
      <c r="M27" s="27">
        <v>0</v>
      </c>
      <c r="N27" s="26">
        <v>0</v>
      </c>
      <c r="O27" s="27">
        <v>0</v>
      </c>
      <c r="P27" s="27">
        <v>0</v>
      </c>
      <c r="Q27" s="27">
        <v>0</v>
      </c>
      <c r="R27" s="27">
        <v>0</v>
      </c>
      <c r="S27" s="27">
        <v>0</v>
      </c>
      <c r="T27" s="26">
        <v>0</v>
      </c>
      <c r="U27" s="28">
        <v>-2895</v>
      </c>
      <c r="V27" s="27">
        <v>0</v>
      </c>
      <c r="W27" s="27">
        <v>0</v>
      </c>
      <c r="X27" s="27">
        <v>0</v>
      </c>
      <c r="Y27" s="27">
        <v>0</v>
      </c>
      <c r="Z27" s="26">
        <v>0</v>
      </c>
      <c r="AA27" s="27">
        <v>0</v>
      </c>
      <c r="AB27" s="27">
        <v>0</v>
      </c>
      <c r="AC27" s="27">
        <v>0</v>
      </c>
      <c r="AD27" s="27">
        <v>0</v>
      </c>
      <c r="AE27" s="26">
        <v>0</v>
      </c>
      <c r="AF27" s="27">
        <v>0</v>
      </c>
      <c r="AG27" s="27">
        <v>0</v>
      </c>
      <c r="AH27" s="27">
        <v>0</v>
      </c>
      <c r="AI27" s="27">
        <v>0</v>
      </c>
      <c r="AJ27" s="27">
        <v>0</v>
      </c>
      <c r="AK27" s="26">
        <v>0</v>
      </c>
      <c r="AL27" s="28">
        <v>0</v>
      </c>
      <c r="AM27" s="55">
        <v>16</v>
      </c>
      <c r="AN27" s="13">
        <f>U27*AM27</f>
        <v>-46320</v>
      </c>
      <c r="AO27" s="13">
        <f>AM27*AL27</f>
        <v>0</v>
      </c>
    </row>
    <row r="28" spans="1:41" s="15" customFormat="1">
      <c r="A28" s="180"/>
      <c r="B28" s="12" t="s">
        <v>58</v>
      </c>
      <c r="C28" s="26"/>
      <c r="D28" s="26"/>
      <c r="E28" s="27"/>
      <c r="F28" s="27">
        <v>0</v>
      </c>
      <c r="G28" s="27">
        <v>0</v>
      </c>
      <c r="H28" s="27">
        <v>0</v>
      </c>
      <c r="I28" s="26">
        <v>0</v>
      </c>
      <c r="J28" s="27">
        <v>0</v>
      </c>
      <c r="K28" s="27">
        <v>0</v>
      </c>
      <c r="L28" s="27">
        <v>0</v>
      </c>
      <c r="M28" s="27">
        <v>0</v>
      </c>
      <c r="N28" s="26">
        <v>0</v>
      </c>
      <c r="O28" s="27">
        <v>0</v>
      </c>
      <c r="P28" s="27">
        <v>0</v>
      </c>
      <c r="Q28" s="27">
        <v>0</v>
      </c>
      <c r="R28" s="27">
        <v>0</v>
      </c>
      <c r="S28" s="27">
        <v>0</v>
      </c>
      <c r="T28" s="26">
        <v>0</v>
      </c>
      <c r="U28" s="28">
        <v>0</v>
      </c>
      <c r="V28" s="27">
        <v>0</v>
      </c>
      <c r="W28" s="27">
        <v>0</v>
      </c>
      <c r="X28" s="27">
        <v>0</v>
      </c>
      <c r="Y28" s="27">
        <v>0</v>
      </c>
      <c r="Z28" s="26">
        <v>0</v>
      </c>
      <c r="AA28" s="27">
        <v>0</v>
      </c>
      <c r="AB28" s="27">
        <v>0</v>
      </c>
      <c r="AC28" s="27">
        <v>0</v>
      </c>
      <c r="AD28" s="27">
        <v>0</v>
      </c>
      <c r="AE28" s="26">
        <v>0</v>
      </c>
      <c r="AF28" s="27">
        <v>0</v>
      </c>
      <c r="AG28" s="27">
        <v>0</v>
      </c>
      <c r="AH28" s="27">
        <v>0</v>
      </c>
      <c r="AI28" s="27">
        <v>0</v>
      </c>
      <c r="AJ28" s="27">
        <v>0</v>
      </c>
      <c r="AK28" s="26">
        <v>0</v>
      </c>
      <c r="AL28" s="28">
        <v>0</v>
      </c>
      <c r="AM28" s="54"/>
      <c r="AN28" s="13">
        <v>0</v>
      </c>
      <c r="AO28" s="13">
        <v>0</v>
      </c>
    </row>
    <row r="29" spans="1:41" s="15" customFormat="1">
      <c r="A29" s="180"/>
      <c r="B29" s="12" t="s">
        <v>59</v>
      </c>
      <c r="C29" s="26">
        <v>0</v>
      </c>
      <c r="D29" s="26">
        <v>0</v>
      </c>
      <c r="E29" s="27"/>
      <c r="F29" s="27">
        <v>0</v>
      </c>
      <c r="G29" s="27">
        <v>0</v>
      </c>
      <c r="H29" s="27">
        <v>0</v>
      </c>
      <c r="I29" s="26">
        <v>0</v>
      </c>
      <c r="J29" s="27">
        <v>0</v>
      </c>
      <c r="K29" s="27">
        <v>0</v>
      </c>
      <c r="L29" s="27">
        <v>0</v>
      </c>
      <c r="M29" s="27">
        <v>0</v>
      </c>
      <c r="N29" s="26">
        <v>0</v>
      </c>
      <c r="O29" s="27">
        <v>0</v>
      </c>
      <c r="P29" s="27">
        <v>0</v>
      </c>
      <c r="Q29" s="27">
        <v>0</v>
      </c>
      <c r="R29" s="27">
        <v>0</v>
      </c>
      <c r="S29" s="27">
        <v>0</v>
      </c>
      <c r="T29" s="26">
        <v>0</v>
      </c>
      <c r="U29" s="28">
        <v>0</v>
      </c>
      <c r="V29" s="27">
        <v>0</v>
      </c>
      <c r="W29" s="27">
        <v>0</v>
      </c>
      <c r="X29" s="27">
        <v>0</v>
      </c>
      <c r="Y29" s="27">
        <v>0</v>
      </c>
      <c r="Z29" s="26">
        <v>0</v>
      </c>
      <c r="AA29" s="27">
        <v>0</v>
      </c>
      <c r="AB29" s="27">
        <v>0</v>
      </c>
      <c r="AC29" s="27">
        <v>0</v>
      </c>
      <c r="AD29" s="27">
        <v>0</v>
      </c>
      <c r="AE29" s="26">
        <v>0</v>
      </c>
      <c r="AF29" s="27">
        <v>0</v>
      </c>
      <c r="AG29" s="27">
        <v>0</v>
      </c>
      <c r="AH29" s="27">
        <v>0</v>
      </c>
      <c r="AI29" s="27">
        <v>0</v>
      </c>
      <c r="AJ29" s="27">
        <v>0</v>
      </c>
      <c r="AK29" s="26">
        <v>0</v>
      </c>
      <c r="AL29" s="28">
        <v>0</v>
      </c>
      <c r="AM29" s="54"/>
      <c r="AN29" s="13">
        <v>0</v>
      </c>
      <c r="AO29" s="13">
        <v>0</v>
      </c>
    </row>
    <row r="30" spans="1:41" s="15" customFormat="1">
      <c r="A30" s="180"/>
      <c r="B30" s="12" t="s">
        <v>7</v>
      </c>
      <c r="C30" s="26"/>
      <c r="D30" s="26"/>
      <c r="E30" s="32"/>
      <c r="F30" s="27">
        <v>0</v>
      </c>
      <c r="G30" s="27">
        <v>0</v>
      </c>
      <c r="H30" s="27">
        <v>0</v>
      </c>
      <c r="I30" s="26">
        <v>0</v>
      </c>
      <c r="J30" s="32">
        <v>0</v>
      </c>
      <c r="K30" s="27">
        <v>0</v>
      </c>
      <c r="L30" s="27">
        <v>0</v>
      </c>
      <c r="M30" s="27">
        <v>0</v>
      </c>
      <c r="N30" s="26">
        <v>0</v>
      </c>
      <c r="O30" s="32">
        <v>0</v>
      </c>
      <c r="P30" s="27">
        <v>0</v>
      </c>
      <c r="Q30" s="27">
        <v>0</v>
      </c>
      <c r="R30" s="27">
        <v>0</v>
      </c>
      <c r="S30" s="27">
        <v>0</v>
      </c>
      <c r="T30" s="26">
        <v>0</v>
      </c>
      <c r="U30" s="28">
        <v>8939</v>
      </c>
      <c r="V30" s="32">
        <v>0</v>
      </c>
      <c r="W30" s="27">
        <v>0</v>
      </c>
      <c r="X30" s="27">
        <v>0</v>
      </c>
      <c r="Y30" s="27">
        <v>0</v>
      </c>
      <c r="Z30" s="26">
        <v>0</v>
      </c>
      <c r="AA30" s="32">
        <v>0</v>
      </c>
      <c r="AB30" s="27">
        <v>0</v>
      </c>
      <c r="AC30" s="27">
        <v>0</v>
      </c>
      <c r="AD30" s="27">
        <v>0</v>
      </c>
      <c r="AE30" s="26">
        <v>0</v>
      </c>
      <c r="AF30" s="32">
        <v>0</v>
      </c>
      <c r="AG30" s="27">
        <v>0</v>
      </c>
      <c r="AH30" s="27">
        <v>0</v>
      </c>
      <c r="AI30" s="27">
        <v>0</v>
      </c>
      <c r="AJ30" s="27">
        <v>0</v>
      </c>
      <c r="AK30" s="26">
        <v>0</v>
      </c>
      <c r="AL30" s="28">
        <v>11834</v>
      </c>
      <c r="AM30" s="54"/>
      <c r="AN30" s="13">
        <v>0</v>
      </c>
      <c r="AO30" s="13">
        <v>0</v>
      </c>
    </row>
    <row r="31" spans="1:41" s="15" customFormat="1" ht="17" thickBot="1">
      <c r="A31" s="181"/>
      <c r="B31" s="4" t="s">
        <v>60</v>
      </c>
      <c r="C31" s="26">
        <v>11879</v>
      </c>
      <c r="D31" s="37">
        <v>8939</v>
      </c>
      <c r="E31" s="21"/>
      <c r="F31" s="21">
        <v>0</v>
      </c>
      <c r="G31" s="21">
        <v>11834</v>
      </c>
      <c r="H31" s="21">
        <v>11834</v>
      </c>
      <c r="I31" s="20">
        <v>11834</v>
      </c>
      <c r="J31" s="21">
        <v>11834</v>
      </c>
      <c r="K31" s="21">
        <v>11834</v>
      </c>
      <c r="L31" s="21">
        <v>11834</v>
      </c>
      <c r="M31" s="21">
        <v>11834</v>
      </c>
      <c r="N31" s="20">
        <v>11834</v>
      </c>
      <c r="O31" s="21">
        <v>11834</v>
      </c>
      <c r="P31" s="21">
        <v>11834</v>
      </c>
      <c r="Q31" s="21">
        <v>11834</v>
      </c>
      <c r="R31" s="21">
        <v>11834</v>
      </c>
      <c r="S31" s="21">
        <v>11834</v>
      </c>
      <c r="T31" s="20">
        <v>11834</v>
      </c>
      <c r="U31" s="22">
        <v>11834</v>
      </c>
      <c r="V31" s="21">
        <v>11834</v>
      </c>
      <c r="W31" s="21">
        <v>11834</v>
      </c>
      <c r="X31" s="21">
        <v>11834</v>
      </c>
      <c r="Y31" s="21">
        <v>11834</v>
      </c>
      <c r="Z31" s="20">
        <v>11834</v>
      </c>
      <c r="AA31" s="21">
        <v>11834</v>
      </c>
      <c r="AB31" s="21">
        <v>11834</v>
      </c>
      <c r="AC31" s="21">
        <v>11834</v>
      </c>
      <c r="AD31" s="21">
        <v>11834</v>
      </c>
      <c r="AE31" s="20">
        <v>11834</v>
      </c>
      <c r="AF31" s="21">
        <v>11834</v>
      </c>
      <c r="AG31" s="21">
        <v>11834</v>
      </c>
      <c r="AH31" s="21">
        <v>11834</v>
      </c>
      <c r="AI31" s="21">
        <v>11834</v>
      </c>
      <c r="AJ31" s="21">
        <v>11834</v>
      </c>
      <c r="AK31" s="20">
        <v>11834</v>
      </c>
      <c r="AL31" s="22">
        <v>11834</v>
      </c>
      <c r="AM31" s="54"/>
      <c r="AN31" s="13">
        <v>0</v>
      </c>
      <c r="AO31" s="13">
        <v>0</v>
      </c>
    </row>
    <row r="32" spans="1:41" s="15" customFormat="1" ht="17" thickBot="1">
      <c r="A32" s="46"/>
      <c r="B32" s="12" t="s">
        <v>61</v>
      </c>
      <c r="C32" s="26"/>
      <c r="D32" s="26"/>
      <c r="E32" s="19"/>
      <c r="F32" s="19"/>
      <c r="G32" s="19"/>
      <c r="H32" s="19"/>
      <c r="I32" s="23"/>
      <c r="J32" s="19"/>
      <c r="K32" s="19"/>
      <c r="L32" s="19"/>
      <c r="M32" s="19"/>
      <c r="N32" s="23"/>
      <c r="O32" s="19"/>
      <c r="P32" s="19"/>
      <c r="Q32" s="19"/>
      <c r="R32" s="19"/>
      <c r="S32" s="19"/>
      <c r="T32" s="23"/>
      <c r="U32" s="24"/>
      <c r="V32" s="19"/>
      <c r="W32" s="19"/>
      <c r="X32" s="19"/>
      <c r="Y32" s="19"/>
      <c r="Z32" s="23"/>
      <c r="AA32" s="19"/>
      <c r="AB32" s="19"/>
      <c r="AC32" s="19"/>
      <c r="AD32" s="19"/>
      <c r="AE32" s="23"/>
      <c r="AF32" s="19"/>
      <c r="AG32" s="19"/>
      <c r="AH32" s="19"/>
      <c r="AI32" s="19"/>
      <c r="AJ32" s="19"/>
      <c r="AK32" s="23"/>
      <c r="AL32" s="24"/>
      <c r="AM32" s="54"/>
      <c r="AN32" s="13">
        <v>0</v>
      </c>
      <c r="AO32" s="13">
        <v>0</v>
      </c>
    </row>
    <row r="33" spans="1:41" s="15" customFormat="1">
      <c r="A33" s="166" t="s">
        <v>66</v>
      </c>
      <c r="B33" s="3" t="s">
        <v>57</v>
      </c>
      <c r="C33" s="26"/>
      <c r="D33" s="26"/>
      <c r="E33" s="27"/>
      <c r="F33" s="27">
        <v>102000</v>
      </c>
      <c r="G33" s="27">
        <v>-695498</v>
      </c>
      <c r="H33" s="27">
        <v>54390</v>
      </c>
      <c r="I33" s="26">
        <v>-539108</v>
      </c>
      <c r="J33" s="27">
        <v>41421</v>
      </c>
      <c r="K33" s="27">
        <v>2725</v>
      </c>
      <c r="L33" s="27">
        <v>4124</v>
      </c>
      <c r="M33" s="27">
        <v>21710</v>
      </c>
      <c r="N33" s="26">
        <v>69980</v>
      </c>
      <c r="O33" s="27">
        <v>59920</v>
      </c>
      <c r="P33" s="27">
        <v>2087</v>
      </c>
      <c r="Q33" s="27">
        <v>15690</v>
      </c>
      <c r="R33" s="27">
        <v>60476</v>
      </c>
      <c r="S33" s="27">
        <v>0</v>
      </c>
      <c r="T33" s="26">
        <v>138173</v>
      </c>
      <c r="U33" s="28">
        <v>342893</v>
      </c>
      <c r="V33" s="27">
        <v>942</v>
      </c>
      <c r="W33" s="27">
        <v>0</v>
      </c>
      <c r="X33" s="27">
        <v>0</v>
      </c>
      <c r="Y33" s="27">
        <v>0</v>
      </c>
      <c r="Z33" s="26">
        <v>942</v>
      </c>
      <c r="AA33" s="27">
        <v>0</v>
      </c>
      <c r="AB33" s="27">
        <v>0</v>
      </c>
      <c r="AC33" s="27">
        <v>6600</v>
      </c>
      <c r="AD33" s="27">
        <v>0</v>
      </c>
      <c r="AE33" s="26">
        <v>6600</v>
      </c>
      <c r="AF33" s="27">
        <v>0</v>
      </c>
      <c r="AG33" s="27">
        <v>0</v>
      </c>
      <c r="AH33" s="27">
        <v>0</v>
      </c>
      <c r="AI33" s="27">
        <v>0</v>
      </c>
      <c r="AJ33" s="27">
        <v>0</v>
      </c>
      <c r="AK33" s="26">
        <v>0</v>
      </c>
      <c r="AL33" s="28">
        <v>7542</v>
      </c>
      <c r="AM33" s="55">
        <v>16</v>
      </c>
      <c r="AN33" s="13">
        <f>U33*AM33</f>
        <v>5486288</v>
      </c>
      <c r="AO33" s="13">
        <f>AM33*AL33</f>
        <v>120672</v>
      </c>
    </row>
    <row r="34" spans="1:41" s="15" customFormat="1">
      <c r="A34" s="167"/>
      <c r="B34" s="12" t="s">
        <v>58</v>
      </c>
      <c r="C34" s="26"/>
      <c r="D34" s="26"/>
      <c r="E34" s="27"/>
      <c r="F34" s="27">
        <v>102000</v>
      </c>
      <c r="G34" s="27">
        <v>0</v>
      </c>
      <c r="H34" s="27">
        <v>0</v>
      </c>
      <c r="I34" s="26">
        <v>102000</v>
      </c>
      <c r="J34" s="27">
        <v>0</v>
      </c>
      <c r="K34" s="27">
        <v>0</v>
      </c>
      <c r="L34" s="27">
        <v>0</v>
      </c>
      <c r="M34" s="27">
        <v>100000</v>
      </c>
      <c r="N34" s="26">
        <v>100000</v>
      </c>
      <c r="O34" s="27">
        <v>0</v>
      </c>
      <c r="P34" s="27">
        <v>0</v>
      </c>
      <c r="Q34" s="27">
        <v>0</v>
      </c>
      <c r="R34" s="27">
        <v>50000</v>
      </c>
      <c r="S34" s="27">
        <v>0</v>
      </c>
      <c r="T34" s="26">
        <v>50000</v>
      </c>
      <c r="U34" s="28">
        <v>0</v>
      </c>
      <c r="V34" s="27">
        <v>0</v>
      </c>
      <c r="W34" s="27">
        <v>0</v>
      </c>
      <c r="X34" s="27">
        <v>0</v>
      </c>
      <c r="Y34" s="27">
        <v>0</v>
      </c>
      <c r="Z34" s="26">
        <v>0</v>
      </c>
      <c r="AA34" s="27">
        <v>0</v>
      </c>
      <c r="AB34" s="27">
        <v>0</v>
      </c>
      <c r="AC34" s="27">
        <v>0</v>
      </c>
      <c r="AD34" s="27">
        <v>0</v>
      </c>
      <c r="AE34" s="26">
        <v>0</v>
      </c>
      <c r="AF34" s="27">
        <v>0</v>
      </c>
      <c r="AG34" s="27">
        <v>0</v>
      </c>
      <c r="AH34" s="27">
        <v>0</v>
      </c>
      <c r="AI34" s="27">
        <v>0</v>
      </c>
      <c r="AJ34" s="27">
        <v>0</v>
      </c>
      <c r="AK34" s="26">
        <v>0</v>
      </c>
      <c r="AL34" s="28">
        <v>0</v>
      </c>
      <c r="AM34" s="54"/>
      <c r="AN34" s="13">
        <v>0</v>
      </c>
      <c r="AO34" s="13">
        <v>0</v>
      </c>
    </row>
    <row r="35" spans="1:41" s="15" customFormat="1">
      <c r="A35" s="167"/>
      <c r="B35" s="12" t="s">
        <v>59</v>
      </c>
      <c r="C35" s="26">
        <v>0</v>
      </c>
      <c r="D35" s="26">
        <v>0</v>
      </c>
      <c r="E35" s="27"/>
      <c r="F35" s="27">
        <v>0</v>
      </c>
      <c r="G35" s="27">
        <v>0</v>
      </c>
      <c r="H35" s="27">
        <v>0</v>
      </c>
      <c r="I35" s="26">
        <v>0</v>
      </c>
      <c r="J35" s="27">
        <v>0</v>
      </c>
      <c r="K35" s="27">
        <v>0</v>
      </c>
      <c r="L35" s="27">
        <v>0</v>
      </c>
      <c r="M35" s="27">
        <v>0</v>
      </c>
      <c r="N35" s="26">
        <v>0</v>
      </c>
      <c r="O35" s="27">
        <v>0</v>
      </c>
      <c r="P35" s="27">
        <v>0</v>
      </c>
      <c r="Q35" s="27">
        <v>0</v>
      </c>
      <c r="R35" s="27">
        <v>0</v>
      </c>
      <c r="S35" s="27">
        <v>0</v>
      </c>
      <c r="T35" s="26">
        <v>0</v>
      </c>
      <c r="U35" s="28">
        <v>0</v>
      </c>
      <c r="V35" s="27">
        <v>0</v>
      </c>
      <c r="W35" s="27">
        <v>0</v>
      </c>
      <c r="X35" s="27">
        <v>0</v>
      </c>
      <c r="Y35" s="27">
        <v>0</v>
      </c>
      <c r="Z35" s="26">
        <v>0</v>
      </c>
      <c r="AA35" s="27">
        <v>0</v>
      </c>
      <c r="AB35" s="27">
        <v>0</v>
      </c>
      <c r="AC35" s="27">
        <v>0</v>
      </c>
      <c r="AD35" s="27">
        <v>0</v>
      </c>
      <c r="AE35" s="26">
        <v>0</v>
      </c>
      <c r="AF35" s="27">
        <v>0</v>
      </c>
      <c r="AG35" s="27">
        <v>0</v>
      </c>
      <c r="AH35" s="27">
        <v>0</v>
      </c>
      <c r="AI35" s="27">
        <v>0</v>
      </c>
      <c r="AJ35" s="27">
        <v>0</v>
      </c>
      <c r="AK35" s="26">
        <v>0</v>
      </c>
      <c r="AL35" s="28">
        <v>0</v>
      </c>
      <c r="AM35" s="54"/>
      <c r="AN35" s="13">
        <v>0</v>
      </c>
      <c r="AO35" s="13">
        <v>0</v>
      </c>
    </row>
    <row r="36" spans="1:41" s="15" customFormat="1">
      <c r="A36" s="167"/>
      <c r="B36" s="12" t="s">
        <v>7</v>
      </c>
      <c r="C36" s="26"/>
      <c r="D36" s="26"/>
      <c r="E36" s="32"/>
      <c r="F36" s="27">
        <v>102000</v>
      </c>
      <c r="G36" s="27">
        <v>0</v>
      </c>
      <c r="H36" s="27">
        <v>0</v>
      </c>
      <c r="I36" s="26">
        <v>102000</v>
      </c>
      <c r="J36" s="32">
        <v>0</v>
      </c>
      <c r="K36" s="27">
        <v>0</v>
      </c>
      <c r="L36" s="27">
        <v>0</v>
      </c>
      <c r="M36" s="27">
        <v>100000</v>
      </c>
      <c r="N36" s="26">
        <v>100000</v>
      </c>
      <c r="O36" s="32">
        <v>0</v>
      </c>
      <c r="P36" s="27">
        <v>0</v>
      </c>
      <c r="Q36" s="27">
        <v>0</v>
      </c>
      <c r="R36" s="27">
        <v>50000</v>
      </c>
      <c r="S36" s="27">
        <v>0</v>
      </c>
      <c r="T36" s="26">
        <v>50000</v>
      </c>
      <c r="U36" s="28">
        <v>925848</v>
      </c>
      <c r="V36" s="32">
        <v>0</v>
      </c>
      <c r="W36" s="27">
        <v>0</v>
      </c>
      <c r="X36" s="27">
        <v>0</v>
      </c>
      <c r="Y36" s="27">
        <v>0</v>
      </c>
      <c r="Z36" s="26">
        <v>0</v>
      </c>
      <c r="AA36" s="32">
        <v>0</v>
      </c>
      <c r="AB36" s="27">
        <v>0</v>
      </c>
      <c r="AC36" s="27">
        <v>0</v>
      </c>
      <c r="AD36" s="27">
        <v>0</v>
      </c>
      <c r="AE36" s="26">
        <v>0</v>
      </c>
      <c r="AF36" s="32">
        <v>0</v>
      </c>
      <c r="AG36" s="27">
        <v>0</v>
      </c>
      <c r="AH36" s="27">
        <v>0</v>
      </c>
      <c r="AI36" s="27">
        <v>0</v>
      </c>
      <c r="AJ36" s="27">
        <v>0</v>
      </c>
      <c r="AK36" s="26">
        <v>0</v>
      </c>
      <c r="AL36" s="28">
        <v>582955</v>
      </c>
      <c r="AM36" s="54"/>
      <c r="AN36" s="13">
        <v>0</v>
      </c>
      <c r="AO36" s="13">
        <v>0</v>
      </c>
    </row>
    <row r="37" spans="1:41" s="15" customFormat="1" ht="17" thickBot="1">
      <c r="A37" s="168"/>
      <c r="B37" s="4" t="s">
        <v>60</v>
      </c>
      <c r="C37" s="26">
        <v>755285</v>
      </c>
      <c r="D37" s="37">
        <v>673848</v>
      </c>
      <c r="E37" s="21"/>
      <c r="F37" s="21">
        <v>0</v>
      </c>
      <c r="G37" s="21">
        <v>695498</v>
      </c>
      <c r="H37" s="21">
        <v>641108</v>
      </c>
      <c r="I37" s="20">
        <v>641108</v>
      </c>
      <c r="J37" s="21">
        <v>599687</v>
      </c>
      <c r="K37" s="21">
        <v>596962</v>
      </c>
      <c r="L37" s="21">
        <v>592838</v>
      </c>
      <c r="M37" s="21">
        <v>671128</v>
      </c>
      <c r="N37" s="20">
        <v>671128</v>
      </c>
      <c r="O37" s="21">
        <v>611208</v>
      </c>
      <c r="P37" s="21">
        <v>609121</v>
      </c>
      <c r="Q37" s="21">
        <v>593431</v>
      </c>
      <c r="R37" s="21">
        <v>582955</v>
      </c>
      <c r="S37" s="21">
        <v>582955</v>
      </c>
      <c r="T37" s="20">
        <v>582955</v>
      </c>
      <c r="U37" s="22">
        <v>582955</v>
      </c>
      <c r="V37" s="21">
        <v>582013</v>
      </c>
      <c r="W37" s="21">
        <v>582013</v>
      </c>
      <c r="X37" s="21">
        <v>582013</v>
      </c>
      <c r="Y37" s="21">
        <v>582013</v>
      </c>
      <c r="Z37" s="20">
        <v>582013</v>
      </c>
      <c r="AA37" s="21">
        <v>582013</v>
      </c>
      <c r="AB37" s="21">
        <v>582013</v>
      </c>
      <c r="AC37" s="21">
        <v>575413</v>
      </c>
      <c r="AD37" s="21">
        <v>575413</v>
      </c>
      <c r="AE37" s="20">
        <v>575413</v>
      </c>
      <c r="AF37" s="21">
        <v>575413</v>
      </c>
      <c r="AG37" s="21">
        <v>575413</v>
      </c>
      <c r="AH37" s="21">
        <v>575413</v>
      </c>
      <c r="AI37" s="21">
        <v>575413</v>
      </c>
      <c r="AJ37" s="21">
        <v>575413</v>
      </c>
      <c r="AK37" s="20">
        <v>575413</v>
      </c>
      <c r="AL37" s="22">
        <v>575413</v>
      </c>
      <c r="AM37" s="54"/>
      <c r="AN37" s="13">
        <v>0</v>
      </c>
      <c r="AO37" s="13">
        <v>0</v>
      </c>
    </row>
    <row r="38" spans="1:41" s="15" customFormat="1" ht="17" thickBot="1">
      <c r="A38" s="46"/>
      <c r="B38" s="12" t="s">
        <v>61</v>
      </c>
      <c r="C38" s="26"/>
      <c r="D38" s="26"/>
      <c r="E38" s="19">
        <v>0</v>
      </c>
      <c r="F38" s="19"/>
      <c r="G38" s="19"/>
      <c r="H38" s="19"/>
      <c r="I38" s="23"/>
      <c r="J38" s="19"/>
      <c r="K38" s="19"/>
      <c r="L38" s="19"/>
      <c r="M38" s="19"/>
      <c r="N38" s="23"/>
      <c r="O38" s="19"/>
      <c r="P38" s="19"/>
      <c r="Q38" s="19"/>
      <c r="R38" s="19"/>
      <c r="S38" s="19"/>
      <c r="T38" s="23"/>
      <c r="U38" s="24"/>
      <c r="V38" s="19"/>
      <c r="W38" s="19"/>
      <c r="X38" s="19"/>
      <c r="Y38" s="19"/>
      <c r="Z38" s="23"/>
      <c r="AA38" s="19"/>
      <c r="AB38" s="19"/>
      <c r="AC38" s="19"/>
      <c r="AD38" s="19"/>
      <c r="AE38" s="23"/>
      <c r="AF38" s="19"/>
      <c r="AG38" s="19"/>
      <c r="AH38" s="19"/>
      <c r="AI38" s="19"/>
      <c r="AJ38" s="19"/>
      <c r="AK38" s="23"/>
      <c r="AL38" s="24"/>
      <c r="AM38" s="54"/>
      <c r="AN38" s="13">
        <v>0</v>
      </c>
      <c r="AO38" s="13">
        <v>0</v>
      </c>
    </row>
    <row r="39" spans="1:41" s="15" customFormat="1">
      <c r="A39" s="166" t="s">
        <v>67</v>
      </c>
      <c r="B39" s="3" t="s">
        <v>57</v>
      </c>
      <c r="C39" s="26"/>
      <c r="D39" s="26"/>
      <c r="E39" s="27"/>
      <c r="F39" s="27">
        <v>0</v>
      </c>
      <c r="G39" s="27">
        <v>0</v>
      </c>
      <c r="H39" s="27">
        <v>0</v>
      </c>
      <c r="I39" s="26">
        <v>0</v>
      </c>
      <c r="J39" s="27">
        <v>0</v>
      </c>
      <c r="K39" s="27">
        <v>0</v>
      </c>
      <c r="L39" s="27">
        <v>0</v>
      </c>
      <c r="M39" s="27">
        <v>0</v>
      </c>
      <c r="N39" s="26">
        <v>0</v>
      </c>
      <c r="O39" s="27">
        <v>0</v>
      </c>
      <c r="P39" s="27">
        <v>0</v>
      </c>
      <c r="Q39" s="27">
        <v>0</v>
      </c>
      <c r="R39" s="27">
        <v>0</v>
      </c>
      <c r="S39" s="27">
        <v>0</v>
      </c>
      <c r="T39" s="26">
        <v>0</v>
      </c>
      <c r="U39" s="28">
        <v>0</v>
      </c>
      <c r="V39" s="27">
        <v>0</v>
      </c>
      <c r="W39" s="27">
        <v>0</v>
      </c>
      <c r="X39" s="27">
        <v>0</v>
      </c>
      <c r="Y39" s="27">
        <v>0</v>
      </c>
      <c r="Z39" s="26">
        <v>0</v>
      </c>
      <c r="AA39" s="27">
        <v>0</v>
      </c>
      <c r="AB39" s="27">
        <v>0</v>
      </c>
      <c r="AC39" s="27">
        <v>0</v>
      </c>
      <c r="AD39" s="27">
        <v>0</v>
      </c>
      <c r="AE39" s="26">
        <v>0</v>
      </c>
      <c r="AF39" s="27">
        <v>0</v>
      </c>
      <c r="AG39" s="27">
        <v>0</v>
      </c>
      <c r="AH39" s="27">
        <v>0</v>
      </c>
      <c r="AI39" s="27">
        <v>0</v>
      </c>
      <c r="AJ39" s="27">
        <v>0</v>
      </c>
      <c r="AK39" s="26">
        <v>0</v>
      </c>
      <c r="AL39" s="28">
        <v>0</v>
      </c>
      <c r="AM39" s="54">
        <v>32</v>
      </c>
      <c r="AN39" s="13">
        <f>U39*AM39</f>
        <v>0</v>
      </c>
      <c r="AO39" s="13">
        <f>AM39*AL39</f>
        <v>0</v>
      </c>
    </row>
    <row r="40" spans="1:41" s="15" customFormat="1">
      <c r="A40" s="167"/>
      <c r="B40" s="12" t="s">
        <v>58</v>
      </c>
      <c r="C40" s="26"/>
      <c r="D40" s="26"/>
      <c r="E40" s="27"/>
      <c r="F40" s="27">
        <v>0</v>
      </c>
      <c r="G40" s="27">
        <v>0</v>
      </c>
      <c r="H40" s="27">
        <v>0</v>
      </c>
      <c r="I40" s="26">
        <v>0</v>
      </c>
      <c r="J40" s="27">
        <v>0</v>
      </c>
      <c r="K40" s="27">
        <v>0</v>
      </c>
      <c r="L40" s="27">
        <v>0</v>
      </c>
      <c r="M40" s="27">
        <v>0</v>
      </c>
      <c r="N40" s="26">
        <v>0</v>
      </c>
      <c r="O40" s="27">
        <v>0</v>
      </c>
      <c r="P40" s="27">
        <v>0</v>
      </c>
      <c r="Q40" s="27">
        <v>0</v>
      </c>
      <c r="R40" s="27">
        <v>0</v>
      </c>
      <c r="S40" s="27">
        <v>0</v>
      </c>
      <c r="T40" s="26">
        <v>0</v>
      </c>
      <c r="U40" s="28">
        <v>0</v>
      </c>
      <c r="V40" s="27">
        <v>0</v>
      </c>
      <c r="W40" s="27">
        <v>0</v>
      </c>
      <c r="X40" s="27">
        <v>0</v>
      </c>
      <c r="Y40" s="27">
        <v>0</v>
      </c>
      <c r="Z40" s="26">
        <v>0</v>
      </c>
      <c r="AA40" s="27">
        <v>0</v>
      </c>
      <c r="AB40" s="27">
        <v>0</v>
      </c>
      <c r="AC40" s="27">
        <v>0</v>
      </c>
      <c r="AD40" s="27">
        <v>0</v>
      </c>
      <c r="AE40" s="26">
        <v>0</v>
      </c>
      <c r="AF40" s="27">
        <v>0</v>
      </c>
      <c r="AG40" s="27">
        <v>0</v>
      </c>
      <c r="AH40" s="27">
        <v>0</v>
      </c>
      <c r="AI40" s="27">
        <v>0</v>
      </c>
      <c r="AJ40" s="27">
        <v>0</v>
      </c>
      <c r="AK40" s="26">
        <v>0</v>
      </c>
      <c r="AL40" s="28">
        <v>0</v>
      </c>
      <c r="AM40" s="54"/>
      <c r="AN40" s="13">
        <v>0</v>
      </c>
      <c r="AO40" s="13">
        <v>0</v>
      </c>
    </row>
    <row r="41" spans="1:41" s="15" customFormat="1">
      <c r="A41" s="167"/>
      <c r="B41" s="12" t="s">
        <v>59</v>
      </c>
      <c r="C41" s="26">
        <v>0</v>
      </c>
      <c r="D41" s="26">
        <v>0</v>
      </c>
      <c r="E41" s="27"/>
      <c r="F41" s="27">
        <v>0</v>
      </c>
      <c r="G41" s="27">
        <v>0</v>
      </c>
      <c r="H41" s="27">
        <v>0</v>
      </c>
      <c r="I41" s="26">
        <v>0</v>
      </c>
      <c r="J41" s="27">
        <v>0</v>
      </c>
      <c r="K41" s="27">
        <v>0</v>
      </c>
      <c r="L41" s="27">
        <v>0</v>
      </c>
      <c r="M41" s="27">
        <v>0</v>
      </c>
      <c r="N41" s="26">
        <v>0</v>
      </c>
      <c r="O41" s="27">
        <v>0</v>
      </c>
      <c r="P41" s="27">
        <v>0</v>
      </c>
      <c r="Q41" s="27">
        <v>0</v>
      </c>
      <c r="R41" s="27">
        <v>0</v>
      </c>
      <c r="S41" s="27">
        <v>0</v>
      </c>
      <c r="T41" s="26">
        <v>0</v>
      </c>
      <c r="U41" s="28">
        <v>0</v>
      </c>
      <c r="V41" s="27">
        <v>0</v>
      </c>
      <c r="W41" s="27">
        <v>0</v>
      </c>
      <c r="X41" s="27">
        <v>0</v>
      </c>
      <c r="Y41" s="27">
        <v>0</v>
      </c>
      <c r="Z41" s="26">
        <v>0</v>
      </c>
      <c r="AA41" s="27">
        <v>0</v>
      </c>
      <c r="AB41" s="27">
        <v>0</v>
      </c>
      <c r="AC41" s="27">
        <v>0</v>
      </c>
      <c r="AD41" s="27">
        <v>0</v>
      </c>
      <c r="AE41" s="26">
        <v>0</v>
      </c>
      <c r="AF41" s="27">
        <v>0</v>
      </c>
      <c r="AG41" s="27">
        <v>0</v>
      </c>
      <c r="AH41" s="27">
        <v>0</v>
      </c>
      <c r="AI41" s="27">
        <v>0</v>
      </c>
      <c r="AJ41" s="27">
        <v>0</v>
      </c>
      <c r="AK41" s="26">
        <v>0</v>
      </c>
      <c r="AL41" s="28">
        <v>0</v>
      </c>
      <c r="AM41" s="54"/>
      <c r="AN41" s="13">
        <v>0</v>
      </c>
      <c r="AO41" s="13">
        <v>0</v>
      </c>
    </row>
    <row r="42" spans="1:41" s="15" customFormat="1">
      <c r="A42" s="167"/>
      <c r="B42" s="12" t="s">
        <v>7</v>
      </c>
      <c r="C42" s="26"/>
      <c r="D42" s="26"/>
      <c r="E42" s="32"/>
      <c r="F42" s="27">
        <v>0</v>
      </c>
      <c r="G42" s="27">
        <v>0</v>
      </c>
      <c r="H42" s="27">
        <v>0</v>
      </c>
      <c r="I42" s="26">
        <v>0</v>
      </c>
      <c r="J42" s="32">
        <v>0</v>
      </c>
      <c r="K42" s="27">
        <v>0</v>
      </c>
      <c r="L42" s="27">
        <v>0</v>
      </c>
      <c r="M42" s="27">
        <v>0</v>
      </c>
      <c r="N42" s="26">
        <v>0</v>
      </c>
      <c r="O42" s="32">
        <v>0</v>
      </c>
      <c r="P42" s="27">
        <v>0</v>
      </c>
      <c r="Q42" s="27">
        <v>0</v>
      </c>
      <c r="R42" s="27">
        <v>0</v>
      </c>
      <c r="S42" s="27">
        <v>0</v>
      </c>
      <c r="T42" s="26">
        <v>0</v>
      </c>
      <c r="U42" s="28">
        <v>0</v>
      </c>
      <c r="V42" s="32">
        <v>0</v>
      </c>
      <c r="W42" s="27">
        <v>0</v>
      </c>
      <c r="X42" s="27">
        <v>0</v>
      </c>
      <c r="Y42" s="27">
        <v>0</v>
      </c>
      <c r="Z42" s="26">
        <v>0</v>
      </c>
      <c r="AA42" s="32">
        <v>0</v>
      </c>
      <c r="AB42" s="27">
        <v>0</v>
      </c>
      <c r="AC42" s="27">
        <v>0</v>
      </c>
      <c r="AD42" s="27">
        <v>0</v>
      </c>
      <c r="AE42" s="26">
        <v>0</v>
      </c>
      <c r="AF42" s="32">
        <v>0</v>
      </c>
      <c r="AG42" s="27">
        <v>0</v>
      </c>
      <c r="AH42" s="27">
        <v>0</v>
      </c>
      <c r="AI42" s="27">
        <v>0</v>
      </c>
      <c r="AJ42" s="27">
        <v>0</v>
      </c>
      <c r="AK42" s="26">
        <v>0</v>
      </c>
      <c r="AL42" s="28">
        <v>0</v>
      </c>
      <c r="AM42" s="54"/>
      <c r="AN42" s="13">
        <v>0</v>
      </c>
      <c r="AO42" s="13">
        <v>0</v>
      </c>
    </row>
    <row r="43" spans="1:41" s="15" customFormat="1" ht="17" thickBot="1">
      <c r="A43" s="168"/>
      <c r="B43" s="4" t="s">
        <v>60</v>
      </c>
      <c r="C43" s="26">
        <v>0</v>
      </c>
      <c r="D43" s="37">
        <v>0</v>
      </c>
      <c r="E43" s="21"/>
      <c r="F43" s="21">
        <v>0</v>
      </c>
      <c r="G43" s="21">
        <v>0</v>
      </c>
      <c r="H43" s="21">
        <v>0</v>
      </c>
      <c r="I43" s="20">
        <v>0</v>
      </c>
      <c r="J43" s="21">
        <v>0</v>
      </c>
      <c r="K43" s="21">
        <v>0</v>
      </c>
      <c r="L43" s="21">
        <v>0</v>
      </c>
      <c r="M43" s="21">
        <v>0</v>
      </c>
      <c r="N43" s="20">
        <v>0</v>
      </c>
      <c r="O43" s="21">
        <v>0</v>
      </c>
      <c r="P43" s="21">
        <v>0</v>
      </c>
      <c r="Q43" s="21">
        <v>0</v>
      </c>
      <c r="R43" s="21">
        <v>0</v>
      </c>
      <c r="S43" s="21">
        <v>0</v>
      </c>
      <c r="T43" s="20">
        <v>0</v>
      </c>
      <c r="U43" s="22">
        <v>0</v>
      </c>
      <c r="V43" s="21">
        <v>0</v>
      </c>
      <c r="W43" s="21">
        <v>0</v>
      </c>
      <c r="X43" s="21">
        <v>0</v>
      </c>
      <c r="Y43" s="21">
        <v>0</v>
      </c>
      <c r="Z43" s="20">
        <v>0</v>
      </c>
      <c r="AA43" s="21">
        <v>0</v>
      </c>
      <c r="AB43" s="21">
        <v>0</v>
      </c>
      <c r="AC43" s="21">
        <v>0</v>
      </c>
      <c r="AD43" s="21">
        <v>0</v>
      </c>
      <c r="AE43" s="20">
        <v>0</v>
      </c>
      <c r="AF43" s="21">
        <v>0</v>
      </c>
      <c r="AG43" s="21">
        <v>0</v>
      </c>
      <c r="AH43" s="21">
        <v>0</v>
      </c>
      <c r="AI43" s="21">
        <v>0</v>
      </c>
      <c r="AJ43" s="21">
        <v>0</v>
      </c>
      <c r="AK43" s="20">
        <v>0</v>
      </c>
      <c r="AL43" s="22">
        <v>0</v>
      </c>
      <c r="AM43" s="54"/>
      <c r="AN43" s="13">
        <v>0</v>
      </c>
      <c r="AO43" s="13">
        <v>0</v>
      </c>
    </row>
    <row r="44" spans="1:41" s="15" customFormat="1" ht="17" thickBot="1">
      <c r="A44" s="46"/>
      <c r="B44" s="12" t="s">
        <v>61</v>
      </c>
      <c r="C44" s="26"/>
      <c r="D44" s="26"/>
      <c r="E44" s="19"/>
      <c r="F44" s="19"/>
      <c r="G44" s="19"/>
      <c r="H44" s="19"/>
      <c r="I44" s="23"/>
      <c r="J44" s="19"/>
      <c r="K44" s="19"/>
      <c r="L44" s="19"/>
      <c r="M44" s="19"/>
      <c r="N44" s="23"/>
      <c r="O44" s="19"/>
      <c r="P44" s="19"/>
      <c r="Q44" s="19"/>
      <c r="R44" s="19"/>
      <c r="S44" s="19"/>
      <c r="T44" s="23"/>
      <c r="U44" s="24"/>
      <c r="V44" s="19"/>
      <c r="W44" s="19"/>
      <c r="X44" s="19"/>
      <c r="Y44" s="19"/>
      <c r="Z44" s="23"/>
      <c r="AA44" s="19"/>
      <c r="AB44" s="19"/>
      <c r="AC44" s="19"/>
      <c r="AD44" s="19"/>
      <c r="AE44" s="23"/>
      <c r="AF44" s="19"/>
      <c r="AG44" s="19"/>
      <c r="AH44" s="19"/>
      <c r="AI44" s="19"/>
      <c r="AJ44" s="19"/>
      <c r="AK44" s="23"/>
      <c r="AL44" s="24"/>
      <c r="AM44" s="54"/>
      <c r="AN44" s="13">
        <v>0</v>
      </c>
      <c r="AO44" s="13">
        <v>0</v>
      </c>
    </row>
    <row r="45" spans="1:41" s="15" customFormat="1">
      <c r="A45" s="176" t="s">
        <v>68</v>
      </c>
      <c r="B45" s="3" t="s">
        <v>57</v>
      </c>
      <c r="C45" s="26"/>
      <c r="D45" s="26"/>
      <c r="E45" s="27"/>
      <c r="F45" s="27">
        <v>0</v>
      </c>
      <c r="G45" s="27">
        <v>-171</v>
      </c>
      <c r="H45" s="27">
        <v>0</v>
      </c>
      <c r="I45" s="26">
        <v>-171</v>
      </c>
      <c r="J45" s="27">
        <v>0</v>
      </c>
      <c r="K45" s="27">
        <v>0</v>
      </c>
      <c r="L45" s="27">
        <v>0</v>
      </c>
      <c r="M45" s="27">
        <v>0</v>
      </c>
      <c r="N45" s="26">
        <v>0</v>
      </c>
      <c r="O45" s="27">
        <v>0</v>
      </c>
      <c r="P45" s="27">
        <v>0</v>
      </c>
      <c r="Q45" s="27">
        <v>0</v>
      </c>
      <c r="R45" s="27">
        <v>0</v>
      </c>
      <c r="S45" s="27">
        <v>0</v>
      </c>
      <c r="T45" s="26">
        <v>0</v>
      </c>
      <c r="U45" s="28">
        <v>-171</v>
      </c>
      <c r="V45" s="27">
        <v>0</v>
      </c>
      <c r="W45" s="27">
        <v>0</v>
      </c>
      <c r="X45" s="27">
        <v>0</v>
      </c>
      <c r="Y45" s="27">
        <v>0</v>
      </c>
      <c r="Z45" s="26">
        <v>0</v>
      </c>
      <c r="AA45" s="27">
        <v>0</v>
      </c>
      <c r="AB45" s="27">
        <v>0</v>
      </c>
      <c r="AC45" s="27">
        <v>0</v>
      </c>
      <c r="AD45" s="27">
        <v>0</v>
      </c>
      <c r="AE45" s="26">
        <v>0</v>
      </c>
      <c r="AF45" s="27">
        <v>0</v>
      </c>
      <c r="AG45" s="27">
        <v>0</v>
      </c>
      <c r="AH45" s="27">
        <v>0</v>
      </c>
      <c r="AI45" s="27">
        <v>0</v>
      </c>
      <c r="AJ45" s="27">
        <v>0</v>
      </c>
      <c r="AK45" s="26">
        <v>0</v>
      </c>
      <c r="AL45" s="28">
        <v>0</v>
      </c>
      <c r="AM45" s="54">
        <v>32</v>
      </c>
      <c r="AN45" s="13">
        <f>U45*AM45</f>
        <v>-5472</v>
      </c>
      <c r="AO45" s="13">
        <f>AM45*AL45</f>
        <v>0</v>
      </c>
    </row>
    <row r="46" spans="1:41" s="15" customFormat="1">
      <c r="A46" s="177"/>
      <c r="B46" s="12" t="s">
        <v>58</v>
      </c>
      <c r="C46" s="26"/>
      <c r="D46" s="26"/>
      <c r="E46" s="27"/>
      <c r="F46" s="27">
        <v>0</v>
      </c>
      <c r="G46" s="27">
        <v>0</v>
      </c>
      <c r="H46" s="27">
        <v>0</v>
      </c>
      <c r="I46" s="26">
        <v>0</v>
      </c>
      <c r="J46" s="27">
        <v>0</v>
      </c>
      <c r="K46" s="27">
        <v>0</v>
      </c>
      <c r="L46" s="27">
        <v>0</v>
      </c>
      <c r="M46" s="27">
        <v>0</v>
      </c>
      <c r="N46" s="26">
        <v>0</v>
      </c>
      <c r="O46" s="27">
        <v>0</v>
      </c>
      <c r="P46" s="27">
        <v>0</v>
      </c>
      <c r="Q46" s="27">
        <v>0</v>
      </c>
      <c r="R46" s="27">
        <v>0</v>
      </c>
      <c r="S46" s="27">
        <v>0</v>
      </c>
      <c r="T46" s="26">
        <v>0</v>
      </c>
      <c r="U46" s="28">
        <v>0</v>
      </c>
      <c r="V46" s="27">
        <v>0</v>
      </c>
      <c r="W46" s="27">
        <v>0</v>
      </c>
      <c r="X46" s="27">
        <v>0</v>
      </c>
      <c r="Y46" s="27">
        <v>0</v>
      </c>
      <c r="Z46" s="26">
        <v>0</v>
      </c>
      <c r="AA46" s="27">
        <v>0</v>
      </c>
      <c r="AB46" s="27">
        <v>0</v>
      </c>
      <c r="AC46" s="27">
        <v>0</v>
      </c>
      <c r="AD46" s="27">
        <v>0</v>
      </c>
      <c r="AE46" s="26">
        <v>0</v>
      </c>
      <c r="AF46" s="27">
        <v>0</v>
      </c>
      <c r="AG46" s="27">
        <v>0</v>
      </c>
      <c r="AH46" s="27">
        <v>0</v>
      </c>
      <c r="AI46" s="27">
        <v>0</v>
      </c>
      <c r="AJ46" s="27">
        <v>0</v>
      </c>
      <c r="AK46" s="26">
        <v>0</v>
      </c>
      <c r="AL46" s="28">
        <v>0</v>
      </c>
      <c r="AM46" s="54"/>
      <c r="AN46" s="13">
        <v>0</v>
      </c>
      <c r="AO46" s="13">
        <v>0</v>
      </c>
    </row>
    <row r="47" spans="1:41" s="15" customFormat="1">
      <c r="A47" s="177"/>
      <c r="B47" s="12" t="s">
        <v>59</v>
      </c>
      <c r="C47" s="26">
        <v>0</v>
      </c>
      <c r="D47" s="26">
        <v>0</v>
      </c>
      <c r="E47" s="27"/>
      <c r="F47" s="27">
        <v>0</v>
      </c>
      <c r="G47" s="27">
        <v>0</v>
      </c>
      <c r="H47" s="27">
        <v>0</v>
      </c>
      <c r="I47" s="26">
        <v>0</v>
      </c>
      <c r="J47" s="27">
        <v>0</v>
      </c>
      <c r="K47" s="27">
        <v>0</v>
      </c>
      <c r="L47" s="27">
        <v>0</v>
      </c>
      <c r="M47" s="27">
        <v>0</v>
      </c>
      <c r="N47" s="26">
        <v>0</v>
      </c>
      <c r="O47" s="27">
        <v>0</v>
      </c>
      <c r="P47" s="27">
        <v>0</v>
      </c>
      <c r="Q47" s="27">
        <v>0</v>
      </c>
      <c r="R47" s="27">
        <v>0</v>
      </c>
      <c r="S47" s="27">
        <v>0</v>
      </c>
      <c r="T47" s="26">
        <v>0</v>
      </c>
      <c r="U47" s="28">
        <v>0</v>
      </c>
      <c r="V47" s="27">
        <v>0</v>
      </c>
      <c r="W47" s="27">
        <v>0</v>
      </c>
      <c r="X47" s="27">
        <v>0</v>
      </c>
      <c r="Y47" s="27">
        <v>0</v>
      </c>
      <c r="Z47" s="26">
        <v>0</v>
      </c>
      <c r="AA47" s="27">
        <v>0</v>
      </c>
      <c r="AB47" s="27">
        <v>0</v>
      </c>
      <c r="AC47" s="27">
        <v>0</v>
      </c>
      <c r="AD47" s="27">
        <v>0</v>
      </c>
      <c r="AE47" s="26">
        <v>0</v>
      </c>
      <c r="AF47" s="27">
        <v>0</v>
      </c>
      <c r="AG47" s="27">
        <v>0</v>
      </c>
      <c r="AH47" s="27">
        <v>0</v>
      </c>
      <c r="AI47" s="27">
        <v>0</v>
      </c>
      <c r="AJ47" s="27">
        <v>0</v>
      </c>
      <c r="AK47" s="26">
        <v>0</v>
      </c>
      <c r="AL47" s="28">
        <v>0</v>
      </c>
      <c r="AM47" s="54"/>
      <c r="AN47" s="13">
        <v>0</v>
      </c>
      <c r="AO47" s="13">
        <v>0</v>
      </c>
    </row>
    <row r="48" spans="1:41" s="15" customFormat="1">
      <c r="A48" s="177"/>
      <c r="B48" s="12" t="s">
        <v>7</v>
      </c>
      <c r="C48" s="26"/>
      <c r="D48" s="26"/>
      <c r="E48" s="32"/>
      <c r="F48" s="27">
        <v>0</v>
      </c>
      <c r="G48" s="27">
        <v>0</v>
      </c>
      <c r="H48" s="27">
        <v>0</v>
      </c>
      <c r="I48" s="26">
        <v>0</v>
      </c>
      <c r="J48" s="32">
        <v>0</v>
      </c>
      <c r="K48" s="27">
        <v>0</v>
      </c>
      <c r="L48" s="27">
        <v>0</v>
      </c>
      <c r="M48" s="27">
        <v>0</v>
      </c>
      <c r="N48" s="26">
        <v>0</v>
      </c>
      <c r="O48" s="32">
        <v>0</v>
      </c>
      <c r="P48" s="27">
        <v>0</v>
      </c>
      <c r="Q48" s="27">
        <v>0</v>
      </c>
      <c r="R48" s="27">
        <v>0</v>
      </c>
      <c r="S48" s="27">
        <v>0</v>
      </c>
      <c r="T48" s="26">
        <v>0</v>
      </c>
      <c r="U48" s="28">
        <v>0</v>
      </c>
      <c r="V48" s="32">
        <v>0</v>
      </c>
      <c r="W48" s="27">
        <v>0</v>
      </c>
      <c r="X48" s="27">
        <v>0</v>
      </c>
      <c r="Y48" s="27">
        <v>0</v>
      </c>
      <c r="Z48" s="26">
        <v>171</v>
      </c>
      <c r="AA48" s="32">
        <v>0</v>
      </c>
      <c r="AB48" s="27">
        <v>0</v>
      </c>
      <c r="AC48" s="27">
        <v>0</v>
      </c>
      <c r="AD48" s="27">
        <v>0</v>
      </c>
      <c r="AE48" s="26">
        <v>0</v>
      </c>
      <c r="AF48" s="32">
        <v>0</v>
      </c>
      <c r="AG48" s="27">
        <v>0</v>
      </c>
      <c r="AH48" s="27">
        <v>0</v>
      </c>
      <c r="AI48" s="27">
        <v>0</v>
      </c>
      <c r="AJ48" s="27">
        <v>0</v>
      </c>
      <c r="AK48" s="26">
        <v>0</v>
      </c>
      <c r="AL48" s="28">
        <v>171</v>
      </c>
      <c r="AM48" s="54"/>
      <c r="AN48" s="13">
        <v>0</v>
      </c>
      <c r="AO48" s="13">
        <v>0</v>
      </c>
    </row>
    <row r="49" spans="1:41" s="15" customFormat="1" ht="17" thickBot="1">
      <c r="A49" s="178"/>
      <c r="B49" s="4" t="s">
        <v>60</v>
      </c>
      <c r="C49" s="26">
        <v>171</v>
      </c>
      <c r="D49" s="37">
        <v>0</v>
      </c>
      <c r="E49" s="21"/>
      <c r="F49" s="21">
        <v>0</v>
      </c>
      <c r="G49" s="21">
        <v>171</v>
      </c>
      <c r="H49" s="21">
        <v>171</v>
      </c>
      <c r="I49" s="20">
        <v>171</v>
      </c>
      <c r="J49" s="21">
        <v>171</v>
      </c>
      <c r="K49" s="21">
        <v>171</v>
      </c>
      <c r="L49" s="21">
        <v>171</v>
      </c>
      <c r="M49" s="21">
        <v>171</v>
      </c>
      <c r="N49" s="20">
        <v>171</v>
      </c>
      <c r="O49" s="21">
        <v>171</v>
      </c>
      <c r="P49" s="21">
        <v>171</v>
      </c>
      <c r="Q49" s="21">
        <v>171</v>
      </c>
      <c r="R49" s="21">
        <v>171</v>
      </c>
      <c r="S49" s="21">
        <v>171</v>
      </c>
      <c r="T49" s="20">
        <v>171</v>
      </c>
      <c r="U49" s="22">
        <v>171</v>
      </c>
      <c r="V49" s="21">
        <v>0</v>
      </c>
      <c r="W49" s="21">
        <v>0</v>
      </c>
      <c r="X49" s="21">
        <v>0</v>
      </c>
      <c r="Y49" s="21">
        <v>0</v>
      </c>
      <c r="Z49" s="20">
        <v>171</v>
      </c>
      <c r="AA49" s="21">
        <v>171</v>
      </c>
      <c r="AB49" s="21">
        <v>171</v>
      </c>
      <c r="AC49" s="21">
        <v>171</v>
      </c>
      <c r="AD49" s="21">
        <v>171</v>
      </c>
      <c r="AE49" s="20">
        <v>171</v>
      </c>
      <c r="AF49" s="21">
        <v>171</v>
      </c>
      <c r="AG49" s="21">
        <v>171</v>
      </c>
      <c r="AH49" s="21">
        <v>171</v>
      </c>
      <c r="AI49" s="21">
        <v>171</v>
      </c>
      <c r="AJ49" s="21">
        <v>171</v>
      </c>
      <c r="AK49" s="20">
        <v>171</v>
      </c>
      <c r="AL49" s="22">
        <v>342</v>
      </c>
      <c r="AM49" s="54"/>
      <c r="AN49" s="13">
        <v>0</v>
      </c>
      <c r="AO49" s="13">
        <v>0</v>
      </c>
    </row>
    <row r="50" spans="1:41" s="15" customFormat="1" ht="17" thickBot="1">
      <c r="A50" s="46"/>
      <c r="B50" s="12" t="s">
        <v>61</v>
      </c>
      <c r="C50" s="26"/>
      <c r="D50" s="26"/>
      <c r="E50" s="19"/>
      <c r="F50" s="19"/>
      <c r="G50" s="19"/>
      <c r="H50" s="19"/>
      <c r="I50" s="23"/>
      <c r="J50" s="19"/>
      <c r="K50" s="19"/>
      <c r="L50" s="19"/>
      <c r="M50" s="19"/>
      <c r="N50" s="23"/>
      <c r="O50" s="19"/>
      <c r="P50" s="19"/>
      <c r="Q50" s="19"/>
      <c r="R50" s="19"/>
      <c r="S50" s="19"/>
      <c r="T50" s="23"/>
      <c r="U50" s="24"/>
      <c r="V50" s="19"/>
      <c r="W50" s="19"/>
      <c r="X50" s="19"/>
      <c r="Y50" s="19"/>
      <c r="Z50" s="23"/>
      <c r="AA50" s="19"/>
      <c r="AB50" s="19"/>
      <c r="AC50" s="19"/>
      <c r="AD50" s="19"/>
      <c r="AE50" s="23"/>
      <c r="AF50" s="19"/>
      <c r="AG50" s="19"/>
      <c r="AH50" s="19"/>
      <c r="AI50" s="19"/>
      <c r="AJ50" s="19"/>
      <c r="AK50" s="23"/>
      <c r="AL50" s="24"/>
      <c r="AM50" s="54"/>
      <c r="AN50" s="13">
        <v>0</v>
      </c>
      <c r="AO50" s="13">
        <v>0</v>
      </c>
    </row>
    <row r="51" spans="1:41" s="15" customFormat="1">
      <c r="A51" s="182" t="s">
        <v>69</v>
      </c>
      <c r="B51" s="3" t="s">
        <v>57</v>
      </c>
      <c r="C51" s="26"/>
      <c r="D51" s="26"/>
      <c r="E51" s="27"/>
      <c r="F51" s="27">
        <v>15000</v>
      </c>
      <c r="G51" s="27">
        <v>14446</v>
      </c>
      <c r="H51" s="27">
        <v>2624</v>
      </c>
      <c r="I51" s="26">
        <v>32070</v>
      </c>
      <c r="J51" s="27">
        <v>42283</v>
      </c>
      <c r="K51" s="27">
        <v>9450</v>
      </c>
      <c r="L51" s="27">
        <v>15182</v>
      </c>
      <c r="M51" s="27">
        <v>11906</v>
      </c>
      <c r="N51" s="26">
        <v>78821</v>
      </c>
      <c r="O51" s="27">
        <v>35296</v>
      </c>
      <c r="P51" s="27">
        <v>38986</v>
      </c>
      <c r="Q51" s="27">
        <v>2117</v>
      </c>
      <c r="R51" s="27">
        <v>36381</v>
      </c>
      <c r="S51" s="27">
        <v>34064</v>
      </c>
      <c r="T51" s="26">
        <v>146844</v>
      </c>
      <c r="U51" s="28">
        <v>318482</v>
      </c>
      <c r="V51" s="27">
        <v>0</v>
      </c>
      <c r="W51" s="27">
        <v>700</v>
      </c>
      <c r="X51" s="27">
        <v>0</v>
      </c>
      <c r="Y51" s="27">
        <v>0</v>
      </c>
      <c r="Z51" s="26">
        <v>700</v>
      </c>
      <c r="AA51" s="27">
        <v>16000</v>
      </c>
      <c r="AB51" s="27">
        <v>0</v>
      </c>
      <c r="AC51" s="27">
        <v>0</v>
      </c>
      <c r="AD51" s="27">
        <v>3735</v>
      </c>
      <c r="AE51" s="26">
        <v>19735</v>
      </c>
      <c r="AF51" s="27">
        <v>0</v>
      </c>
      <c r="AG51" s="27">
        <v>0</v>
      </c>
      <c r="AH51" s="27">
        <v>0</v>
      </c>
      <c r="AI51" s="27">
        <v>0</v>
      </c>
      <c r="AJ51" s="27">
        <v>0</v>
      </c>
      <c r="AK51" s="26">
        <v>0</v>
      </c>
      <c r="AL51" s="28">
        <v>20435</v>
      </c>
      <c r="AM51" s="54">
        <v>32</v>
      </c>
      <c r="AN51" s="13">
        <f>U51*AM51</f>
        <v>10191424</v>
      </c>
      <c r="AO51" s="13">
        <f>AM51*AL51</f>
        <v>653920</v>
      </c>
    </row>
    <row r="52" spans="1:41" s="15" customFormat="1">
      <c r="A52" s="183"/>
      <c r="B52" s="12" t="s">
        <v>58</v>
      </c>
      <c r="C52" s="26"/>
      <c r="D52" s="26"/>
      <c r="E52" s="27"/>
      <c r="F52" s="27">
        <v>15000</v>
      </c>
      <c r="G52" s="27">
        <v>36000</v>
      </c>
      <c r="H52" s="27">
        <v>61000</v>
      </c>
      <c r="I52" s="26">
        <v>112000</v>
      </c>
      <c r="J52" s="27">
        <v>0</v>
      </c>
      <c r="K52" s="27">
        <v>20000</v>
      </c>
      <c r="L52" s="27">
        <v>20000</v>
      </c>
      <c r="M52" s="27">
        <v>40000</v>
      </c>
      <c r="N52" s="26">
        <v>80000</v>
      </c>
      <c r="O52" s="27">
        <v>20000</v>
      </c>
      <c r="P52" s="27">
        <v>20000</v>
      </c>
      <c r="Q52" s="27">
        <v>20000</v>
      </c>
      <c r="R52" s="27">
        <v>40000</v>
      </c>
      <c r="S52" s="27">
        <v>20000</v>
      </c>
      <c r="T52" s="26">
        <v>120000</v>
      </c>
      <c r="U52" s="28">
        <v>0</v>
      </c>
      <c r="V52" s="27">
        <v>20000</v>
      </c>
      <c r="W52" s="27">
        <v>0</v>
      </c>
      <c r="X52" s="27">
        <v>0</v>
      </c>
      <c r="Y52" s="27">
        <v>0</v>
      </c>
      <c r="Z52" s="26">
        <v>20000</v>
      </c>
      <c r="AA52" s="27">
        <v>0</v>
      </c>
      <c r="AB52" s="27">
        <v>0</v>
      </c>
      <c r="AC52" s="27">
        <v>0</v>
      </c>
      <c r="AD52" s="27">
        <v>0</v>
      </c>
      <c r="AE52" s="26">
        <v>0</v>
      </c>
      <c r="AF52" s="27">
        <v>0</v>
      </c>
      <c r="AG52" s="27">
        <v>0</v>
      </c>
      <c r="AH52" s="27">
        <v>0</v>
      </c>
      <c r="AI52" s="27">
        <v>0</v>
      </c>
      <c r="AJ52" s="27">
        <v>0</v>
      </c>
      <c r="AK52" s="26">
        <v>0</v>
      </c>
      <c r="AL52" s="28">
        <v>0</v>
      </c>
      <c r="AM52" s="54"/>
      <c r="AN52" s="13">
        <v>0</v>
      </c>
      <c r="AO52" s="13">
        <v>0</v>
      </c>
    </row>
    <row r="53" spans="1:41" s="15" customFormat="1">
      <c r="A53" s="183"/>
      <c r="B53" s="12" t="s">
        <v>59</v>
      </c>
      <c r="C53" s="26">
        <v>11625</v>
      </c>
      <c r="D53" s="26">
        <v>11625</v>
      </c>
      <c r="E53" s="27"/>
      <c r="F53" s="27">
        <v>0</v>
      </c>
      <c r="G53" s="27">
        <v>0</v>
      </c>
      <c r="H53" s="27">
        <v>11625</v>
      </c>
      <c r="I53" s="26">
        <v>11625</v>
      </c>
      <c r="J53" s="27">
        <v>0</v>
      </c>
      <c r="K53" s="27">
        <v>0</v>
      </c>
      <c r="L53" s="27">
        <v>0</v>
      </c>
      <c r="M53" s="27">
        <v>0</v>
      </c>
      <c r="N53" s="26">
        <v>0</v>
      </c>
      <c r="O53" s="27">
        <v>0</v>
      </c>
      <c r="P53" s="27">
        <v>0</v>
      </c>
      <c r="Q53" s="27">
        <v>0</v>
      </c>
      <c r="R53" s="27">
        <v>0</v>
      </c>
      <c r="S53" s="27">
        <v>0</v>
      </c>
      <c r="T53" s="26">
        <v>0</v>
      </c>
      <c r="U53" s="28">
        <v>0</v>
      </c>
      <c r="V53" s="27">
        <v>0</v>
      </c>
      <c r="W53" s="27">
        <v>0</v>
      </c>
      <c r="X53" s="27">
        <v>0</v>
      </c>
      <c r="Y53" s="27">
        <v>0</v>
      </c>
      <c r="Z53" s="26">
        <v>0</v>
      </c>
      <c r="AA53" s="27">
        <v>0</v>
      </c>
      <c r="AB53" s="27">
        <v>0</v>
      </c>
      <c r="AC53" s="27">
        <v>0</v>
      </c>
      <c r="AD53" s="27">
        <v>0</v>
      </c>
      <c r="AE53" s="26">
        <v>0</v>
      </c>
      <c r="AF53" s="27">
        <v>0</v>
      </c>
      <c r="AG53" s="27">
        <v>0</v>
      </c>
      <c r="AH53" s="27">
        <v>0</v>
      </c>
      <c r="AI53" s="27">
        <v>0</v>
      </c>
      <c r="AJ53" s="27">
        <v>0</v>
      </c>
      <c r="AK53" s="26">
        <v>0</v>
      </c>
      <c r="AL53" s="28">
        <v>0</v>
      </c>
      <c r="AM53" s="54"/>
      <c r="AN53" s="13">
        <v>0</v>
      </c>
      <c r="AO53" s="13">
        <v>0</v>
      </c>
    </row>
    <row r="54" spans="1:41" s="15" customFormat="1">
      <c r="A54" s="183"/>
      <c r="B54" s="12" t="s">
        <v>7</v>
      </c>
      <c r="C54" s="26"/>
      <c r="D54" s="26"/>
      <c r="E54" s="32"/>
      <c r="F54" s="27">
        <v>15000</v>
      </c>
      <c r="G54" s="27">
        <v>36000</v>
      </c>
      <c r="H54" s="27">
        <v>72625</v>
      </c>
      <c r="I54" s="26">
        <v>123625</v>
      </c>
      <c r="J54" s="32">
        <v>0</v>
      </c>
      <c r="K54" s="27">
        <v>20000</v>
      </c>
      <c r="L54" s="27">
        <v>20000</v>
      </c>
      <c r="M54" s="27">
        <v>40000</v>
      </c>
      <c r="N54" s="26">
        <v>80000</v>
      </c>
      <c r="O54" s="32">
        <v>20000</v>
      </c>
      <c r="P54" s="27">
        <v>20000</v>
      </c>
      <c r="Q54" s="27">
        <v>20000</v>
      </c>
      <c r="R54" s="27">
        <v>40000</v>
      </c>
      <c r="S54" s="27">
        <v>20000</v>
      </c>
      <c r="T54" s="26">
        <v>120000</v>
      </c>
      <c r="U54" s="28">
        <v>384372</v>
      </c>
      <c r="V54" s="32">
        <v>20000</v>
      </c>
      <c r="W54" s="27">
        <v>0</v>
      </c>
      <c r="X54" s="27">
        <v>0</v>
      </c>
      <c r="Y54" s="27">
        <v>0</v>
      </c>
      <c r="Z54" s="26">
        <v>20000</v>
      </c>
      <c r="AA54" s="32">
        <v>0</v>
      </c>
      <c r="AB54" s="27">
        <v>0</v>
      </c>
      <c r="AC54" s="27">
        <v>0</v>
      </c>
      <c r="AD54" s="27">
        <v>0</v>
      </c>
      <c r="AE54" s="26">
        <v>0</v>
      </c>
      <c r="AF54" s="32">
        <v>0</v>
      </c>
      <c r="AG54" s="27">
        <v>0</v>
      </c>
      <c r="AH54" s="27">
        <v>0</v>
      </c>
      <c r="AI54" s="27">
        <v>0</v>
      </c>
      <c r="AJ54" s="27">
        <v>0</v>
      </c>
      <c r="AK54" s="26">
        <v>0</v>
      </c>
      <c r="AL54" s="28">
        <v>20000</v>
      </c>
      <c r="AM54" s="54"/>
      <c r="AN54" s="13">
        <v>0</v>
      </c>
      <c r="AO54" s="13">
        <v>0</v>
      </c>
    </row>
    <row r="55" spans="1:41" s="15" customFormat="1" ht="17" thickBot="1">
      <c r="A55" s="184"/>
      <c r="B55" s="4" t="s">
        <v>60</v>
      </c>
      <c r="C55" s="26">
        <v>74963</v>
      </c>
      <c r="D55" s="37">
        <v>60747</v>
      </c>
      <c r="E55" s="21"/>
      <c r="F55" s="21">
        <v>0</v>
      </c>
      <c r="G55" s="21">
        <v>21554</v>
      </c>
      <c r="H55" s="21">
        <v>70001</v>
      </c>
      <c r="I55" s="20">
        <v>91555</v>
      </c>
      <c r="J55" s="21">
        <v>49272</v>
      </c>
      <c r="K55" s="21">
        <v>59822</v>
      </c>
      <c r="L55" s="21">
        <v>64640</v>
      </c>
      <c r="M55" s="21">
        <v>92734</v>
      </c>
      <c r="N55" s="20">
        <v>92734</v>
      </c>
      <c r="O55" s="21">
        <v>77438</v>
      </c>
      <c r="P55" s="21">
        <v>58452</v>
      </c>
      <c r="Q55" s="21">
        <v>76335</v>
      </c>
      <c r="R55" s="21">
        <v>79954</v>
      </c>
      <c r="S55" s="21">
        <v>65890</v>
      </c>
      <c r="T55" s="20">
        <v>65890</v>
      </c>
      <c r="U55" s="22">
        <v>65890</v>
      </c>
      <c r="V55" s="21">
        <v>85890</v>
      </c>
      <c r="W55" s="21">
        <v>85190</v>
      </c>
      <c r="X55" s="21">
        <v>85190</v>
      </c>
      <c r="Y55" s="21">
        <v>85190</v>
      </c>
      <c r="Z55" s="20">
        <v>85190</v>
      </c>
      <c r="AA55" s="21">
        <v>69190</v>
      </c>
      <c r="AB55" s="21">
        <v>69190</v>
      </c>
      <c r="AC55" s="21">
        <v>69190</v>
      </c>
      <c r="AD55" s="21">
        <v>65455</v>
      </c>
      <c r="AE55" s="20">
        <v>65455</v>
      </c>
      <c r="AF55" s="21">
        <v>65455</v>
      </c>
      <c r="AG55" s="21">
        <v>65455</v>
      </c>
      <c r="AH55" s="21">
        <v>65455</v>
      </c>
      <c r="AI55" s="21">
        <v>65455</v>
      </c>
      <c r="AJ55" s="21">
        <v>65455</v>
      </c>
      <c r="AK55" s="20">
        <v>65455</v>
      </c>
      <c r="AL55" s="22">
        <v>65455</v>
      </c>
      <c r="AM55" s="54"/>
      <c r="AN55" s="13">
        <v>0</v>
      </c>
      <c r="AO55" s="13">
        <v>0</v>
      </c>
    </row>
    <row r="56" spans="1:41" s="15" customFormat="1" ht="17" thickBot="1">
      <c r="A56" s="46"/>
      <c r="B56" s="12" t="s">
        <v>61</v>
      </c>
      <c r="C56" s="26"/>
      <c r="D56" s="26"/>
      <c r="E56" s="19">
        <v>0</v>
      </c>
      <c r="F56" s="19"/>
      <c r="G56" s="19"/>
      <c r="H56" s="19"/>
      <c r="I56" s="23"/>
      <c r="J56" s="19"/>
      <c r="K56" s="19"/>
      <c r="L56" s="19"/>
      <c r="M56" s="19"/>
      <c r="N56" s="23"/>
      <c r="O56" s="19"/>
      <c r="P56" s="19"/>
      <c r="Q56" s="19"/>
      <c r="R56" s="19"/>
      <c r="S56" s="19"/>
      <c r="T56" s="23"/>
      <c r="U56" s="24"/>
      <c r="V56" s="19"/>
      <c r="W56" s="19"/>
      <c r="X56" s="19"/>
      <c r="Y56" s="19"/>
      <c r="Z56" s="23"/>
      <c r="AA56" s="19"/>
      <c r="AB56" s="19"/>
      <c r="AC56" s="19"/>
      <c r="AD56" s="19"/>
      <c r="AE56" s="23"/>
      <c r="AF56" s="19"/>
      <c r="AG56" s="19"/>
      <c r="AH56" s="19"/>
      <c r="AI56" s="19"/>
      <c r="AJ56" s="19"/>
      <c r="AK56" s="23"/>
      <c r="AL56" s="24"/>
      <c r="AM56" s="54"/>
      <c r="AN56" s="13">
        <v>0</v>
      </c>
      <c r="AO56" s="13">
        <v>0</v>
      </c>
    </row>
    <row r="57" spans="1:41" s="15" customFormat="1">
      <c r="A57" s="182" t="s">
        <v>70</v>
      </c>
      <c r="B57" s="3" t="s">
        <v>57</v>
      </c>
      <c r="C57" s="26"/>
      <c r="D57" s="26"/>
      <c r="E57" s="27"/>
      <c r="F57" s="27">
        <v>0</v>
      </c>
      <c r="G57" s="27">
        <v>-387</v>
      </c>
      <c r="H57" s="27">
        <v>0</v>
      </c>
      <c r="I57" s="26">
        <v>-387</v>
      </c>
      <c r="J57" s="27">
        <v>0</v>
      </c>
      <c r="K57" s="27">
        <v>0</v>
      </c>
      <c r="L57" s="27">
        <v>0</v>
      </c>
      <c r="M57" s="27">
        <v>0</v>
      </c>
      <c r="N57" s="26">
        <v>0</v>
      </c>
      <c r="O57" s="27">
        <v>0</v>
      </c>
      <c r="P57" s="27">
        <v>0</v>
      </c>
      <c r="Q57" s="27">
        <v>0</v>
      </c>
      <c r="R57" s="27">
        <v>0</v>
      </c>
      <c r="S57" s="27">
        <v>0</v>
      </c>
      <c r="T57" s="26">
        <v>0</v>
      </c>
      <c r="U57" s="28">
        <v>-387</v>
      </c>
      <c r="V57" s="27">
        <v>0</v>
      </c>
      <c r="W57" s="27">
        <v>0</v>
      </c>
      <c r="X57" s="27">
        <v>0</v>
      </c>
      <c r="Y57" s="27">
        <v>0</v>
      </c>
      <c r="Z57" s="26">
        <v>0</v>
      </c>
      <c r="AA57" s="27">
        <v>0</v>
      </c>
      <c r="AB57" s="27">
        <v>0</v>
      </c>
      <c r="AC57" s="27">
        <v>0</v>
      </c>
      <c r="AD57" s="27">
        <v>0</v>
      </c>
      <c r="AE57" s="26">
        <v>0</v>
      </c>
      <c r="AF57" s="27">
        <v>0</v>
      </c>
      <c r="AG57" s="27">
        <v>0</v>
      </c>
      <c r="AH57" s="27">
        <v>0</v>
      </c>
      <c r="AI57" s="27">
        <v>0</v>
      </c>
      <c r="AJ57" s="27">
        <v>0</v>
      </c>
      <c r="AK57" s="26">
        <v>0</v>
      </c>
      <c r="AL57" s="28">
        <v>0</v>
      </c>
      <c r="AM57" s="54">
        <v>64</v>
      </c>
      <c r="AN57" s="13">
        <f>U57*AM57</f>
        <v>-24768</v>
      </c>
      <c r="AO57" s="13">
        <f>AM57*AL57</f>
        <v>0</v>
      </c>
    </row>
    <row r="58" spans="1:41" s="15" customFormat="1">
      <c r="A58" s="183"/>
      <c r="B58" s="12" t="s">
        <v>58</v>
      </c>
      <c r="C58" s="26"/>
      <c r="D58" s="26"/>
      <c r="E58" s="27"/>
      <c r="F58" s="27">
        <v>0</v>
      </c>
      <c r="G58" s="27">
        <v>0</v>
      </c>
      <c r="H58" s="27">
        <v>0</v>
      </c>
      <c r="I58" s="26">
        <v>0</v>
      </c>
      <c r="J58" s="27">
        <v>0</v>
      </c>
      <c r="K58" s="27">
        <v>0</v>
      </c>
      <c r="L58" s="27">
        <v>0</v>
      </c>
      <c r="M58" s="27">
        <v>0</v>
      </c>
      <c r="N58" s="26">
        <v>0</v>
      </c>
      <c r="O58" s="27">
        <v>0</v>
      </c>
      <c r="P58" s="27">
        <v>0</v>
      </c>
      <c r="Q58" s="27">
        <v>0</v>
      </c>
      <c r="R58" s="27">
        <v>0</v>
      </c>
      <c r="S58" s="27">
        <v>0</v>
      </c>
      <c r="T58" s="26">
        <v>0</v>
      </c>
      <c r="U58" s="28">
        <v>0</v>
      </c>
      <c r="V58" s="27">
        <v>0</v>
      </c>
      <c r="W58" s="27">
        <v>0</v>
      </c>
      <c r="X58" s="27">
        <v>0</v>
      </c>
      <c r="Y58" s="27">
        <v>0</v>
      </c>
      <c r="Z58" s="26">
        <v>0</v>
      </c>
      <c r="AA58" s="27">
        <v>0</v>
      </c>
      <c r="AB58" s="27">
        <v>0</v>
      </c>
      <c r="AC58" s="27">
        <v>0</v>
      </c>
      <c r="AD58" s="27">
        <v>0</v>
      </c>
      <c r="AE58" s="26">
        <v>0</v>
      </c>
      <c r="AF58" s="27">
        <v>0</v>
      </c>
      <c r="AG58" s="27">
        <v>0</v>
      </c>
      <c r="AH58" s="27">
        <v>0</v>
      </c>
      <c r="AI58" s="27">
        <v>0</v>
      </c>
      <c r="AJ58" s="27">
        <v>0</v>
      </c>
      <c r="AK58" s="26">
        <v>0</v>
      </c>
      <c r="AL58" s="28">
        <v>0</v>
      </c>
      <c r="AM58" s="54"/>
      <c r="AN58" s="13">
        <v>0</v>
      </c>
      <c r="AO58" s="13">
        <v>0</v>
      </c>
    </row>
    <row r="59" spans="1:41" s="15" customFormat="1">
      <c r="A59" s="183"/>
      <c r="B59" s="12" t="s">
        <v>59</v>
      </c>
      <c r="C59" s="26">
        <v>0</v>
      </c>
      <c r="D59" s="26">
        <v>0</v>
      </c>
      <c r="E59" s="27"/>
      <c r="F59" s="27">
        <v>0</v>
      </c>
      <c r="G59" s="27">
        <v>0</v>
      </c>
      <c r="H59" s="27">
        <v>0</v>
      </c>
      <c r="I59" s="26">
        <v>0</v>
      </c>
      <c r="J59" s="27">
        <v>0</v>
      </c>
      <c r="K59" s="27">
        <v>0</v>
      </c>
      <c r="L59" s="27">
        <v>0</v>
      </c>
      <c r="M59" s="27">
        <v>0</v>
      </c>
      <c r="N59" s="26">
        <v>0</v>
      </c>
      <c r="O59" s="27">
        <v>0</v>
      </c>
      <c r="P59" s="27">
        <v>0</v>
      </c>
      <c r="Q59" s="27">
        <v>0</v>
      </c>
      <c r="R59" s="27">
        <v>0</v>
      </c>
      <c r="S59" s="27">
        <v>0</v>
      </c>
      <c r="T59" s="26">
        <v>0</v>
      </c>
      <c r="U59" s="28">
        <v>0</v>
      </c>
      <c r="V59" s="27">
        <v>0</v>
      </c>
      <c r="W59" s="27">
        <v>0</v>
      </c>
      <c r="X59" s="27">
        <v>0</v>
      </c>
      <c r="Y59" s="27">
        <v>0</v>
      </c>
      <c r="Z59" s="26">
        <v>0</v>
      </c>
      <c r="AA59" s="27">
        <v>0</v>
      </c>
      <c r="AB59" s="27">
        <v>0</v>
      </c>
      <c r="AC59" s="27">
        <v>0</v>
      </c>
      <c r="AD59" s="27">
        <v>0</v>
      </c>
      <c r="AE59" s="26">
        <v>0</v>
      </c>
      <c r="AF59" s="27">
        <v>0</v>
      </c>
      <c r="AG59" s="27">
        <v>0</v>
      </c>
      <c r="AH59" s="27">
        <v>0</v>
      </c>
      <c r="AI59" s="27">
        <v>0</v>
      </c>
      <c r="AJ59" s="27">
        <v>0</v>
      </c>
      <c r="AK59" s="26">
        <v>0</v>
      </c>
      <c r="AL59" s="28">
        <v>0</v>
      </c>
      <c r="AM59" s="54"/>
      <c r="AN59" s="13">
        <v>0</v>
      </c>
      <c r="AO59" s="13">
        <v>0</v>
      </c>
    </row>
    <row r="60" spans="1:41" s="15" customFormat="1">
      <c r="A60" s="183"/>
      <c r="B60" s="12" t="s">
        <v>7</v>
      </c>
      <c r="C60" s="26"/>
      <c r="D60" s="26"/>
      <c r="E60" s="32"/>
      <c r="F60" s="27">
        <v>0</v>
      </c>
      <c r="G60" s="27">
        <v>0</v>
      </c>
      <c r="H60" s="27">
        <v>0</v>
      </c>
      <c r="I60" s="26">
        <v>0</v>
      </c>
      <c r="J60" s="32">
        <v>0</v>
      </c>
      <c r="K60" s="27">
        <v>0</v>
      </c>
      <c r="L60" s="27">
        <v>0</v>
      </c>
      <c r="M60" s="27">
        <v>0</v>
      </c>
      <c r="N60" s="26">
        <v>0</v>
      </c>
      <c r="O60" s="32">
        <v>0</v>
      </c>
      <c r="P60" s="27">
        <v>0</v>
      </c>
      <c r="Q60" s="27">
        <v>0</v>
      </c>
      <c r="R60" s="27">
        <v>0</v>
      </c>
      <c r="S60" s="27">
        <v>0</v>
      </c>
      <c r="T60" s="26">
        <v>0</v>
      </c>
      <c r="U60" s="28">
        <v>0</v>
      </c>
      <c r="V60" s="32">
        <v>0</v>
      </c>
      <c r="W60" s="27">
        <v>0</v>
      </c>
      <c r="X60" s="27">
        <v>0</v>
      </c>
      <c r="Y60" s="27">
        <v>0</v>
      </c>
      <c r="Z60" s="26">
        <v>0</v>
      </c>
      <c r="AA60" s="32">
        <v>0</v>
      </c>
      <c r="AB60" s="27">
        <v>0</v>
      </c>
      <c r="AC60" s="27">
        <v>0</v>
      </c>
      <c r="AD60" s="27">
        <v>0</v>
      </c>
      <c r="AE60" s="26">
        <v>0</v>
      </c>
      <c r="AF60" s="32">
        <v>0</v>
      </c>
      <c r="AG60" s="27">
        <v>0</v>
      </c>
      <c r="AH60" s="27">
        <v>0</v>
      </c>
      <c r="AI60" s="27">
        <v>0</v>
      </c>
      <c r="AJ60" s="27">
        <v>0</v>
      </c>
      <c r="AK60" s="26">
        <v>0</v>
      </c>
      <c r="AL60" s="28">
        <v>0</v>
      </c>
      <c r="AM60" s="54"/>
      <c r="AN60" s="13">
        <v>0</v>
      </c>
      <c r="AO60" s="13">
        <v>0</v>
      </c>
    </row>
    <row r="61" spans="1:41" s="15" customFormat="1" ht="17" thickBot="1">
      <c r="A61" s="184"/>
      <c r="B61" s="4" t="s">
        <v>60</v>
      </c>
      <c r="C61" s="26">
        <v>387</v>
      </c>
      <c r="D61" s="37">
        <v>0</v>
      </c>
      <c r="E61" s="21"/>
      <c r="F61" s="21">
        <v>0</v>
      </c>
      <c r="G61" s="21">
        <v>387</v>
      </c>
      <c r="H61" s="21">
        <v>387</v>
      </c>
      <c r="I61" s="20">
        <v>387</v>
      </c>
      <c r="J61" s="21">
        <v>387</v>
      </c>
      <c r="K61" s="21">
        <v>387</v>
      </c>
      <c r="L61" s="21">
        <v>387</v>
      </c>
      <c r="M61" s="21">
        <v>387</v>
      </c>
      <c r="N61" s="20">
        <v>387</v>
      </c>
      <c r="O61" s="21">
        <v>387</v>
      </c>
      <c r="P61" s="21">
        <v>387</v>
      </c>
      <c r="Q61" s="21">
        <v>387</v>
      </c>
      <c r="R61" s="21">
        <v>387</v>
      </c>
      <c r="S61" s="21">
        <v>387</v>
      </c>
      <c r="T61" s="20">
        <v>387</v>
      </c>
      <c r="U61" s="22">
        <v>387</v>
      </c>
      <c r="V61" s="21">
        <v>0</v>
      </c>
      <c r="W61" s="21">
        <v>0</v>
      </c>
      <c r="X61" s="21">
        <v>0</v>
      </c>
      <c r="Y61" s="21">
        <v>0</v>
      </c>
      <c r="Z61" s="20">
        <v>0</v>
      </c>
      <c r="AA61" s="21">
        <v>0</v>
      </c>
      <c r="AB61" s="21">
        <v>0</v>
      </c>
      <c r="AC61" s="21">
        <v>0</v>
      </c>
      <c r="AD61" s="21">
        <v>0</v>
      </c>
      <c r="AE61" s="20">
        <v>0</v>
      </c>
      <c r="AF61" s="21">
        <v>0</v>
      </c>
      <c r="AG61" s="21">
        <v>0</v>
      </c>
      <c r="AH61" s="21">
        <v>0</v>
      </c>
      <c r="AI61" s="21">
        <v>0</v>
      </c>
      <c r="AJ61" s="21">
        <v>0</v>
      </c>
      <c r="AK61" s="20">
        <v>0</v>
      </c>
      <c r="AL61" s="22">
        <v>387</v>
      </c>
      <c r="AM61" s="54"/>
      <c r="AN61" s="13">
        <v>0</v>
      </c>
      <c r="AO61" s="13">
        <v>0</v>
      </c>
    </row>
    <row r="62" spans="1:41" s="15" customFormat="1" ht="17" thickBot="1">
      <c r="A62" s="46"/>
      <c r="B62" s="12" t="s">
        <v>61</v>
      </c>
      <c r="C62" s="26"/>
      <c r="D62" s="26"/>
      <c r="E62" s="19"/>
      <c r="F62" s="19"/>
      <c r="G62" s="19"/>
      <c r="H62" s="19"/>
      <c r="I62" s="23"/>
      <c r="J62" s="19"/>
      <c r="K62" s="19"/>
      <c r="L62" s="19"/>
      <c r="M62" s="19"/>
      <c r="N62" s="23"/>
      <c r="O62" s="19"/>
      <c r="P62" s="19"/>
      <c r="Q62" s="19"/>
      <c r="R62" s="19"/>
      <c r="S62" s="19"/>
      <c r="T62" s="23"/>
      <c r="U62" s="24"/>
      <c r="V62" s="19"/>
      <c r="W62" s="19"/>
      <c r="X62" s="19"/>
      <c r="Y62" s="19"/>
      <c r="Z62" s="23"/>
      <c r="AA62" s="19"/>
      <c r="AB62" s="19"/>
      <c r="AC62" s="19"/>
      <c r="AD62" s="19"/>
      <c r="AE62" s="23"/>
      <c r="AF62" s="19"/>
      <c r="AG62" s="19"/>
      <c r="AH62" s="19"/>
      <c r="AI62" s="19"/>
      <c r="AJ62" s="19"/>
      <c r="AK62" s="23"/>
      <c r="AL62" s="24"/>
      <c r="AM62" s="54"/>
      <c r="AN62" s="13">
        <v>0</v>
      </c>
      <c r="AO62" s="13">
        <v>0</v>
      </c>
    </row>
    <row r="63" spans="1:41" s="15" customFormat="1">
      <c r="A63" s="182" t="s">
        <v>71</v>
      </c>
      <c r="B63" s="3" t="s">
        <v>57</v>
      </c>
      <c r="C63" s="26"/>
      <c r="D63" s="26"/>
      <c r="E63" s="27"/>
      <c r="F63" s="27">
        <v>0</v>
      </c>
      <c r="G63" s="27">
        <v>-8858</v>
      </c>
      <c r="H63" s="27">
        <v>189</v>
      </c>
      <c r="I63" s="26">
        <v>-8669</v>
      </c>
      <c r="J63" s="27">
        <v>9409</v>
      </c>
      <c r="K63" s="27">
        <v>1115</v>
      </c>
      <c r="L63" s="27">
        <v>1536</v>
      </c>
      <c r="M63" s="27">
        <v>2374</v>
      </c>
      <c r="N63" s="26">
        <v>14434</v>
      </c>
      <c r="O63" s="27">
        <v>15594</v>
      </c>
      <c r="P63" s="27">
        <v>3778</v>
      </c>
      <c r="Q63" s="27">
        <v>5613</v>
      </c>
      <c r="R63" s="27">
        <v>6029</v>
      </c>
      <c r="S63" s="27">
        <v>11436</v>
      </c>
      <c r="T63" s="26">
        <v>42450</v>
      </c>
      <c r="U63" s="28">
        <v>154968</v>
      </c>
      <c r="V63" s="27">
        <v>0</v>
      </c>
      <c r="W63" s="27">
        <v>0</v>
      </c>
      <c r="X63" s="27">
        <v>0</v>
      </c>
      <c r="Y63" s="27">
        <v>0</v>
      </c>
      <c r="Z63" s="26">
        <v>0</v>
      </c>
      <c r="AA63" s="27">
        <v>0</v>
      </c>
      <c r="AB63" s="27">
        <v>0</v>
      </c>
      <c r="AC63" s="27">
        <v>0</v>
      </c>
      <c r="AD63" s="27">
        <v>0</v>
      </c>
      <c r="AE63" s="26">
        <v>0</v>
      </c>
      <c r="AF63" s="27">
        <v>0</v>
      </c>
      <c r="AG63" s="27">
        <v>0</v>
      </c>
      <c r="AH63" s="27">
        <v>0</v>
      </c>
      <c r="AI63" s="27">
        <v>0</v>
      </c>
      <c r="AJ63" s="27">
        <v>0</v>
      </c>
      <c r="AK63" s="26">
        <v>0</v>
      </c>
      <c r="AL63" s="28">
        <v>0</v>
      </c>
      <c r="AM63" s="54">
        <v>64</v>
      </c>
      <c r="AN63" s="13">
        <f>U63*AM63</f>
        <v>9917952</v>
      </c>
      <c r="AO63" s="13">
        <f>AM63*AL63</f>
        <v>0</v>
      </c>
    </row>
    <row r="64" spans="1:41" s="15" customFormat="1">
      <c r="A64" s="183"/>
      <c r="B64" s="12" t="s">
        <v>58</v>
      </c>
      <c r="C64" s="26"/>
      <c r="D64" s="26"/>
      <c r="E64" s="27"/>
      <c r="F64" s="27">
        <v>0</v>
      </c>
      <c r="G64" s="27">
        <v>0</v>
      </c>
      <c r="H64" s="27">
        <v>0</v>
      </c>
      <c r="I64" s="26">
        <v>0</v>
      </c>
      <c r="J64" s="27">
        <v>10000</v>
      </c>
      <c r="K64" s="27">
        <v>20000</v>
      </c>
      <c r="L64" s="27">
        <v>10000</v>
      </c>
      <c r="M64" s="27">
        <v>25000</v>
      </c>
      <c r="N64" s="26">
        <v>65000</v>
      </c>
      <c r="O64" s="27">
        <v>10000</v>
      </c>
      <c r="P64" s="27">
        <v>20000</v>
      </c>
      <c r="Q64" s="27">
        <v>10000</v>
      </c>
      <c r="R64" s="27">
        <v>10000</v>
      </c>
      <c r="S64" s="27">
        <v>25000</v>
      </c>
      <c r="T64" s="26">
        <v>75000</v>
      </c>
      <c r="U64" s="28">
        <v>0</v>
      </c>
      <c r="V64" s="27">
        <v>10000</v>
      </c>
      <c r="W64" s="27">
        <v>0</v>
      </c>
      <c r="X64" s="27">
        <v>0</v>
      </c>
      <c r="Y64" s="27">
        <v>0</v>
      </c>
      <c r="Z64" s="26">
        <v>10000</v>
      </c>
      <c r="AA64" s="27">
        <v>0</v>
      </c>
      <c r="AB64" s="27">
        <v>0</v>
      </c>
      <c r="AC64" s="27">
        <v>0</v>
      </c>
      <c r="AD64" s="27">
        <v>0</v>
      </c>
      <c r="AE64" s="26">
        <v>0</v>
      </c>
      <c r="AF64" s="27">
        <v>0</v>
      </c>
      <c r="AG64" s="27">
        <v>0</v>
      </c>
      <c r="AH64" s="27">
        <v>0</v>
      </c>
      <c r="AI64" s="27">
        <v>0</v>
      </c>
      <c r="AJ64" s="27">
        <v>0</v>
      </c>
      <c r="AK64" s="26">
        <v>0</v>
      </c>
      <c r="AL64" s="28">
        <v>0</v>
      </c>
      <c r="AM64" s="54"/>
      <c r="AN64" s="13">
        <v>0</v>
      </c>
      <c r="AO64" s="13">
        <v>0</v>
      </c>
    </row>
    <row r="65" spans="1:41" s="15" customFormat="1">
      <c r="A65" s="183"/>
      <c r="B65" s="12" t="s">
        <v>59</v>
      </c>
      <c r="C65" s="26">
        <v>30375</v>
      </c>
      <c r="D65" s="26">
        <v>30375</v>
      </c>
      <c r="E65" s="27"/>
      <c r="F65" s="27">
        <v>0</v>
      </c>
      <c r="G65" s="27">
        <v>0</v>
      </c>
      <c r="H65" s="27">
        <v>30375</v>
      </c>
      <c r="I65" s="26">
        <v>30375</v>
      </c>
      <c r="J65" s="27">
        <v>0</v>
      </c>
      <c r="K65" s="27">
        <v>0</v>
      </c>
      <c r="L65" s="27">
        <v>0</v>
      </c>
      <c r="M65" s="27">
        <v>0</v>
      </c>
      <c r="N65" s="26">
        <v>0</v>
      </c>
      <c r="O65" s="27">
        <v>0</v>
      </c>
      <c r="P65" s="27">
        <v>0</v>
      </c>
      <c r="Q65" s="27">
        <v>0</v>
      </c>
      <c r="R65" s="27">
        <v>0</v>
      </c>
      <c r="S65" s="27">
        <v>0</v>
      </c>
      <c r="T65" s="26">
        <v>0</v>
      </c>
      <c r="U65" s="28">
        <v>0</v>
      </c>
      <c r="V65" s="27">
        <v>0</v>
      </c>
      <c r="W65" s="27">
        <v>0</v>
      </c>
      <c r="X65" s="27">
        <v>0</v>
      </c>
      <c r="Y65" s="27">
        <v>0</v>
      </c>
      <c r="Z65" s="26">
        <v>0</v>
      </c>
      <c r="AA65" s="27">
        <v>0</v>
      </c>
      <c r="AB65" s="27">
        <v>0</v>
      </c>
      <c r="AC65" s="27">
        <v>0</v>
      </c>
      <c r="AD65" s="27">
        <v>0</v>
      </c>
      <c r="AE65" s="26">
        <v>0</v>
      </c>
      <c r="AF65" s="27">
        <v>0</v>
      </c>
      <c r="AG65" s="27">
        <v>0</v>
      </c>
      <c r="AH65" s="27">
        <v>0</v>
      </c>
      <c r="AI65" s="27">
        <v>0</v>
      </c>
      <c r="AJ65" s="27">
        <v>0</v>
      </c>
      <c r="AK65" s="26">
        <v>0</v>
      </c>
      <c r="AL65" s="28">
        <v>0</v>
      </c>
      <c r="AM65" s="54"/>
      <c r="AN65" s="13">
        <v>0</v>
      </c>
      <c r="AO65" s="13">
        <v>0</v>
      </c>
    </row>
    <row r="66" spans="1:41" s="15" customFormat="1">
      <c r="A66" s="183"/>
      <c r="B66" s="12" t="s">
        <v>7</v>
      </c>
      <c r="C66" s="26"/>
      <c r="D66" s="26"/>
      <c r="E66" s="32"/>
      <c r="F66" s="27">
        <v>0</v>
      </c>
      <c r="G66" s="27">
        <v>0</v>
      </c>
      <c r="H66" s="27">
        <v>30375</v>
      </c>
      <c r="I66" s="26">
        <v>30375</v>
      </c>
      <c r="J66" s="32">
        <v>10000</v>
      </c>
      <c r="K66" s="27">
        <v>20000</v>
      </c>
      <c r="L66" s="27">
        <v>10000</v>
      </c>
      <c r="M66" s="27">
        <v>25000</v>
      </c>
      <c r="N66" s="26">
        <v>65000</v>
      </c>
      <c r="O66" s="32">
        <v>10000</v>
      </c>
      <c r="P66" s="27">
        <v>20000</v>
      </c>
      <c r="Q66" s="27">
        <v>10000</v>
      </c>
      <c r="R66" s="27">
        <v>10000</v>
      </c>
      <c r="S66" s="27">
        <v>25000</v>
      </c>
      <c r="T66" s="26">
        <v>75000</v>
      </c>
      <c r="U66" s="28">
        <v>277128</v>
      </c>
      <c r="V66" s="32">
        <v>10000</v>
      </c>
      <c r="W66" s="27">
        <v>0</v>
      </c>
      <c r="X66" s="27">
        <v>0</v>
      </c>
      <c r="Y66" s="27">
        <v>0</v>
      </c>
      <c r="Z66" s="26">
        <v>10000</v>
      </c>
      <c r="AA66" s="32">
        <v>0</v>
      </c>
      <c r="AB66" s="27">
        <v>0</v>
      </c>
      <c r="AC66" s="27">
        <v>0</v>
      </c>
      <c r="AD66" s="27">
        <v>0</v>
      </c>
      <c r="AE66" s="26">
        <v>0</v>
      </c>
      <c r="AF66" s="32">
        <v>0</v>
      </c>
      <c r="AG66" s="27">
        <v>0</v>
      </c>
      <c r="AH66" s="27">
        <v>0</v>
      </c>
      <c r="AI66" s="27">
        <v>0</v>
      </c>
      <c r="AJ66" s="27">
        <v>0</v>
      </c>
      <c r="AK66" s="26">
        <v>0</v>
      </c>
      <c r="AL66" s="28">
        <v>10000</v>
      </c>
      <c r="AM66" s="54"/>
      <c r="AN66" s="13">
        <v>0</v>
      </c>
      <c r="AO66" s="13">
        <v>0</v>
      </c>
    </row>
    <row r="67" spans="1:41" s="15" customFormat="1" ht="17" thickBot="1">
      <c r="A67" s="184"/>
      <c r="B67" s="4" t="s">
        <v>60</v>
      </c>
      <c r="C67" s="26">
        <v>117861</v>
      </c>
      <c r="D67" s="37">
        <v>106753</v>
      </c>
      <c r="E67" s="21"/>
      <c r="F67" s="21">
        <v>0</v>
      </c>
      <c r="G67" s="21">
        <v>8858</v>
      </c>
      <c r="H67" s="21">
        <v>39044</v>
      </c>
      <c r="I67" s="20">
        <v>39044</v>
      </c>
      <c r="J67" s="21">
        <v>39635</v>
      </c>
      <c r="K67" s="21">
        <v>58520</v>
      </c>
      <c r="L67" s="21">
        <v>66984</v>
      </c>
      <c r="M67" s="21">
        <v>89610</v>
      </c>
      <c r="N67" s="20">
        <v>89610</v>
      </c>
      <c r="O67" s="21">
        <v>84016</v>
      </c>
      <c r="P67" s="21">
        <v>100238</v>
      </c>
      <c r="Q67" s="21">
        <v>104625</v>
      </c>
      <c r="R67" s="21">
        <v>108596</v>
      </c>
      <c r="S67" s="21">
        <v>122160</v>
      </c>
      <c r="T67" s="20">
        <v>122160</v>
      </c>
      <c r="U67" s="22">
        <v>122160</v>
      </c>
      <c r="V67" s="21">
        <v>132160</v>
      </c>
      <c r="W67" s="21">
        <v>132160</v>
      </c>
      <c r="X67" s="21">
        <v>132160</v>
      </c>
      <c r="Y67" s="21">
        <v>132160</v>
      </c>
      <c r="Z67" s="20">
        <v>132160</v>
      </c>
      <c r="AA67" s="21">
        <v>132160</v>
      </c>
      <c r="AB67" s="21">
        <v>132160</v>
      </c>
      <c r="AC67" s="21">
        <v>132160</v>
      </c>
      <c r="AD67" s="21">
        <v>132160</v>
      </c>
      <c r="AE67" s="20">
        <v>132160</v>
      </c>
      <c r="AF67" s="21">
        <v>132160</v>
      </c>
      <c r="AG67" s="21">
        <v>132160</v>
      </c>
      <c r="AH67" s="21">
        <v>132160</v>
      </c>
      <c r="AI67" s="21">
        <v>132160</v>
      </c>
      <c r="AJ67" s="21">
        <v>132160</v>
      </c>
      <c r="AK67" s="20">
        <v>132160</v>
      </c>
      <c r="AL67" s="22">
        <v>132160</v>
      </c>
      <c r="AM67" s="54"/>
      <c r="AN67" s="13">
        <v>0</v>
      </c>
      <c r="AO67" s="13">
        <v>0</v>
      </c>
    </row>
    <row r="68" spans="1:41" s="15" customFormat="1" ht="17" thickBot="1">
      <c r="A68" s="46"/>
      <c r="B68" s="12" t="s">
        <v>61</v>
      </c>
      <c r="C68" s="26"/>
      <c r="D68" s="26"/>
      <c r="E68" s="19">
        <v>0</v>
      </c>
      <c r="F68" s="19"/>
      <c r="G68" s="19"/>
      <c r="H68" s="19"/>
      <c r="I68" s="23"/>
      <c r="J68" s="19"/>
      <c r="K68" s="19"/>
      <c r="L68" s="19"/>
      <c r="M68" s="19"/>
      <c r="N68" s="23"/>
      <c r="O68" s="19"/>
      <c r="P68" s="19"/>
      <c r="Q68" s="19"/>
      <c r="R68" s="19"/>
      <c r="S68" s="19"/>
      <c r="T68" s="23"/>
      <c r="U68" s="24"/>
      <c r="V68" s="19"/>
      <c r="W68" s="19"/>
      <c r="X68" s="19"/>
      <c r="Y68" s="19"/>
      <c r="Z68" s="23"/>
      <c r="AA68" s="19"/>
      <c r="AB68" s="19"/>
      <c r="AC68" s="19"/>
      <c r="AD68" s="19"/>
      <c r="AE68" s="23"/>
      <c r="AF68" s="19"/>
      <c r="AG68" s="19"/>
      <c r="AH68" s="19"/>
      <c r="AI68" s="19"/>
      <c r="AJ68" s="19"/>
      <c r="AK68" s="23"/>
      <c r="AL68" s="24"/>
      <c r="AM68" s="54"/>
      <c r="AN68" s="13">
        <v>0</v>
      </c>
      <c r="AO68" s="13">
        <v>0</v>
      </c>
    </row>
    <row r="69" spans="1:41" s="15" customFormat="1">
      <c r="A69" s="182" t="s">
        <v>72</v>
      </c>
      <c r="B69" s="3" t="s">
        <v>57</v>
      </c>
      <c r="C69" s="26"/>
      <c r="D69" s="26"/>
      <c r="E69" s="27"/>
      <c r="F69" s="27">
        <v>1178</v>
      </c>
      <c r="G69" s="27">
        <v>16806</v>
      </c>
      <c r="H69" s="27">
        <v>324</v>
      </c>
      <c r="I69" s="26">
        <v>18308</v>
      </c>
      <c r="J69" s="27">
        <v>11540</v>
      </c>
      <c r="K69" s="27">
        <v>454</v>
      </c>
      <c r="L69" s="27">
        <v>1266</v>
      </c>
      <c r="M69" s="27">
        <v>180</v>
      </c>
      <c r="N69" s="26">
        <v>13440</v>
      </c>
      <c r="O69" s="27">
        <v>20793</v>
      </c>
      <c r="P69" s="27">
        <v>6968</v>
      </c>
      <c r="Q69" s="27">
        <v>1301</v>
      </c>
      <c r="R69" s="27">
        <v>7913</v>
      </c>
      <c r="S69" s="27">
        <v>3625</v>
      </c>
      <c r="T69" s="26">
        <v>40600</v>
      </c>
      <c r="U69" s="28">
        <v>75007</v>
      </c>
      <c r="V69" s="27">
        <v>0</v>
      </c>
      <c r="W69" s="27">
        <v>15</v>
      </c>
      <c r="X69" s="27">
        <v>0</v>
      </c>
      <c r="Y69" s="27">
        <v>0</v>
      </c>
      <c r="Z69" s="26">
        <v>15</v>
      </c>
      <c r="AA69" s="27">
        <v>0</v>
      </c>
      <c r="AB69" s="27">
        <v>58</v>
      </c>
      <c r="AC69" s="27">
        <v>0</v>
      </c>
      <c r="AD69" s="27">
        <v>26</v>
      </c>
      <c r="AE69" s="26">
        <v>84</v>
      </c>
      <c r="AF69" s="27">
        <v>0</v>
      </c>
      <c r="AG69" s="27">
        <v>0</v>
      </c>
      <c r="AH69" s="27">
        <v>0</v>
      </c>
      <c r="AI69" s="27">
        <v>0</v>
      </c>
      <c r="AJ69" s="27">
        <v>0</v>
      </c>
      <c r="AK69" s="26">
        <v>0</v>
      </c>
      <c r="AL69" s="28">
        <v>99</v>
      </c>
      <c r="AM69" s="54">
        <v>64</v>
      </c>
      <c r="AN69" s="13">
        <f>U69*AM69</f>
        <v>4800448</v>
      </c>
      <c r="AO69" s="13">
        <f>AM69*AL69</f>
        <v>6336</v>
      </c>
    </row>
    <row r="70" spans="1:41" s="15" customFormat="1">
      <c r="A70" s="183"/>
      <c r="B70" s="12" t="s">
        <v>58</v>
      </c>
      <c r="C70" s="26"/>
      <c r="D70" s="26"/>
      <c r="E70" s="27"/>
      <c r="F70" s="27">
        <v>1178</v>
      </c>
      <c r="G70" s="27">
        <v>0</v>
      </c>
      <c r="H70" s="27">
        <v>0</v>
      </c>
      <c r="I70" s="26">
        <v>1178</v>
      </c>
      <c r="J70" s="27">
        <v>15000</v>
      </c>
      <c r="K70" s="27">
        <v>0</v>
      </c>
      <c r="L70" s="27">
        <v>0</v>
      </c>
      <c r="M70" s="27">
        <v>0</v>
      </c>
      <c r="N70" s="26">
        <v>15000</v>
      </c>
      <c r="O70" s="27">
        <v>0</v>
      </c>
      <c r="P70" s="27">
        <v>0</v>
      </c>
      <c r="Q70" s="27">
        <v>0</v>
      </c>
      <c r="R70" s="27">
        <v>0</v>
      </c>
      <c r="S70" s="27">
        <v>0</v>
      </c>
      <c r="T70" s="26">
        <v>0</v>
      </c>
      <c r="U70" s="28">
        <v>0</v>
      </c>
      <c r="V70" s="27">
        <v>0</v>
      </c>
      <c r="W70" s="27">
        <v>0</v>
      </c>
      <c r="X70" s="27">
        <v>0</v>
      </c>
      <c r="Y70" s="27">
        <v>0</v>
      </c>
      <c r="Z70" s="26">
        <v>0</v>
      </c>
      <c r="AA70" s="27">
        <v>0</v>
      </c>
      <c r="AB70" s="27">
        <v>0</v>
      </c>
      <c r="AC70" s="27">
        <v>0</v>
      </c>
      <c r="AD70" s="27">
        <v>0</v>
      </c>
      <c r="AE70" s="26">
        <v>0</v>
      </c>
      <c r="AF70" s="27">
        <v>0</v>
      </c>
      <c r="AG70" s="27">
        <v>0</v>
      </c>
      <c r="AH70" s="27">
        <v>0</v>
      </c>
      <c r="AI70" s="27">
        <v>0</v>
      </c>
      <c r="AJ70" s="27">
        <v>0</v>
      </c>
      <c r="AK70" s="26">
        <v>0</v>
      </c>
      <c r="AL70" s="28">
        <v>0</v>
      </c>
      <c r="AM70" s="54"/>
      <c r="AN70" s="13">
        <v>0</v>
      </c>
      <c r="AO70" s="13">
        <v>0</v>
      </c>
    </row>
    <row r="71" spans="1:41" s="15" customFormat="1">
      <c r="A71" s="183"/>
      <c r="B71" s="12" t="s">
        <v>59</v>
      </c>
      <c r="C71" s="26">
        <v>8822</v>
      </c>
      <c r="D71" s="26">
        <v>8822</v>
      </c>
      <c r="E71" s="27"/>
      <c r="F71" s="27">
        <v>0</v>
      </c>
      <c r="G71" s="27">
        <v>0</v>
      </c>
      <c r="H71" s="27">
        <v>8822</v>
      </c>
      <c r="I71" s="26">
        <v>8822</v>
      </c>
      <c r="J71" s="27">
        <v>0</v>
      </c>
      <c r="K71" s="27">
        <v>0</v>
      </c>
      <c r="L71" s="27">
        <v>0</v>
      </c>
      <c r="M71" s="27">
        <v>0</v>
      </c>
      <c r="N71" s="26">
        <v>0</v>
      </c>
      <c r="O71" s="27">
        <v>0</v>
      </c>
      <c r="P71" s="27">
        <v>0</v>
      </c>
      <c r="Q71" s="27">
        <v>0</v>
      </c>
      <c r="R71" s="27">
        <v>0</v>
      </c>
      <c r="S71" s="27">
        <v>0</v>
      </c>
      <c r="T71" s="26">
        <v>0</v>
      </c>
      <c r="U71" s="28">
        <v>0</v>
      </c>
      <c r="V71" s="27">
        <v>0</v>
      </c>
      <c r="W71" s="27">
        <v>0</v>
      </c>
      <c r="X71" s="27">
        <v>0</v>
      </c>
      <c r="Y71" s="27">
        <v>0</v>
      </c>
      <c r="Z71" s="26">
        <v>0</v>
      </c>
      <c r="AA71" s="27">
        <v>0</v>
      </c>
      <c r="AB71" s="27">
        <v>0</v>
      </c>
      <c r="AC71" s="27">
        <v>0</v>
      </c>
      <c r="AD71" s="27">
        <v>0</v>
      </c>
      <c r="AE71" s="26">
        <v>0</v>
      </c>
      <c r="AF71" s="27">
        <v>0</v>
      </c>
      <c r="AG71" s="27">
        <v>0</v>
      </c>
      <c r="AH71" s="27">
        <v>0</v>
      </c>
      <c r="AI71" s="27">
        <v>0</v>
      </c>
      <c r="AJ71" s="27">
        <v>0</v>
      </c>
      <c r="AK71" s="26">
        <v>0</v>
      </c>
      <c r="AL71" s="28">
        <v>0</v>
      </c>
      <c r="AM71" s="54"/>
      <c r="AN71" s="13">
        <v>0</v>
      </c>
      <c r="AO71" s="13">
        <v>0</v>
      </c>
    </row>
    <row r="72" spans="1:41" s="15" customFormat="1">
      <c r="A72" s="183"/>
      <c r="B72" s="12" t="s">
        <v>7</v>
      </c>
      <c r="C72" s="26"/>
      <c r="D72" s="26"/>
      <c r="E72" s="32"/>
      <c r="F72" s="27">
        <v>1178</v>
      </c>
      <c r="G72" s="27">
        <v>0</v>
      </c>
      <c r="H72" s="27">
        <v>8822</v>
      </c>
      <c r="I72" s="26">
        <v>10000</v>
      </c>
      <c r="J72" s="32">
        <v>15000</v>
      </c>
      <c r="K72" s="27">
        <v>0</v>
      </c>
      <c r="L72" s="27">
        <v>0</v>
      </c>
      <c r="M72" s="27">
        <v>0</v>
      </c>
      <c r="N72" s="26">
        <v>15000</v>
      </c>
      <c r="O72" s="32">
        <v>0</v>
      </c>
      <c r="P72" s="27">
        <v>0</v>
      </c>
      <c r="Q72" s="27">
        <v>0</v>
      </c>
      <c r="R72" s="27">
        <v>0</v>
      </c>
      <c r="S72" s="27">
        <v>0</v>
      </c>
      <c r="T72" s="26">
        <v>0</v>
      </c>
      <c r="U72" s="28">
        <v>27659</v>
      </c>
      <c r="V72" s="32">
        <v>0</v>
      </c>
      <c r="W72" s="27">
        <v>0</v>
      </c>
      <c r="X72" s="27">
        <v>0</v>
      </c>
      <c r="Y72" s="27">
        <v>0</v>
      </c>
      <c r="Z72" s="26">
        <v>0</v>
      </c>
      <c r="AA72" s="32">
        <v>0</v>
      </c>
      <c r="AB72" s="27">
        <v>0</v>
      </c>
      <c r="AC72" s="27">
        <v>0</v>
      </c>
      <c r="AD72" s="27">
        <v>0</v>
      </c>
      <c r="AE72" s="26">
        <v>0</v>
      </c>
      <c r="AF72" s="32">
        <v>0</v>
      </c>
      <c r="AG72" s="27">
        <v>0</v>
      </c>
      <c r="AH72" s="27">
        <v>0</v>
      </c>
      <c r="AI72" s="27">
        <v>0</v>
      </c>
      <c r="AJ72" s="27">
        <v>0</v>
      </c>
      <c r="AK72" s="26">
        <v>0</v>
      </c>
      <c r="AL72" s="28">
        <v>0</v>
      </c>
      <c r="AM72" s="54"/>
      <c r="AN72" s="13">
        <v>0</v>
      </c>
      <c r="AO72" s="13">
        <v>0</v>
      </c>
    </row>
    <row r="73" spans="1:41" s="15" customFormat="1" ht="17" thickBot="1">
      <c r="A73" s="184"/>
      <c r="B73" s="4" t="s">
        <v>60</v>
      </c>
      <c r="C73" s="26">
        <v>9599</v>
      </c>
      <c r="D73" s="37">
        <v>2659</v>
      </c>
      <c r="E73" s="21"/>
      <c r="F73" s="21">
        <v>0</v>
      </c>
      <c r="G73" s="21">
        <v>-16806</v>
      </c>
      <c r="H73" s="21">
        <v>-8308</v>
      </c>
      <c r="I73" s="20">
        <v>-8308</v>
      </c>
      <c r="J73" s="21">
        <v>-4848</v>
      </c>
      <c r="K73" s="21">
        <v>-5302</v>
      </c>
      <c r="L73" s="21">
        <v>-6568</v>
      </c>
      <c r="M73" s="21">
        <v>-6748</v>
      </c>
      <c r="N73" s="20">
        <v>-6748</v>
      </c>
      <c r="O73" s="21">
        <v>-27541</v>
      </c>
      <c r="P73" s="21">
        <v>-34509</v>
      </c>
      <c r="Q73" s="21">
        <v>-35810</v>
      </c>
      <c r="R73" s="21">
        <v>-43723</v>
      </c>
      <c r="S73" s="21">
        <v>-47348</v>
      </c>
      <c r="T73" s="20">
        <v>-47348</v>
      </c>
      <c r="U73" s="22">
        <v>-47348</v>
      </c>
      <c r="V73" s="21">
        <v>-47348</v>
      </c>
      <c r="W73" s="21">
        <v>-47363</v>
      </c>
      <c r="X73" s="21">
        <v>-47363</v>
      </c>
      <c r="Y73" s="21">
        <v>-47363</v>
      </c>
      <c r="Z73" s="20">
        <v>-47363</v>
      </c>
      <c r="AA73" s="21">
        <v>-47363</v>
      </c>
      <c r="AB73" s="21">
        <v>-47421</v>
      </c>
      <c r="AC73" s="21">
        <v>-47421</v>
      </c>
      <c r="AD73" s="21">
        <v>-47447</v>
      </c>
      <c r="AE73" s="20">
        <v>-47447</v>
      </c>
      <c r="AF73" s="21">
        <v>-47447</v>
      </c>
      <c r="AG73" s="21">
        <v>-47447</v>
      </c>
      <c r="AH73" s="21">
        <v>-47447</v>
      </c>
      <c r="AI73" s="21">
        <v>-47447</v>
      </c>
      <c r="AJ73" s="21">
        <v>-47447</v>
      </c>
      <c r="AK73" s="20">
        <v>-47447</v>
      </c>
      <c r="AL73" s="22">
        <v>-47447</v>
      </c>
      <c r="AM73" s="54"/>
      <c r="AN73" s="13">
        <v>0</v>
      </c>
      <c r="AO73" s="13">
        <v>0</v>
      </c>
    </row>
    <row r="74" spans="1:41" s="15" customFormat="1" ht="17" thickBot="1">
      <c r="A74" s="46"/>
      <c r="B74" s="12" t="s">
        <v>61</v>
      </c>
      <c r="C74" s="26"/>
      <c r="D74" s="26"/>
      <c r="E74" s="19">
        <v>0</v>
      </c>
      <c r="F74" s="19"/>
      <c r="G74" s="19"/>
      <c r="H74" s="19"/>
      <c r="I74" s="23"/>
      <c r="J74" s="19"/>
      <c r="K74" s="19"/>
      <c r="L74" s="19"/>
      <c r="M74" s="19"/>
      <c r="N74" s="23"/>
      <c r="O74" s="19"/>
      <c r="P74" s="19"/>
      <c r="Q74" s="19"/>
      <c r="R74" s="19"/>
      <c r="S74" s="19"/>
      <c r="T74" s="23"/>
      <c r="U74" s="24"/>
      <c r="V74" s="19"/>
      <c r="W74" s="19"/>
      <c r="X74" s="19"/>
      <c r="Y74" s="19"/>
      <c r="Z74" s="23"/>
      <c r="AA74" s="19"/>
      <c r="AB74" s="19"/>
      <c r="AC74" s="19"/>
      <c r="AD74" s="19"/>
      <c r="AE74" s="23"/>
      <c r="AF74" s="19"/>
      <c r="AG74" s="19"/>
      <c r="AH74" s="19"/>
      <c r="AI74" s="19"/>
      <c r="AJ74" s="19"/>
      <c r="AK74" s="23"/>
      <c r="AL74" s="24"/>
      <c r="AM74" s="54"/>
      <c r="AN74" s="13">
        <v>0</v>
      </c>
      <c r="AO74" s="13">
        <v>0</v>
      </c>
    </row>
    <row r="75" spans="1:41" s="15" customFormat="1">
      <c r="A75" s="182" t="s">
        <v>73</v>
      </c>
      <c r="B75" s="3" t="s">
        <v>57</v>
      </c>
      <c r="C75" s="26"/>
      <c r="D75" s="26"/>
      <c r="E75" s="27"/>
      <c r="F75" s="27">
        <v>36750</v>
      </c>
      <c r="G75" s="27">
        <v>-32711</v>
      </c>
      <c r="H75" s="27">
        <v>5065</v>
      </c>
      <c r="I75" s="26">
        <v>39129</v>
      </c>
      <c r="J75" s="27">
        <v>38451</v>
      </c>
      <c r="K75" s="27">
        <v>52957</v>
      </c>
      <c r="L75" s="27">
        <v>20676</v>
      </c>
      <c r="M75" s="27">
        <v>22977</v>
      </c>
      <c r="N75" s="26">
        <v>135061</v>
      </c>
      <c r="O75" s="27">
        <v>37557</v>
      </c>
      <c r="P75" s="27">
        <v>45371</v>
      </c>
      <c r="Q75" s="27">
        <v>15152</v>
      </c>
      <c r="R75" s="27">
        <v>59083</v>
      </c>
      <c r="S75" s="27">
        <v>22923</v>
      </c>
      <c r="T75" s="26">
        <v>180086</v>
      </c>
      <c r="U75" s="28">
        <v>435330</v>
      </c>
      <c r="V75" s="27">
        <v>401</v>
      </c>
      <c r="W75" s="27">
        <v>2214</v>
      </c>
      <c r="X75" s="27">
        <v>0</v>
      </c>
      <c r="Y75" s="27">
        <v>0</v>
      </c>
      <c r="Z75" s="26">
        <v>2615</v>
      </c>
      <c r="AA75" s="27">
        <v>0</v>
      </c>
      <c r="AB75" s="27">
        <v>1941</v>
      </c>
      <c r="AC75" s="27">
        <v>0</v>
      </c>
      <c r="AD75" s="27">
        <v>873</v>
      </c>
      <c r="AE75" s="26">
        <v>2814</v>
      </c>
      <c r="AF75" s="27">
        <v>0</v>
      </c>
      <c r="AG75" s="27">
        <v>0</v>
      </c>
      <c r="AH75" s="27">
        <v>0</v>
      </c>
      <c r="AI75" s="27">
        <v>0</v>
      </c>
      <c r="AJ75" s="27">
        <v>0</v>
      </c>
      <c r="AK75" s="26">
        <v>0</v>
      </c>
      <c r="AL75" s="28">
        <v>5429</v>
      </c>
      <c r="AM75" s="54">
        <v>64</v>
      </c>
      <c r="AN75" s="13">
        <f>U75*AM75</f>
        <v>27861120</v>
      </c>
      <c r="AO75" s="13">
        <f>AM75*AL75</f>
        <v>347456</v>
      </c>
    </row>
    <row r="76" spans="1:41" s="15" customFormat="1">
      <c r="A76" s="183"/>
      <c r="B76" s="12" t="s">
        <v>58</v>
      </c>
      <c r="C76" s="26"/>
      <c r="D76" s="26"/>
      <c r="E76" s="27"/>
      <c r="F76" s="27">
        <v>36750</v>
      </c>
      <c r="G76" s="27">
        <v>27166</v>
      </c>
      <c r="H76" s="27">
        <v>99034</v>
      </c>
      <c r="I76" s="26">
        <v>192975</v>
      </c>
      <c r="J76" s="27">
        <v>0</v>
      </c>
      <c r="K76" s="27">
        <v>20000</v>
      </c>
      <c r="L76" s="27">
        <v>30000</v>
      </c>
      <c r="M76" s="27">
        <v>55000</v>
      </c>
      <c r="N76" s="26">
        <v>105000</v>
      </c>
      <c r="O76" s="27">
        <v>45000</v>
      </c>
      <c r="P76" s="27">
        <v>0</v>
      </c>
      <c r="Q76" s="27">
        <v>20000</v>
      </c>
      <c r="R76" s="27">
        <v>30000</v>
      </c>
      <c r="S76" s="27">
        <v>55000</v>
      </c>
      <c r="T76" s="26">
        <v>150000</v>
      </c>
      <c r="U76" s="28">
        <v>0</v>
      </c>
      <c r="V76" s="27">
        <v>45000</v>
      </c>
      <c r="W76" s="27">
        <v>0</v>
      </c>
      <c r="X76" s="27">
        <v>0</v>
      </c>
      <c r="Y76" s="27">
        <v>0</v>
      </c>
      <c r="Z76" s="26">
        <v>45000</v>
      </c>
      <c r="AA76" s="27">
        <v>0</v>
      </c>
      <c r="AB76" s="27">
        <v>0</v>
      </c>
      <c r="AC76" s="27">
        <v>0</v>
      </c>
      <c r="AD76" s="27">
        <v>0</v>
      </c>
      <c r="AE76" s="26">
        <v>0</v>
      </c>
      <c r="AF76" s="27">
        <v>0</v>
      </c>
      <c r="AG76" s="27">
        <v>0</v>
      </c>
      <c r="AH76" s="27">
        <v>0</v>
      </c>
      <c r="AI76" s="27">
        <v>0</v>
      </c>
      <c r="AJ76" s="27">
        <v>0</v>
      </c>
      <c r="AK76" s="26">
        <v>0</v>
      </c>
      <c r="AL76" s="28">
        <v>0</v>
      </c>
      <c r="AM76" s="54"/>
      <c r="AN76" s="13">
        <v>0</v>
      </c>
      <c r="AO76" s="13">
        <v>0</v>
      </c>
    </row>
    <row r="77" spans="1:41" s="15" customFormat="1">
      <c r="A77" s="183"/>
      <c r="B77" s="12" t="s">
        <v>59</v>
      </c>
      <c r="C77" s="26">
        <v>11250</v>
      </c>
      <c r="D77" s="26">
        <v>11250</v>
      </c>
      <c r="E77" s="27"/>
      <c r="F77" s="27">
        <v>0</v>
      </c>
      <c r="G77" s="27">
        <v>0</v>
      </c>
      <c r="H77" s="27">
        <v>11250</v>
      </c>
      <c r="I77" s="26">
        <v>11250</v>
      </c>
      <c r="J77" s="27">
        <v>0</v>
      </c>
      <c r="K77" s="27">
        <v>0</v>
      </c>
      <c r="L77" s="27">
        <v>0</v>
      </c>
      <c r="M77" s="27">
        <v>0</v>
      </c>
      <c r="N77" s="26">
        <v>0</v>
      </c>
      <c r="O77" s="27">
        <v>0</v>
      </c>
      <c r="P77" s="27">
        <v>0</v>
      </c>
      <c r="Q77" s="27">
        <v>0</v>
      </c>
      <c r="R77" s="27">
        <v>0</v>
      </c>
      <c r="S77" s="27">
        <v>0</v>
      </c>
      <c r="T77" s="26">
        <v>0</v>
      </c>
      <c r="U77" s="28">
        <v>0</v>
      </c>
      <c r="V77" s="27">
        <v>0</v>
      </c>
      <c r="W77" s="27">
        <v>0</v>
      </c>
      <c r="X77" s="27">
        <v>0</v>
      </c>
      <c r="Y77" s="27">
        <v>0</v>
      </c>
      <c r="Z77" s="26">
        <v>0</v>
      </c>
      <c r="AA77" s="27">
        <v>0</v>
      </c>
      <c r="AB77" s="27">
        <v>0</v>
      </c>
      <c r="AC77" s="27">
        <v>0</v>
      </c>
      <c r="AD77" s="27">
        <v>0</v>
      </c>
      <c r="AE77" s="26">
        <v>0</v>
      </c>
      <c r="AF77" s="27">
        <v>0</v>
      </c>
      <c r="AG77" s="27">
        <v>0</v>
      </c>
      <c r="AH77" s="27">
        <v>0</v>
      </c>
      <c r="AI77" s="27">
        <v>0</v>
      </c>
      <c r="AJ77" s="27">
        <v>0</v>
      </c>
      <c r="AK77" s="26">
        <v>0</v>
      </c>
      <c r="AL77" s="28">
        <v>0</v>
      </c>
      <c r="AM77" s="54"/>
      <c r="AN77" s="13">
        <v>0</v>
      </c>
      <c r="AO77" s="13">
        <v>0</v>
      </c>
    </row>
    <row r="78" spans="1:41" s="15" customFormat="1">
      <c r="A78" s="183"/>
      <c r="B78" s="12" t="s">
        <v>7</v>
      </c>
      <c r="C78" s="26"/>
      <c r="D78" s="26"/>
      <c r="E78" s="32"/>
      <c r="F78" s="27">
        <v>36750</v>
      </c>
      <c r="G78" s="27">
        <v>27166</v>
      </c>
      <c r="H78" s="27">
        <v>110284</v>
      </c>
      <c r="I78" s="26">
        <v>204225</v>
      </c>
      <c r="J78" s="32">
        <v>0</v>
      </c>
      <c r="K78" s="27">
        <v>20000</v>
      </c>
      <c r="L78" s="27">
        <v>30000</v>
      </c>
      <c r="M78" s="27">
        <v>55000</v>
      </c>
      <c r="N78" s="26">
        <v>105000</v>
      </c>
      <c r="O78" s="32">
        <v>45000</v>
      </c>
      <c r="P78" s="27">
        <v>0</v>
      </c>
      <c r="Q78" s="27">
        <v>20000</v>
      </c>
      <c r="R78" s="27">
        <v>30000</v>
      </c>
      <c r="S78" s="27">
        <v>55000</v>
      </c>
      <c r="T78" s="26">
        <v>150000</v>
      </c>
      <c r="U78" s="28">
        <v>540279</v>
      </c>
      <c r="V78" s="32">
        <v>45000</v>
      </c>
      <c r="W78" s="27">
        <v>0</v>
      </c>
      <c r="X78" s="27">
        <v>0</v>
      </c>
      <c r="Y78" s="27">
        <v>0</v>
      </c>
      <c r="Z78" s="26">
        <v>45000</v>
      </c>
      <c r="AA78" s="32">
        <v>0</v>
      </c>
      <c r="AB78" s="27">
        <v>0</v>
      </c>
      <c r="AC78" s="27">
        <v>0</v>
      </c>
      <c r="AD78" s="27">
        <v>0</v>
      </c>
      <c r="AE78" s="26">
        <v>0</v>
      </c>
      <c r="AF78" s="32">
        <v>0</v>
      </c>
      <c r="AG78" s="27">
        <v>0</v>
      </c>
      <c r="AH78" s="27">
        <v>0</v>
      </c>
      <c r="AI78" s="27">
        <v>0</v>
      </c>
      <c r="AJ78" s="27">
        <v>0</v>
      </c>
      <c r="AK78" s="26">
        <v>0</v>
      </c>
      <c r="AL78" s="28">
        <v>45000</v>
      </c>
      <c r="AM78" s="54"/>
      <c r="AN78" s="13">
        <v>0</v>
      </c>
      <c r="AO78" s="13">
        <v>0</v>
      </c>
    </row>
    <row r="79" spans="1:41" s="15" customFormat="1" ht="17" thickBot="1">
      <c r="A79" s="184"/>
      <c r="B79" s="4" t="s">
        <v>60</v>
      </c>
      <c r="C79" s="26">
        <v>100168</v>
      </c>
      <c r="D79" s="37">
        <v>81054</v>
      </c>
      <c r="E79" s="21"/>
      <c r="F79" s="21">
        <v>0</v>
      </c>
      <c r="G79" s="21">
        <v>59877</v>
      </c>
      <c r="H79" s="21">
        <v>165096</v>
      </c>
      <c r="I79" s="20">
        <v>165096</v>
      </c>
      <c r="J79" s="21">
        <v>126645</v>
      </c>
      <c r="K79" s="21">
        <v>93688</v>
      </c>
      <c r="L79" s="21">
        <v>103012</v>
      </c>
      <c r="M79" s="21">
        <v>135035</v>
      </c>
      <c r="N79" s="20">
        <v>135035</v>
      </c>
      <c r="O79" s="21">
        <v>142478</v>
      </c>
      <c r="P79" s="21">
        <v>97107</v>
      </c>
      <c r="Q79" s="21">
        <v>101955</v>
      </c>
      <c r="R79" s="21">
        <v>72872</v>
      </c>
      <c r="S79" s="21">
        <v>104949</v>
      </c>
      <c r="T79" s="20">
        <v>104949</v>
      </c>
      <c r="U79" s="22">
        <v>104949</v>
      </c>
      <c r="V79" s="21">
        <v>149548</v>
      </c>
      <c r="W79" s="21">
        <v>147334</v>
      </c>
      <c r="X79" s="21">
        <v>147334</v>
      </c>
      <c r="Y79" s="21">
        <v>147334</v>
      </c>
      <c r="Z79" s="20">
        <v>147334</v>
      </c>
      <c r="AA79" s="21">
        <v>147334</v>
      </c>
      <c r="AB79" s="21">
        <v>145393</v>
      </c>
      <c r="AC79" s="21">
        <v>145393</v>
      </c>
      <c r="AD79" s="21">
        <v>144520</v>
      </c>
      <c r="AE79" s="20">
        <v>144520</v>
      </c>
      <c r="AF79" s="21">
        <v>144520</v>
      </c>
      <c r="AG79" s="21">
        <v>144520</v>
      </c>
      <c r="AH79" s="21">
        <v>144520</v>
      </c>
      <c r="AI79" s="21">
        <v>144520</v>
      </c>
      <c r="AJ79" s="21">
        <v>144520</v>
      </c>
      <c r="AK79" s="20">
        <v>144520</v>
      </c>
      <c r="AL79" s="22">
        <v>144520</v>
      </c>
      <c r="AM79" s="54"/>
      <c r="AN79" s="13">
        <v>0</v>
      </c>
      <c r="AO79" s="13">
        <v>0</v>
      </c>
    </row>
    <row r="80" spans="1:41" s="15" customFormat="1" ht="17" thickBot="1">
      <c r="A80" s="46"/>
      <c r="B80" s="12" t="s">
        <v>61</v>
      </c>
      <c r="C80" s="26"/>
      <c r="D80" s="26"/>
      <c r="E80" s="19">
        <v>0</v>
      </c>
      <c r="F80" s="19"/>
      <c r="G80" s="19"/>
      <c r="H80" s="19"/>
      <c r="I80" s="23"/>
      <c r="J80" s="19"/>
      <c r="K80" s="19"/>
      <c r="L80" s="19"/>
      <c r="M80" s="19"/>
      <c r="N80" s="23"/>
      <c r="O80" s="19"/>
      <c r="P80" s="19"/>
      <c r="Q80" s="19"/>
      <c r="R80" s="19"/>
      <c r="S80" s="19"/>
      <c r="T80" s="23"/>
      <c r="U80" s="24"/>
      <c r="V80" s="19"/>
      <c r="W80" s="19"/>
      <c r="X80" s="19"/>
      <c r="Y80" s="19"/>
      <c r="Z80" s="23"/>
      <c r="AA80" s="19"/>
      <c r="AB80" s="19"/>
      <c r="AC80" s="19"/>
      <c r="AD80" s="19"/>
      <c r="AE80" s="23"/>
      <c r="AF80" s="19"/>
      <c r="AG80" s="19"/>
      <c r="AH80" s="19"/>
      <c r="AI80" s="19"/>
      <c r="AJ80" s="19"/>
      <c r="AK80" s="23"/>
      <c r="AL80" s="24"/>
      <c r="AM80" s="54"/>
      <c r="AN80" s="13">
        <v>0</v>
      </c>
      <c r="AO80" s="13">
        <v>0</v>
      </c>
    </row>
    <row r="81" spans="1:41" s="15" customFormat="1">
      <c r="A81" s="182" t="s">
        <v>74</v>
      </c>
      <c r="B81" s="3" t="s">
        <v>57</v>
      </c>
      <c r="C81" s="26"/>
      <c r="D81" s="26"/>
      <c r="E81" s="27"/>
      <c r="F81" s="27">
        <v>0</v>
      </c>
      <c r="G81" s="27">
        <v>-181</v>
      </c>
      <c r="H81" s="27">
        <v>0</v>
      </c>
      <c r="I81" s="26">
        <v>-181</v>
      </c>
      <c r="J81" s="27">
        <v>0</v>
      </c>
      <c r="K81" s="27">
        <v>0</v>
      </c>
      <c r="L81" s="27">
        <v>0</v>
      </c>
      <c r="M81" s="27">
        <v>0</v>
      </c>
      <c r="N81" s="26">
        <v>0</v>
      </c>
      <c r="O81" s="27">
        <v>0</v>
      </c>
      <c r="P81" s="27">
        <v>0</v>
      </c>
      <c r="Q81" s="27">
        <v>0</v>
      </c>
      <c r="R81" s="27">
        <v>0</v>
      </c>
      <c r="S81" s="27">
        <v>0</v>
      </c>
      <c r="T81" s="26">
        <v>0</v>
      </c>
      <c r="U81" s="28">
        <v>-181</v>
      </c>
      <c r="V81" s="27">
        <v>0</v>
      </c>
      <c r="W81" s="27">
        <v>0</v>
      </c>
      <c r="X81" s="27">
        <v>0</v>
      </c>
      <c r="Y81" s="27">
        <v>0</v>
      </c>
      <c r="Z81" s="26">
        <v>0</v>
      </c>
      <c r="AA81" s="27">
        <v>0</v>
      </c>
      <c r="AB81" s="27">
        <v>0</v>
      </c>
      <c r="AC81" s="27">
        <v>0</v>
      </c>
      <c r="AD81" s="27">
        <v>0</v>
      </c>
      <c r="AE81" s="26">
        <v>0</v>
      </c>
      <c r="AF81" s="27">
        <v>0</v>
      </c>
      <c r="AG81" s="27">
        <v>0</v>
      </c>
      <c r="AH81" s="27">
        <v>0</v>
      </c>
      <c r="AI81" s="27">
        <v>0</v>
      </c>
      <c r="AJ81" s="27">
        <v>0</v>
      </c>
      <c r="AK81" s="26">
        <v>0</v>
      </c>
      <c r="AL81" s="28">
        <v>0</v>
      </c>
      <c r="AM81" s="54">
        <v>128</v>
      </c>
      <c r="AN81" s="13">
        <f>U81*AM81</f>
        <v>-23168</v>
      </c>
      <c r="AO81" s="13">
        <f>AM81*AL81</f>
        <v>0</v>
      </c>
    </row>
    <row r="82" spans="1:41" s="15" customFormat="1">
      <c r="A82" s="183"/>
      <c r="B82" s="12" t="s">
        <v>58</v>
      </c>
      <c r="C82" s="26"/>
      <c r="D82" s="26"/>
      <c r="E82" s="27"/>
      <c r="F82" s="27">
        <v>0</v>
      </c>
      <c r="G82" s="27">
        <v>0</v>
      </c>
      <c r="H82" s="27">
        <v>0</v>
      </c>
      <c r="I82" s="26">
        <v>0</v>
      </c>
      <c r="J82" s="27">
        <v>0</v>
      </c>
      <c r="K82" s="27">
        <v>0</v>
      </c>
      <c r="L82" s="27">
        <v>0</v>
      </c>
      <c r="M82" s="27">
        <v>0</v>
      </c>
      <c r="N82" s="26">
        <v>0</v>
      </c>
      <c r="O82" s="27">
        <v>0</v>
      </c>
      <c r="P82" s="27">
        <v>0</v>
      </c>
      <c r="Q82" s="27">
        <v>0</v>
      </c>
      <c r="R82" s="27">
        <v>0</v>
      </c>
      <c r="S82" s="27">
        <v>0</v>
      </c>
      <c r="T82" s="26">
        <v>0</v>
      </c>
      <c r="U82" s="28">
        <v>0</v>
      </c>
      <c r="V82" s="27">
        <v>0</v>
      </c>
      <c r="W82" s="27">
        <v>0</v>
      </c>
      <c r="X82" s="27">
        <v>0</v>
      </c>
      <c r="Y82" s="27">
        <v>0</v>
      </c>
      <c r="Z82" s="26">
        <v>0</v>
      </c>
      <c r="AA82" s="27">
        <v>0</v>
      </c>
      <c r="AB82" s="27">
        <v>0</v>
      </c>
      <c r="AC82" s="27">
        <v>0</v>
      </c>
      <c r="AD82" s="27">
        <v>0</v>
      </c>
      <c r="AE82" s="26">
        <v>0</v>
      </c>
      <c r="AF82" s="27">
        <v>0</v>
      </c>
      <c r="AG82" s="27">
        <v>0</v>
      </c>
      <c r="AH82" s="27">
        <v>0</v>
      </c>
      <c r="AI82" s="27">
        <v>0</v>
      </c>
      <c r="AJ82" s="27">
        <v>0</v>
      </c>
      <c r="AK82" s="26">
        <v>0</v>
      </c>
      <c r="AL82" s="28">
        <v>0</v>
      </c>
      <c r="AM82" s="54"/>
      <c r="AN82" s="13">
        <v>0</v>
      </c>
      <c r="AO82" s="13">
        <v>0</v>
      </c>
    </row>
    <row r="83" spans="1:41" s="15" customFormat="1">
      <c r="A83" s="183"/>
      <c r="B83" s="12" t="s">
        <v>59</v>
      </c>
      <c r="C83" s="26">
        <v>0</v>
      </c>
      <c r="D83" s="26">
        <v>0</v>
      </c>
      <c r="E83" s="27"/>
      <c r="F83" s="27">
        <v>0</v>
      </c>
      <c r="G83" s="27">
        <v>0</v>
      </c>
      <c r="H83" s="27">
        <v>0</v>
      </c>
      <c r="I83" s="26">
        <v>0</v>
      </c>
      <c r="J83" s="27">
        <v>0</v>
      </c>
      <c r="K83" s="27">
        <v>0</v>
      </c>
      <c r="L83" s="27">
        <v>0</v>
      </c>
      <c r="M83" s="27">
        <v>0</v>
      </c>
      <c r="N83" s="26">
        <v>0</v>
      </c>
      <c r="O83" s="27">
        <v>0</v>
      </c>
      <c r="P83" s="27">
        <v>0</v>
      </c>
      <c r="Q83" s="27">
        <v>0</v>
      </c>
      <c r="R83" s="27">
        <v>0</v>
      </c>
      <c r="S83" s="27">
        <v>0</v>
      </c>
      <c r="T83" s="26">
        <v>0</v>
      </c>
      <c r="U83" s="28">
        <v>0</v>
      </c>
      <c r="V83" s="27">
        <v>0</v>
      </c>
      <c r="W83" s="27">
        <v>0</v>
      </c>
      <c r="X83" s="27">
        <v>0</v>
      </c>
      <c r="Y83" s="27">
        <v>0</v>
      </c>
      <c r="Z83" s="26">
        <v>0</v>
      </c>
      <c r="AA83" s="27">
        <v>0</v>
      </c>
      <c r="AB83" s="27">
        <v>0</v>
      </c>
      <c r="AC83" s="27">
        <v>0</v>
      </c>
      <c r="AD83" s="27">
        <v>0</v>
      </c>
      <c r="AE83" s="26">
        <v>0</v>
      </c>
      <c r="AF83" s="27">
        <v>0</v>
      </c>
      <c r="AG83" s="27">
        <v>0</v>
      </c>
      <c r="AH83" s="27">
        <v>0</v>
      </c>
      <c r="AI83" s="27">
        <v>0</v>
      </c>
      <c r="AJ83" s="27">
        <v>0</v>
      </c>
      <c r="AK83" s="26">
        <v>0</v>
      </c>
      <c r="AL83" s="28">
        <v>0</v>
      </c>
      <c r="AM83" s="54"/>
      <c r="AN83" s="13">
        <v>0</v>
      </c>
      <c r="AO83" s="13">
        <v>0</v>
      </c>
    </row>
    <row r="84" spans="1:41" s="15" customFormat="1">
      <c r="A84" s="183"/>
      <c r="B84" s="12" t="s">
        <v>7</v>
      </c>
      <c r="C84" s="26"/>
      <c r="D84" s="26"/>
      <c r="E84" s="32"/>
      <c r="F84" s="27">
        <v>0</v>
      </c>
      <c r="G84" s="27">
        <v>0</v>
      </c>
      <c r="H84" s="27">
        <v>0</v>
      </c>
      <c r="I84" s="26">
        <v>0</v>
      </c>
      <c r="J84" s="32">
        <v>0</v>
      </c>
      <c r="K84" s="27">
        <v>0</v>
      </c>
      <c r="L84" s="27">
        <v>0</v>
      </c>
      <c r="M84" s="27">
        <v>0</v>
      </c>
      <c r="N84" s="26">
        <v>0</v>
      </c>
      <c r="O84" s="32">
        <v>0</v>
      </c>
      <c r="P84" s="27">
        <v>0</v>
      </c>
      <c r="Q84" s="27">
        <v>0</v>
      </c>
      <c r="R84" s="27">
        <v>0</v>
      </c>
      <c r="S84" s="27">
        <v>0</v>
      </c>
      <c r="T84" s="26">
        <v>0</v>
      </c>
      <c r="U84" s="28">
        <v>0</v>
      </c>
      <c r="V84" s="32">
        <v>0</v>
      </c>
      <c r="W84" s="27">
        <v>0</v>
      </c>
      <c r="X84" s="27">
        <v>0</v>
      </c>
      <c r="Y84" s="27">
        <v>0</v>
      </c>
      <c r="Z84" s="26">
        <v>0</v>
      </c>
      <c r="AA84" s="32">
        <v>0</v>
      </c>
      <c r="AB84" s="27">
        <v>0</v>
      </c>
      <c r="AC84" s="27">
        <v>0</v>
      </c>
      <c r="AD84" s="27">
        <v>0</v>
      </c>
      <c r="AE84" s="26">
        <v>0</v>
      </c>
      <c r="AF84" s="32">
        <v>0</v>
      </c>
      <c r="AG84" s="27">
        <v>0</v>
      </c>
      <c r="AH84" s="27">
        <v>0</v>
      </c>
      <c r="AI84" s="27">
        <v>0</v>
      </c>
      <c r="AJ84" s="27">
        <v>0</v>
      </c>
      <c r="AK84" s="26">
        <v>0</v>
      </c>
      <c r="AL84" s="28">
        <v>0</v>
      </c>
      <c r="AM84" s="54"/>
      <c r="AN84" s="13">
        <v>0</v>
      </c>
      <c r="AO84" s="13">
        <v>0</v>
      </c>
    </row>
    <row r="85" spans="1:41" s="15" customFormat="1" ht="17" thickBot="1">
      <c r="A85" s="184"/>
      <c r="B85" s="4" t="s">
        <v>60</v>
      </c>
      <c r="C85" s="26">
        <v>181</v>
      </c>
      <c r="D85" s="37">
        <v>0</v>
      </c>
      <c r="E85" s="21"/>
      <c r="F85" s="21">
        <v>0</v>
      </c>
      <c r="G85" s="21">
        <v>181</v>
      </c>
      <c r="H85" s="21">
        <v>181</v>
      </c>
      <c r="I85" s="20">
        <v>181</v>
      </c>
      <c r="J85" s="21">
        <v>181</v>
      </c>
      <c r="K85" s="21">
        <v>181</v>
      </c>
      <c r="L85" s="21">
        <v>181</v>
      </c>
      <c r="M85" s="21">
        <v>181</v>
      </c>
      <c r="N85" s="20">
        <v>181</v>
      </c>
      <c r="O85" s="21">
        <v>181</v>
      </c>
      <c r="P85" s="21">
        <v>181</v>
      </c>
      <c r="Q85" s="21">
        <v>181</v>
      </c>
      <c r="R85" s="21">
        <v>181</v>
      </c>
      <c r="S85" s="21">
        <v>181</v>
      </c>
      <c r="T85" s="20">
        <v>181</v>
      </c>
      <c r="U85" s="22">
        <v>181</v>
      </c>
      <c r="V85" s="21">
        <v>0</v>
      </c>
      <c r="W85" s="21">
        <v>0</v>
      </c>
      <c r="X85" s="21">
        <v>0</v>
      </c>
      <c r="Y85" s="21">
        <v>0</v>
      </c>
      <c r="Z85" s="20">
        <v>0</v>
      </c>
      <c r="AA85" s="21">
        <v>0</v>
      </c>
      <c r="AB85" s="21">
        <v>0</v>
      </c>
      <c r="AC85" s="21">
        <v>0</v>
      </c>
      <c r="AD85" s="21">
        <v>0</v>
      </c>
      <c r="AE85" s="20">
        <v>0</v>
      </c>
      <c r="AF85" s="21">
        <v>0</v>
      </c>
      <c r="AG85" s="21">
        <v>0</v>
      </c>
      <c r="AH85" s="21">
        <v>0</v>
      </c>
      <c r="AI85" s="21">
        <v>0</v>
      </c>
      <c r="AJ85" s="21">
        <v>0</v>
      </c>
      <c r="AK85" s="20">
        <v>0</v>
      </c>
      <c r="AL85" s="22">
        <v>181</v>
      </c>
      <c r="AM85" s="54"/>
      <c r="AN85" s="13">
        <v>0</v>
      </c>
      <c r="AO85" s="13">
        <v>0</v>
      </c>
    </row>
    <row r="86" spans="1:41" s="15" customFormat="1" ht="17" thickBot="1">
      <c r="A86" s="46"/>
      <c r="B86" s="12" t="s">
        <v>61</v>
      </c>
      <c r="C86" s="26"/>
      <c r="D86" s="26"/>
      <c r="E86" s="19"/>
      <c r="F86" s="19"/>
      <c r="G86" s="19"/>
      <c r="H86" s="19"/>
      <c r="I86" s="23"/>
      <c r="J86" s="19"/>
      <c r="K86" s="19"/>
      <c r="L86" s="19"/>
      <c r="M86" s="19"/>
      <c r="N86" s="23"/>
      <c r="O86" s="19"/>
      <c r="P86" s="19"/>
      <c r="Q86" s="19"/>
      <c r="R86" s="19"/>
      <c r="S86" s="19"/>
      <c r="T86" s="23"/>
      <c r="U86" s="24"/>
      <c r="V86" s="19"/>
      <c r="W86" s="19"/>
      <c r="X86" s="19"/>
      <c r="Y86" s="19"/>
      <c r="Z86" s="23"/>
      <c r="AA86" s="19"/>
      <c r="AB86" s="19"/>
      <c r="AC86" s="19"/>
      <c r="AD86" s="19"/>
      <c r="AE86" s="23"/>
      <c r="AF86" s="19"/>
      <c r="AG86" s="19"/>
      <c r="AH86" s="19"/>
      <c r="AI86" s="19"/>
      <c r="AJ86" s="19"/>
      <c r="AK86" s="23"/>
      <c r="AL86" s="24"/>
      <c r="AM86" s="54"/>
      <c r="AN86" s="13">
        <v>0</v>
      </c>
      <c r="AO86" s="13">
        <v>0</v>
      </c>
    </row>
    <row r="87" spans="1:41" s="15" customFormat="1">
      <c r="A87" s="182" t="s">
        <v>75</v>
      </c>
      <c r="B87" s="3" t="s">
        <v>57</v>
      </c>
      <c r="C87" s="26"/>
      <c r="D87" s="26"/>
      <c r="E87" s="27"/>
      <c r="F87" s="27">
        <v>0</v>
      </c>
      <c r="G87" s="27">
        <v>-139</v>
      </c>
      <c r="H87" s="27">
        <v>0</v>
      </c>
      <c r="I87" s="26">
        <v>-139</v>
      </c>
      <c r="J87" s="27">
        <v>0</v>
      </c>
      <c r="K87" s="27">
        <v>0</v>
      </c>
      <c r="L87" s="27">
        <v>0</v>
      </c>
      <c r="M87" s="27">
        <v>0</v>
      </c>
      <c r="N87" s="26">
        <v>0</v>
      </c>
      <c r="O87" s="27">
        <v>0</v>
      </c>
      <c r="P87" s="27">
        <v>0</v>
      </c>
      <c r="Q87" s="27">
        <v>0</v>
      </c>
      <c r="R87" s="27">
        <v>0</v>
      </c>
      <c r="S87" s="27">
        <v>0</v>
      </c>
      <c r="T87" s="26">
        <v>0</v>
      </c>
      <c r="U87" s="28">
        <v>314</v>
      </c>
      <c r="V87" s="27">
        <v>0</v>
      </c>
      <c r="W87" s="27">
        <v>0</v>
      </c>
      <c r="X87" s="27">
        <v>0</v>
      </c>
      <c r="Y87" s="27">
        <v>0</v>
      </c>
      <c r="Z87" s="26">
        <v>0</v>
      </c>
      <c r="AA87" s="27">
        <v>0</v>
      </c>
      <c r="AB87" s="27">
        <v>0</v>
      </c>
      <c r="AC87" s="27">
        <v>0</v>
      </c>
      <c r="AD87" s="27">
        <v>0</v>
      </c>
      <c r="AE87" s="26">
        <v>0</v>
      </c>
      <c r="AF87" s="27">
        <v>0</v>
      </c>
      <c r="AG87" s="27">
        <v>0</v>
      </c>
      <c r="AH87" s="27">
        <v>0</v>
      </c>
      <c r="AI87" s="27">
        <v>0</v>
      </c>
      <c r="AJ87" s="27">
        <v>0</v>
      </c>
      <c r="AK87" s="26">
        <v>0</v>
      </c>
      <c r="AL87" s="28">
        <v>0</v>
      </c>
      <c r="AM87" s="54">
        <v>128</v>
      </c>
      <c r="AN87" s="13">
        <f>U87*AM87</f>
        <v>40192</v>
      </c>
      <c r="AO87" s="13">
        <f>AM87*AL87</f>
        <v>0</v>
      </c>
    </row>
    <row r="88" spans="1:41" s="15" customFormat="1">
      <c r="A88" s="183"/>
      <c r="B88" s="12" t="s">
        <v>58</v>
      </c>
      <c r="C88" s="26"/>
      <c r="D88" s="26"/>
      <c r="E88" s="27"/>
      <c r="F88" s="27">
        <v>0</v>
      </c>
      <c r="G88" s="27">
        <v>0</v>
      </c>
      <c r="H88" s="27">
        <v>0</v>
      </c>
      <c r="I88" s="26">
        <v>0</v>
      </c>
      <c r="J88" s="27">
        <v>0</v>
      </c>
      <c r="K88" s="27">
        <v>0</v>
      </c>
      <c r="L88" s="27">
        <v>0</v>
      </c>
      <c r="M88" s="27">
        <v>0</v>
      </c>
      <c r="N88" s="26">
        <v>0</v>
      </c>
      <c r="O88" s="27">
        <v>0</v>
      </c>
      <c r="P88" s="27">
        <v>0</v>
      </c>
      <c r="Q88" s="27">
        <v>0</v>
      </c>
      <c r="R88" s="27">
        <v>0</v>
      </c>
      <c r="S88" s="27">
        <v>0</v>
      </c>
      <c r="T88" s="26">
        <v>0</v>
      </c>
      <c r="U88" s="28">
        <v>0</v>
      </c>
      <c r="V88" s="27">
        <v>0</v>
      </c>
      <c r="W88" s="27">
        <v>0</v>
      </c>
      <c r="X88" s="27">
        <v>0</v>
      </c>
      <c r="Y88" s="27">
        <v>0</v>
      </c>
      <c r="Z88" s="26">
        <v>0</v>
      </c>
      <c r="AA88" s="27">
        <v>0</v>
      </c>
      <c r="AB88" s="27">
        <v>0</v>
      </c>
      <c r="AC88" s="27">
        <v>0</v>
      </c>
      <c r="AD88" s="27">
        <v>0</v>
      </c>
      <c r="AE88" s="26">
        <v>0</v>
      </c>
      <c r="AF88" s="27">
        <v>0</v>
      </c>
      <c r="AG88" s="27">
        <v>0</v>
      </c>
      <c r="AH88" s="27">
        <v>0</v>
      </c>
      <c r="AI88" s="27">
        <v>0</v>
      </c>
      <c r="AJ88" s="27">
        <v>0</v>
      </c>
      <c r="AK88" s="26">
        <v>0</v>
      </c>
      <c r="AL88" s="28">
        <v>0</v>
      </c>
      <c r="AM88" s="54"/>
      <c r="AN88" s="13">
        <v>0</v>
      </c>
      <c r="AO88" s="13">
        <v>0</v>
      </c>
    </row>
    <row r="89" spans="1:41" s="15" customFormat="1">
      <c r="A89" s="183"/>
      <c r="B89" s="12" t="s">
        <v>59</v>
      </c>
      <c r="C89" s="26">
        <v>0</v>
      </c>
      <c r="D89" s="26">
        <v>0</v>
      </c>
      <c r="E89" s="27"/>
      <c r="F89" s="27">
        <v>0</v>
      </c>
      <c r="G89" s="27">
        <v>0</v>
      </c>
      <c r="H89" s="27">
        <v>0</v>
      </c>
      <c r="I89" s="26">
        <v>0</v>
      </c>
      <c r="J89" s="27">
        <v>0</v>
      </c>
      <c r="K89" s="27">
        <v>0</v>
      </c>
      <c r="L89" s="27">
        <v>0</v>
      </c>
      <c r="M89" s="27">
        <v>0</v>
      </c>
      <c r="N89" s="26">
        <v>0</v>
      </c>
      <c r="O89" s="27">
        <v>0</v>
      </c>
      <c r="P89" s="27">
        <v>0</v>
      </c>
      <c r="Q89" s="27">
        <v>0</v>
      </c>
      <c r="R89" s="27">
        <v>0</v>
      </c>
      <c r="S89" s="27">
        <v>0</v>
      </c>
      <c r="T89" s="26">
        <v>0</v>
      </c>
      <c r="U89" s="28">
        <v>0</v>
      </c>
      <c r="V89" s="27">
        <v>0</v>
      </c>
      <c r="W89" s="27">
        <v>0</v>
      </c>
      <c r="X89" s="27">
        <v>0</v>
      </c>
      <c r="Y89" s="27">
        <v>0</v>
      </c>
      <c r="Z89" s="26">
        <v>0</v>
      </c>
      <c r="AA89" s="27">
        <v>0</v>
      </c>
      <c r="AB89" s="27">
        <v>0</v>
      </c>
      <c r="AC89" s="27">
        <v>0</v>
      </c>
      <c r="AD89" s="27">
        <v>0</v>
      </c>
      <c r="AE89" s="26">
        <v>0</v>
      </c>
      <c r="AF89" s="27">
        <v>0</v>
      </c>
      <c r="AG89" s="27">
        <v>0</v>
      </c>
      <c r="AH89" s="27">
        <v>0</v>
      </c>
      <c r="AI89" s="27">
        <v>0</v>
      </c>
      <c r="AJ89" s="27">
        <v>0</v>
      </c>
      <c r="AK89" s="26">
        <v>0</v>
      </c>
      <c r="AL89" s="28">
        <v>0</v>
      </c>
      <c r="AM89" s="54"/>
      <c r="AN89" s="13">
        <v>0</v>
      </c>
      <c r="AO89" s="13">
        <v>0</v>
      </c>
    </row>
    <row r="90" spans="1:41" s="15" customFormat="1">
      <c r="A90" s="183"/>
      <c r="B90" s="12" t="s">
        <v>7</v>
      </c>
      <c r="C90" s="26"/>
      <c r="D90" s="26"/>
      <c r="E90" s="32"/>
      <c r="F90" s="27">
        <v>0</v>
      </c>
      <c r="G90" s="27">
        <v>0</v>
      </c>
      <c r="H90" s="27">
        <v>0</v>
      </c>
      <c r="I90" s="26">
        <v>0</v>
      </c>
      <c r="J90" s="32">
        <v>0</v>
      </c>
      <c r="K90" s="27">
        <v>0</v>
      </c>
      <c r="L90" s="27">
        <v>0</v>
      </c>
      <c r="M90" s="27">
        <v>0</v>
      </c>
      <c r="N90" s="26">
        <v>0</v>
      </c>
      <c r="O90" s="32">
        <v>0</v>
      </c>
      <c r="P90" s="27">
        <v>0</v>
      </c>
      <c r="Q90" s="27">
        <v>0</v>
      </c>
      <c r="R90" s="27">
        <v>0</v>
      </c>
      <c r="S90" s="27">
        <v>0</v>
      </c>
      <c r="T90" s="26">
        <v>0</v>
      </c>
      <c r="U90" s="28">
        <v>453</v>
      </c>
      <c r="V90" s="32">
        <v>0</v>
      </c>
      <c r="W90" s="27">
        <v>0</v>
      </c>
      <c r="X90" s="27">
        <v>0</v>
      </c>
      <c r="Y90" s="27">
        <v>0</v>
      </c>
      <c r="Z90" s="26">
        <v>0</v>
      </c>
      <c r="AA90" s="32">
        <v>0</v>
      </c>
      <c r="AB90" s="27">
        <v>0</v>
      </c>
      <c r="AC90" s="27">
        <v>0</v>
      </c>
      <c r="AD90" s="27">
        <v>0</v>
      </c>
      <c r="AE90" s="26">
        <v>0</v>
      </c>
      <c r="AF90" s="32">
        <v>0</v>
      </c>
      <c r="AG90" s="27">
        <v>0</v>
      </c>
      <c r="AH90" s="27">
        <v>0</v>
      </c>
      <c r="AI90" s="27">
        <v>0</v>
      </c>
      <c r="AJ90" s="27">
        <v>0</v>
      </c>
      <c r="AK90" s="26">
        <v>0</v>
      </c>
      <c r="AL90" s="28">
        <v>0</v>
      </c>
      <c r="AM90" s="54"/>
      <c r="AN90" s="13">
        <v>0</v>
      </c>
      <c r="AO90" s="13">
        <v>0</v>
      </c>
    </row>
    <row r="91" spans="1:41" s="15" customFormat="1" ht="17" thickBot="1">
      <c r="A91" s="184"/>
      <c r="B91" s="4" t="s">
        <v>60</v>
      </c>
      <c r="C91" s="26">
        <v>139</v>
      </c>
      <c r="D91" s="37">
        <v>453</v>
      </c>
      <c r="E91" s="21"/>
      <c r="F91" s="21">
        <v>0</v>
      </c>
      <c r="G91" s="21">
        <v>139</v>
      </c>
      <c r="H91" s="21">
        <v>139</v>
      </c>
      <c r="I91" s="20">
        <v>139</v>
      </c>
      <c r="J91" s="21">
        <v>139</v>
      </c>
      <c r="K91" s="21">
        <v>139</v>
      </c>
      <c r="L91" s="21">
        <v>139</v>
      </c>
      <c r="M91" s="21">
        <v>139</v>
      </c>
      <c r="N91" s="20">
        <v>139</v>
      </c>
      <c r="O91" s="21">
        <v>139</v>
      </c>
      <c r="P91" s="21">
        <v>139</v>
      </c>
      <c r="Q91" s="21">
        <v>139</v>
      </c>
      <c r="R91" s="21">
        <v>139</v>
      </c>
      <c r="S91" s="21">
        <v>139</v>
      </c>
      <c r="T91" s="20">
        <v>139</v>
      </c>
      <c r="U91" s="22">
        <v>139</v>
      </c>
      <c r="V91" s="21">
        <v>139</v>
      </c>
      <c r="W91" s="21">
        <v>139</v>
      </c>
      <c r="X91" s="21">
        <v>139</v>
      </c>
      <c r="Y91" s="21">
        <v>139</v>
      </c>
      <c r="Z91" s="20">
        <v>139</v>
      </c>
      <c r="AA91" s="21">
        <v>139</v>
      </c>
      <c r="AB91" s="21">
        <v>139</v>
      </c>
      <c r="AC91" s="21">
        <v>139</v>
      </c>
      <c r="AD91" s="21">
        <v>139</v>
      </c>
      <c r="AE91" s="20">
        <v>139</v>
      </c>
      <c r="AF91" s="21">
        <v>139</v>
      </c>
      <c r="AG91" s="21">
        <v>139</v>
      </c>
      <c r="AH91" s="21">
        <v>139</v>
      </c>
      <c r="AI91" s="21">
        <v>139</v>
      </c>
      <c r="AJ91" s="21">
        <v>139</v>
      </c>
      <c r="AK91" s="20">
        <v>139</v>
      </c>
      <c r="AL91" s="22">
        <v>139</v>
      </c>
      <c r="AM91" s="54"/>
      <c r="AN91" s="13">
        <v>0</v>
      </c>
      <c r="AO91" s="13">
        <v>0</v>
      </c>
    </row>
    <row r="92" spans="1:41" s="15" customFormat="1" ht="17" thickBot="1">
      <c r="A92" s="46"/>
      <c r="B92" s="12" t="s">
        <v>61</v>
      </c>
      <c r="C92" s="26"/>
      <c r="D92" s="26"/>
      <c r="E92" s="19"/>
      <c r="F92" s="19"/>
      <c r="G92" s="19"/>
      <c r="H92" s="19"/>
      <c r="I92" s="23"/>
      <c r="J92" s="19"/>
      <c r="K92" s="19"/>
      <c r="L92" s="19"/>
      <c r="M92" s="19"/>
      <c r="N92" s="23"/>
      <c r="O92" s="19"/>
      <c r="P92" s="19"/>
      <c r="Q92" s="19"/>
      <c r="R92" s="19"/>
      <c r="S92" s="19"/>
      <c r="T92" s="23"/>
      <c r="U92" s="24"/>
      <c r="V92" s="19"/>
      <c r="W92" s="19"/>
      <c r="X92" s="19"/>
      <c r="Y92" s="19"/>
      <c r="Z92" s="23"/>
      <c r="AA92" s="19"/>
      <c r="AB92" s="19"/>
      <c r="AC92" s="19"/>
      <c r="AD92" s="19"/>
      <c r="AE92" s="23"/>
      <c r="AF92" s="19"/>
      <c r="AG92" s="19"/>
      <c r="AH92" s="19"/>
      <c r="AI92" s="19"/>
      <c r="AJ92" s="19"/>
      <c r="AK92" s="23"/>
      <c r="AL92" s="24"/>
      <c r="AM92" s="54"/>
      <c r="AN92" s="13">
        <v>0</v>
      </c>
      <c r="AO92" s="13">
        <v>0</v>
      </c>
    </row>
    <row r="93" spans="1:41" s="15" customFormat="1">
      <c r="A93" s="182" t="s">
        <v>76</v>
      </c>
      <c r="B93" s="3" t="s">
        <v>57</v>
      </c>
      <c r="C93" s="26"/>
      <c r="D93" s="26"/>
      <c r="E93" s="27"/>
      <c r="F93" s="27">
        <v>0</v>
      </c>
      <c r="G93" s="27">
        <v>783</v>
      </c>
      <c r="H93" s="27">
        <v>0</v>
      </c>
      <c r="I93" s="26">
        <v>783</v>
      </c>
      <c r="J93" s="27">
        <v>959</v>
      </c>
      <c r="K93" s="27">
        <v>0</v>
      </c>
      <c r="L93" s="27">
        <v>0</v>
      </c>
      <c r="M93" s="27">
        <v>0</v>
      </c>
      <c r="N93" s="26">
        <v>959</v>
      </c>
      <c r="O93" s="27">
        <v>4306</v>
      </c>
      <c r="P93" s="27">
        <v>0</v>
      </c>
      <c r="Q93" s="27">
        <v>0</v>
      </c>
      <c r="R93" s="27">
        <v>0</v>
      </c>
      <c r="S93" s="27">
        <v>0</v>
      </c>
      <c r="T93" s="26">
        <v>4306</v>
      </c>
      <c r="U93" s="28">
        <v>7013</v>
      </c>
      <c r="V93" s="27">
        <v>0</v>
      </c>
      <c r="W93" s="27">
        <v>0</v>
      </c>
      <c r="X93" s="27">
        <v>0</v>
      </c>
      <c r="Y93" s="27">
        <v>0</v>
      </c>
      <c r="Z93" s="26">
        <v>0</v>
      </c>
      <c r="AA93" s="27">
        <v>0</v>
      </c>
      <c r="AB93" s="27">
        <v>0</v>
      </c>
      <c r="AC93" s="27">
        <v>0</v>
      </c>
      <c r="AD93" s="27">
        <v>0</v>
      </c>
      <c r="AE93" s="26">
        <v>0</v>
      </c>
      <c r="AF93" s="27">
        <v>0</v>
      </c>
      <c r="AG93" s="27">
        <v>0</v>
      </c>
      <c r="AH93" s="27">
        <v>0</v>
      </c>
      <c r="AI93" s="27">
        <v>0</v>
      </c>
      <c r="AJ93" s="27">
        <v>0</v>
      </c>
      <c r="AK93" s="26">
        <v>0</v>
      </c>
      <c r="AL93" s="28">
        <v>0</v>
      </c>
      <c r="AM93" s="54">
        <v>128</v>
      </c>
      <c r="AN93" s="13">
        <f>U93*AM93</f>
        <v>897664</v>
      </c>
      <c r="AO93" s="13">
        <f>AM93*AL93</f>
        <v>0</v>
      </c>
    </row>
    <row r="94" spans="1:41" s="15" customFormat="1">
      <c r="A94" s="183"/>
      <c r="B94" s="12" t="s">
        <v>58</v>
      </c>
      <c r="C94" s="26"/>
      <c r="D94" s="26"/>
      <c r="E94" s="27"/>
      <c r="F94" s="27">
        <v>0</v>
      </c>
      <c r="G94" s="27">
        <v>60</v>
      </c>
      <c r="H94" s="27">
        <v>0</v>
      </c>
      <c r="I94" s="26">
        <v>60</v>
      </c>
      <c r="J94" s="27">
        <v>0</v>
      </c>
      <c r="K94" s="27">
        <v>0</v>
      </c>
      <c r="L94" s="27">
        <v>0</v>
      </c>
      <c r="M94" s="27">
        <v>0</v>
      </c>
      <c r="N94" s="26">
        <v>0</v>
      </c>
      <c r="O94" s="27">
        <v>0</v>
      </c>
      <c r="P94" s="27">
        <v>0</v>
      </c>
      <c r="Q94" s="27">
        <v>0</v>
      </c>
      <c r="R94" s="27">
        <v>0</v>
      </c>
      <c r="S94" s="27">
        <v>0</v>
      </c>
      <c r="T94" s="26">
        <v>0</v>
      </c>
      <c r="U94" s="28">
        <v>0</v>
      </c>
      <c r="V94" s="27">
        <v>0</v>
      </c>
      <c r="W94" s="27">
        <v>0</v>
      </c>
      <c r="X94" s="27">
        <v>0</v>
      </c>
      <c r="Y94" s="27">
        <v>0</v>
      </c>
      <c r="Z94" s="26">
        <v>0</v>
      </c>
      <c r="AA94" s="27">
        <v>0</v>
      </c>
      <c r="AB94" s="27">
        <v>0</v>
      </c>
      <c r="AC94" s="27">
        <v>0</v>
      </c>
      <c r="AD94" s="27">
        <v>0</v>
      </c>
      <c r="AE94" s="26">
        <v>0</v>
      </c>
      <c r="AF94" s="27">
        <v>0</v>
      </c>
      <c r="AG94" s="27">
        <v>0</v>
      </c>
      <c r="AH94" s="27">
        <v>0</v>
      </c>
      <c r="AI94" s="27">
        <v>0</v>
      </c>
      <c r="AJ94" s="27">
        <v>0</v>
      </c>
      <c r="AK94" s="26">
        <v>0</v>
      </c>
      <c r="AL94" s="28">
        <v>0</v>
      </c>
      <c r="AM94" s="54"/>
      <c r="AN94" s="13">
        <v>0</v>
      </c>
      <c r="AO94" s="13">
        <v>0</v>
      </c>
    </row>
    <row r="95" spans="1:41" s="15" customFormat="1">
      <c r="A95" s="183"/>
      <c r="B95" s="12" t="s">
        <v>59</v>
      </c>
      <c r="C95" s="26">
        <v>0</v>
      </c>
      <c r="D95" s="26">
        <v>0</v>
      </c>
      <c r="E95" s="27"/>
      <c r="F95" s="27">
        <v>0</v>
      </c>
      <c r="G95" s="27">
        <v>0</v>
      </c>
      <c r="H95" s="27">
        <v>0</v>
      </c>
      <c r="I95" s="26">
        <v>0</v>
      </c>
      <c r="J95" s="27">
        <v>0</v>
      </c>
      <c r="K95" s="27">
        <v>0</v>
      </c>
      <c r="L95" s="27">
        <v>0</v>
      </c>
      <c r="M95" s="27">
        <v>0</v>
      </c>
      <c r="N95" s="26">
        <v>0</v>
      </c>
      <c r="O95" s="27">
        <v>0</v>
      </c>
      <c r="P95" s="27">
        <v>0</v>
      </c>
      <c r="Q95" s="27">
        <v>0</v>
      </c>
      <c r="R95" s="27">
        <v>0</v>
      </c>
      <c r="S95" s="27">
        <v>0</v>
      </c>
      <c r="T95" s="26">
        <v>0</v>
      </c>
      <c r="U95" s="28">
        <v>0</v>
      </c>
      <c r="V95" s="27">
        <v>0</v>
      </c>
      <c r="W95" s="27">
        <v>0</v>
      </c>
      <c r="X95" s="27">
        <v>0</v>
      </c>
      <c r="Y95" s="27">
        <v>0</v>
      </c>
      <c r="Z95" s="26">
        <v>0</v>
      </c>
      <c r="AA95" s="27">
        <v>0</v>
      </c>
      <c r="AB95" s="27">
        <v>0</v>
      </c>
      <c r="AC95" s="27">
        <v>0</v>
      </c>
      <c r="AD95" s="27">
        <v>0</v>
      </c>
      <c r="AE95" s="26">
        <v>0</v>
      </c>
      <c r="AF95" s="27">
        <v>0</v>
      </c>
      <c r="AG95" s="27">
        <v>0</v>
      </c>
      <c r="AH95" s="27">
        <v>0</v>
      </c>
      <c r="AI95" s="27">
        <v>0</v>
      </c>
      <c r="AJ95" s="27">
        <v>0</v>
      </c>
      <c r="AK95" s="26">
        <v>0</v>
      </c>
      <c r="AL95" s="28">
        <v>0</v>
      </c>
      <c r="AM95" s="54"/>
      <c r="AN95" s="13">
        <v>0</v>
      </c>
      <c r="AO95" s="13">
        <v>0</v>
      </c>
    </row>
    <row r="96" spans="1:41" s="15" customFormat="1">
      <c r="A96" s="183"/>
      <c r="B96" s="12" t="s">
        <v>7</v>
      </c>
      <c r="C96" s="26"/>
      <c r="D96" s="26"/>
      <c r="E96" s="32"/>
      <c r="F96" s="27">
        <v>0</v>
      </c>
      <c r="G96" s="27">
        <v>60</v>
      </c>
      <c r="H96" s="27">
        <v>0</v>
      </c>
      <c r="I96" s="26">
        <v>60</v>
      </c>
      <c r="J96" s="32">
        <v>0</v>
      </c>
      <c r="K96" s="27">
        <v>0</v>
      </c>
      <c r="L96" s="27">
        <v>0</v>
      </c>
      <c r="M96" s="27">
        <v>0</v>
      </c>
      <c r="N96" s="26">
        <v>0</v>
      </c>
      <c r="O96" s="32">
        <v>0</v>
      </c>
      <c r="P96" s="27">
        <v>0</v>
      </c>
      <c r="Q96" s="27">
        <v>0</v>
      </c>
      <c r="R96" s="27">
        <v>0</v>
      </c>
      <c r="S96" s="27">
        <v>0</v>
      </c>
      <c r="T96" s="26">
        <v>0</v>
      </c>
      <c r="U96" s="28">
        <v>1025</v>
      </c>
      <c r="V96" s="32">
        <v>0</v>
      </c>
      <c r="W96" s="27">
        <v>0</v>
      </c>
      <c r="X96" s="27">
        <v>0</v>
      </c>
      <c r="Y96" s="27">
        <v>0</v>
      </c>
      <c r="Z96" s="26">
        <v>0</v>
      </c>
      <c r="AA96" s="32">
        <v>0</v>
      </c>
      <c r="AB96" s="27">
        <v>0</v>
      </c>
      <c r="AC96" s="27">
        <v>0</v>
      </c>
      <c r="AD96" s="27">
        <v>0</v>
      </c>
      <c r="AE96" s="26">
        <v>0</v>
      </c>
      <c r="AF96" s="32">
        <v>0</v>
      </c>
      <c r="AG96" s="27">
        <v>0</v>
      </c>
      <c r="AH96" s="27">
        <v>0</v>
      </c>
      <c r="AI96" s="27">
        <v>0</v>
      </c>
      <c r="AJ96" s="27">
        <v>0</v>
      </c>
      <c r="AK96" s="26">
        <v>0</v>
      </c>
      <c r="AL96" s="28">
        <v>0</v>
      </c>
      <c r="AM96" s="54"/>
      <c r="AN96" s="13">
        <v>0</v>
      </c>
      <c r="AO96" s="13">
        <v>0</v>
      </c>
    </row>
    <row r="97" spans="1:41" s="15" customFormat="1" ht="17" thickBot="1">
      <c r="A97" s="184"/>
      <c r="B97" s="4" t="s">
        <v>60</v>
      </c>
      <c r="C97" s="26">
        <v>20</v>
      </c>
      <c r="D97" s="37">
        <v>965</v>
      </c>
      <c r="E97" s="21"/>
      <c r="F97" s="21">
        <v>0</v>
      </c>
      <c r="G97" s="21">
        <v>-723</v>
      </c>
      <c r="H97" s="21">
        <v>-723</v>
      </c>
      <c r="I97" s="20">
        <v>-723</v>
      </c>
      <c r="J97" s="21">
        <v>-1682</v>
      </c>
      <c r="K97" s="21">
        <v>-1682</v>
      </c>
      <c r="L97" s="21">
        <v>-1682</v>
      </c>
      <c r="M97" s="21">
        <v>-1682</v>
      </c>
      <c r="N97" s="20">
        <v>-1682</v>
      </c>
      <c r="O97" s="21">
        <v>-5988</v>
      </c>
      <c r="P97" s="21">
        <v>-5988</v>
      </c>
      <c r="Q97" s="21">
        <v>-5988</v>
      </c>
      <c r="R97" s="21">
        <v>-5988</v>
      </c>
      <c r="S97" s="21">
        <v>-5988</v>
      </c>
      <c r="T97" s="20">
        <v>-5988</v>
      </c>
      <c r="U97" s="22">
        <v>-5988</v>
      </c>
      <c r="V97" s="21">
        <v>-5988</v>
      </c>
      <c r="W97" s="21">
        <v>-5988</v>
      </c>
      <c r="X97" s="21">
        <v>-5988</v>
      </c>
      <c r="Y97" s="21">
        <v>-5988</v>
      </c>
      <c r="Z97" s="20">
        <v>-5988</v>
      </c>
      <c r="AA97" s="21">
        <v>-5988</v>
      </c>
      <c r="AB97" s="21">
        <v>-5988</v>
      </c>
      <c r="AC97" s="21">
        <v>-5988</v>
      </c>
      <c r="AD97" s="21">
        <v>-5988</v>
      </c>
      <c r="AE97" s="20">
        <v>-5988</v>
      </c>
      <c r="AF97" s="21">
        <v>-5988</v>
      </c>
      <c r="AG97" s="21">
        <v>-5988</v>
      </c>
      <c r="AH97" s="21">
        <v>-5988</v>
      </c>
      <c r="AI97" s="21">
        <v>-5988</v>
      </c>
      <c r="AJ97" s="21">
        <v>-5988</v>
      </c>
      <c r="AK97" s="20">
        <v>-5988</v>
      </c>
      <c r="AL97" s="22">
        <v>-5988</v>
      </c>
      <c r="AM97" s="54"/>
      <c r="AN97" s="13">
        <v>0</v>
      </c>
      <c r="AO97" s="13">
        <v>0</v>
      </c>
    </row>
    <row r="98" spans="1:41" s="15" customFormat="1" ht="17" thickBot="1">
      <c r="A98" s="46"/>
      <c r="B98" s="12" t="s">
        <v>61</v>
      </c>
      <c r="C98" s="26"/>
      <c r="D98" s="26"/>
      <c r="E98" s="19">
        <v>0</v>
      </c>
      <c r="F98" s="19"/>
      <c r="G98" s="19"/>
      <c r="H98" s="19"/>
      <c r="I98" s="23"/>
      <c r="J98" s="19"/>
      <c r="K98" s="19"/>
      <c r="L98" s="19"/>
      <c r="M98" s="19"/>
      <c r="N98" s="23"/>
      <c r="O98" s="19"/>
      <c r="P98" s="19"/>
      <c r="Q98" s="19"/>
      <c r="R98" s="19"/>
      <c r="S98" s="19"/>
      <c r="T98" s="23"/>
      <c r="U98" s="24"/>
      <c r="V98" s="19"/>
      <c r="W98" s="19"/>
      <c r="X98" s="19"/>
      <c r="Y98" s="19"/>
      <c r="Z98" s="23"/>
      <c r="AA98" s="19"/>
      <c r="AB98" s="19"/>
      <c r="AC98" s="19"/>
      <c r="AD98" s="19"/>
      <c r="AE98" s="23"/>
      <c r="AF98" s="19"/>
      <c r="AG98" s="19"/>
      <c r="AH98" s="19"/>
      <c r="AI98" s="19"/>
      <c r="AJ98" s="19"/>
      <c r="AK98" s="23"/>
      <c r="AL98" s="24"/>
      <c r="AM98" s="54"/>
      <c r="AN98" s="13">
        <v>0</v>
      </c>
      <c r="AO98" s="13">
        <v>0</v>
      </c>
    </row>
    <row r="99" spans="1:41" s="15" customFormat="1">
      <c r="A99" s="182" t="s">
        <v>77</v>
      </c>
      <c r="B99" s="3" t="s">
        <v>57</v>
      </c>
      <c r="C99" s="26"/>
      <c r="D99" s="26"/>
      <c r="E99" s="27"/>
      <c r="F99" s="27">
        <v>2625</v>
      </c>
      <c r="G99" s="27">
        <v>-5262</v>
      </c>
      <c r="H99" s="27">
        <v>2</v>
      </c>
      <c r="I99" s="26">
        <v>-2635</v>
      </c>
      <c r="J99" s="27">
        <v>1152</v>
      </c>
      <c r="K99" s="27">
        <v>13</v>
      </c>
      <c r="L99" s="27">
        <v>1363</v>
      </c>
      <c r="M99" s="27">
        <v>336</v>
      </c>
      <c r="N99" s="26">
        <v>2864</v>
      </c>
      <c r="O99" s="27">
        <v>2854</v>
      </c>
      <c r="P99" s="27">
        <v>0</v>
      </c>
      <c r="Q99" s="27">
        <v>0</v>
      </c>
      <c r="R99" s="27">
        <v>4921</v>
      </c>
      <c r="S99" s="27">
        <v>0</v>
      </c>
      <c r="T99" s="26">
        <v>7775</v>
      </c>
      <c r="U99" s="28">
        <v>14602</v>
      </c>
      <c r="V99" s="27">
        <v>1000</v>
      </c>
      <c r="W99" s="27">
        <v>0</v>
      </c>
      <c r="X99" s="27">
        <v>0</v>
      </c>
      <c r="Y99" s="27">
        <v>0</v>
      </c>
      <c r="Z99" s="26">
        <v>1000</v>
      </c>
      <c r="AA99" s="27">
        <v>0</v>
      </c>
      <c r="AB99" s="27">
        <v>0</v>
      </c>
      <c r="AC99" s="27">
        <v>0</v>
      </c>
      <c r="AD99" s="27">
        <v>0</v>
      </c>
      <c r="AE99" s="26">
        <v>0</v>
      </c>
      <c r="AF99" s="27">
        <v>0</v>
      </c>
      <c r="AG99" s="27">
        <v>0</v>
      </c>
      <c r="AH99" s="27">
        <v>0</v>
      </c>
      <c r="AI99" s="27">
        <v>0</v>
      </c>
      <c r="AJ99" s="27">
        <v>0</v>
      </c>
      <c r="AK99" s="26">
        <v>0</v>
      </c>
      <c r="AL99" s="28">
        <v>1000</v>
      </c>
      <c r="AM99" s="54">
        <v>128</v>
      </c>
      <c r="AN99" s="13">
        <f>U99*AM99</f>
        <v>1869056</v>
      </c>
      <c r="AO99" s="13">
        <f>AM99*AL99</f>
        <v>128000</v>
      </c>
    </row>
    <row r="100" spans="1:41" s="15" customFormat="1">
      <c r="A100" s="183"/>
      <c r="B100" s="12" t="s">
        <v>58</v>
      </c>
      <c r="C100" s="26"/>
      <c r="D100" s="26"/>
      <c r="E100" s="27"/>
      <c r="F100" s="27">
        <v>2625</v>
      </c>
      <c r="G100" s="27">
        <v>0</v>
      </c>
      <c r="H100" s="27">
        <v>3000</v>
      </c>
      <c r="I100" s="26">
        <v>5625</v>
      </c>
      <c r="J100" s="27">
        <v>0</v>
      </c>
      <c r="K100" s="27">
        <v>2000</v>
      </c>
      <c r="L100" s="27">
        <v>2000</v>
      </c>
      <c r="M100" s="27">
        <v>2000</v>
      </c>
      <c r="N100" s="26">
        <v>6000</v>
      </c>
      <c r="O100" s="27">
        <v>0</v>
      </c>
      <c r="P100" s="27">
        <v>0</v>
      </c>
      <c r="Q100" s="27">
        <v>2000</v>
      </c>
      <c r="R100" s="27">
        <v>2000</v>
      </c>
      <c r="S100" s="27">
        <v>2000</v>
      </c>
      <c r="T100" s="26">
        <v>6000</v>
      </c>
      <c r="U100" s="28">
        <v>0</v>
      </c>
      <c r="V100" s="27">
        <v>0</v>
      </c>
      <c r="W100" s="27">
        <v>0</v>
      </c>
      <c r="X100" s="27">
        <v>0</v>
      </c>
      <c r="Y100" s="27">
        <v>0</v>
      </c>
      <c r="Z100" s="26">
        <v>0</v>
      </c>
      <c r="AA100" s="27">
        <v>0</v>
      </c>
      <c r="AB100" s="27">
        <v>0</v>
      </c>
      <c r="AC100" s="27">
        <v>0</v>
      </c>
      <c r="AD100" s="27">
        <v>0</v>
      </c>
      <c r="AE100" s="26">
        <v>0</v>
      </c>
      <c r="AF100" s="27">
        <v>0</v>
      </c>
      <c r="AG100" s="27">
        <v>0</v>
      </c>
      <c r="AH100" s="27">
        <v>0</v>
      </c>
      <c r="AI100" s="27">
        <v>0</v>
      </c>
      <c r="AJ100" s="27">
        <v>0</v>
      </c>
      <c r="AK100" s="26">
        <v>0</v>
      </c>
      <c r="AL100" s="28">
        <v>0</v>
      </c>
      <c r="AM100" s="54"/>
      <c r="AN100" s="13">
        <v>0</v>
      </c>
      <c r="AO100" s="13">
        <v>0</v>
      </c>
    </row>
    <row r="101" spans="1:41" s="15" customFormat="1">
      <c r="A101" s="183"/>
      <c r="B101" s="12" t="s">
        <v>59</v>
      </c>
      <c r="C101" s="26">
        <v>2250</v>
      </c>
      <c r="D101" s="26">
        <v>2250</v>
      </c>
      <c r="E101" s="27"/>
      <c r="F101" s="27">
        <v>0</v>
      </c>
      <c r="G101" s="27">
        <v>0</v>
      </c>
      <c r="H101" s="27">
        <v>2250</v>
      </c>
      <c r="I101" s="26">
        <v>2250</v>
      </c>
      <c r="J101" s="27">
        <v>0</v>
      </c>
      <c r="K101" s="27">
        <v>0</v>
      </c>
      <c r="L101" s="27">
        <v>0</v>
      </c>
      <c r="M101" s="27">
        <v>0</v>
      </c>
      <c r="N101" s="26">
        <v>0</v>
      </c>
      <c r="O101" s="27">
        <v>0</v>
      </c>
      <c r="P101" s="27">
        <v>0</v>
      </c>
      <c r="Q101" s="27">
        <v>0</v>
      </c>
      <c r="R101" s="27">
        <v>0</v>
      </c>
      <c r="S101" s="27">
        <v>0</v>
      </c>
      <c r="T101" s="26">
        <v>0</v>
      </c>
      <c r="U101" s="28">
        <v>0</v>
      </c>
      <c r="V101" s="27">
        <v>0</v>
      </c>
      <c r="W101" s="27">
        <v>0</v>
      </c>
      <c r="X101" s="27">
        <v>0</v>
      </c>
      <c r="Y101" s="27">
        <v>0</v>
      </c>
      <c r="Z101" s="26">
        <v>0</v>
      </c>
      <c r="AA101" s="27">
        <v>0</v>
      </c>
      <c r="AB101" s="27">
        <v>0</v>
      </c>
      <c r="AC101" s="27">
        <v>0</v>
      </c>
      <c r="AD101" s="27">
        <v>0</v>
      </c>
      <c r="AE101" s="26">
        <v>0</v>
      </c>
      <c r="AF101" s="27">
        <v>0</v>
      </c>
      <c r="AG101" s="27">
        <v>0</v>
      </c>
      <c r="AH101" s="27">
        <v>0</v>
      </c>
      <c r="AI101" s="27">
        <v>0</v>
      </c>
      <c r="AJ101" s="27">
        <v>0</v>
      </c>
      <c r="AK101" s="26">
        <v>0</v>
      </c>
      <c r="AL101" s="28">
        <v>0</v>
      </c>
      <c r="AM101" s="54"/>
      <c r="AN101" s="13">
        <v>0</v>
      </c>
      <c r="AO101" s="13">
        <v>0</v>
      </c>
    </row>
    <row r="102" spans="1:41" s="15" customFormat="1">
      <c r="A102" s="183"/>
      <c r="B102" s="12" t="s">
        <v>7</v>
      </c>
      <c r="C102" s="26"/>
      <c r="D102" s="26"/>
      <c r="E102" s="32"/>
      <c r="F102" s="27">
        <v>2625</v>
      </c>
      <c r="G102" s="27">
        <v>0</v>
      </c>
      <c r="H102" s="27">
        <v>5250</v>
      </c>
      <c r="I102" s="26">
        <v>7875</v>
      </c>
      <c r="J102" s="32">
        <v>0</v>
      </c>
      <c r="K102" s="27">
        <v>2000</v>
      </c>
      <c r="L102" s="27">
        <v>2000</v>
      </c>
      <c r="M102" s="27">
        <v>2000</v>
      </c>
      <c r="N102" s="26">
        <v>6000</v>
      </c>
      <c r="O102" s="32">
        <v>0</v>
      </c>
      <c r="P102" s="27">
        <v>0</v>
      </c>
      <c r="Q102" s="27">
        <v>2000</v>
      </c>
      <c r="R102" s="27">
        <v>2000</v>
      </c>
      <c r="S102" s="27">
        <v>2000</v>
      </c>
      <c r="T102" s="26">
        <v>6000</v>
      </c>
      <c r="U102" s="28">
        <v>26473</v>
      </c>
      <c r="V102" s="32">
        <v>0</v>
      </c>
      <c r="W102" s="27">
        <v>0</v>
      </c>
      <c r="X102" s="27">
        <v>0</v>
      </c>
      <c r="Y102" s="27">
        <v>0</v>
      </c>
      <c r="Z102" s="26">
        <v>0</v>
      </c>
      <c r="AA102" s="32">
        <v>0</v>
      </c>
      <c r="AB102" s="27">
        <v>0</v>
      </c>
      <c r="AC102" s="27">
        <v>0</v>
      </c>
      <c r="AD102" s="27">
        <v>0</v>
      </c>
      <c r="AE102" s="26">
        <v>0</v>
      </c>
      <c r="AF102" s="32">
        <v>0</v>
      </c>
      <c r="AG102" s="27">
        <v>0</v>
      </c>
      <c r="AH102" s="27">
        <v>0</v>
      </c>
      <c r="AI102" s="27">
        <v>0</v>
      </c>
      <c r="AJ102" s="27">
        <v>0</v>
      </c>
      <c r="AK102" s="26">
        <v>0</v>
      </c>
      <c r="AL102" s="28">
        <v>0</v>
      </c>
      <c r="AM102" s="54"/>
      <c r="AN102" s="13">
        <v>0</v>
      </c>
      <c r="AO102" s="13">
        <v>0</v>
      </c>
    </row>
    <row r="103" spans="1:41" s="15" customFormat="1" ht="17" thickBot="1">
      <c r="A103" s="184"/>
      <c r="B103" s="4" t="s">
        <v>60</v>
      </c>
      <c r="C103" s="26">
        <v>9350</v>
      </c>
      <c r="D103" s="37">
        <v>6598</v>
      </c>
      <c r="E103" s="21"/>
      <c r="F103" s="21">
        <v>0</v>
      </c>
      <c r="G103" s="21">
        <v>5262</v>
      </c>
      <c r="H103" s="21">
        <v>10510</v>
      </c>
      <c r="I103" s="20">
        <v>10510</v>
      </c>
      <c r="J103" s="21">
        <v>9358</v>
      </c>
      <c r="K103" s="21">
        <v>11345</v>
      </c>
      <c r="L103" s="21">
        <v>11982</v>
      </c>
      <c r="M103" s="21">
        <v>13646</v>
      </c>
      <c r="N103" s="20">
        <v>13646</v>
      </c>
      <c r="O103" s="21">
        <v>10792</v>
      </c>
      <c r="P103" s="21">
        <v>10792</v>
      </c>
      <c r="Q103" s="21">
        <v>12792</v>
      </c>
      <c r="R103" s="21">
        <v>9871</v>
      </c>
      <c r="S103" s="21">
        <v>11871</v>
      </c>
      <c r="T103" s="20">
        <v>11871</v>
      </c>
      <c r="U103" s="22">
        <v>11871</v>
      </c>
      <c r="V103" s="21">
        <v>10871</v>
      </c>
      <c r="W103" s="21">
        <v>10871</v>
      </c>
      <c r="X103" s="21">
        <v>10871</v>
      </c>
      <c r="Y103" s="21">
        <v>10871</v>
      </c>
      <c r="Z103" s="20">
        <v>10871</v>
      </c>
      <c r="AA103" s="21">
        <v>10871</v>
      </c>
      <c r="AB103" s="21">
        <v>10871</v>
      </c>
      <c r="AC103" s="21">
        <v>10871</v>
      </c>
      <c r="AD103" s="21">
        <v>10871</v>
      </c>
      <c r="AE103" s="20">
        <v>10871</v>
      </c>
      <c r="AF103" s="21">
        <v>10871</v>
      </c>
      <c r="AG103" s="21">
        <v>10871</v>
      </c>
      <c r="AH103" s="21">
        <v>10871</v>
      </c>
      <c r="AI103" s="21">
        <v>10871</v>
      </c>
      <c r="AJ103" s="21">
        <v>10871</v>
      </c>
      <c r="AK103" s="20">
        <v>10871</v>
      </c>
      <c r="AL103" s="22">
        <v>10871</v>
      </c>
      <c r="AM103" s="54"/>
      <c r="AN103" s="13">
        <v>0</v>
      </c>
      <c r="AO103" s="13">
        <v>0</v>
      </c>
    </row>
    <row r="104" spans="1:41" s="15" customFormat="1" ht="17" thickBot="1">
      <c r="A104" s="46"/>
      <c r="B104" s="12" t="s">
        <v>61</v>
      </c>
      <c r="C104" s="26"/>
      <c r="D104" s="26"/>
      <c r="E104" s="19">
        <v>0</v>
      </c>
      <c r="F104" s="19"/>
      <c r="G104" s="19"/>
      <c r="H104" s="19"/>
      <c r="I104" s="23"/>
      <c r="J104" s="19"/>
      <c r="K104" s="19"/>
      <c r="L104" s="19"/>
      <c r="M104" s="19"/>
      <c r="N104" s="23"/>
      <c r="O104" s="19"/>
      <c r="P104" s="19"/>
      <c r="Q104" s="19"/>
      <c r="R104" s="19"/>
      <c r="S104" s="19"/>
      <c r="T104" s="23"/>
      <c r="U104" s="24"/>
      <c r="V104" s="19"/>
      <c r="W104" s="19"/>
      <c r="X104" s="19"/>
      <c r="Y104" s="19"/>
      <c r="Z104" s="23"/>
      <c r="AA104" s="19"/>
      <c r="AB104" s="19"/>
      <c r="AC104" s="19"/>
      <c r="AD104" s="19"/>
      <c r="AE104" s="23"/>
      <c r="AF104" s="19"/>
      <c r="AG104" s="19"/>
      <c r="AH104" s="19"/>
      <c r="AI104" s="19"/>
      <c r="AJ104" s="19"/>
      <c r="AK104" s="23"/>
      <c r="AL104" s="24"/>
      <c r="AM104" s="54"/>
      <c r="AN104" s="13">
        <v>0</v>
      </c>
      <c r="AO104" s="13">
        <v>0</v>
      </c>
    </row>
    <row r="105" spans="1:41" s="15" customFormat="1">
      <c r="A105" s="182" t="s">
        <v>78</v>
      </c>
      <c r="B105" s="3" t="s">
        <v>57</v>
      </c>
      <c r="C105" s="26"/>
      <c r="D105" s="26"/>
      <c r="E105" s="27"/>
      <c r="F105" s="27">
        <v>0</v>
      </c>
      <c r="G105" s="27">
        <v>0</v>
      </c>
      <c r="H105" s="27">
        <v>0</v>
      </c>
      <c r="I105" s="26">
        <v>0</v>
      </c>
      <c r="J105" s="27">
        <v>0</v>
      </c>
      <c r="K105" s="27">
        <v>0</v>
      </c>
      <c r="L105" s="27">
        <v>0</v>
      </c>
      <c r="M105" s="27">
        <v>0</v>
      </c>
      <c r="N105" s="26">
        <v>0</v>
      </c>
      <c r="O105" s="27">
        <v>0</v>
      </c>
      <c r="P105" s="27">
        <v>0</v>
      </c>
      <c r="Q105" s="27">
        <v>0</v>
      </c>
      <c r="R105" s="27">
        <v>0</v>
      </c>
      <c r="S105" s="27">
        <v>0</v>
      </c>
      <c r="T105" s="26">
        <v>0</v>
      </c>
      <c r="U105" s="28">
        <v>0</v>
      </c>
      <c r="V105" s="27">
        <v>0</v>
      </c>
      <c r="W105" s="27">
        <v>0</v>
      </c>
      <c r="X105" s="27">
        <v>0</v>
      </c>
      <c r="Y105" s="27">
        <v>0</v>
      </c>
      <c r="Z105" s="26">
        <v>0</v>
      </c>
      <c r="AA105" s="27">
        <v>0</v>
      </c>
      <c r="AB105" s="27">
        <v>0</v>
      </c>
      <c r="AC105" s="27">
        <v>0</v>
      </c>
      <c r="AD105" s="27">
        <v>0</v>
      </c>
      <c r="AE105" s="26">
        <v>0</v>
      </c>
      <c r="AF105" s="27">
        <v>0</v>
      </c>
      <c r="AG105" s="27">
        <v>0</v>
      </c>
      <c r="AH105" s="27">
        <v>0</v>
      </c>
      <c r="AI105" s="27">
        <v>0</v>
      </c>
      <c r="AJ105" s="27">
        <v>0</v>
      </c>
      <c r="AK105" s="26">
        <v>0</v>
      </c>
      <c r="AL105" s="28">
        <v>0</v>
      </c>
      <c r="AM105" s="54">
        <v>256</v>
      </c>
      <c r="AN105" s="13">
        <f>U105*AM105</f>
        <v>0</v>
      </c>
      <c r="AO105" s="13">
        <f>AM105*AL105</f>
        <v>0</v>
      </c>
    </row>
    <row r="106" spans="1:41" s="15" customFormat="1">
      <c r="A106" s="183"/>
      <c r="B106" s="12" t="s">
        <v>58</v>
      </c>
      <c r="C106" s="26"/>
      <c r="D106" s="26"/>
      <c r="E106" s="27"/>
      <c r="F106" s="27">
        <v>0</v>
      </c>
      <c r="G106" s="27">
        <v>0</v>
      </c>
      <c r="H106" s="27">
        <v>0</v>
      </c>
      <c r="I106" s="26">
        <v>0</v>
      </c>
      <c r="J106" s="27">
        <v>0</v>
      </c>
      <c r="K106" s="27">
        <v>0</v>
      </c>
      <c r="L106" s="27">
        <v>0</v>
      </c>
      <c r="M106" s="27">
        <v>0</v>
      </c>
      <c r="N106" s="26">
        <v>0</v>
      </c>
      <c r="O106" s="27">
        <v>0</v>
      </c>
      <c r="P106" s="27">
        <v>0</v>
      </c>
      <c r="Q106" s="27">
        <v>0</v>
      </c>
      <c r="R106" s="27">
        <v>0</v>
      </c>
      <c r="S106" s="27">
        <v>0</v>
      </c>
      <c r="T106" s="26">
        <v>0</v>
      </c>
      <c r="U106" s="28">
        <v>0</v>
      </c>
      <c r="V106" s="27">
        <v>0</v>
      </c>
      <c r="W106" s="27">
        <v>0</v>
      </c>
      <c r="X106" s="27">
        <v>0</v>
      </c>
      <c r="Y106" s="27">
        <v>0</v>
      </c>
      <c r="Z106" s="26">
        <v>0</v>
      </c>
      <c r="AA106" s="27">
        <v>0</v>
      </c>
      <c r="AB106" s="27">
        <v>0</v>
      </c>
      <c r="AC106" s="27">
        <v>0</v>
      </c>
      <c r="AD106" s="27">
        <v>0</v>
      </c>
      <c r="AE106" s="26">
        <v>0</v>
      </c>
      <c r="AF106" s="27">
        <v>0</v>
      </c>
      <c r="AG106" s="27">
        <v>0</v>
      </c>
      <c r="AH106" s="27">
        <v>0</v>
      </c>
      <c r="AI106" s="27">
        <v>0</v>
      </c>
      <c r="AJ106" s="27">
        <v>0</v>
      </c>
      <c r="AK106" s="26">
        <v>0</v>
      </c>
      <c r="AL106" s="28">
        <v>0</v>
      </c>
      <c r="AM106" s="54"/>
      <c r="AN106" s="13">
        <v>0</v>
      </c>
      <c r="AO106" s="13">
        <v>0</v>
      </c>
    </row>
    <row r="107" spans="1:41" s="15" customFormat="1">
      <c r="A107" s="183"/>
      <c r="B107" s="12" t="s">
        <v>59</v>
      </c>
      <c r="C107" s="26">
        <v>0</v>
      </c>
      <c r="D107" s="26">
        <v>0</v>
      </c>
      <c r="E107" s="27"/>
      <c r="F107" s="27">
        <v>0</v>
      </c>
      <c r="G107" s="27">
        <v>0</v>
      </c>
      <c r="H107" s="27">
        <v>0</v>
      </c>
      <c r="I107" s="26">
        <v>0</v>
      </c>
      <c r="J107" s="27">
        <v>0</v>
      </c>
      <c r="K107" s="27">
        <v>0</v>
      </c>
      <c r="L107" s="27">
        <v>0</v>
      </c>
      <c r="M107" s="27">
        <v>0</v>
      </c>
      <c r="N107" s="26">
        <v>0</v>
      </c>
      <c r="O107" s="27">
        <v>0</v>
      </c>
      <c r="P107" s="27">
        <v>0</v>
      </c>
      <c r="Q107" s="27">
        <v>0</v>
      </c>
      <c r="R107" s="27">
        <v>0</v>
      </c>
      <c r="S107" s="27">
        <v>0</v>
      </c>
      <c r="T107" s="26">
        <v>0</v>
      </c>
      <c r="U107" s="28">
        <v>0</v>
      </c>
      <c r="V107" s="27">
        <v>0</v>
      </c>
      <c r="W107" s="27">
        <v>0</v>
      </c>
      <c r="X107" s="27">
        <v>0</v>
      </c>
      <c r="Y107" s="27">
        <v>0</v>
      </c>
      <c r="Z107" s="26">
        <v>0</v>
      </c>
      <c r="AA107" s="27">
        <v>0</v>
      </c>
      <c r="AB107" s="27">
        <v>0</v>
      </c>
      <c r="AC107" s="27">
        <v>0</v>
      </c>
      <c r="AD107" s="27">
        <v>0</v>
      </c>
      <c r="AE107" s="26">
        <v>0</v>
      </c>
      <c r="AF107" s="27">
        <v>0</v>
      </c>
      <c r="AG107" s="27">
        <v>0</v>
      </c>
      <c r="AH107" s="27">
        <v>0</v>
      </c>
      <c r="AI107" s="27">
        <v>0</v>
      </c>
      <c r="AJ107" s="27">
        <v>0</v>
      </c>
      <c r="AK107" s="26">
        <v>0</v>
      </c>
      <c r="AL107" s="28">
        <v>0</v>
      </c>
      <c r="AM107" s="54"/>
      <c r="AN107" s="13">
        <v>0</v>
      </c>
      <c r="AO107" s="13">
        <v>0</v>
      </c>
    </row>
    <row r="108" spans="1:41" s="15" customFormat="1">
      <c r="A108" s="183"/>
      <c r="B108" s="12" t="s">
        <v>7</v>
      </c>
      <c r="C108" s="26"/>
      <c r="D108" s="26"/>
      <c r="E108" s="32"/>
      <c r="F108" s="27">
        <v>0</v>
      </c>
      <c r="G108" s="27">
        <v>0</v>
      </c>
      <c r="H108" s="27">
        <v>0</v>
      </c>
      <c r="I108" s="26">
        <v>0</v>
      </c>
      <c r="J108" s="32">
        <v>0</v>
      </c>
      <c r="K108" s="27">
        <v>0</v>
      </c>
      <c r="L108" s="27">
        <v>0</v>
      </c>
      <c r="M108" s="27">
        <v>0</v>
      </c>
      <c r="N108" s="26">
        <v>0</v>
      </c>
      <c r="O108" s="32">
        <v>0</v>
      </c>
      <c r="P108" s="27">
        <v>0</v>
      </c>
      <c r="Q108" s="27">
        <v>0</v>
      </c>
      <c r="R108" s="27">
        <v>0</v>
      </c>
      <c r="S108" s="27">
        <v>0</v>
      </c>
      <c r="T108" s="26">
        <v>0</v>
      </c>
      <c r="U108" s="28">
        <v>0</v>
      </c>
      <c r="V108" s="32">
        <v>0</v>
      </c>
      <c r="W108" s="27">
        <v>0</v>
      </c>
      <c r="X108" s="27">
        <v>0</v>
      </c>
      <c r="Y108" s="27">
        <v>0</v>
      </c>
      <c r="Z108" s="26">
        <v>0</v>
      </c>
      <c r="AA108" s="32">
        <v>0</v>
      </c>
      <c r="AB108" s="27">
        <v>0</v>
      </c>
      <c r="AC108" s="27">
        <v>0</v>
      </c>
      <c r="AD108" s="27">
        <v>0</v>
      </c>
      <c r="AE108" s="26">
        <v>0</v>
      </c>
      <c r="AF108" s="32">
        <v>0</v>
      </c>
      <c r="AG108" s="27">
        <v>0</v>
      </c>
      <c r="AH108" s="27">
        <v>0</v>
      </c>
      <c r="AI108" s="27">
        <v>0</v>
      </c>
      <c r="AJ108" s="27">
        <v>0</v>
      </c>
      <c r="AK108" s="26">
        <v>0</v>
      </c>
      <c r="AL108" s="28">
        <v>0</v>
      </c>
      <c r="AM108" s="54"/>
      <c r="AN108" s="13">
        <v>0</v>
      </c>
      <c r="AO108" s="13">
        <v>0</v>
      </c>
    </row>
    <row r="109" spans="1:41" s="15" customFormat="1" ht="17" thickBot="1">
      <c r="A109" s="184"/>
      <c r="B109" s="4" t="s">
        <v>60</v>
      </c>
      <c r="C109" s="26">
        <v>0</v>
      </c>
      <c r="D109" s="37">
        <v>0</v>
      </c>
      <c r="E109" s="21"/>
      <c r="F109" s="21">
        <v>0</v>
      </c>
      <c r="G109" s="21">
        <v>0</v>
      </c>
      <c r="H109" s="21">
        <v>0</v>
      </c>
      <c r="I109" s="20">
        <v>0</v>
      </c>
      <c r="J109" s="21">
        <v>0</v>
      </c>
      <c r="K109" s="21">
        <v>0</v>
      </c>
      <c r="L109" s="21">
        <v>0</v>
      </c>
      <c r="M109" s="21">
        <v>0</v>
      </c>
      <c r="N109" s="20">
        <v>0</v>
      </c>
      <c r="O109" s="21">
        <v>0</v>
      </c>
      <c r="P109" s="21">
        <v>0</v>
      </c>
      <c r="Q109" s="21">
        <v>0</v>
      </c>
      <c r="R109" s="21">
        <v>0</v>
      </c>
      <c r="S109" s="21">
        <v>0</v>
      </c>
      <c r="T109" s="20">
        <v>0</v>
      </c>
      <c r="U109" s="22">
        <v>0</v>
      </c>
      <c r="V109" s="21">
        <v>0</v>
      </c>
      <c r="W109" s="21">
        <v>0</v>
      </c>
      <c r="X109" s="21">
        <v>0</v>
      </c>
      <c r="Y109" s="21">
        <v>0</v>
      </c>
      <c r="Z109" s="20">
        <v>0</v>
      </c>
      <c r="AA109" s="21">
        <v>0</v>
      </c>
      <c r="AB109" s="21">
        <v>0</v>
      </c>
      <c r="AC109" s="21">
        <v>0</v>
      </c>
      <c r="AD109" s="21">
        <v>0</v>
      </c>
      <c r="AE109" s="20">
        <v>0</v>
      </c>
      <c r="AF109" s="21">
        <v>0</v>
      </c>
      <c r="AG109" s="21">
        <v>0</v>
      </c>
      <c r="AH109" s="21">
        <v>0</v>
      </c>
      <c r="AI109" s="21">
        <v>0</v>
      </c>
      <c r="AJ109" s="21">
        <v>0</v>
      </c>
      <c r="AK109" s="20">
        <v>0</v>
      </c>
      <c r="AL109" s="22">
        <v>0</v>
      </c>
      <c r="AM109" s="54"/>
      <c r="AN109" s="13">
        <v>0</v>
      </c>
      <c r="AO109" s="13">
        <v>0</v>
      </c>
    </row>
    <row r="110" spans="1:41" s="15" customFormat="1" ht="17" thickBot="1">
      <c r="A110" s="46"/>
      <c r="B110" s="12" t="s">
        <v>61</v>
      </c>
      <c r="C110" s="26"/>
      <c r="D110" s="26"/>
      <c r="E110" s="19"/>
      <c r="F110" s="19"/>
      <c r="G110" s="19"/>
      <c r="H110" s="19"/>
      <c r="I110" s="23"/>
      <c r="J110" s="19"/>
      <c r="K110" s="19"/>
      <c r="L110" s="19"/>
      <c r="M110" s="19"/>
      <c r="N110" s="23"/>
      <c r="O110" s="19"/>
      <c r="P110" s="19"/>
      <c r="Q110" s="19"/>
      <c r="R110" s="19"/>
      <c r="S110" s="19"/>
      <c r="T110" s="23"/>
      <c r="U110" s="24"/>
      <c r="V110" s="19"/>
      <c r="W110" s="19"/>
      <c r="X110" s="19"/>
      <c r="Y110" s="19"/>
      <c r="Z110" s="23"/>
      <c r="AA110" s="19"/>
      <c r="AB110" s="19"/>
      <c r="AC110" s="19"/>
      <c r="AD110" s="19"/>
      <c r="AE110" s="23"/>
      <c r="AF110" s="19"/>
      <c r="AG110" s="19"/>
      <c r="AH110" s="19"/>
      <c r="AI110" s="19"/>
      <c r="AJ110" s="19"/>
      <c r="AK110" s="23"/>
      <c r="AL110" s="24"/>
      <c r="AM110" s="54"/>
      <c r="AN110" s="13">
        <v>0</v>
      </c>
      <c r="AO110" s="13">
        <v>0</v>
      </c>
    </row>
    <row r="111" spans="1:41" s="15" customFormat="1">
      <c r="A111" s="182" t="s">
        <v>79</v>
      </c>
      <c r="B111" s="3" t="s">
        <v>57</v>
      </c>
      <c r="C111" s="26"/>
      <c r="D111" s="26"/>
      <c r="E111" s="27"/>
      <c r="F111" s="27">
        <v>0</v>
      </c>
      <c r="G111" s="27">
        <v>0</v>
      </c>
      <c r="H111" s="27">
        <v>0</v>
      </c>
      <c r="I111" s="26">
        <v>0</v>
      </c>
      <c r="J111" s="27">
        <v>0</v>
      </c>
      <c r="K111" s="27">
        <v>0</v>
      </c>
      <c r="L111" s="27">
        <v>0</v>
      </c>
      <c r="M111" s="27">
        <v>0</v>
      </c>
      <c r="N111" s="26">
        <v>0</v>
      </c>
      <c r="O111" s="27">
        <v>0</v>
      </c>
      <c r="P111" s="27">
        <v>0</v>
      </c>
      <c r="Q111" s="27">
        <v>0</v>
      </c>
      <c r="R111" s="27">
        <v>0</v>
      </c>
      <c r="S111" s="27">
        <v>0</v>
      </c>
      <c r="T111" s="26">
        <v>0</v>
      </c>
      <c r="U111" s="28">
        <v>0</v>
      </c>
      <c r="V111" s="27">
        <v>0</v>
      </c>
      <c r="W111" s="27">
        <v>0</v>
      </c>
      <c r="X111" s="27">
        <v>0</v>
      </c>
      <c r="Y111" s="27">
        <v>0</v>
      </c>
      <c r="Z111" s="26">
        <v>0</v>
      </c>
      <c r="AA111" s="27">
        <v>0</v>
      </c>
      <c r="AB111" s="27">
        <v>0</v>
      </c>
      <c r="AC111" s="27">
        <v>0</v>
      </c>
      <c r="AD111" s="27">
        <v>0</v>
      </c>
      <c r="AE111" s="26">
        <v>0</v>
      </c>
      <c r="AF111" s="27">
        <v>0</v>
      </c>
      <c r="AG111" s="27">
        <v>0</v>
      </c>
      <c r="AH111" s="27">
        <v>0</v>
      </c>
      <c r="AI111" s="27">
        <v>0</v>
      </c>
      <c r="AJ111" s="27">
        <v>0</v>
      </c>
      <c r="AK111" s="26">
        <v>0</v>
      </c>
      <c r="AL111" s="28">
        <v>0</v>
      </c>
      <c r="AM111" s="54">
        <v>256</v>
      </c>
      <c r="AN111" s="13">
        <f>U111*AM111</f>
        <v>0</v>
      </c>
      <c r="AO111" s="13">
        <f>AM111*AL111</f>
        <v>0</v>
      </c>
    </row>
    <row r="112" spans="1:41" s="15" customFormat="1">
      <c r="A112" s="183"/>
      <c r="B112" s="12" t="s">
        <v>58</v>
      </c>
      <c r="C112" s="26"/>
      <c r="D112" s="26"/>
      <c r="E112" s="27"/>
      <c r="F112" s="27">
        <v>0</v>
      </c>
      <c r="G112" s="27">
        <v>0</v>
      </c>
      <c r="H112" s="27">
        <v>0</v>
      </c>
      <c r="I112" s="26">
        <v>0</v>
      </c>
      <c r="J112" s="27">
        <v>0</v>
      </c>
      <c r="K112" s="27">
        <v>0</v>
      </c>
      <c r="L112" s="27">
        <v>0</v>
      </c>
      <c r="M112" s="27">
        <v>0</v>
      </c>
      <c r="N112" s="26">
        <v>0</v>
      </c>
      <c r="O112" s="27">
        <v>0</v>
      </c>
      <c r="P112" s="27">
        <v>0</v>
      </c>
      <c r="Q112" s="27">
        <v>0</v>
      </c>
      <c r="R112" s="27">
        <v>0</v>
      </c>
      <c r="S112" s="27">
        <v>0</v>
      </c>
      <c r="T112" s="26">
        <v>0</v>
      </c>
      <c r="U112" s="28">
        <v>0</v>
      </c>
      <c r="V112" s="27">
        <v>0</v>
      </c>
      <c r="W112" s="27">
        <v>0</v>
      </c>
      <c r="X112" s="27">
        <v>0</v>
      </c>
      <c r="Y112" s="27">
        <v>0</v>
      </c>
      <c r="Z112" s="26">
        <v>0</v>
      </c>
      <c r="AA112" s="27">
        <v>0</v>
      </c>
      <c r="AB112" s="27">
        <v>0</v>
      </c>
      <c r="AC112" s="27">
        <v>0</v>
      </c>
      <c r="AD112" s="27">
        <v>0</v>
      </c>
      <c r="AE112" s="26">
        <v>0</v>
      </c>
      <c r="AF112" s="27">
        <v>0</v>
      </c>
      <c r="AG112" s="27">
        <v>0</v>
      </c>
      <c r="AH112" s="27">
        <v>0</v>
      </c>
      <c r="AI112" s="27">
        <v>0</v>
      </c>
      <c r="AJ112" s="27">
        <v>0</v>
      </c>
      <c r="AK112" s="26">
        <v>0</v>
      </c>
      <c r="AL112" s="28">
        <v>0</v>
      </c>
      <c r="AM112" s="54"/>
      <c r="AN112" s="13">
        <v>0</v>
      </c>
      <c r="AO112" s="13">
        <v>0</v>
      </c>
    </row>
    <row r="113" spans="1:41" s="15" customFormat="1">
      <c r="A113" s="183"/>
      <c r="B113" s="12" t="s">
        <v>59</v>
      </c>
      <c r="C113" s="26">
        <v>0</v>
      </c>
      <c r="D113" s="26">
        <v>0</v>
      </c>
      <c r="E113" s="27"/>
      <c r="F113" s="27">
        <v>0</v>
      </c>
      <c r="G113" s="27">
        <v>0</v>
      </c>
      <c r="H113" s="27">
        <v>0</v>
      </c>
      <c r="I113" s="26">
        <v>0</v>
      </c>
      <c r="J113" s="27">
        <v>0</v>
      </c>
      <c r="K113" s="27">
        <v>0</v>
      </c>
      <c r="L113" s="27">
        <v>0</v>
      </c>
      <c r="M113" s="27">
        <v>0</v>
      </c>
      <c r="N113" s="26">
        <v>0</v>
      </c>
      <c r="O113" s="27">
        <v>0</v>
      </c>
      <c r="P113" s="27">
        <v>0</v>
      </c>
      <c r="Q113" s="27">
        <v>0</v>
      </c>
      <c r="R113" s="27">
        <v>0</v>
      </c>
      <c r="S113" s="27">
        <v>0</v>
      </c>
      <c r="T113" s="26">
        <v>0</v>
      </c>
      <c r="U113" s="28">
        <v>0</v>
      </c>
      <c r="V113" s="27">
        <v>0</v>
      </c>
      <c r="W113" s="27">
        <v>0</v>
      </c>
      <c r="X113" s="27">
        <v>0</v>
      </c>
      <c r="Y113" s="27">
        <v>0</v>
      </c>
      <c r="Z113" s="26">
        <v>0</v>
      </c>
      <c r="AA113" s="27">
        <v>0</v>
      </c>
      <c r="AB113" s="27">
        <v>0</v>
      </c>
      <c r="AC113" s="27">
        <v>0</v>
      </c>
      <c r="AD113" s="27">
        <v>0</v>
      </c>
      <c r="AE113" s="26">
        <v>0</v>
      </c>
      <c r="AF113" s="27">
        <v>0</v>
      </c>
      <c r="AG113" s="27">
        <v>0</v>
      </c>
      <c r="AH113" s="27">
        <v>0</v>
      </c>
      <c r="AI113" s="27">
        <v>0</v>
      </c>
      <c r="AJ113" s="27">
        <v>0</v>
      </c>
      <c r="AK113" s="26">
        <v>0</v>
      </c>
      <c r="AL113" s="28">
        <v>0</v>
      </c>
      <c r="AM113" s="54"/>
      <c r="AN113" s="13">
        <v>0</v>
      </c>
      <c r="AO113" s="13">
        <v>0</v>
      </c>
    </row>
    <row r="114" spans="1:41" s="15" customFormat="1">
      <c r="A114" s="183"/>
      <c r="B114" s="12" t="s">
        <v>7</v>
      </c>
      <c r="C114" s="26"/>
      <c r="D114" s="26"/>
      <c r="E114" s="32"/>
      <c r="F114" s="27">
        <v>0</v>
      </c>
      <c r="G114" s="27">
        <v>0</v>
      </c>
      <c r="H114" s="27">
        <v>0</v>
      </c>
      <c r="I114" s="26">
        <v>0</v>
      </c>
      <c r="J114" s="32">
        <v>0</v>
      </c>
      <c r="K114" s="27">
        <v>0</v>
      </c>
      <c r="L114" s="27">
        <v>0</v>
      </c>
      <c r="M114" s="27">
        <v>0</v>
      </c>
      <c r="N114" s="26">
        <v>0</v>
      </c>
      <c r="O114" s="32">
        <v>0</v>
      </c>
      <c r="P114" s="27">
        <v>0</v>
      </c>
      <c r="Q114" s="27">
        <v>0</v>
      </c>
      <c r="R114" s="27">
        <v>0</v>
      </c>
      <c r="S114" s="27">
        <v>0</v>
      </c>
      <c r="T114" s="26">
        <v>0</v>
      </c>
      <c r="U114" s="28">
        <v>0</v>
      </c>
      <c r="V114" s="32">
        <v>0</v>
      </c>
      <c r="W114" s="27">
        <v>0</v>
      </c>
      <c r="X114" s="27">
        <v>0</v>
      </c>
      <c r="Y114" s="27">
        <v>0</v>
      </c>
      <c r="Z114" s="26">
        <v>0</v>
      </c>
      <c r="AA114" s="32">
        <v>0</v>
      </c>
      <c r="AB114" s="27">
        <v>0</v>
      </c>
      <c r="AC114" s="27">
        <v>0</v>
      </c>
      <c r="AD114" s="27">
        <v>0</v>
      </c>
      <c r="AE114" s="26">
        <v>0</v>
      </c>
      <c r="AF114" s="32">
        <v>0</v>
      </c>
      <c r="AG114" s="27">
        <v>0</v>
      </c>
      <c r="AH114" s="27">
        <v>0</v>
      </c>
      <c r="AI114" s="27">
        <v>0</v>
      </c>
      <c r="AJ114" s="27">
        <v>0</v>
      </c>
      <c r="AK114" s="26">
        <v>0</v>
      </c>
      <c r="AL114" s="28">
        <v>0</v>
      </c>
      <c r="AM114" s="54"/>
      <c r="AN114" s="13">
        <v>0</v>
      </c>
      <c r="AO114" s="13">
        <v>0</v>
      </c>
    </row>
    <row r="115" spans="1:41" s="15" customFormat="1" ht="17" thickBot="1">
      <c r="A115" s="184"/>
      <c r="B115" s="4" t="s">
        <v>60</v>
      </c>
      <c r="C115" s="26">
        <v>0</v>
      </c>
      <c r="D115" s="37">
        <v>0</v>
      </c>
      <c r="E115" s="21"/>
      <c r="F115" s="21">
        <v>0</v>
      </c>
      <c r="G115" s="21">
        <v>0</v>
      </c>
      <c r="H115" s="21">
        <v>0</v>
      </c>
      <c r="I115" s="20">
        <v>0</v>
      </c>
      <c r="J115" s="21">
        <v>0</v>
      </c>
      <c r="K115" s="21">
        <v>0</v>
      </c>
      <c r="L115" s="21">
        <v>0</v>
      </c>
      <c r="M115" s="21">
        <v>0</v>
      </c>
      <c r="N115" s="20">
        <v>0</v>
      </c>
      <c r="O115" s="21">
        <v>0</v>
      </c>
      <c r="P115" s="21">
        <v>0</v>
      </c>
      <c r="Q115" s="21">
        <v>0</v>
      </c>
      <c r="R115" s="21">
        <v>0</v>
      </c>
      <c r="S115" s="21">
        <v>0</v>
      </c>
      <c r="T115" s="20">
        <v>0</v>
      </c>
      <c r="U115" s="22">
        <v>0</v>
      </c>
      <c r="V115" s="21">
        <v>0</v>
      </c>
      <c r="W115" s="21">
        <v>0</v>
      </c>
      <c r="X115" s="21">
        <v>0</v>
      </c>
      <c r="Y115" s="21">
        <v>0</v>
      </c>
      <c r="Z115" s="20">
        <v>0</v>
      </c>
      <c r="AA115" s="21">
        <v>0</v>
      </c>
      <c r="AB115" s="21">
        <v>0</v>
      </c>
      <c r="AC115" s="21">
        <v>0</v>
      </c>
      <c r="AD115" s="21">
        <v>0</v>
      </c>
      <c r="AE115" s="20">
        <v>0</v>
      </c>
      <c r="AF115" s="21">
        <v>0</v>
      </c>
      <c r="AG115" s="21">
        <v>0</v>
      </c>
      <c r="AH115" s="21">
        <v>0</v>
      </c>
      <c r="AI115" s="21">
        <v>0</v>
      </c>
      <c r="AJ115" s="21">
        <v>0</v>
      </c>
      <c r="AK115" s="20">
        <v>0</v>
      </c>
      <c r="AL115" s="22">
        <v>0</v>
      </c>
      <c r="AM115" s="54"/>
      <c r="AN115" s="13">
        <v>0</v>
      </c>
      <c r="AO115" s="13">
        <v>0</v>
      </c>
    </row>
    <row r="116" spans="1:41" s="15" customFormat="1" ht="17" thickBot="1">
      <c r="A116" s="46"/>
      <c r="B116" s="12" t="s">
        <v>61</v>
      </c>
      <c r="C116" s="26"/>
      <c r="D116" s="26"/>
      <c r="E116" s="19"/>
      <c r="F116" s="19"/>
      <c r="G116" s="19"/>
      <c r="H116" s="19"/>
      <c r="I116" s="23"/>
      <c r="J116" s="19"/>
      <c r="K116" s="19"/>
      <c r="L116" s="19"/>
      <c r="M116" s="19"/>
      <c r="N116" s="23"/>
      <c r="O116" s="19"/>
      <c r="P116" s="19"/>
      <c r="Q116" s="19"/>
      <c r="R116" s="19"/>
      <c r="S116" s="19"/>
      <c r="T116" s="23"/>
      <c r="U116" s="24"/>
      <c r="V116" s="19"/>
      <c r="W116" s="19"/>
      <c r="X116" s="19"/>
      <c r="Y116" s="19"/>
      <c r="Z116" s="23"/>
      <c r="AA116" s="19"/>
      <c r="AB116" s="19"/>
      <c r="AC116" s="19"/>
      <c r="AD116" s="19"/>
      <c r="AE116" s="23"/>
      <c r="AF116" s="19"/>
      <c r="AG116" s="19"/>
      <c r="AH116" s="19"/>
      <c r="AI116" s="19"/>
      <c r="AJ116" s="19"/>
      <c r="AK116" s="23"/>
      <c r="AL116" s="24"/>
      <c r="AM116" s="54"/>
      <c r="AN116" s="13">
        <v>0</v>
      </c>
      <c r="AO116" s="13">
        <v>0</v>
      </c>
    </row>
    <row r="117" spans="1:41" s="15" customFormat="1">
      <c r="A117" s="166" t="s">
        <v>80</v>
      </c>
      <c r="B117" s="3" t="s">
        <v>57</v>
      </c>
      <c r="C117" s="26"/>
      <c r="D117" s="26"/>
      <c r="E117" s="27"/>
      <c r="F117" s="27">
        <v>0</v>
      </c>
      <c r="G117" s="27">
        <v>76508</v>
      </c>
      <c r="H117" s="27">
        <v>1801</v>
      </c>
      <c r="I117" s="26">
        <v>78309</v>
      </c>
      <c r="J117" s="27">
        <v>165573</v>
      </c>
      <c r="K117" s="27">
        <v>2741</v>
      </c>
      <c r="L117" s="27">
        <v>12338</v>
      </c>
      <c r="M117" s="27">
        <v>506</v>
      </c>
      <c r="N117" s="26">
        <v>181158</v>
      </c>
      <c r="O117" s="27">
        <v>72307</v>
      </c>
      <c r="P117" s="27">
        <v>10209</v>
      </c>
      <c r="Q117" s="27">
        <v>41004</v>
      </c>
      <c r="R117" s="27">
        <v>46650</v>
      </c>
      <c r="S117" s="27">
        <v>0</v>
      </c>
      <c r="T117" s="26">
        <v>170170</v>
      </c>
      <c r="U117" s="28">
        <v>434812</v>
      </c>
      <c r="V117" s="27">
        <v>5371</v>
      </c>
      <c r="W117" s="27">
        <v>0</v>
      </c>
      <c r="X117" s="27">
        <v>0</v>
      </c>
      <c r="Y117" s="27">
        <v>702</v>
      </c>
      <c r="Z117" s="26">
        <v>6073</v>
      </c>
      <c r="AA117" s="27">
        <v>0</v>
      </c>
      <c r="AB117" s="27">
        <v>0</v>
      </c>
      <c r="AC117" s="27">
        <v>0</v>
      </c>
      <c r="AD117" s="27">
        <v>0</v>
      </c>
      <c r="AE117" s="26">
        <v>0</v>
      </c>
      <c r="AF117" s="27">
        <v>0</v>
      </c>
      <c r="AG117" s="27">
        <v>0</v>
      </c>
      <c r="AH117" s="27">
        <v>0</v>
      </c>
      <c r="AI117" s="27">
        <v>0</v>
      </c>
      <c r="AJ117" s="27">
        <v>0</v>
      </c>
      <c r="AK117" s="26">
        <v>0</v>
      </c>
      <c r="AL117" s="28">
        <v>6073</v>
      </c>
      <c r="AM117" s="54">
        <v>16</v>
      </c>
      <c r="AN117" s="13">
        <f>U117*AM117</f>
        <v>6956992</v>
      </c>
      <c r="AO117" s="13">
        <f>AM117*AL117</f>
        <v>97168</v>
      </c>
    </row>
    <row r="118" spans="1:41" s="15" customFormat="1">
      <c r="A118" s="167"/>
      <c r="B118" s="12" t="s">
        <v>58</v>
      </c>
      <c r="C118" s="26"/>
      <c r="D118" s="26"/>
      <c r="E118" s="27"/>
      <c r="F118" s="27">
        <v>0</v>
      </c>
      <c r="G118" s="27">
        <v>0</v>
      </c>
      <c r="H118" s="27">
        <v>0</v>
      </c>
      <c r="I118" s="26">
        <v>0</v>
      </c>
      <c r="J118" s="27">
        <v>0</v>
      </c>
      <c r="K118" s="27">
        <v>0</v>
      </c>
      <c r="L118" s="27">
        <v>0</v>
      </c>
      <c r="M118" s="27">
        <v>100000</v>
      </c>
      <c r="N118" s="26">
        <v>100000</v>
      </c>
      <c r="O118" s="27">
        <v>0</v>
      </c>
      <c r="P118" s="27">
        <v>0</v>
      </c>
      <c r="Q118" s="27">
        <v>0</v>
      </c>
      <c r="R118" s="27">
        <v>0</v>
      </c>
      <c r="S118" s="27">
        <v>0</v>
      </c>
      <c r="T118" s="26">
        <v>0</v>
      </c>
      <c r="U118" s="28">
        <v>0</v>
      </c>
      <c r="V118" s="27">
        <v>0</v>
      </c>
      <c r="W118" s="27">
        <v>0</v>
      </c>
      <c r="X118" s="27">
        <v>0</v>
      </c>
      <c r="Y118" s="27">
        <v>0</v>
      </c>
      <c r="Z118" s="26">
        <v>0</v>
      </c>
      <c r="AA118" s="27">
        <v>0</v>
      </c>
      <c r="AB118" s="27">
        <v>0</v>
      </c>
      <c r="AC118" s="27">
        <v>0</v>
      </c>
      <c r="AD118" s="27">
        <v>0</v>
      </c>
      <c r="AE118" s="26">
        <v>0</v>
      </c>
      <c r="AF118" s="27">
        <v>0</v>
      </c>
      <c r="AG118" s="27">
        <v>0</v>
      </c>
      <c r="AH118" s="27">
        <v>0</v>
      </c>
      <c r="AI118" s="27">
        <v>0</v>
      </c>
      <c r="AJ118" s="27">
        <v>0</v>
      </c>
      <c r="AK118" s="26">
        <v>0</v>
      </c>
      <c r="AL118" s="28">
        <v>0</v>
      </c>
      <c r="AM118" s="54"/>
      <c r="AN118" s="13">
        <v>0</v>
      </c>
      <c r="AO118" s="13">
        <v>0</v>
      </c>
    </row>
    <row r="119" spans="1:41" s="15" customFormat="1">
      <c r="A119" s="167"/>
      <c r="B119" s="12" t="s">
        <v>59</v>
      </c>
      <c r="C119" s="27">
        <v>0</v>
      </c>
      <c r="D119" s="26">
        <v>0</v>
      </c>
      <c r="E119" s="27"/>
      <c r="F119" s="27">
        <v>0</v>
      </c>
      <c r="G119" s="27">
        <v>0</v>
      </c>
      <c r="H119" s="27">
        <v>0</v>
      </c>
      <c r="I119" s="26">
        <v>0</v>
      </c>
      <c r="J119" s="27">
        <v>0</v>
      </c>
      <c r="K119" s="27">
        <v>0</v>
      </c>
      <c r="L119" s="27">
        <v>0</v>
      </c>
      <c r="M119" s="27">
        <v>0</v>
      </c>
      <c r="N119" s="26">
        <v>0</v>
      </c>
      <c r="O119" s="27">
        <v>0</v>
      </c>
      <c r="P119" s="27">
        <v>0</v>
      </c>
      <c r="Q119" s="27">
        <v>0</v>
      </c>
      <c r="R119" s="27">
        <v>0</v>
      </c>
      <c r="S119" s="27">
        <v>0</v>
      </c>
      <c r="T119" s="26">
        <v>0</v>
      </c>
      <c r="U119" s="28">
        <v>0</v>
      </c>
      <c r="V119" s="27">
        <v>0</v>
      </c>
      <c r="W119" s="27">
        <v>0</v>
      </c>
      <c r="X119" s="27">
        <v>0</v>
      </c>
      <c r="Y119" s="27">
        <v>0</v>
      </c>
      <c r="Z119" s="26">
        <v>0</v>
      </c>
      <c r="AA119" s="27">
        <v>0</v>
      </c>
      <c r="AB119" s="27">
        <v>0</v>
      </c>
      <c r="AC119" s="27">
        <v>0</v>
      </c>
      <c r="AD119" s="27">
        <v>0</v>
      </c>
      <c r="AE119" s="26">
        <v>0</v>
      </c>
      <c r="AF119" s="27">
        <v>0</v>
      </c>
      <c r="AG119" s="27">
        <v>0</v>
      </c>
      <c r="AH119" s="27">
        <v>0</v>
      </c>
      <c r="AI119" s="27">
        <v>0</v>
      </c>
      <c r="AJ119" s="27">
        <v>0</v>
      </c>
      <c r="AK119" s="26">
        <v>0</v>
      </c>
      <c r="AL119" s="28">
        <v>0</v>
      </c>
      <c r="AM119" s="54"/>
      <c r="AN119" s="13">
        <v>0</v>
      </c>
      <c r="AO119" s="13">
        <v>0</v>
      </c>
    </row>
    <row r="120" spans="1:41" s="15" customFormat="1">
      <c r="A120" s="167"/>
      <c r="B120" s="12" t="s">
        <v>7</v>
      </c>
      <c r="C120" s="26"/>
      <c r="D120" s="26"/>
      <c r="E120" s="32"/>
      <c r="F120" s="27">
        <v>0</v>
      </c>
      <c r="G120" s="27">
        <v>0</v>
      </c>
      <c r="H120" s="27">
        <v>0</v>
      </c>
      <c r="I120" s="26">
        <v>0</v>
      </c>
      <c r="J120" s="32">
        <v>0</v>
      </c>
      <c r="K120" s="27">
        <v>0</v>
      </c>
      <c r="L120" s="27">
        <v>0</v>
      </c>
      <c r="M120" s="27">
        <v>100000</v>
      </c>
      <c r="N120" s="26">
        <v>100000</v>
      </c>
      <c r="O120" s="32">
        <v>0</v>
      </c>
      <c r="P120" s="27">
        <v>0</v>
      </c>
      <c r="Q120" s="27">
        <v>0</v>
      </c>
      <c r="R120" s="27">
        <v>0</v>
      </c>
      <c r="S120" s="27">
        <v>0</v>
      </c>
      <c r="T120" s="26">
        <v>0</v>
      </c>
      <c r="U120" s="28">
        <v>105175</v>
      </c>
      <c r="V120" s="32">
        <v>0</v>
      </c>
      <c r="W120" s="27">
        <v>0</v>
      </c>
      <c r="X120" s="27">
        <v>0</v>
      </c>
      <c r="Y120" s="27">
        <v>0</v>
      </c>
      <c r="Z120" s="26">
        <v>0</v>
      </c>
      <c r="AA120" s="32">
        <v>0</v>
      </c>
      <c r="AB120" s="27">
        <v>0</v>
      </c>
      <c r="AC120" s="27">
        <v>0</v>
      </c>
      <c r="AD120" s="27">
        <v>0</v>
      </c>
      <c r="AE120" s="26">
        <v>0</v>
      </c>
      <c r="AF120" s="32">
        <v>0</v>
      </c>
      <c r="AG120" s="27">
        <v>0</v>
      </c>
      <c r="AH120" s="27">
        <v>0</v>
      </c>
      <c r="AI120" s="27">
        <v>0</v>
      </c>
      <c r="AJ120" s="27">
        <v>0</v>
      </c>
      <c r="AK120" s="26">
        <v>0</v>
      </c>
      <c r="AL120" s="28">
        <v>-329637</v>
      </c>
      <c r="AM120" s="54"/>
      <c r="AN120" s="13">
        <v>0</v>
      </c>
      <c r="AO120" s="13">
        <v>0</v>
      </c>
    </row>
    <row r="121" spans="1:41" s="15" customFormat="1" ht="17" thickBot="1">
      <c r="A121" s="168"/>
      <c r="B121" s="4" t="s">
        <v>60</v>
      </c>
      <c r="C121" s="26">
        <v>7006</v>
      </c>
      <c r="D121" s="37">
        <v>5175</v>
      </c>
      <c r="E121" s="21"/>
      <c r="F121" s="21">
        <v>0</v>
      </c>
      <c r="G121" s="21">
        <v>-76508</v>
      </c>
      <c r="H121" s="21">
        <v>-78309</v>
      </c>
      <c r="I121" s="20">
        <v>-78309</v>
      </c>
      <c r="J121" s="21">
        <v>-243882</v>
      </c>
      <c r="K121" s="21">
        <v>-246623</v>
      </c>
      <c r="L121" s="21">
        <v>-258961</v>
      </c>
      <c r="M121" s="21">
        <v>-159467</v>
      </c>
      <c r="N121" s="20">
        <v>-159467</v>
      </c>
      <c r="O121" s="21">
        <v>-231774</v>
      </c>
      <c r="P121" s="21">
        <v>-241983</v>
      </c>
      <c r="Q121" s="21">
        <v>-282987</v>
      </c>
      <c r="R121" s="21">
        <v>-329637</v>
      </c>
      <c r="S121" s="21">
        <v>-329637</v>
      </c>
      <c r="T121" s="20">
        <v>-329637</v>
      </c>
      <c r="U121" s="22">
        <v>-329637</v>
      </c>
      <c r="V121" s="21">
        <v>-335008</v>
      </c>
      <c r="W121" s="21">
        <v>-335008</v>
      </c>
      <c r="X121" s="21">
        <v>-335008</v>
      </c>
      <c r="Y121" s="21">
        <v>-335710</v>
      </c>
      <c r="Z121" s="20">
        <v>-335710</v>
      </c>
      <c r="AA121" s="21">
        <v>-335710</v>
      </c>
      <c r="AB121" s="21">
        <v>-335710</v>
      </c>
      <c r="AC121" s="21">
        <v>-335710</v>
      </c>
      <c r="AD121" s="21">
        <v>-335710</v>
      </c>
      <c r="AE121" s="20">
        <v>-335710</v>
      </c>
      <c r="AF121" s="21">
        <v>-335710</v>
      </c>
      <c r="AG121" s="21">
        <v>-335710</v>
      </c>
      <c r="AH121" s="21">
        <v>-335710</v>
      </c>
      <c r="AI121" s="21">
        <v>-335710</v>
      </c>
      <c r="AJ121" s="21">
        <v>-335710</v>
      </c>
      <c r="AK121" s="20">
        <v>-335710</v>
      </c>
      <c r="AL121" s="22">
        <v>-335710</v>
      </c>
      <c r="AM121" s="54"/>
      <c r="AN121" s="13">
        <v>0</v>
      </c>
      <c r="AO121" s="13">
        <v>0</v>
      </c>
    </row>
    <row r="122" spans="1:41" s="15" customFormat="1" ht="17" thickBot="1">
      <c r="A122" s="46"/>
      <c r="B122" s="12" t="s">
        <v>61</v>
      </c>
      <c r="C122" s="26"/>
      <c r="D122" s="26"/>
      <c r="E122" s="19">
        <v>0</v>
      </c>
      <c r="F122" s="19"/>
      <c r="G122" s="19"/>
      <c r="H122" s="19"/>
      <c r="I122" s="23"/>
      <c r="J122" s="19"/>
      <c r="K122" s="19"/>
      <c r="L122" s="19"/>
      <c r="M122" s="19"/>
      <c r="N122" s="23"/>
      <c r="O122" s="19"/>
      <c r="P122" s="19"/>
      <c r="Q122" s="19"/>
      <c r="R122" s="19"/>
      <c r="S122" s="19"/>
      <c r="T122" s="23"/>
      <c r="U122" s="24"/>
      <c r="V122" s="19"/>
      <c r="W122" s="19"/>
      <c r="X122" s="19"/>
      <c r="Y122" s="19"/>
      <c r="Z122" s="23"/>
      <c r="AA122" s="19"/>
      <c r="AB122" s="19"/>
      <c r="AC122" s="19"/>
      <c r="AD122" s="19"/>
      <c r="AE122" s="23"/>
      <c r="AF122" s="19"/>
      <c r="AG122" s="19"/>
      <c r="AH122" s="19"/>
      <c r="AI122" s="19"/>
      <c r="AJ122" s="19"/>
      <c r="AK122" s="23"/>
      <c r="AL122" s="24"/>
      <c r="AM122" s="54"/>
      <c r="AN122" s="13">
        <v>0</v>
      </c>
      <c r="AO122" s="13">
        <v>0</v>
      </c>
    </row>
    <row r="123" spans="1:41" s="15" customFormat="1">
      <c r="A123" s="166" t="s">
        <v>81</v>
      </c>
      <c r="B123" s="3" t="s">
        <v>57</v>
      </c>
      <c r="C123" s="26"/>
      <c r="D123" s="26"/>
      <c r="E123" s="27"/>
      <c r="F123" s="27">
        <v>170000</v>
      </c>
      <c r="G123" s="27">
        <v>-180175</v>
      </c>
      <c r="H123" s="27">
        <v>128970</v>
      </c>
      <c r="I123" s="26">
        <v>138795</v>
      </c>
      <c r="J123" s="27">
        <v>68805</v>
      </c>
      <c r="K123" s="27">
        <v>1811</v>
      </c>
      <c r="L123" s="27">
        <v>48507</v>
      </c>
      <c r="M123" s="27">
        <v>12043</v>
      </c>
      <c r="N123" s="26">
        <v>131166</v>
      </c>
      <c r="O123" s="27">
        <v>184012</v>
      </c>
      <c r="P123" s="27">
        <v>138</v>
      </c>
      <c r="Q123" s="27">
        <v>97582</v>
      </c>
      <c r="R123" s="27">
        <v>195593</v>
      </c>
      <c r="S123" s="27">
        <v>6000</v>
      </c>
      <c r="T123" s="26">
        <v>483325</v>
      </c>
      <c r="U123" s="28">
        <v>948091</v>
      </c>
      <c r="V123" s="27">
        <v>542</v>
      </c>
      <c r="W123" s="27">
        <v>0</v>
      </c>
      <c r="X123" s="27">
        <v>0</v>
      </c>
      <c r="Y123" s="27">
        <v>13036</v>
      </c>
      <c r="Z123" s="26">
        <v>13578</v>
      </c>
      <c r="AA123" s="27">
        <v>0</v>
      </c>
      <c r="AB123" s="27">
        <v>0</v>
      </c>
      <c r="AC123" s="27">
        <v>0</v>
      </c>
      <c r="AD123" s="27">
        <v>0</v>
      </c>
      <c r="AE123" s="26">
        <v>0</v>
      </c>
      <c r="AF123" s="27">
        <v>0</v>
      </c>
      <c r="AG123" s="27">
        <v>0</v>
      </c>
      <c r="AH123" s="27">
        <v>0</v>
      </c>
      <c r="AI123" s="27">
        <v>0</v>
      </c>
      <c r="AJ123" s="27">
        <v>0</v>
      </c>
      <c r="AK123" s="26">
        <v>0</v>
      </c>
      <c r="AL123" s="28">
        <v>13578</v>
      </c>
      <c r="AM123" s="54">
        <v>16</v>
      </c>
      <c r="AN123" s="13">
        <f>U123*AM123</f>
        <v>15169456</v>
      </c>
      <c r="AO123" s="13">
        <f>AM123*AL123</f>
        <v>217248</v>
      </c>
    </row>
    <row r="124" spans="1:41" s="15" customFormat="1">
      <c r="A124" s="167"/>
      <c r="B124" s="12" t="s">
        <v>58</v>
      </c>
      <c r="C124" s="26"/>
      <c r="D124" s="26"/>
      <c r="E124" s="27"/>
      <c r="F124" s="27">
        <v>170000</v>
      </c>
      <c r="G124" s="27">
        <v>215217</v>
      </c>
      <c r="H124" s="27">
        <v>0</v>
      </c>
      <c r="I124" s="26">
        <v>405217</v>
      </c>
      <c r="J124" s="27">
        <v>0</v>
      </c>
      <c r="K124" s="27">
        <v>0</v>
      </c>
      <c r="L124" s="27">
        <v>0</v>
      </c>
      <c r="M124" s="27">
        <v>350000</v>
      </c>
      <c r="N124" s="26">
        <v>350000</v>
      </c>
      <c r="O124" s="27">
        <v>0</v>
      </c>
      <c r="P124" s="27">
        <v>0</v>
      </c>
      <c r="Q124" s="27">
        <v>0</v>
      </c>
      <c r="R124" s="27">
        <v>200000</v>
      </c>
      <c r="S124" s="27">
        <v>0</v>
      </c>
      <c r="T124" s="26">
        <v>200000</v>
      </c>
      <c r="U124" s="28">
        <v>0</v>
      </c>
      <c r="V124" s="27">
        <v>0</v>
      </c>
      <c r="W124" s="27">
        <v>0</v>
      </c>
      <c r="X124" s="27">
        <v>0</v>
      </c>
      <c r="Y124" s="27">
        <v>0</v>
      </c>
      <c r="Z124" s="26">
        <v>0</v>
      </c>
      <c r="AA124" s="27">
        <v>0</v>
      </c>
      <c r="AB124" s="27">
        <v>0</v>
      </c>
      <c r="AC124" s="27">
        <v>0</v>
      </c>
      <c r="AD124" s="27">
        <v>0</v>
      </c>
      <c r="AE124" s="26">
        <v>0</v>
      </c>
      <c r="AF124" s="27">
        <v>0</v>
      </c>
      <c r="AG124" s="27">
        <v>0</v>
      </c>
      <c r="AH124" s="27">
        <v>0</v>
      </c>
      <c r="AI124" s="27">
        <v>0</v>
      </c>
      <c r="AJ124" s="27">
        <v>0</v>
      </c>
      <c r="AK124" s="26">
        <v>0</v>
      </c>
      <c r="AL124" s="28">
        <v>0</v>
      </c>
      <c r="AM124" s="54"/>
      <c r="AN124" s="13">
        <v>0</v>
      </c>
      <c r="AO124" s="13">
        <v>0</v>
      </c>
    </row>
    <row r="125" spans="1:41" s="15" customFormat="1">
      <c r="A125" s="167"/>
      <c r="B125" s="12" t="s">
        <v>59</v>
      </c>
      <c r="C125" s="27">
        <v>260000</v>
      </c>
      <c r="D125" s="26">
        <v>260000</v>
      </c>
      <c r="E125" s="27"/>
      <c r="F125" s="27">
        <v>0</v>
      </c>
      <c r="G125" s="27">
        <v>260000</v>
      </c>
      <c r="H125" s="27">
        <v>0</v>
      </c>
      <c r="I125" s="26">
        <v>0</v>
      </c>
      <c r="J125" s="27">
        <v>0</v>
      </c>
      <c r="K125" s="27">
        <v>0</v>
      </c>
      <c r="L125" s="27">
        <v>0</v>
      </c>
      <c r="M125" s="27">
        <v>0</v>
      </c>
      <c r="N125" s="26">
        <v>220000</v>
      </c>
      <c r="O125" s="27">
        <v>0</v>
      </c>
      <c r="P125" s="27">
        <v>0</v>
      </c>
      <c r="Q125" s="27">
        <v>0</v>
      </c>
      <c r="R125" s="27">
        <v>0</v>
      </c>
      <c r="S125" s="27">
        <v>0</v>
      </c>
      <c r="T125" s="26">
        <v>0</v>
      </c>
      <c r="U125" s="28">
        <v>220000</v>
      </c>
      <c r="V125" s="27">
        <v>0</v>
      </c>
      <c r="W125" s="27">
        <v>0</v>
      </c>
      <c r="X125" s="27">
        <v>0</v>
      </c>
      <c r="Y125" s="27">
        <v>0</v>
      </c>
      <c r="Z125" s="26">
        <v>0</v>
      </c>
      <c r="AA125" s="27">
        <v>0</v>
      </c>
      <c r="AB125" s="27">
        <v>0</v>
      </c>
      <c r="AC125" s="27">
        <v>0</v>
      </c>
      <c r="AD125" s="27">
        <v>0</v>
      </c>
      <c r="AE125" s="26">
        <v>0</v>
      </c>
      <c r="AF125" s="27">
        <v>0</v>
      </c>
      <c r="AG125" s="27">
        <v>0</v>
      </c>
      <c r="AH125" s="27">
        <v>0</v>
      </c>
      <c r="AI125" s="27">
        <v>0</v>
      </c>
      <c r="AJ125" s="27">
        <v>0</v>
      </c>
      <c r="AK125" s="26">
        <v>0</v>
      </c>
      <c r="AL125" s="28">
        <v>0</v>
      </c>
      <c r="AM125" s="54"/>
      <c r="AN125" s="13">
        <v>0</v>
      </c>
      <c r="AO125" s="13">
        <v>0</v>
      </c>
    </row>
    <row r="126" spans="1:41" s="15" customFormat="1">
      <c r="A126" s="167"/>
      <c r="B126" s="12" t="s">
        <v>7</v>
      </c>
      <c r="C126" s="26"/>
      <c r="D126" s="26"/>
      <c r="E126" s="32"/>
      <c r="F126" s="27">
        <v>170000</v>
      </c>
      <c r="G126" s="27">
        <v>475217</v>
      </c>
      <c r="H126" s="27">
        <v>0</v>
      </c>
      <c r="I126" s="26">
        <v>665217</v>
      </c>
      <c r="J126" s="32">
        <v>0</v>
      </c>
      <c r="K126" s="27">
        <v>0</v>
      </c>
      <c r="L126" s="27">
        <v>0</v>
      </c>
      <c r="M126" s="27">
        <v>350000</v>
      </c>
      <c r="N126" s="26">
        <v>350000</v>
      </c>
      <c r="O126" s="32">
        <v>0</v>
      </c>
      <c r="P126" s="27">
        <v>0</v>
      </c>
      <c r="Q126" s="27">
        <v>0</v>
      </c>
      <c r="R126" s="27">
        <v>200000</v>
      </c>
      <c r="S126" s="27">
        <v>0</v>
      </c>
      <c r="T126" s="26">
        <v>200000</v>
      </c>
      <c r="U126" s="28">
        <v>1410022</v>
      </c>
      <c r="V126" s="32">
        <v>0</v>
      </c>
      <c r="W126" s="27">
        <v>0</v>
      </c>
      <c r="X126" s="27">
        <v>0</v>
      </c>
      <c r="Y126" s="27">
        <v>0</v>
      </c>
      <c r="Z126" s="26">
        <v>0</v>
      </c>
      <c r="AA126" s="32">
        <v>0</v>
      </c>
      <c r="AB126" s="27">
        <v>0</v>
      </c>
      <c r="AC126" s="27">
        <v>0</v>
      </c>
      <c r="AD126" s="27">
        <v>0</v>
      </c>
      <c r="AE126" s="26">
        <v>0</v>
      </c>
      <c r="AF126" s="32">
        <v>0</v>
      </c>
      <c r="AG126" s="27">
        <v>0</v>
      </c>
      <c r="AH126" s="27">
        <v>0</v>
      </c>
      <c r="AI126" s="27">
        <v>0</v>
      </c>
      <c r="AJ126" s="27">
        <v>0</v>
      </c>
      <c r="AK126" s="26">
        <v>0</v>
      </c>
      <c r="AL126" s="28">
        <v>461931</v>
      </c>
      <c r="AM126" s="54"/>
      <c r="AN126" s="13">
        <v>0</v>
      </c>
      <c r="AO126" s="13">
        <v>0</v>
      </c>
    </row>
    <row r="127" spans="1:41" s="15" customFormat="1" ht="17" thickBot="1">
      <c r="A127" s="168"/>
      <c r="B127" s="4" t="s">
        <v>60</v>
      </c>
      <c r="C127" s="26">
        <v>609983</v>
      </c>
      <c r="D127" s="37">
        <v>194805</v>
      </c>
      <c r="E127" s="21"/>
      <c r="F127" s="21">
        <v>0</v>
      </c>
      <c r="G127" s="21">
        <v>655392</v>
      </c>
      <c r="H127" s="21">
        <v>526422</v>
      </c>
      <c r="I127" s="20">
        <v>526422</v>
      </c>
      <c r="J127" s="21">
        <v>457617</v>
      </c>
      <c r="K127" s="21">
        <v>455806</v>
      </c>
      <c r="L127" s="21">
        <v>407299</v>
      </c>
      <c r="M127" s="21">
        <v>745256</v>
      </c>
      <c r="N127" s="20">
        <v>745256</v>
      </c>
      <c r="O127" s="21">
        <v>561244</v>
      </c>
      <c r="P127" s="21">
        <v>561106</v>
      </c>
      <c r="Q127" s="21">
        <v>463524</v>
      </c>
      <c r="R127" s="21">
        <v>467931</v>
      </c>
      <c r="S127" s="21">
        <v>461931</v>
      </c>
      <c r="T127" s="20">
        <v>461931</v>
      </c>
      <c r="U127" s="22">
        <v>461931</v>
      </c>
      <c r="V127" s="21">
        <v>461389</v>
      </c>
      <c r="W127" s="21">
        <v>461389</v>
      </c>
      <c r="X127" s="21">
        <v>461389</v>
      </c>
      <c r="Y127" s="21">
        <v>448353</v>
      </c>
      <c r="Z127" s="20">
        <v>448353</v>
      </c>
      <c r="AA127" s="21">
        <v>448353</v>
      </c>
      <c r="AB127" s="21">
        <v>448353</v>
      </c>
      <c r="AC127" s="21">
        <v>448353</v>
      </c>
      <c r="AD127" s="21">
        <v>448353</v>
      </c>
      <c r="AE127" s="20">
        <v>448353</v>
      </c>
      <c r="AF127" s="21">
        <v>448353</v>
      </c>
      <c r="AG127" s="21">
        <v>448353</v>
      </c>
      <c r="AH127" s="21">
        <v>448353</v>
      </c>
      <c r="AI127" s="21">
        <v>448353</v>
      </c>
      <c r="AJ127" s="21">
        <v>448353</v>
      </c>
      <c r="AK127" s="20">
        <v>448353</v>
      </c>
      <c r="AL127" s="22">
        <v>448353</v>
      </c>
      <c r="AM127" s="54"/>
      <c r="AN127" s="13">
        <v>0</v>
      </c>
      <c r="AO127" s="13">
        <v>0</v>
      </c>
    </row>
    <row r="128" spans="1:41" s="15" customFormat="1" ht="17" thickBot="1">
      <c r="A128" s="46"/>
      <c r="B128" s="12" t="s">
        <v>61</v>
      </c>
      <c r="C128" s="26"/>
      <c r="D128" s="26"/>
      <c r="E128" s="19">
        <v>0</v>
      </c>
      <c r="F128" s="19"/>
      <c r="G128" s="19"/>
      <c r="H128" s="19"/>
      <c r="I128" s="23"/>
      <c r="J128" s="19"/>
      <c r="K128" s="19"/>
      <c r="L128" s="19"/>
      <c r="M128" s="19"/>
      <c r="N128" s="23"/>
      <c r="O128" s="19"/>
      <c r="P128" s="19"/>
      <c r="Q128" s="19"/>
      <c r="R128" s="19"/>
      <c r="S128" s="19"/>
      <c r="T128" s="23"/>
      <c r="U128" s="24"/>
      <c r="V128" s="19"/>
      <c r="W128" s="19"/>
      <c r="X128" s="19"/>
      <c r="Y128" s="19"/>
      <c r="Z128" s="23"/>
      <c r="AA128" s="19"/>
      <c r="AB128" s="19"/>
      <c r="AC128" s="19"/>
      <c r="AD128" s="19"/>
      <c r="AE128" s="23"/>
      <c r="AF128" s="19"/>
      <c r="AG128" s="19"/>
      <c r="AH128" s="19"/>
      <c r="AI128" s="19"/>
      <c r="AJ128" s="19"/>
      <c r="AK128" s="23"/>
      <c r="AL128" s="24"/>
      <c r="AM128" s="54"/>
      <c r="AN128" s="13">
        <v>0</v>
      </c>
      <c r="AO128" s="13">
        <v>0</v>
      </c>
    </row>
    <row r="129" spans="1:41" s="15" customFormat="1">
      <c r="A129" s="166" t="s">
        <v>82</v>
      </c>
      <c r="B129" s="3" t="s">
        <v>57</v>
      </c>
      <c r="C129" s="26"/>
      <c r="D129" s="26"/>
      <c r="E129" s="27"/>
      <c r="F129" s="27">
        <v>98800</v>
      </c>
      <c r="G129" s="27">
        <v>-86943</v>
      </c>
      <c r="H129" s="27">
        <v>4215</v>
      </c>
      <c r="I129" s="26">
        <v>16072</v>
      </c>
      <c r="J129" s="27">
        <v>160231</v>
      </c>
      <c r="K129" s="27">
        <v>3145</v>
      </c>
      <c r="L129" s="27">
        <v>13492</v>
      </c>
      <c r="M129" s="27">
        <v>515</v>
      </c>
      <c r="N129" s="26">
        <v>177383</v>
      </c>
      <c r="O129" s="27">
        <v>69658</v>
      </c>
      <c r="P129" s="27">
        <v>10233</v>
      </c>
      <c r="Q129" s="27">
        <v>41847</v>
      </c>
      <c r="R129" s="27">
        <v>60042</v>
      </c>
      <c r="S129" s="27">
        <v>0</v>
      </c>
      <c r="T129" s="26">
        <v>181780</v>
      </c>
      <c r="U129" s="28">
        <v>545089</v>
      </c>
      <c r="V129" s="27">
        <v>5371</v>
      </c>
      <c r="W129" s="27">
        <v>0</v>
      </c>
      <c r="X129" s="27">
        <v>0</v>
      </c>
      <c r="Y129" s="27">
        <v>702</v>
      </c>
      <c r="Z129" s="26">
        <v>6073</v>
      </c>
      <c r="AA129" s="27">
        <v>0</v>
      </c>
      <c r="AB129" s="27">
        <v>0</v>
      </c>
      <c r="AC129" s="27">
        <v>0</v>
      </c>
      <c r="AD129" s="27">
        <v>0</v>
      </c>
      <c r="AE129" s="26">
        <v>0</v>
      </c>
      <c r="AF129" s="27">
        <v>0</v>
      </c>
      <c r="AG129" s="27">
        <v>0</v>
      </c>
      <c r="AH129" s="27">
        <v>0</v>
      </c>
      <c r="AI129" s="27">
        <v>0</v>
      </c>
      <c r="AJ129" s="27">
        <v>0</v>
      </c>
      <c r="AK129" s="26">
        <v>0</v>
      </c>
      <c r="AL129" s="28">
        <v>6073</v>
      </c>
      <c r="AM129" s="54">
        <v>16</v>
      </c>
      <c r="AN129" s="13">
        <f>U129*AM129</f>
        <v>8721424</v>
      </c>
      <c r="AO129" s="13">
        <f>AM129*AL129</f>
        <v>97168</v>
      </c>
    </row>
    <row r="130" spans="1:41" s="15" customFormat="1">
      <c r="A130" s="167"/>
      <c r="B130" s="12" t="s">
        <v>58</v>
      </c>
      <c r="C130" s="26"/>
      <c r="D130" s="26"/>
      <c r="E130" s="27"/>
      <c r="F130" s="27">
        <v>98800</v>
      </c>
      <c r="G130" s="27">
        <v>0</v>
      </c>
      <c r="H130" s="27">
        <v>0</v>
      </c>
      <c r="I130" s="26">
        <v>98800</v>
      </c>
      <c r="J130" s="27">
        <v>0</v>
      </c>
      <c r="K130" s="27">
        <v>0</v>
      </c>
      <c r="L130" s="27">
        <v>0</v>
      </c>
      <c r="M130" s="27">
        <v>150000</v>
      </c>
      <c r="N130" s="26">
        <v>150000</v>
      </c>
      <c r="O130" s="27">
        <v>0</v>
      </c>
      <c r="P130" s="27">
        <v>0</v>
      </c>
      <c r="Q130" s="27">
        <v>0</v>
      </c>
      <c r="R130" s="27">
        <v>50000</v>
      </c>
      <c r="S130" s="27">
        <v>0</v>
      </c>
      <c r="T130" s="26">
        <v>50000</v>
      </c>
      <c r="U130" s="28">
        <v>0</v>
      </c>
      <c r="V130" s="27">
        <v>0</v>
      </c>
      <c r="W130" s="27">
        <v>0</v>
      </c>
      <c r="X130" s="27">
        <v>0</v>
      </c>
      <c r="Y130" s="27">
        <v>100000</v>
      </c>
      <c r="Z130" s="26">
        <v>100000</v>
      </c>
      <c r="AA130" s="27">
        <v>0</v>
      </c>
      <c r="AB130" s="27">
        <v>0</v>
      </c>
      <c r="AC130" s="27">
        <v>0</v>
      </c>
      <c r="AD130" s="27">
        <v>0</v>
      </c>
      <c r="AE130" s="26">
        <v>0</v>
      </c>
      <c r="AF130" s="27">
        <v>0</v>
      </c>
      <c r="AG130" s="27">
        <v>0</v>
      </c>
      <c r="AH130" s="27">
        <v>0</v>
      </c>
      <c r="AI130" s="27">
        <v>0</v>
      </c>
      <c r="AJ130" s="27">
        <v>0</v>
      </c>
      <c r="AK130" s="26">
        <v>0</v>
      </c>
      <c r="AL130" s="28">
        <v>0</v>
      </c>
      <c r="AM130" s="54"/>
      <c r="AN130" s="13">
        <v>0</v>
      </c>
      <c r="AO130" s="13">
        <v>0</v>
      </c>
    </row>
    <row r="131" spans="1:41" s="15" customFormat="1">
      <c r="A131" s="167"/>
      <c r="B131" s="12" t="s">
        <v>59</v>
      </c>
      <c r="C131" s="27">
        <v>0</v>
      </c>
      <c r="D131" s="26">
        <v>0</v>
      </c>
      <c r="E131" s="27"/>
      <c r="F131" s="27">
        <v>0</v>
      </c>
      <c r="G131" s="27">
        <v>0</v>
      </c>
      <c r="H131" s="27">
        <v>0</v>
      </c>
      <c r="I131" s="26">
        <v>0</v>
      </c>
      <c r="J131" s="27">
        <v>0</v>
      </c>
      <c r="K131" s="27">
        <v>0</v>
      </c>
      <c r="L131" s="27">
        <v>0</v>
      </c>
      <c r="M131" s="27">
        <v>0</v>
      </c>
      <c r="N131" s="26">
        <v>0</v>
      </c>
      <c r="O131" s="27">
        <v>0</v>
      </c>
      <c r="P131" s="27">
        <v>0</v>
      </c>
      <c r="Q131" s="27">
        <v>0</v>
      </c>
      <c r="R131" s="27">
        <v>0</v>
      </c>
      <c r="S131" s="27">
        <v>0</v>
      </c>
      <c r="T131" s="26">
        <v>0</v>
      </c>
      <c r="U131" s="28">
        <v>0</v>
      </c>
      <c r="V131" s="27">
        <v>0</v>
      </c>
      <c r="W131" s="27">
        <v>0</v>
      </c>
      <c r="X131" s="27">
        <v>0</v>
      </c>
      <c r="Y131" s="27">
        <v>0</v>
      </c>
      <c r="Z131" s="26">
        <v>0</v>
      </c>
      <c r="AA131" s="27">
        <v>0</v>
      </c>
      <c r="AB131" s="27">
        <v>0</v>
      </c>
      <c r="AC131" s="27">
        <v>0</v>
      </c>
      <c r="AD131" s="27">
        <v>0</v>
      </c>
      <c r="AE131" s="26">
        <v>0</v>
      </c>
      <c r="AF131" s="27">
        <v>0</v>
      </c>
      <c r="AG131" s="27">
        <v>0</v>
      </c>
      <c r="AH131" s="27">
        <v>0</v>
      </c>
      <c r="AI131" s="27">
        <v>0</v>
      </c>
      <c r="AJ131" s="27">
        <v>0</v>
      </c>
      <c r="AK131" s="26">
        <v>0</v>
      </c>
      <c r="AL131" s="28">
        <v>0</v>
      </c>
      <c r="AM131" s="54"/>
      <c r="AN131" s="13">
        <v>0</v>
      </c>
      <c r="AO131" s="13">
        <v>0</v>
      </c>
    </row>
    <row r="132" spans="1:41" s="15" customFormat="1">
      <c r="A132" s="167"/>
      <c r="B132" s="12" t="s">
        <v>7</v>
      </c>
      <c r="C132" s="26"/>
      <c r="D132" s="26"/>
      <c r="E132" s="32"/>
      <c r="F132" s="27">
        <v>98800</v>
      </c>
      <c r="G132" s="27">
        <v>0</v>
      </c>
      <c r="H132" s="27">
        <v>0</v>
      </c>
      <c r="I132" s="26">
        <v>98800</v>
      </c>
      <c r="J132" s="32">
        <v>0</v>
      </c>
      <c r="K132" s="27">
        <v>0</v>
      </c>
      <c r="L132" s="27">
        <v>0</v>
      </c>
      <c r="M132" s="27">
        <v>150000</v>
      </c>
      <c r="N132" s="26">
        <v>150000</v>
      </c>
      <c r="O132" s="32">
        <v>0</v>
      </c>
      <c r="P132" s="27">
        <v>0</v>
      </c>
      <c r="Q132" s="27">
        <v>0</v>
      </c>
      <c r="R132" s="27">
        <v>50000</v>
      </c>
      <c r="S132" s="27">
        <v>0</v>
      </c>
      <c r="T132" s="26">
        <v>50000</v>
      </c>
      <c r="U132" s="28">
        <v>468654</v>
      </c>
      <c r="V132" s="32">
        <v>0</v>
      </c>
      <c r="W132" s="27">
        <v>0</v>
      </c>
      <c r="X132" s="27">
        <v>0</v>
      </c>
      <c r="Y132" s="27">
        <v>100000</v>
      </c>
      <c r="Z132" s="26">
        <v>100000</v>
      </c>
      <c r="AA132" s="32">
        <v>0</v>
      </c>
      <c r="AB132" s="27">
        <v>0</v>
      </c>
      <c r="AC132" s="27">
        <v>0</v>
      </c>
      <c r="AD132" s="27">
        <v>0</v>
      </c>
      <c r="AE132" s="26">
        <v>0</v>
      </c>
      <c r="AF132" s="32">
        <v>0</v>
      </c>
      <c r="AG132" s="27">
        <v>0</v>
      </c>
      <c r="AH132" s="27">
        <v>0</v>
      </c>
      <c r="AI132" s="27">
        <v>0</v>
      </c>
      <c r="AJ132" s="27">
        <v>0</v>
      </c>
      <c r="AK132" s="26">
        <v>0</v>
      </c>
      <c r="AL132" s="28">
        <v>23565</v>
      </c>
      <c r="AM132" s="54"/>
      <c r="AN132" s="13">
        <v>0</v>
      </c>
      <c r="AO132" s="13">
        <v>0</v>
      </c>
    </row>
    <row r="133" spans="1:41" s="15" customFormat="1" ht="17" thickBot="1">
      <c r="A133" s="168"/>
      <c r="B133" s="4" t="s">
        <v>60</v>
      </c>
      <c r="C133" s="26">
        <v>167995</v>
      </c>
      <c r="D133" s="37">
        <v>169854</v>
      </c>
      <c r="E133" s="21"/>
      <c r="F133" s="21">
        <v>0</v>
      </c>
      <c r="G133" s="21">
        <v>86943</v>
      </c>
      <c r="H133" s="21">
        <v>82728</v>
      </c>
      <c r="I133" s="20">
        <v>82728</v>
      </c>
      <c r="J133" s="21">
        <v>-77503</v>
      </c>
      <c r="K133" s="21">
        <v>-80648</v>
      </c>
      <c r="L133" s="21">
        <v>-94140</v>
      </c>
      <c r="M133" s="21">
        <v>55345</v>
      </c>
      <c r="N133" s="20">
        <v>55345</v>
      </c>
      <c r="O133" s="21">
        <v>-14313</v>
      </c>
      <c r="P133" s="21">
        <v>-24546</v>
      </c>
      <c r="Q133" s="21">
        <v>-66393</v>
      </c>
      <c r="R133" s="21">
        <v>-76435</v>
      </c>
      <c r="S133" s="21">
        <v>-76435</v>
      </c>
      <c r="T133" s="20">
        <v>-76435</v>
      </c>
      <c r="U133" s="22">
        <v>-76435</v>
      </c>
      <c r="V133" s="21">
        <v>-81806</v>
      </c>
      <c r="W133" s="21">
        <v>-81806</v>
      </c>
      <c r="X133" s="21">
        <v>-81806</v>
      </c>
      <c r="Y133" s="21">
        <v>17492</v>
      </c>
      <c r="Z133" s="20">
        <v>17492</v>
      </c>
      <c r="AA133" s="21">
        <v>17492</v>
      </c>
      <c r="AB133" s="21">
        <v>17492</v>
      </c>
      <c r="AC133" s="21">
        <v>17492</v>
      </c>
      <c r="AD133" s="21">
        <v>17492</v>
      </c>
      <c r="AE133" s="20">
        <v>17492</v>
      </c>
      <c r="AF133" s="21">
        <v>17492</v>
      </c>
      <c r="AG133" s="21">
        <v>17492</v>
      </c>
      <c r="AH133" s="21">
        <v>17492</v>
      </c>
      <c r="AI133" s="21">
        <v>17492</v>
      </c>
      <c r="AJ133" s="21">
        <v>17492</v>
      </c>
      <c r="AK133" s="20">
        <v>17492</v>
      </c>
      <c r="AL133" s="22">
        <v>17492</v>
      </c>
      <c r="AM133" s="54"/>
      <c r="AN133" s="13">
        <v>0</v>
      </c>
      <c r="AO133" s="13">
        <v>0</v>
      </c>
    </row>
    <row r="134" spans="1:41" s="15" customFormat="1" ht="17" thickBot="1">
      <c r="A134" s="46"/>
      <c r="B134" s="12" t="s">
        <v>61</v>
      </c>
      <c r="C134" s="26"/>
      <c r="D134" s="26"/>
      <c r="E134" s="19">
        <v>0</v>
      </c>
      <c r="F134" s="19"/>
      <c r="G134" s="19"/>
      <c r="H134" s="19"/>
      <c r="I134" s="23"/>
      <c r="J134" s="19"/>
      <c r="K134" s="19"/>
      <c r="L134" s="19"/>
      <c r="M134" s="19"/>
      <c r="N134" s="23"/>
      <c r="O134" s="19"/>
      <c r="P134" s="19"/>
      <c r="Q134" s="19"/>
      <c r="R134" s="19"/>
      <c r="S134" s="19"/>
      <c r="T134" s="23"/>
      <c r="U134" s="24"/>
      <c r="V134" s="19"/>
      <c r="W134" s="19"/>
      <c r="X134" s="19"/>
      <c r="Y134" s="19"/>
      <c r="Z134" s="23"/>
      <c r="AA134" s="19"/>
      <c r="AB134" s="19"/>
      <c r="AC134" s="19"/>
      <c r="AD134" s="19"/>
      <c r="AE134" s="23"/>
      <c r="AF134" s="19"/>
      <c r="AG134" s="19"/>
      <c r="AH134" s="19"/>
      <c r="AI134" s="19"/>
      <c r="AJ134" s="19"/>
      <c r="AK134" s="23"/>
      <c r="AL134" s="24"/>
      <c r="AM134" s="54"/>
      <c r="AN134" s="13">
        <v>0</v>
      </c>
      <c r="AO134" s="13">
        <v>0</v>
      </c>
    </row>
    <row r="135" spans="1:41" s="15" customFormat="1">
      <c r="A135" s="166" t="s">
        <v>83</v>
      </c>
      <c r="B135" s="3" t="s">
        <v>57</v>
      </c>
      <c r="C135" s="26"/>
      <c r="D135" s="26"/>
      <c r="E135" s="27"/>
      <c r="F135" s="27">
        <v>0</v>
      </c>
      <c r="G135" s="27">
        <v>-2951</v>
      </c>
      <c r="H135" s="27">
        <v>0</v>
      </c>
      <c r="I135" s="26">
        <v>-2951</v>
      </c>
      <c r="J135" s="27">
        <v>0</v>
      </c>
      <c r="K135" s="27">
        <v>0</v>
      </c>
      <c r="L135" s="27">
        <v>0</v>
      </c>
      <c r="M135" s="27">
        <v>0</v>
      </c>
      <c r="N135" s="26">
        <v>0</v>
      </c>
      <c r="O135" s="27">
        <v>0</v>
      </c>
      <c r="P135" s="27">
        <v>0</v>
      </c>
      <c r="Q135" s="27">
        <v>0</v>
      </c>
      <c r="R135" s="27">
        <v>0</v>
      </c>
      <c r="S135" s="27">
        <v>0</v>
      </c>
      <c r="T135" s="26">
        <v>0</v>
      </c>
      <c r="U135" s="28">
        <v>-2358</v>
      </c>
      <c r="V135" s="27">
        <v>0</v>
      </c>
      <c r="W135" s="27">
        <v>0</v>
      </c>
      <c r="X135" s="27">
        <v>0</v>
      </c>
      <c r="Y135" s="27">
        <v>0</v>
      </c>
      <c r="Z135" s="26">
        <v>0</v>
      </c>
      <c r="AA135" s="27">
        <v>0</v>
      </c>
      <c r="AB135" s="27">
        <v>0</v>
      </c>
      <c r="AC135" s="27">
        <v>0</v>
      </c>
      <c r="AD135" s="27">
        <v>0</v>
      </c>
      <c r="AE135" s="26">
        <v>0</v>
      </c>
      <c r="AF135" s="27">
        <v>0</v>
      </c>
      <c r="AG135" s="27">
        <v>0</v>
      </c>
      <c r="AH135" s="27">
        <v>0</v>
      </c>
      <c r="AI135" s="27">
        <v>0</v>
      </c>
      <c r="AJ135" s="27">
        <v>0</v>
      </c>
      <c r="AK135" s="26">
        <v>0</v>
      </c>
      <c r="AL135" s="28">
        <v>0</v>
      </c>
      <c r="AM135" s="54">
        <v>32</v>
      </c>
      <c r="AN135" s="13">
        <f>U135*AM135</f>
        <v>-75456</v>
      </c>
      <c r="AO135" s="13">
        <f>AM135*AL135</f>
        <v>0</v>
      </c>
    </row>
    <row r="136" spans="1:41" s="15" customFormat="1">
      <c r="A136" s="167"/>
      <c r="B136" s="12" t="s">
        <v>58</v>
      </c>
      <c r="C136" s="26"/>
      <c r="D136" s="26"/>
      <c r="E136" s="27"/>
      <c r="F136" s="27">
        <v>0</v>
      </c>
      <c r="G136" s="27">
        <v>0</v>
      </c>
      <c r="H136" s="27">
        <v>0</v>
      </c>
      <c r="I136" s="26">
        <v>0</v>
      </c>
      <c r="J136" s="27">
        <v>0</v>
      </c>
      <c r="K136" s="27">
        <v>0</v>
      </c>
      <c r="L136" s="27">
        <v>0</v>
      </c>
      <c r="M136" s="27">
        <v>0</v>
      </c>
      <c r="N136" s="26">
        <v>0</v>
      </c>
      <c r="O136" s="27">
        <v>0</v>
      </c>
      <c r="P136" s="27">
        <v>0</v>
      </c>
      <c r="Q136" s="27">
        <v>0</v>
      </c>
      <c r="R136" s="27">
        <v>0</v>
      </c>
      <c r="S136" s="27">
        <v>0</v>
      </c>
      <c r="T136" s="26">
        <v>0</v>
      </c>
      <c r="U136" s="28">
        <v>0</v>
      </c>
      <c r="V136" s="27">
        <v>0</v>
      </c>
      <c r="W136" s="27">
        <v>0</v>
      </c>
      <c r="X136" s="27">
        <v>0</v>
      </c>
      <c r="Y136" s="27">
        <v>0</v>
      </c>
      <c r="Z136" s="26">
        <v>0</v>
      </c>
      <c r="AA136" s="27">
        <v>0</v>
      </c>
      <c r="AB136" s="27">
        <v>0</v>
      </c>
      <c r="AC136" s="27">
        <v>0</v>
      </c>
      <c r="AD136" s="27">
        <v>0</v>
      </c>
      <c r="AE136" s="26">
        <v>0</v>
      </c>
      <c r="AF136" s="27">
        <v>0</v>
      </c>
      <c r="AG136" s="27">
        <v>0</v>
      </c>
      <c r="AH136" s="27">
        <v>0</v>
      </c>
      <c r="AI136" s="27">
        <v>0</v>
      </c>
      <c r="AJ136" s="27">
        <v>0</v>
      </c>
      <c r="AK136" s="26">
        <v>0</v>
      </c>
      <c r="AL136" s="28">
        <v>0</v>
      </c>
      <c r="AM136" s="54"/>
      <c r="AN136" s="13">
        <v>0</v>
      </c>
      <c r="AO136" s="13">
        <v>0</v>
      </c>
    </row>
    <row r="137" spans="1:41" s="15" customFormat="1">
      <c r="A137" s="167"/>
      <c r="B137" s="12" t="s">
        <v>59</v>
      </c>
      <c r="C137" s="27">
        <v>0</v>
      </c>
      <c r="D137" s="26">
        <v>0</v>
      </c>
      <c r="E137" s="27"/>
      <c r="F137" s="27">
        <v>0</v>
      </c>
      <c r="G137" s="27">
        <v>0</v>
      </c>
      <c r="H137" s="27">
        <v>0</v>
      </c>
      <c r="I137" s="26">
        <v>0</v>
      </c>
      <c r="J137" s="27">
        <v>0</v>
      </c>
      <c r="K137" s="27">
        <v>0</v>
      </c>
      <c r="L137" s="27">
        <v>0</v>
      </c>
      <c r="M137" s="27">
        <v>0</v>
      </c>
      <c r="N137" s="26">
        <v>0</v>
      </c>
      <c r="O137" s="27">
        <v>0</v>
      </c>
      <c r="P137" s="27">
        <v>0</v>
      </c>
      <c r="Q137" s="27">
        <v>0</v>
      </c>
      <c r="R137" s="27">
        <v>0</v>
      </c>
      <c r="S137" s="27">
        <v>0</v>
      </c>
      <c r="T137" s="26">
        <v>0</v>
      </c>
      <c r="U137" s="28">
        <v>0</v>
      </c>
      <c r="V137" s="27">
        <v>0</v>
      </c>
      <c r="W137" s="27">
        <v>0</v>
      </c>
      <c r="X137" s="27">
        <v>0</v>
      </c>
      <c r="Y137" s="27">
        <v>0</v>
      </c>
      <c r="Z137" s="26">
        <v>0</v>
      </c>
      <c r="AA137" s="27">
        <v>0</v>
      </c>
      <c r="AB137" s="27">
        <v>0</v>
      </c>
      <c r="AC137" s="27">
        <v>0</v>
      </c>
      <c r="AD137" s="27">
        <v>0</v>
      </c>
      <c r="AE137" s="26">
        <v>0</v>
      </c>
      <c r="AF137" s="27">
        <v>0</v>
      </c>
      <c r="AG137" s="27">
        <v>0</v>
      </c>
      <c r="AH137" s="27">
        <v>0</v>
      </c>
      <c r="AI137" s="27">
        <v>0</v>
      </c>
      <c r="AJ137" s="27">
        <v>0</v>
      </c>
      <c r="AK137" s="26">
        <v>0</v>
      </c>
      <c r="AL137" s="28">
        <v>0</v>
      </c>
      <c r="AM137" s="54"/>
      <c r="AN137" s="13">
        <v>0</v>
      </c>
      <c r="AO137" s="13">
        <v>0</v>
      </c>
    </row>
    <row r="138" spans="1:41" s="15" customFormat="1">
      <c r="A138" s="167"/>
      <c r="B138" s="12" t="s">
        <v>7</v>
      </c>
      <c r="C138" s="26"/>
      <c r="D138" s="26"/>
      <c r="E138" s="32"/>
      <c r="F138" s="27">
        <v>0</v>
      </c>
      <c r="G138" s="27">
        <v>0</v>
      </c>
      <c r="H138" s="27">
        <v>0</v>
      </c>
      <c r="I138" s="26">
        <v>0</v>
      </c>
      <c r="J138" s="32">
        <v>0</v>
      </c>
      <c r="K138" s="27">
        <v>0</v>
      </c>
      <c r="L138" s="27">
        <v>0</v>
      </c>
      <c r="M138" s="27">
        <v>0</v>
      </c>
      <c r="N138" s="26">
        <v>0</v>
      </c>
      <c r="O138" s="32">
        <v>0</v>
      </c>
      <c r="P138" s="27">
        <v>0</v>
      </c>
      <c r="Q138" s="27">
        <v>0</v>
      </c>
      <c r="R138" s="27">
        <v>0</v>
      </c>
      <c r="S138" s="27">
        <v>0</v>
      </c>
      <c r="T138" s="26">
        <v>0</v>
      </c>
      <c r="U138" s="28">
        <v>593</v>
      </c>
      <c r="V138" s="32">
        <v>0</v>
      </c>
      <c r="W138" s="27">
        <v>0</v>
      </c>
      <c r="X138" s="27">
        <v>0</v>
      </c>
      <c r="Y138" s="27">
        <v>0</v>
      </c>
      <c r="Z138" s="26">
        <v>0</v>
      </c>
      <c r="AA138" s="32">
        <v>0</v>
      </c>
      <c r="AB138" s="27">
        <v>0</v>
      </c>
      <c r="AC138" s="27">
        <v>0</v>
      </c>
      <c r="AD138" s="27">
        <v>0</v>
      </c>
      <c r="AE138" s="26">
        <v>0</v>
      </c>
      <c r="AF138" s="32">
        <v>0</v>
      </c>
      <c r="AG138" s="27">
        <v>0</v>
      </c>
      <c r="AH138" s="27">
        <v>0</v>
      </c>
      <c r="AI138" s="27">
        <v>0</v>
      </c>
      <c r="AJ138" s="27">
        <v>0</v>
      </c>
      <c r="AK138" s="26">
        <v>0</v>
      </c>
      <c r="AL138" s="28">
        <v>2951</v>
      </c>
      <c r="AM138" s="54"/>
      <c r="AN138" s="13">
        <v>0</v>
      </c>
      <c r="AO138" s="13">
        <v>0</v>
      </c>
    </row>
    <row r="139" spans="1:41" s="15" customFormat="1" ht="17" thickBot="1">
      <c r="A139" s="168"/>
      <c r="B139" s="4" t="s">
        <v>60</v>
      </c>
      <c r="C139" s="26">
        <v>2985</v>
      </c>
      <c r="D139" s="37">
        <v>593</v>
      </c>
      <c r="E139" s="21"/>
      <c r="F139" s="21">
        <v>0</v>
      </c>
      <c r="G139" s="21">
        <v>2951</v>
      </c>
      <c r="H139" s="21">
        <v>2951</v>
      </c>
      <c r="I139" s="20">
        <v>2951</v>
      </c>
      <c r="J139" s="21">
        <v>2951</v>
      </c>
      <c r="K139" s="21">
        <v>2951</v>
      </c>
      <c r="L139" s="21">
        <v>2951</v>
      </c>
      <c r="M139" s="21">
        <v>2951</v>
      </c>
      <c r="N139" s="20">
        <v>2951</v>
      </c>
      <c r="O139" s="21">
        <v>2951</v>
      </c>
      <c r="P139" s="21">
        <v>2951</v>
      </c>
      <c r="Q139" s="21">
        <v>2951</v>
      </c>
      <c r="R139" s="21">
        <v>2951</v>
      </c>
      <c r="S139" s="21">
        <v>2951</v>
      </c>
      <c r="T139" s="20">
        <v>2951</v>
      </c>
      <c r="U139" s="22">
        <v>2951</v>
      </c>
      <c r="V139" s="21">
        <v>2951</v>
      </c>
      <c r="W139" s="21">
        <v>2951</v>
      </c>
      <c r="X139" s="21">
        <v>2951</v>
      </c>
      <c r="Y139" s="21">
        <v>2951</v>
      </c>
      <c r="Z139" s="20">
        <v>2951</v>
      </c>
      <c r="AA139" s="21">
        <v>2951</v>
      </c>
      <c r="AB139" s="21">
        <v>2951</v>
      </c>
      <c r="AC139" s="21">
        <v>2951</v>
      </c>
      <c r="AD139" s="21">
        <v>2951</v>
      </c>
      <c r="AE139" s="20">
        <v>2951</v>
      </c>
      <c r="AF139" s="21">
        <v>2951</v>
      </c>
      <c r="AG139" s="21">
        <v>2951</v>
      </c>
      <c r="AH139" s="21">
        <v>2951</v>
      </c>
      <c r="AI139" s="21">
        <v>2951</v>
      </c>
      <c r="AJ139" s="21">
        <v>2951</v>
      </c>
      <c r="AK139" s="20">
        <v>2951</v>
      </c>
      <c r="AL139" s="22">
        <v>2951</v>
      </c>
      <c r="AM139" s="54"/>
      <c r="AN139" s="13">
        <v>0</v>
      </c>
      <c r="AO139" s="13">
        <v>0</v>
      </c>
    </row>
    <row r="140" spans="1:41" s="15" customFormat="1" ht="17" thickBot="1">
      <c r="A140" s="46"/>
      <c r="B140" s="12" t="s">
        <v>61</v>
      </c>
      <c r="C140" s="26"/>
      <c r="D140" s="26"/>
      <c r="E140" s="19"/>
      <c r="F140" s="19"/>
      <c r="G140" s="19"/>
      <c r="H140" s="19"/>
      <c r="I140" s="23"/>
      <c r="J140" s="19"/>
      <c r="K140" s="19"/>
      <c r="L140" s="19"/>
      <c r="M140" s="19"/>
      <c r="N140" s="23"/>
      <c r="O140" s="19"/>
      <c r="P140" s="19"/>
      <c r="Q140" s="19"/>
      <c r="R140" s="19"/>
      <c r="S140" s="19"/>
      <c r="T140" s="23"/>
      <c r="U140" s="24"/>
      <c r="V140" s="19"/>
      <c r="W140" s="19"/>
      <c r="X140" s="19"/>
      <c r="Y140" s="19"/>
      <c r="Z140" s="23"/>
      <c r="AA140" s="19"/>
      <c r="AB140" s="19"/>
      <c r="AC140" s="19"/>
      <c r="AD140" s="19"/>
      <c r="AE140" s="23"/>
      <c r="AF140" s="19"/>
      <c r="AG140" s="19"/>
      <c r="AH140" s="19"/>
      <c r="AI140" s="19"/>
      <c r="AJ140" s="19"/>
      <c r="AK140" s="23"/>
      <c r="AL140" s="24"/>
      <c r="AM140" s="54"/>
      <c r="AN140" s="13">
        <v>0</v>
      </c>
      <c r="AO140" s="13">
        <v>0</v>
      </c>
    </row>
    <row r="141" spans="1:41" s="15" customFormat="1">
      <c r="A141" s="166" t="s">
        <v>84</v>
      </c>
      <c r="B141" s="3" t="s">
        <v>57</v>
      </c>
      <c r="C141" s="26"/>
      <c r="D141" s="26"/>
      <c r="E141" s="27"/>
      <c r="F141" s="27">
        <v>1805</v>
      </c>
      <c r="G141" s="27">
        <v>-8342</v>
      </c>
      <c r="H141" s="27">
        <v>1910</v>
      </c>
      <c r="I141" s="26">
        <v>-4627</v>
      </c>
      <c r="J141" s="27">
        <v>12606</v>
      </c>
      <c r="K141" s="27">
        <v>7686</v>
      </c>
      <c r="L141" s="27">
        <v>1696</v>
      </c>
      <c r="M141" s="27">
        <v>800</v>
      </c>
      <c r="N141" s="26">
        <v>22788</v>
      </c>
      <c r="O141" s="27">
        <v>31243</v>
      </c>
      <c r="P141" s="27">
        <v>21</v>
      </c>
      <c r="Q141" s="27">
        <v>7172</v>
      </c>
      <c r="R141" s="27">
        <v>1333</v>
      </c>
      <c r="S141" s="27">
        <v>0</v>
      </c>
      <c r="T141" s="26">
        <v>39769</v>
      </c>
      <c r="U141" s="28">
        <v>81992</v>
      </c>
      <c r="V141" s="27">
        <v>4444</v>
      </c>
      <c r="W141" s="27">
        <v>0</v>
      </c>
      <c r="X141" s="27">
        <v>0</v>
      </c>
      <c r="Y141" s="27">
        <v>0</v>
      </c>
      <c r="Z141" s="26">
        <v>4444</v>
      </c>
      <c r="AA141" s="27">
        <v>0</v>
      </c>
      <c r="AB141" s="27">
        <v>0</v>
      </c>
      <c r="AC141" s="27">
        <v>0</v>
      </c>
      <c r="AD141" s="27">
        <v>0</v>
      </c>
      <c r="AE141" s="26">
        <v>0</v>
      </c>
      <c r="AF141" s="27">
        <v>0</v>
      </c>
      <c r="AG141" s="27">
        <v>0</v>
      </c>
      <c r="AH141" s="27">
        <v>0</v>
      </c>
      <c r="AI141" s="27">
        <v>0</v>
      </c>
      <c r="AJ141" s="27">
        <v>0</v>
      </c>
      <c r="AK141" s="26">
        <v>0</v>
      </c>
      <c r="AL141" s="28">
        <v>4444</v>
      </c>
      <c r="AM141" s="54">
        <v>32</v>
      </c>
      <c r="AN141" s="13">
        <f>U141*AM141</f>
        <v>2623744</v>
      </c>
      <c r="AO141" s="13">
        <f>AM141*AL141</f>
        <v>142208</v>
      </c>
    </row>
    <row r="142" spans="1:41" s="15" customFormat="1">
      <c r="A142" s="167"/>
      <c r="B142" s="12" t="s">
        <v>58</v>
      </c>
      <c r="C142" s="26"/>
      <c r="D142" s="26"/>
      <c r="E142" s="27"/>
      <c r="F142" s="27">
        <v>1805</v>
      </c>
      <c r="G142" s="27">
        <v>0</v>
      </c>
      <c r="H142" s="27">
        <v>0</v>
      </c>
      <c r="I142" s="26">
        <v>1805</v>
      </c>
      <c r="J142" s="27">
        <v>0</v>
      </c>
      <c r="K142" s="27">
        <v>0</v>
      </c>
      <c r="L142" s="27">
        <v>10000</v>
      </c>
      <c r="M142" s="27">
        <v>10000</v>
      </c>
      <c r="N142" s="26">
        <v>20000</v>
      </c>
      <c r="O142" s="27">
        <v>0</v>
      </c>
      <c r="P142" s="27">
        <v>0</v>
      </c>
      <c r="Q142" s="27">
        <v>40000</v>
      </c>
      <c r="R142" s="27">
        <v>0</v>
      </c>
      <c r="S142" s="27">
        <v>0</v>
      </c>
      <c r="T142" s="26">
        <v>40000</v>
      </c>
      <c r="U142" s="28">
        <v>0</v>
      </c>
      <c r="V142" s="27">
        <v>0</v>
      </c>
      <c r="W142" s="27">
        <v>0</v>
      </c>
      <c r="X142" s="27">
        <v>0</v>
      </c>
      <c r="Y142" s="27">
        <v>0</v>
      </c>
      <c r="Z142" s="26">
        <v>0</v>
      </c>
      <c r="AA142" s="27">
        <v>0</v>
      </c>
      <c r="AB142" s="27">
        <v>0</v>
      </c>
      <c r="AC142" s="27">
        <v>0</v>
      </c>
      <c r="AD142" s="27">
        <v>0</v>
      </c>
      <c r="AE142" s="26">
        <v>0</v>
      </c>
      <c r="AF142" s="27">
        <v>0</v>
      </c>
      <c r="AG142" s="27">
        <v>0</v>
      </c>
      <c r="AH142" s="27">
        <v>0</v>
      </c>
      <c r="AI142" s="27">
        <v>0</v>
      </c>
      <c r="AJ142" s="27">
        <v>0</v>
      </c>
      <c r="AK142" s="26">
        <v>0</v>
      </c>
      <c r="AL142" s="28">
        <v>0</v>
      </c>
      <c r="AM142" s="54"/>
      <c r="AN142" s="13">
        <v>0</v>
      </c>
      <c r="AO142" s="13">
        <v>0</v>
      </c>
    </row>
    <row r="143" spans="1:41" s="15" customFormat="1">
      <c r="A143" s="167"/>
      <c r="B143" s="12" t="s">
        <v>59</v>
      </c>
      <c r="C143" s="27">
        <v>0</v>
      </c>
      <c r="D143" s="26">
        <v>0</v>
      </c>
      <c r="E143" s="27"/>
      <c r="F143" s="27">
        <v>0</v>
      </c>
      <c r="G143" s="27">
        <v>0</v>
      </c>
      <c r="H143" s="27">
        <v>0</v>
      </c>
      <c r="I143" s="26">
        <v>0</v>
      </c>
      <c r="J143" s="27">
        <v>0</v>
      </c>
      <c r="K143" s="27">
        <v>0</v>
      </c>
      <c r="L143" s="27">
        <v>0</v>
      </c>
      <c r="M143" s="27">
        <v>0</v>
      </c>
      <c r="N143" s="26">
        <v>0</v>
      </c>
      <c r="O143" s="27">
        <v>0</v>
      </c>
      <c r="P143" s="27">
        <v>0</v>
      </c>
      <c r="Q143" s="27">
        <v>0</v>
      </c>
      <c r="R143" s="27">
        <v>0</v>
      </c>
      <c r="S143" s="27">
        <v>0</v>
      </c>
      <c r="T143" s="26">
        <v>0</v>
      </c>
      <c r="U143" s="28">
        <v>0</v>
      </c>
      <c r="V143" s="27">
        <v>0</v>
      </c>
      <c r="W143" s="27">
        <v>0</v>
      </c>
      <c r="X143" s="27">
        <v>0</v>
      </c>
      <c r="Y143" s="27">
        <v>0</v>
      </c>
      <c r="Z143" s="26">
        <v>0</v>
      </c>
      <c r="AA143" s="27">
        <v>0</v>
      </c>
      <c r="AB143" s="27">
        <v>0</v>
      </c>
      <c r="AC143" s="27">
        <v>0</v>
      </c>
      <c r="AD143" s="27">
        <v>0</v>
      </c>
      <c r="AE143" s="26">
        <v>0</v>
      </c>
      <c r="AF143" s="27">
        <v>0</v>
      </c>
      <c r="AG143" s="27">
        <v>0</v>
      </c>
      <c r="AH143" s="27">
        <v>0</v>
      </c>
      <c r="AI143" s="27">
        <v>0</v>
      </c>
      <c r="AJ143" s="27">
        <v>0</v>
      </c>
      <c r="AK143" s="26">
        <v>0</v>
      </c>
      <c r="AL143" s="28">
        <v>0</v>
      </c>
      <c r="AM143" s="54"/>
      <c r="AN143" s="13">
        <v>0</v>
      </c>
      <c r="AO143" s="13">
        <v>0</v>
      </c>
    </row>
    <row r="144" spans="1:41" s="15" customFormat="1">
      <c r="A144" s="167"/>
      <c r="B144" s="12" t="s">
        <v>7</v>
      </c>
      <c r="C144" s="26"/>
      <c r="D144" s="26"/>
      <c r="E144" s="32"/>
      <c r="F144" s="27">
        <v>1805</v>
      </c>
      <c r="G144" s="27">
        <v>0</v>
      </c>
      <c r="H144" s="27">
        <v>0</v>
      </c>
      <c r="I144" s="26">
        <v>1805</v>
      </c>
      <c r="J144" s="32">
        <v>0</v>
      </c>
      <c r="K144" s="27">
        <v>0</v>
      </c>
      <c r="L144" s="27">
        <v>10000</v>
      </c>
      <c r="M144" s="27">
        <v>10000</v>
      </c>
      <c r="N144" s="26">
        <v>20000</v>
      </c>
      <c r="O144" s="32">
        <v>0</v>
      </c>
      <c r="P144" s="27">
        <v>0</v>
      </c>
      <c r="Q144" s="27">
        <v>40000</v>
      </c>
      <c r="R144" s="27">
        <v>0</v>
      </c>
      <c r="S144" s="27">
        <v>0</v>
      </c>
      <c r="T144" s="26">
        <v>40000</v>
      </c>
      <c r="U144" s="28">
        <v>85867</v>
      </c>
      <c r="V144" s="32">
        <v>0</v>
      </c>
      <c r="W144" s="27">
        <v>0</v>
      </c>
      <c r="X144" s="27">
        <v>0</v>
      </c>
      <c r="Y144" s="27">
        <v>0</v>
      </c>
      <c r="Z144" s="26">
        <v>0</v>
      </c>
      <c r="AA144" s="32">
        <v>0</v>
      </c>
      <c r="AB144" s="27">
        <v>0</v>
      </c>
      <c r="AC144" s="27">
        <v>0</v>
      </c>
      <c r="AD144" s="27">
        <v>0</v>
      </c>
      <c r="AE144" s="26">
        <v>0</v>
      </c>
      <c r="AF144" s="32">
        <v>0</v>
      </c>
      <c r="AG144" s="27">
        <v>0</v>
      </c>
      <c r="AH144" s="27">
        <v>0</v>
      </c>
      <c r="AI144" s="27">
        <v>0</v>
      </c>
      <c r="AJ144" s="27">
        <v>0</v>
      </c>
      <c r="AK144" s="26">
        <v>0</v>
      </c>
      <c r="AL144" s="28">
        <v>3875</v>
      </c>
      <c r="AM144" s="54"/>
      <c r="AN144" s="13">
        <v>0</v>
      </c>
      <c r="AO144" s="13">
        <v>0</v>
      </c>
    </row>
    <row r="145" spans="1:41" s="15" customFormat="1" ht="17" thickBot="1">
      <c r="A145" s="168"/>
      <c r="B145" s="4" t="s">
        <v>60</v>
      </c>
      <c r="C145" s="26">
        <v>24474</v>
      </c>
      <c r="D145" s="37">
        <v>24062</v>
      </c>
      <c r="E145" s="21"/>
      <c r="F145" s="21">
        <v>0</v>
      </c>
      <c r="G145" s="21">
        <v>8342</v>
      </c>
      <c r="H145" s="21">
        <v>6432</v>
      </c>
      <c r="I145" s="20">
        <v>6432</v>
      </c>
      <c r="J145" s="21">
        <v>-6174</v>
      </c>
      <c r="K145" s="21">
        <v>-13860</v>
      </c>
      <c r="L145" s="21">
        <v>-5556</v>
      </c>
      <c r="M145" s="21">
        <v>3644</v>
      </c>
      <c r="N145" s="20">
        <v>3644</v>
      </c>
      <c r="O145" s="21">
        <v>-27599</v>
      </c>
      <c r="P145" s="21">
        <v>-27620</v>
      </c>
      <c r="Q145" s="21">
        <v>5208</v>
      </c>
      <c r="R145" s="21">
        <v>3875</v>
      </c>
      <c r="S145" s="21">
        <v>3875</v>
      </c>
      <c r="T145" s="20">
        <v>3875</v>
      </c>
      <c r="U145" s="22">
        <v>3875</v>
      </c>
      <c r="V145" s="21">
        <v>-569</v>
      </c>
      <c r="W145" s="21">
        <v>-569</v>
      </c>
      <c r="X145" s="21">
        <v>-569</v>
      </c>
      <c r="Y145" s="21">
        <v>-569</v>
      </c>
      <c r="Z145" s="20">
        <v>-569</v>
      </c>
      <c r="AA145" s="21">
        <v>-569</v>
      </c>
      <c r="AB145" s="21">
        <v>-569</v>
      </c>
      <c r="AC145" s="21">
        <v>-569</v>
      </c>
      <c r="AD145" s="21">
        <v>-569</v>
      </c>
      <c r="AE145" s="20">
        <v>-569</v>
      </c>
      <c r="AF145" s="21">
        <v>-569</v>
      </c>
      <c r="AG145" s="21">
        <v>-569</v>
      </c>
      <c r="AH145" s="21">
        <v>-569</v>
      </c>
      <c r="AI145" s="21">
        <v>-569</v>
      </c>
      <c r="AJ145" s="21">
        <v>-569</v>
      </c>
      <c r="AK145" s="20">
        <v>-569</v>
      </c>
      <c r="AL145" s="22">
        <v>-569</v>
      </c>
      <c r="AM145" s="54"/>
      <c r="AN145" s="13">
        <v>0</v>
      </c>
      <c r="AO145" s="13">
        <v>0</v>
      </c>
    </row>
    <row r="146" spans="1:41" s="15" customFormat="1" ht="17" thickBot="1">
      <c r="A146" s="46"/>
      <c r="B146" s="12" t="s">
        <v>61</v>
      </c>
      <c r="C146" s="26"/>
      <c r="D146" s="26"/>
      <c r="E146" s="19">
        <v>0</v>
      </c>
      <c r="F146" s="19"/>
      <c r="G146" s="19"/>
      <c r="H146" s="19"/>
      <c r="I146" s="23"/>
      <c r="J146" s="19"/>
      <c r="K146" s="19"/>
      <c r="L146" s="19"/>
      <c r="M146" s="19"/>
      <c r="N146" s="23"/>
      <c r="O146" s="19"/>
      <c r="P146" s="19"/>
      <c r="Q146" s="19"/>
      <c r="R146" s="19"/>
      <c r="S146" s="19"/>
      <c r="T146" s="23"/>
      <c r="U146" s="24"/>
      <c r="V146" s="19"/>
      <c r="W146" s="19"/>
      <c r="X146" s="19"/>
      <c r="Y146" s="19"/>
      <c r="Z146" s="23"/>
      <c r="AA146" s="19"/>
      <c r="AB146" s="19"/>
      <c r="AC146" s="19"/>
      <c r="AD146" s="19"/>
      <c r="AE146" s="23"/>
      <c r="AF146" s="19"/>
      <c r="AG146" s="19"/>
      <c r="AH146" s="19"/>
      <c r="AI146" s="19"/>
      <c r="AJ146" s="19"/>
      <c r="AK146" s="23"/>
      <c r="AL146" s="24"/>
      <c r="AM146" s="54"/>
      <c r="AN146" s="13">
        <v>0</v>
      </c>
      <c r="AO146" s="13">
        <v>0</v>
      </c>
    </row>
    <row r="147" spans="1:41" s="15" customFormat="1">
      <c r="A147" s="166" t="s">
        <v>85</v>
      </c>
      <c r="B147" s="3" t="s">
        <v>57</v>
      </c>
      <c r="C147" s="26"/>
      <c r="D147" s="26"/>
      <c r="E147" s="27"/>
      <c r="F147" s="27">
        <v>0</v>
      </c>
      <c r="G147" s="27">
        <v>16</v>
      </c>
      <c r="H147" s="27">
        <v>0</v>
      </c>
      <c r="I147" s="26">
        <v>16</v>
      </c>
      <c r="J147" s="27">
        <v>0</v>
      </c>
      <c r="K147" s="27">
        <v>0</v>
      </c>
      <c r="L147" s="27">
        <v>0</v>
      </c>
      <c r="M147" s="27">
        <v>0</v>
      </c>
      <c r="N147" s="26">
        <v>0</v>
      </c>
      <c r="O147" s="27">
        <v>0</v>
      </c>
      <c r="P147" s="27">
        <v>0</v>
      </c>
      <c r="Q147" s="27">
        <v>0</v>
      </c>
      <c r="R147" s="27">
        <v>0</v>
      </c>
      <c r="S147" s="27">
        <v>0</v>
      </c>
      <c r="T147" s="26">
        <v>0</v>
      </c>
      <c r="U147" s="28">
        <v>116</v>
      </c>
      <c r="V147" s="27">
        <v>0</v>
      </c>
      <c r="W147" s="27">
        <v>0</v>
      </c>
      <c r="X147" s="27">
        <v>0</v>
      </c>
      <c r="Y147" s="27">
        <v>0</v>
      </c>
      <c r="Z147" s="26">
        <v>0</v>
      </c>
      <c r="AA147" s="27">
        <v>0</v>
      </c>
      <c r="AB147" s="27">
        <v>0</v>
      </c>
      <c r="AC147" s="27">
        <v>0</v>
      </c>
      <c r="AD147" s="27">
        <v>0</v>
      </c>
      <c r="AE147" s="26">
        <v>0</v>
      </c>
      <c r="AF147" s="27">
        <v>0</v>
      </c>
      <c r="AG147" s="27">
        <v>0</v>
      </c>
      <c r="AH147" s="27">
        <v>0</v>
      </c>
      <c r="AI147" s="27">
        <v>0</v>
      </c>
      <c r="AJ147" s="27">
        <v>0</v>
      </c>
      <c r="AK147" s="26">
        <v>0</v>
      </c>
      <c r="AL147" s="28">
        <v>0</v>
      </c>
      <c r="AM147" s="54">
        <v>32</v>
      </c>
      <c r="AN147" s="13">
        <f>U147*AM147</f>
        <v>3712</v>
      </c>
      <c r="AO147" s="13">
        <f>AM147*AL147</f>
        <v>0</v>
      </c>
    </row>
    <row r="148" spans="1:41" s="15" customFormat="1">
      <c r="A148" s="167"/>
      <c r="B148" s="12" t="s">
        <v>58</v>
      </c>
      <c r="C148" s="26"/>
      <c r="D148" s="26"/>
      <c r="E148" s="27"/>
      <c r="F148" s="27">
        <v>0</v>
      </c>
      <c r="G148" s="27">
        <v>0</v>
      </c>
      <c r="H148" s="27">
        <v>0</v>
      </c>
      <c r="I148" s="26">
        <v>0</v>
      </c>
      <c r="J148" s="27">
        <v>0</v>
      </c>
      <c r="K148" s="27">
        <v>0</v>
      </c>
      <c r="L148" s="27">
        <v>0</v>
      </c>
      <c r="M148" s="27">
        <v>0</v>
      </c>
      <c r="N148" s="26">
        <v>0</v>
      </c>
      <c r="O148" s="27">
        <v>0</v>
      </c>
      <c r="P148" s="27">
        <v>0</v>
      </c>
      <c r="Q148" s="27">
        <v>0</v>
      </c>
      <c r="R148" s="27">
        <v>0</v>
      </c>
      <c r="S148" s="27">
        <v>0</v>
      </c>
      <c r="T148" s="26">
        <v>0</v>
      </c>
      <c r="U148" s="28">
        <v>0</v>
      </c>
      <c r="V148" s="27">
        <v>0</v>
      </c>
      <c r="W148" s="27">
        <v>0</v>
      </c>
      <c r="X148" s="27">
        <v>0</v>
      </c>
      <c r="Y148" s="27">
        <v>0</v>
      </c>
      <c r="Z148" s="26">
        <v>0</v>
      </c>
      <c r="AA148" s="27">
        <v>0</v>
      </c>
      <c r="AB148" s="27">
        <v>0</v>
      </c>
      <c r="AC148" s="27">
        <v>0</v>
      </c>
      <c r="AD148" s="27">
        <v>0</v>
      </c>
      <c r="AE148" s="26">
        <v>0</v>
      </c>
      <c r="AF148" s="27">
        <v>0</v>
      </c>
      <c r="AG148" s="27">
        <v>0</v>
      </c>
      <c r="AH148" s="27">
        <v>0</v>
      </c>
      <c r="AI148" s="27">
        <v>0</v>
      </c>
      <c r="AJ148" s="27">
        <v>0</v>
      </c>
      <c r="AK148" s="26">
        <v>0</v>
      </c>
      <c r="AL148" s="28">
        <v>0</v>
      </c>
      <c r="AM148" s="54"/>
      <c r="AN148" s="13">
        <v>0</v>
      </c>
      <c r="AO148" s="13">
        <v>0</v>
      </c>
    </row>
    <row r="149" spans="1:41" s="15" customFormat="1">
      <c r="A149" s="167"/>
      <c r="B149" s="12" t="s">
        <v>59</v>
      </c>
      <c r="C149" s="27">
        <v>0</v>
      </c>
      <c r="D149" s="26">
        <v>0</v>
      </c>
      <c r="E149" s="27"/>
      <c r="F149" s="27">
        <v>0</v>
      </c>
      <c r="G149" s="27">
        <v>0</v>
      </c>
      <c r="H149" s="27">
        <v>0</v>
      </c>
      <c r="I149" s="26">
        <v>0</v>
      </c>
      <c r="J149" s="27">
        <v>0</v>
      </c>
      <c r="K149" s="27">
        <v>0</v>
      </c>
      <c r="L149" s="27">
        <v>0</v>
      </c>
      <c r="M149" s="27">
        <v>0</v>
      </c>
      <c r="N149" s="26">
        <v>0</v>
      </c>
      <c r="O149" s="27">
        <v>0</v>
      </c>
      <c r="P149" s="27">
        <v>0</v>
      </c>
      <c r="Q149" s="27">
        <v>0</v>
      </c>
      <c r="R149" s="27">
        <v>0</v>
      </c>
      <c r="S149" s="27">
        <v>0</v>
      </c>
      <c r="T149" s="26">
        <v>0</v>
      </c>
      <c r="U149" s="28">
        <v>0</v>
      </c>
      <c r="V149" s="27">
        <v>0</v>
      </c>
      <c r="W149" s="27">
        <v>0</v>
      </c>
      <c r="X149" s="27">
        <v>0</v>
      </c>
      <c r="Y149" s="27">
        <v>0</v>
      </c>
      <c r="Z149" s="26">
        <v>0</v>
      </c>
      <c r="AA149" s="27">
        <v>0</v>
      </c>
      <c r="AB149" s="27">
        <v>0</v>
      </c>
      <c r="AC149" s="27">
        <v>0</v>
      </c>
      <c r="AD149" s="27">
        <v>0</v>
      </c>
      <c r="AE149" s="26">
        <v>0</v>
      </c>
      <c r="AF149" s="27">
        <v>0</v>
      </c>
      <c r="AG149" s="27">
        <v>0</v>
      </c>
      <c r="AH149" s="27">
        <v>0</v>
      </c>
      <c r="AI149" s="27">
        <v>0</v>
      </c>
      <c r="AJ149" s="27">
        <v>0</v>
      </c>
      <c r="AK149" s="26">
        <v>0</v>
      </c>
      <c r="AL149" s="28">
        <v>0</v>
      </c>
      <c r="AM149" s="54"/>
      <c r="AN149" s="13">
        <v>0</v>
      </c>
      <c r="AO149" s="13">
        <v>0</v>
      </c>
    </row>
    <row r="150" spans="1:41" s="15" customFormat="1">
      <c r="A150" s="167"/>
      <c r="B150" s="12" t="s">
        <v>7</v>
      </c>
      <c r="C150" s="26"/>
      <c r="D150" s="26"/>
      <c r="E150" s="32"/>
      <c r="F150" s="27">
        <v>0</v>
      </c>
      <c r="G150" s="27">
        <v>0</v>
      </c>
      <c r="H150" s="27">
        <v>0</v>
      </c>
      <c r="I150" s="26">
        <v>0</v>
      </c>
      <c r="J150" s="32">
        <v>0</v>
      </c>
      <c r="K150" s="27">
        <v>0</v>
      </c>
      <c r="L150" s="27">
        <v>0</v>
      </c>
      <c r="M150" s="27">
        <v>0</v>
      </c>
      <c r="N150" s="26">
        <v>0</v>
      </c>
      <c r="O150" s="32">
        <v>0</v>
      </c>
      <c r="P150" s="27">
        <v>0</v>
      </c>
      <c r="Q150" s="27">
        <v>0</v>
      </c>
      <c r="R150" s="27">
        <v>0</v>
      </c>
      <c r="S150" s="27">
        <v>0</v>
      </c>
      <c r="T150" s="26">
        <v>0</v>
      </c>
      <c r="U150" s="28">
        <v>100</v>
      </c>
      <c r="V150" s="32">
        <v>0</v>
      </c>
      <c r="W150" s="27">
        <v>0</v>
      </c>
      <c r="X150" s="27">
        <v>0</v>
      </c>
      <c r="Y150" s="27">
        <v>0</v>
      </c>
      <c r="Z150" s="26">
        <v>0</v>
      </c>
      <c r="AA150" s="32">
        <v>0</v>
      </c>
      <c r="AB150" s="27">
        <v>0</v>
      </c>
      <c r="AC150" s="27">
        <v>0</v>
      </c>
      <c r="AD150" s="27">
        <v>0</v>
      </c>
      <c r="AE150" s="26">
        <v>0</v>
      </c>
      <c r="AF150" s="32">
        <v>0</v>
      </c>
      <c r="AG150" s="27">
        <v>0</v>
      </c>
      <c r="AH150" s="27">
        <v>0</v>
      </c>
      <c r="AI150" s="27">
        <v>0</v>
      </c>
      <c r="AJ150" s="27">
        <v>0</v>
      </c>
      <c r="AK150" s="26">
        <v>0</v>
      </c>
      <c r="AL150" s="28">
        <v>-16</v>
      </c>
      <c r="AM150" s="54"/>
      <c r="AN150" s="13">
        <v>0</v>
      </c>
      <c r="AO150" s="13">
        <v>0</v>
      </c>
    </row>
    <row r="151" spans="1:41" s="15" customFormat="1" ht="17" thickBot="1">
      <c r="A151" s="168"/>
      <c r="B151" s="4" t="s">
        <v>60</v>
      </c>
      <c r="C151" s="26">
        <v>0</v>
      </c>
      <c r="D151" s="37">
        <v>100</v>
      </c>
      <c r="E151" s="21"/>
      <c r="F151" s="21">
        <v>0</v>
      </c>
      <c r="G151" s="21">
        <v>-16</v>
      </c>
      <c r="H151" s="21">
        <v>-16</v>
      </c>
      <c r="I151" s="20">
        <v>-16</v>
      </c>
      <c r="J151" s="21">
        <v>-16</v>
      </c>
      <c r="K151" s="21">
        <v>-16</v>
      </c>
      <c r="L151" s="21">
        <v>-16</v>
      </c>
      <c r="M151" s="21">
        <v>-16</v>
      </c>
      <c r="N151" s="20">
        <v>-16</v>
      </c>
      <c r="O151" s="21">
        <v>-16</v>
      </c>
      <c r="P151" s="21">
        <v>-16</v>
      </c>
      <c r="Q151" s="21">
        <v>-16</v>
      </c>
      <c r="R151" s="21">
        <v>-16</v>
      </c>
      <c r="S151" s="21">
        <v>-16</v>
      </c>
      <c r="T151" s="20">
        <v>-16</v>
      </c>
      <c r="U151" s="22">
        <v>-16</v>
      </c>
      <c r="V151" s="21">
        <v>-16</v>
      </c>
      <c r="W151" s="21">
        <v>-16</v>
      </c>
      <c r="X151" s="21">
        <v>-16</v>
      </c>
      <c r="Y151" s="21">
        <v>-16</v>
      </c>
      <c r="Z151" s="20">
        <v>-16</v>
      </c>
      <c r="AA151" s="21">
        <v>-16</v>
      </c>
      <c r="AB151" s="21">
        <v>-16</v>
      </c>
      <c r="AC151" s="21">
        <v>-16</v>
      </c>
      <c r="AD151" s="21">
        <v>-16</v>
      </c>
      <c r="AE151" s="20">
        <v>-16</v>
      </c>
      <c r="AF151" s="21">
        <v>-16</v>
      </c>
      <c r="AG151" s="21">
        <v>-16</v>
      </c>
      <c r="AH151" s="21">
        <v>-16</v>
      </c>
      <c r="AI151" s="21">
        <v>-16</v>
      </c>
      <c r="AJ151" s="21">
        <v>-16</v>
      </c>
      <c r="AK151" s="20">
        <v>-16</v>
      </c>
      <c r="AL151" s="22">
        <v>-16</v>
      </c>
      <c r="AM151" s="54"/>
      <c r="AN151" s="13">
        <v>0</v>
      </c>
      <c r="AO151" s="13">
        <v>0</v>
      </c>
    </row>
    <row r="152" spans="1:41" s="15" customFormat="1" ht="17" thickBot="1">
      <c r="A152" s="46"/>
      <c r="B152" s="12" t="s">
        <v>61</v>
      </c>
      <c r="C152" s="26"/>
      <c r="D152" s="26"/>
      <c r="E152" s="19"/>
      <c r="F152" s="19"/>
      <c r="G152" s="19"/>
      <c r="H152" s="19"/>
      <c r="I152" s="23"/>
      <c r="J152" s="19"/>
      <c r="K152" s="19"/>
      <c r="L152" s="19"/>
      <c r="M152" s="19"/>
      <c r="N152" s="23"/>
      <c r="O152" s="19"/>
      <c r="P152" s="19"/>
      <c r="Q152" s="19"/>
      <c r="R152" s="19"/>
      <c r="S152" s="19"/>
      <c r="T152" s="23"/>
      <c r="U152" s="24"/>
      <c r="V152" s="19"/>
      <c r="W152" s="19"/>
      <c r="X152" s="19"/>
      <c r="Y152" s="19"/>
      <c r="Z152" s="23"/>
      <c r="AA152" s="19"/>
      <c r="AB152" s="19"/>
      <c r="AC152" s="19"/>
      <c r="AD152" s="19"/>
      <c r="AE152" s="23"/>
      <c r="AF152" s="19"/>
      <c r="AG152" s="19"/>
      <c r="AH152" s="19"/>
      <c r="AI152" s="19"/>
      <c r="AJ152" s="19"/>
      <c r="AK152" s="23"/>
      <c r="AL152" s="24"/>
      <c r="AM152" s="54"/>
      <c r="AN152" s="13">
        <v>0</v>
      </c>
      <c r="AO152" s="13">
        <v>0</v>
      </c>
    </row>
    <row r="153" spans="1:41" s="15" customFormat="1">
      <c r="A153" s="166" t="s">
        <v>86</v>
      </c>
      <c r="B153" s="3" t="s">
        <v>57</v>
      </c>
      <c r="C153" s="26"/>
      <c r="D153" s="26"/>
      <c r="E153" s="27"/>
      <c r="F153" s="27">
        <v>0</v>
      </c>
      <c r="G153" s="27">
        <v>-1914</v>
      </c>
      <c r="H153" s="27">
        <v>0</v>
      </c>
      <c r="I153" s="26">
        <v>-1914</v>
      </c>
      <c r="J153" s="27">
        <v>0</v>
      </c>
      <c r="K153" s="27">
        <v>0</v>
      </c>
      <c r="L153" s="27">
        <v>0</v>
      </c>
      <c r="M153" s="27">
        <v>0</v>
      </c>
      <c r="N153" s="26">
        <v>0</v>
      </c>
      <c r="O153" s="27">
        <v>0</v>
      </c>
      <c r="P153" s="27">
        <v>0</v>
      </c>
      <c r="Q153" s="27">
        <v>0</v>
      </c>
      <c r="R153" s="27">
        <v>0</v>
      </c>
      <c r="S153" s="27">
        <v>0</v>
      </c>
      <c r="T153" s="26">
        <v>0</v>
      </c>
      <c r="U153" s="28">
        <v>664</v>
      </c>
      <c r="V153" s="27">
        <v>0</v>
      </c>
      <c r="W153" s="27">
        <v>0</v>
      </c>
      <c r="X153" s="27">
        <v>0</v>
      </c>
      <c r="Y153" s="27">
        <v>0</v>
      </c>
      <c r="Z153" s="26">
        <v>0</v>
      </c>
      <c r="AA153" s="27">
        <v>0</v>
      </c>
      <c r="AB153" s="27">
        <v>0</v>
      </c>
      <c r="AC153" s="27">
        <v>0</v>
      </c>
      <c r="AD153" s="27">
        <v>0</v>
      </c>
      <c r="AE153" s="26">
        <v>0</v>
      </c>
      <c r="AF153" s="27">
        <v>0</v>
      </c>
      <c r="AG153" s="27">
        <v>0</v>
      </c>
      <c r="AH153" s="27">
        <v>0</v>
      </c>
      <c r="AI153" s="27">
        <v>0</v>
      </c>
      <c r="AJ153" s="27">
        <v>0</v>
      </c>
      <c r="AK153" s="26">
        <v>0</v>
      </c>
      <c r="AL153" s="28">
        <v>0</v>
      </c>
      <c r="AM153" s="54">
        <v>64</v>
      </c>
      <c r="AN153" s="13">
        <f>U153*AM153</f>
        <v>42496</v>
      </c>
      <c r="AO153" s="13">
        <f>AM153*AL153</f>
        <v>0</v>
      </c>
    </row>
    <row r="154" spans="1:41" s="15" customFormat="1">
      <c r="A154" s="167"/>
      <c r="B154" s="12" t="s">
        <v>58</v>
      </c>
      <c r="C154" s="26"/>
      <c r="D154" s="26"/>
      <c r="E154" s="27"/>
      <c r="F154" s="27">
        <v>0</v>
      </c>
      <c r="G154" s="27">
        <v>0</v>
      </c>
      <c r="H154" s="27">
        <v>0</v>
      </c>
      <c r="I154" s="26">
        <v>0</v>
      </c>
      <c r="J154" s="27">
        <v>0</v>
      </c>
      <c r="K154" s="27">
        <v>0</v>
      </c>
      <c r="L154" s="27">
        <v>0</v>
      </c>
      <c r="M154" s="27">
        <v>0</v>
      </c>
      <c r="N154" s="26">
        <v>0</v>
      </c>
      <c r="O154" s="27">
        <v>0</v>
      </c>
      <c r="P154" s="27">
        <v>0</v>
      </c>
      <c r="Q154" s="27">
        <v>0</v>
      </c>
      <c r="R154" s="27">
        <v>0</v>
      </c>
      <c r="S154" s="27">
        <v>0</v>
      </c>
      <c r="T154" s="26">
        <v>0</v>
      </c>
      <c r="U154" s="28">
        <v>0</v>
      </c>
      <c r="V154" s="27">
        <v>0</v>
      </c>
      <c r="W154" s="27">
        <v>0</v>
      </c>
      <c r="X154" s="27">
        <v>0</v>
      </c>
      <c r="Y154" s="27">
        <v>0</v>
      </c>
      <c r="Z154" s="26">
        <v>0</v>
      </c>
      <c r="AA154" s="27">
        <v>0</v>
      </c>
      <c r="AB154" s="27">
        <v>0</v>
      </c>
      <c r="AC154" s="27">
        <v>0</v>
      </c>
      <c r="AD154" s="27">
        <v>0</v>
      </c>
      <c r="AE154" s="26">
        <v>0</v>
      </c>
      <c r="AF154" s="27">
        <v>0</v>
      </c>
      <c r="AG154" s="27">
        <v>0</v>
      </c>
      <c r="AH154" s="27">
        <v>0</v>
      </c>
      <c r="AI154" s="27">
        <v>0</v>
      </c>
      <c r="AJ154" s="27">
        <v>0</v>
      </c>
      <c r="AK154" s="26">
        <v>0</v>
      </c>
      <c r="AL154" s="28">
        <v>0</v>
      </c>
      <c r="AM154" s="54"/>
      <c r="AN154" s="13">
        <v>0</v>
      </c>
      <c r="AO154" s="13">
        <v>0</v>
      </c>
    </row>
    <row r="155" spans="1:41" s="15" customFormat="1">
      <c r="A155" s="167"/>
      <c r="B155" s="12" t="s">
        <v>59</v>
      </c>
      <c r="C155" s="27">
        <v>0</v>
      </c>
      <c r="D155" s="26">
        <v>0</v>
      </c>
      <c r="E155" s="27"/>
      <c r="F155" s="27">
        <v>0</v>
      </c>
      <c r="G155" s="27">
        <v>0</v>
      </c>
      <c r="H155" s="27">
        <v>0</v>
      </c>
      <c r="I155" s="26">
        <v>0</v>
      </c>
      <c r="J155" s="27">
        <v>0</v>
      </c>
      <c r="K155" s="27">
        <v>0</v>
      </c>
      <c r="L155" s="27">
        <v>0</v>
      </c>
      <c r="M155" s="27">
        <v>0</v>
      </c>
      <c r="N155" s="26">
        <v>0</v>
      </c>
      <c r="O155" s="27">
        <v>0</v>
      </c>
      <c r="P155" s="27">
        <v>0</v>
      </c>
      <c r="Q155" s="27">
        <v>0</v>
      </c>
      <c r="R155" s="27">
        <v>0</v>
      </c>
      <c r="S155" s="27">
        <v>0</v>
      </c>
      <c r="T155" s="26">
        <v>0</v>
      </c>
      <c r="U155" s="28">
        <v>0</v>
      </c>
      <c r="V155" s="27">
        <v>0</v>
      </c>
      <c r="W155" s="27">
        <v>0</v>
      </c>
      <c r="X155" s="27">
        <v>0</v>
      </c>
      <c r="Y155" s="27">
        <v>0</v>
      </c>
      <c r="Z155" s="26">
        <v>0</v>
      </c>
      <c r="AA155" s="27">
        <v>0</v>
      </c>
      <c r="AB155" s="27">
        <v>0</v>
      </c>
      <c r="AC155" s="27">
        <v>0</v>
      </c>
      <c r="AD155" s="27">
        <v>0</v>
      </c>
      <c r="AE155" s="26">
        <v>0</v>
      </c>
      <c r="AF155" s="27">
        <v>0</v>
      </c>
      <c r="AG155" s="27">
        <v>0</v>
      </c>
      <c r="AH155" s="27">
        <v>0</v>
      </c>
      <c r="AI155" s="27">
        <v>0</v>
      </c>
      <c r="AJ155" s="27">
        <v>0</v>
      </c>
      <c r="AK155" s="26">
        <v>0</v>
      </c>
      <c r="AL155" s="28">
        <v>0</v>
      </c>
      <c r="AM155" s="54"/>
      <c r="AN155" s="13">
        <v>0</v>
      </c>
      <c r="AO155" s="13">
        <v>0</v>
      </c>
    </row>
    <row r="156" spans="1:41" s="15" customFormat="1">
      <c r="A156" s="167"/>
      <c r="B156" s="12" t="s">
        <v>7</v>
      </c>
      <c r="C156" s="26"/>
      <c r="D156" s="26"/>
      <c r="E156" s="32"/>
      <c r="F156" s="27">
        <v>0</v>
      </c>
      <c r="G156" s="27">
        <v>0</v>
      </c>
      <c r="H156" s="27">
        <v>0</v>
      </c>
      <c r="I156" s="26">
        <v>0</v>
      </c>
      <c r="J156" s="32">
        <v>0</v>
      </c>
      <c r="K156" s="27">
        <v>0</v>
      </c>
      <c r="L156" s="27">
        <v>0</v>
      </c>
      <c r="M156" s="27">
        <v>0</v>
      </c>
      <c r="N156" s="26">
        <v>0</v>
      </c>
      <c r="O156" s="32">
        <v>0</v>
      </c>
      <c r="P156" s="27">
        <v>0</v>
      </c>
      <c r="Q156" s="27">
        <v>0</v>
      </c>
      <c r="R156" s="27">
        <v>0</v>
      </c>
      <c r="S156" s="27">
        <v>0</v>
      </c>
      <c r="T156" s="26">
        <v>0</v>
      </c>
      <c r="U156" s="28">
        <v>2578</v>
      </c>
      <c r="V156" s="32">
        <v>0</v>
      </c>
      <c r="W156" s="27">
        <v>0</v>
      </c>
      <c r="X156" s="27">
        <v>0</v>
      </c>
      <c r="Y156" s="27">
        <v>0</v>
      </c>
      <c r="Z156" s="26">
        <v>0</v>
      </c>
      <c r="AA156" s="32">
        <v>0</v>
      </c>
      <c r="AB156" s="27">
        <v>0</v>
      </c>
      <c r="AC156" s="27">
        <v>0</v>
      </c>
      <c r="AD156" s="27">
        <v>0</v>
      </c>
      <c r="AE156" s="26">
        <v>0</v>
      </c>
      <c r="AF156" s="32">
        <v>0</v>
      </c>
      <c r="AG156" s="27">
        <v>0</v>
      </c>
      <c r="AH156" s="27">
        <v>0</v>
      </c>
      <c r="AI156" s="27">
        <v>0</v>
      </c>
      <c r="AJ156" s="27">
        <v>0</v>
      </c>
      <c r="AK156" s="26">
        <v>0</v>
      </c>
      <c r="AL156" s="28">
        <v>1914</v>
      </c>
      <c r="AM156" s="54"/>
      <c r="AN156" s="13">
        <v>0</v>
      </c>
      <c r="AO156" s="13">
        <v>0</v>
      </c>
    </row>
    <row r="157" spans="1:41" s="15" customFormat="1" ht="17" thickBot="1">
      <c r="A157" s="168"/>
      <c r="B157" s="4" t="s">
        <v>60</v>
      </c>
      <c r="C157" s="26">
        <v>2476</v>
      </c>
      <c r="D157" s="37">
        <v>2578</v>
      </c>
      <c r="E157" s="21"/>
      <c r="F157" s="21">
        <v>0</v>
      </c>
      <c r="G157" s="21">
        <v>1914</v>
      </c>
      <c r="H157" s="21">
        <v>1914</v>
      </c>
      <c r="I157" s="20">
        <v>1914</v>
      </c>
      <c r="J157" s="21">
        <v>1914</v>
      </c>
      <c r="K157" s="21">
        <v>1914</v>
      </c>
      <c r="L157" s="21">
        <v>1914</v>
      </c>
      <c r="M157" s="21">
        <v>1914</v>
      </c>
      <c r="N157" s="20">
        <v>1914</v>
      </c>
      <c r="O157" s="21">
        <v>1914</v>
      </c>
      <c r="P157" s="21">
        <v>1914</v>
      </c>
      <c r="Q157" s="21">
        <v>1914</v>
      </c>
      <c r="R157" s="21">
        <v>1914</v>
      </c>
      <c r="S157" s="21">
        <v>1914</v>
      </c>
      <c r="T157" s="20">
        <v>1914</v>
      </c>
      <c r="U157" s="22">
        <v>1914</v>
      </c>
      <c r="V157" s="21">
        <v>1914</v>
      </c>
      <c r="W157" s="21">
        <v>1914</v>
      </c>
      <c r="X157" s="21">
        <v>1914</v>
      </c>
      <c r="Y157" s="21">
        <v>1914</v>
      </c>
      <c r="Z157" s="20">
        <v>1914</v>
      </c>
      <c r="AA157" s="21">
        <v>1914</v>
      </c>
      <c r="AB157" s="21">
        <v>1914</v>
      </c>
      <c r="AC157" s="21">
        <v>1914</v>
      </c>
      <c r="AD157" s="21">
        <v>1914</v>
      </c>
      <c r="AE157" s="20">
        <v>1914</v>
      </c>
      <c r="AF157" s="21">
        <v>1914</v>
      </c>
      <c r="AG157" s="21">
        <v>1914</v>
      </c>
      <c r="AH157" s="21">
        <v>1914</v>
      </c>
      <c r="AI157" s="21">
        <v>1914</v>
      </c>
      <c r="AJ157" s="21">
        <v>1914</v>
      </c>
      <c r="AK157" s="20">
        <v>1914</v>
      </c>
      <c r="AL157" s="22">
        <v>1914</v>
      </c>
      <c r="AM157" s="54"/>
      <c r="AN157" s="13">
        <v>0</v>
      </c>
      <c r="AO157" s="13">
        <v>0</v>
      </c>
    </row>
    <row r="158" spans="1:41" s="15" customFormat="1" ht="17" thickBot="1">
      <c r="A158" s="46"/>
      <c r="B158" s="12" t="s">
        <v>61</v>
      </c>
      <c r="C158" s="26"/>
      <c r="D158" s="26"/>
      <c r="E158" s="19"/>
      <c r="F158" s="19"/>
      <c r="G158" s="19"/>
      <c r="H158" s="19"/>
      <c r="I158" s="23"/>
      <c r="J158" s="19"/>
      <c r="K158" s="19"/>
      <c r="L158" s="19"/>
      <c r="M158" s="19"/>
      <c r="N158" s="23"/>
      <c r="O158" s="19"/>
      <c r="P158" s="19"/>
      <c r="Q158" s="19"/>
      <c r="R158" s="19"/>
      <c r="S158" s="19"/>
      <c r="T158" s="23"/>
      <c r="U158" s="24"/>
      <c r="V158" s="19"/>
      <c r="W158" s="19"/>
      <c r="X158" s="19"/>
      <c r="Y158" s="19"/>
      <c r="Z158" s="23"/>
      <c r="AA158" s="19"/>
      <c r="AB158" s="19"/>
      <c r="AC158" s="19"/>
      <c r="AD158" s="19"/>
      <c r="AE158" s="23"/>
      <c r="AF158" s="19"/>
      <c r="AG158" s="19"/>
      <c r="AH158" s="19"/>
      <c r="AI158" s="19"/>
      <c r="AJ158" s="19"/>
      <c r="AK158" s="23"/>
      <c r="AL158" s="24"/>
      <c r="AM158" s="54"/>
      <c r="AN158" s="13">
        <v>0</v>
      </c>
      <c r="AO158" s="13">
        <v>0</v>
      </c>
    </row>
    <row r="159" spans="1:41" s="15" customFormat="1">
      <c r="A159" s="176" t="s">
        <v>87</v>
      </c>
      <c r="B159" s="3" t="s">
        <v>57</v>
      </c>
      <c r="C159" s="26"/>
      <c r="D159" s="26"/>
      <c r="E159" s="27"/>
      <c r="F159" s="27">
        <v>11782</v>
      </c>
      <c r="G159" s="27">
        <v>-46638</v>
      </c>
      <c r="H159" s="27">
        <v>85834</v>
      </c>
      <c r="I159" s="26">
        <v>85060</v>
      </c>
      <c r="J159" s="27">
        <v>6407</v>
      </c>
      <c r="K159" s="27">
        <v>1652</v>
      </c>
      <c r="L159" s="27">
        <v>19348</v>
      </c>
      <c r="M159" s="27">
        <v>29657</v>
      </c>
      <c r="N159" s="26">
        <v>57064</v>
      </c>
      <c r="O159" s="27">
        <v>59713</v>
      </c>
      <c r="P159" s="27">
        <v>0</v>
      </c>
      <c r="Q159" s="27">
        <v>123731</v>
      </c>
      <c r="R159" s="27">
        <v>67367</v>
      </c>
      <c r="S159" s="27">
        <v>12910</v>
      </c>
      <c r="T159" s="26">
        <v>263721</v>
      </c>
      <c r="U159" s="28">
        <v>494897</v>
      </c>
      <c r="V159" s="27">
        <v>676</v>
      </c>
      <c r="W159" s="27">
        <v>0</v>
      </c>
      <c r="X159" s="27">
        <v>0</v>
      </c>
      <c r="Y159" s="27">
        <v>17001</v>
      </c>
      <c r="Z159" s="26">
        <v>17677</v>
      </c>
      <c r="AA159" s="27">
        <v>0</v>
      </c>
      <c r="AB159" s="27">
        <v>0</v>
      </c>
      <c r="AC159" s="27">
        <v>0</v>
      </c>
      <c r="AD159" s="27">
        <v>0</v>
      </c>
      <c r="AE159" s="26">
        <v>0</v>
      </c>
      <c r="AF159" s="27">
        <v>0</v>
      </c>
      <c r="AG159" s="27">
        <v>0</v>
      </c>
      <c r="AH159" s="27">
        <v>0</v>
      </c>
      <c r="AI159" s="27">
        <v>0</v>
      </c>
      <c r="AJ159" s="27">
        <v>0</v>
      </c>
      <c r="AK159" s="26">
        <v>0</v>
      </c>
      <c r="AL159" s="28">
        <v>17677</v>
      </c>
      <c r="AM159" s="54">
        <v>32</v>
      </c>
      <c r="AN159" s="13">
        <f>U159*AM159</f>
        <v>15836704</v>
      </c>
      <c r="AO159" s="13">
        <f>AM159*AL159</f>
        <v>565664</v>
      </c>
    </row>
    <row r="160" spans="1:41" s="15" customFormat="1">
      <c r="A160" s="177"/>
      <c r="B160" s="12" t="s">
        <v>58</v>
      </c>
      <c r="C160" s="26"/>
      <c r="D160" s="26"/>
      <c r="E160" s="27"/>
      <c r="F160" s="27">
        <v>11782</v>
      </c>
      <c r="G160" s="27">
        <v>1638</v>
      </c>
      <c r="H160" s="27">
        <v>0</v>
      </c>
      <c r="I160" s="26">
        <v>47502</v>
      </c>
      <c r="J160" s="27">
        <v>0</v>
      </c>
      <c r="K160" s="27">
        <v>0</v>
      </c>
      <c r="L160" s="27">
        <v>0</v>
      </c>
      <c r="M160" s="27">
        <v>100000</v>
      </c>
      <c r="N160" s="26">
        <v>100000</v>
      </c>
      <c r="O160" s="27">
        <v>0</v>
      </c>
      <c r="P160" s="27">
        <v>0</v>
      </c>
      <c r="Q160" s="27">
        <v>200000</v>
      </c>
      <c r="R160" s="27">
        <v>0</v>
      </c>
      <c r="S160" s="27">
        <v>0</v>
      </c>
      <c r="T160" s="26">
        <v>200000</v>
      </c>
      <c r="U160" s="28">
        <v>0</v>
      </c>
      <c r="V160" s="27">
        <v>0</v>
      </c>
      <c r="W160" s="27">
        <v>0</v>
      </c>
      <c r="X160" s="27">
        <v>0</v>
      </c>
      <c r="Y160" s="27">
        <v>0</v>
      </c>
      <c r="Z160" s="26">
        <v>0</v>
      </c>
      <c r="AA160" s="27">
        <v>0</v>
      </c>
      <c r="AB160" s="27">
        <v>0</v>
      </c>
      <c r="AC160" s="27">
        <v>0</v>
      </c>
      <c r="AD160" s="27">
        <v>0</v>
      </c>
      <c r="AE160" s="26">
        <v>0</v>
      </c>
      <c r="AF160" s="27">
        <v>0</v>
      </c>
      <c r="AG160" s="27">
        <v>0</v>
      </c>
      <c r="AH160" s="27">
        <v>0</v>
      </c>
      <c r="AI160" s="27">
        <v>0</v>
      </c>
      <c r="AJ160" s="27">
        <v>0</v>
      </c>
      <c r="AK160" s="26">
        <v>0</v>
      </c>
      <c r="AL160" s="28">
        <v>0</v>
      </c>
      <c r="AM160" s="54"/>
      <c r="AN160" s="13">
        <v>0</v>
      </c>
      <c r="AO160" s="13">
        <v>0</v>
      </c>
    </row>
    <row r="161" spans="1:41" s="15" customFormat="1">
      <c r="A161" s="177"/>
      <c r="B161" s="12" t="s">
        <v>59</v>
      </c>
      <c r="C161" s="27">
        <v>116040</v>
      </c>
      <c r="D161" s="26">
        <v>116040</v>
      </c>
      <c r="E161" s="27"/>
      <c r="F161" s="27">
        <v>0</v>
      </c>
      <c r="G161" s="27">
        <v>116040</v>
      </c>
      <c r="H161" s="27">
        <v>0</v>
      </c>
      <c r="I161" s="26">
        <v>0</v>
      </c>
      <c r="J161" s="27">
        <v>0</v>
      </c>
      <c r="K161" s="27">
        <v>0</v>
      </c>
      <c r="L161" s="27">
        <v>0</v>
      </c>
      <c r="M161" s="27">
        <v>0</v>
      </c>
      <c r="N161" s="26">
        <v>44460</v>
      </c>
      <c r="O161" s="27">
        <v>0</v>
      </c>
      <c r="P161" s="27">
        <v>0</v>
      </c>
      <c r="Q161" s="27">
        <v>0</v>
      </c>
      <c r="R161" s="27">
        <v>0</v>
      </c>
      <c r="S161" s="27">
        <v>0</v>
      </c>
      <c r="T161" s="26">
        <v>0</v>
      </c>
      <c r="U161" s="28">
        <v>44460</v>
      </c>
      <c r="V161" s="27">
        <v>0</v>
      </c>
      <c r="W161" s="27">
        <v>0</v>
      </c>
      <c r="X161" s="27">
        <v>0</v>
      </c>
      <c r="Y161" s="27">
        <v>0</v>
      </c>
      <c r="Z161" s="26">
        <v>0</v>
      </c>
      <c r="AA161" s="27">
        <v>0</v>
      </c>
      <c r="AB161" s="27">
        <v>0</v>
      </c>
      <c r="AC161" s="27">
        <v>0</v>
      </c>
      <c r="AD161" s="27">
        <v>0</v>
      </c>
      <c r="AE161" s="26">
        <v>0</v>
      </c>
      <c r="AF161" s="27">
        <v>0</v>
      </c>
      <c r="AG161" s="27">
        <v>0</v>
      </c>
      <c r="AH161" s="27">
        <v>0</v>
      </c>
      <c r="AI161" s="27">
        <v>0</v>
      </c>
      <c r="AJ161" s="27">
        <v>0</v>
      </c>
      <c r="AK161" s="26">
        <v>0</v>
      </c>
      <c r="AL161" s="28">
        <v>0</v>
      </c>
      <c r="AM161" s="54"/>
      <c r="AN161" s="13">
        <v>0</v>
      </c>
      <c r="AO161" s="13">
        <v>0</v>
      </c>
    </row>
    <row r="162" spans="1:41" s="15" customFormat="1">
      <c r="A162" s="177"/>
      <c r="B162" s="12" t="s">
        <v>7</v>
      </c>
      <c r="C162" s="26"/>
      <c r="D162" s="26"/>
      <c r="E162" s="32"/>
      <c r="F162" s="27">
        <v>11782</v>
      </c>
      <c r="G162" s="27">
        <v>117678</v>
      </c>
      <c r="H162" s="27">
        <v>0</v>
      </c>
      <c r="I162" s="26">
        <v>163542</v>
      </c>
      <c r="J162" s="32">
        <v>0</v>
      </c>
      <c r="K162" s="27">
        <v>0</v>
      </c>
      <c r="L162" s="27">
        <v>0</v>
      </c>
      <c r="M162" s="27">
        <v>100000</v>
      </c>
      <c r="N162" s="26">
        <v>100000</v>
      </c>
      <c r="O162" s="32">
        <v>0</v>
      </c>
      <c r="P162" s="27">
        <v>0</v>
      </c>
      <c r="Q162" s="27">
        <v>200000</v>
      </c>
      <c r="R162" s="27">
        <v>0</v>
      </c>
      <c r="S162" s="27">
        <v>0</v>
      </c>
      <c r="T162" s="26">
        <v>200000</v>
      </c>
      <c r="U162" s="28">
        <v>552594</v>
      </c>
      <c r="V162" s="32">
        <v>0</v>
      </c>
      <c r="W162" s="27">
        <v>0</v>
      </c>
      <c r="X162" s="27">
        <v>0</v>
      </c>
      <c r="Y162" s="27">
        <v>0</v>
      </c>
      <c r="Z162" s="26">
        <v>0</v>
      </c>
      <c r="AA162" s="32">
        <v>0</v>
      </c>
      <c r="AB162" s="27">
        <v>0</v>
      </c>
      <c r="AC162" s="27">
        <v>0</v>
      </c>
      <c r="AD162" s="27">
        <v>0</v>
      </c>
      <c r="AE162" s="26">
        <v>0</v>
      </c>
      <c r="AF162" s="32">
        <v>0</v>
      </c>
      <c r="AG162" s="27">
        <v>0</v>
      </c>
      <c r="AH162" s="27">
        <v>0</v>
      </c>
      <c r="AI162" s="27">
        <v>0</v>
      </c>
      <c r="AJ162" s="27">
        <v>0</v>
      </c>
      <c r="AK162" s="26">
        <v>0</v>
      </c>
      <c r="AL162" s="28">
        <v>57697</v>
      </c>
      <c r="AM162" s="54"/>
      <c r="AN162" s="13">
        <v>0</v>
      </c>
      <c r="AO162" s="13">
        <v>0</v>
      </c>
    </row>
    <row r="163" spans="1:41" s="15" customFormat="1" ht="17" thickBot="1">
      <c r="A163" s="178"/>
      <c r="B163" s="4" t="s">
        <v>60</v>
      </c>
      <c r="C163" s="26">
        <v>219201</v>
      </c>
      <c r="D163" s="37">
        <v>89052</v>
      </c>
      <c r="E163" s="21"/>
      <c r="F163" s="21">
        <v>0</v>
      </c>
      <c r="G163" s="21">
        <v>164316</v>
      </c>
      <c r="H163" s="21">
        <v>78482</v>
      </c>
      <c r="I163" s="20">
        <v>78482</v>
      </c>
      <c r="J163" s="21">
        <v>72075</v>
      </c>
      <c r="K163" s="21">
        <v>70423</v>
      </c>
      <c r="L163" s="21">
        <v>51075</v>
      </c>
      <c r="M163" s="21">
        <v>121418</v>
      </c>
      <c r="N163" s="20">
        <v>121418</v>
      </c>
      <c r="O163" s="21">
        <v>61705</v>
      </c>
      <c r="P163" s="21">
        <v>61705</v>
      </c>
      <c r="Q163" s="21">
        <v>137974</v>
      </c>
      <c r="R163" s="21">
        <v>70607</v>
      </c>
      <c r="S163" s="21">
        <v>57697</v>
      </c>
      <c r="T163" s="20">
        <v>57697</v>
      </c>
      <c r="U163" s="22">
        <v>57697</v>
      </c>
      <c r="V163" s="21">
        <v>57021</v>
      </c>
      <c r="W163" s="21">
        <v>57021</v>
      </c>
      <c r="X163" s="21">
        <v>57021</v>
      </c>
      <c r="Y163" s="21">
        <v>40020</v>
      </c>
      <c r="Z163" s="20">
        <v>40020</v>
      </c>
      <c r="AA163" s="21">
        <v>40020</v>
      </c>
      <c r="AB163" s="21">
        <v>40020</v>
      </c>
      <c r="AC163" s="21">
        <v>40020</v>
      </c>
      <c r="AD163" s="21">
        <v>40020</v>
      </c>
      <c r="AE163" s="20">
        <v>40020</v>
      </c>
      <c r="AF163" s="21">
        <v>40020</v>
      </c>
      <c r="AG163" s="21">
        <v>40020</v>
      </c>
      <c r="AH163" s="21">
        <v>40020</v>
      </c>
      <c r="AI163" s="21">
        <v>40020</v>
      </c>
      <c r="AJ163" s="21">
        <v>40020</v>
      </c>
      <c r="AK163" s="20">
        <v>40020</v>
      </c>
      <c r="AL163" s="22">
        <v>40020</v>
      </c>
      <c r="AM163" s="54"/>
      <c r="AN163" s="13">
        <v>0</v>
      </c>
      <c r="AO163" s="13">
        <v>0</v>
      </c>
    </row>
    <row r="164" spans="1:41" s="15" customFormat="1" ht="17" thickBot="1">
      <c r="A164" s="46"/>
      <c r="B164" s="12" t="s">
        <v>61</v>
      </c>
      <c r="C164" s="26"/>
      <c r="D164" s="26"/>
      <c r="E164" s="19">
        <v>0</v>
      </c>
      <c r="F164" s="19"/>
      <c r="G164" s="19"/>
      <c r="H164" s="19"/>
      <c r="I164" s="23"/>
      <c r="J164" s="19"/>
      <c r="K164" s="19"/>
      <c r="L164" s="19"/>
      <c r="M164" s="19"/>
      <c r="N164" s="23"/>
      <c r="O164" s="19"/>
      <c r="P164" s="19"/>
      <c r="Q164" s="19"/>
      <c r="R164" s="19"/>
      <c r="S164" s="19"/>
      <c r="T164" s="23"/>
      <c r="U164" s="24"/>
      <c r="V164" s="19"/>
      <c r="W164" s="19"/>
      <c r="X164" s="19"/>
      <c r="Y164" s="19"/>
      <c r="Z164" s="23"/>
      <c r="AA164" s="19"/>
      <c r="AB164" s="19"/>
      <c r="AC164" s="19"/>
      <c r="AD164" s="19"/>
      <c r="AE164" s="23"/>
      <c r="AF164" s="19"/>
      <c r="AG164" s="19"/>
      <c r="AH164" s="19"/>
      <c r="AI164" s="19"/>
      <c r="AJ164" s="19"/>
      <c r="AK164" s="23"/>
      <c r="AL164" s="24"/>
      <c r="AM164" s="54"/>
      <c r="AN164" s="13">
        <v>0</v>
      </c>
      <c r="AO164" s="13">
        <v>0</v>
      </c>
    </row>
    <row r="165" spans="1:41" s="15" customFormat="1">
      <c r="A165" s="166" t="s">
        <v>88</v>
      </c>
      <c r="B165" s="3" t="s">
        <v>57</v>
      </c>
      <c r="C165" s="26"/>
      <c r="D165" s="26"/>
      <c r="E165" s="27"/>
      <c r="F165" s="27">
        <v>1700</v>
      </c>
      <c r="G165" s="27">
        <v>1548</v>
      </c>
      <c r="H165" s="27">
        <v>2196</v>
      </c>
      <c r="I165" s="26">
        <v>5444</v>
      </c>
      <c r="J165" s="27">
        <v>0</v>
      </c>
      <c r="K165" s="27">
        <v>36</v>
      </c>
      <c r="L165" s="27">
        <v>617</v>
      </c>
      <c r="M165" s="27">
        <v>424</v>
      </c>
      <c r="N165" s="26">
        <v>1077</v>
      </c>
      <c r="O165" s="27">
        <v>1596</v>
      </c>
      <c r="P165" s="27">
        <v>0</v>
      </c>
      <c r="Q165" s="27">
        <v>1399</v>
      </c>
      <c r="R165" s="27">
        <v>1597</v>
      </c>
      <c r="S165" s="27">
        <v>0</v>
      </c>
      <c r="T165" s="26">
        <v>4592</v>
      </c>
      <c r="U165" s="28">
        <v>11460</v>
      </c>
      <c r="V165" s="27">
        <v>0</v>
      </c>
      <c r="W165" s="27">
        <v>0</v>
      </c>
      <c r="X165" s="27">
        <v>0</v>
      </c>
      <c r="Y165" s="27">
        <v>0</v>
      </c>
      <c r="Z165" s="26">
        <v>0</v>
      </c>
      <c r="AA165" s="27">
        <v>0</v>
      </c>
      <c r="AB165" s="27">
        <v>0</v>
      </c>
      <c r="AC165" s="27">
        <v>0</v>
      </c>
      <c r="AD165" s="27">
        <v>0</v>
      </c>
      <c r="AE165" s="26">
        <v>0</v>
      </c>
      <c r="AF165" s="27">
        <v>0</v>
      </c>
      <c r="AG165" s="27">
        <v>0</v>
      </c>
      <c r="AH165" s="27">
        <v>0</v>
      </c>
      <c r="AI165" s="27">
        <v>0</v>
      </c>
      <c r="AJ165" s="27">
        <v>0</v>
      </c>
      <c r="AK165" s="26">
        <v>0</v>
      </c>
      <c r="AL165" s="28">
        <v>0</v>
      </c>
      <c r="AM165" s="54">
        <v>64</v>
      </c>
      <c r="AN165" s="13">
        <f>U165*AM165</f>
        <v>733440</v>
      </c>
      <c r="AO165" s="13">
        <f>AM165*AL165</f>
        <v>0</v>
      </c>
    </row>
    <row r="166" spans="1:41" s="15" customFormat="1">
      <c r="A166" s="167"/>
      <c r="B166" s="12" t="s">
        <v>58</v>
      </c>
      <c r="C166" s="26"/>
      <c r="D166" s="26"/>
      <c r="E166" s="27"/>
      <c r="F166" s="27">
        <v>1700</v>
      </c>
      <c r="G166" s="27">
        <v>0</v>
      </c>
      <c r="H166" s="27">
        <v>0</v>
      </c>
      <c r="I166" s="26">
        <v>1700</v>
      </c>
      <c r="J166" s="27">
        <v>0</v>
      </c>
      <c r="K166" s="27">
        <v>0</v>
      </c>
      <c r="L166" s="27">
        <v>0</v>
      </c>
      <c r="M166" s="27">
        <v>0</v>
      </c>
      <c r="N166" s="26">
        <v>0</v>
      </c>
      <c r="O166" s="27">
        <v>0</v>
      </c>
      <c r="P166" s="27">
        <v>0</v>
      </c>
      <c r="Q166" s="27">
        <v>0</v>
      </c>
      <c r="R166" s="27">
        <v>0</v>
      </c>
      <c r="S166" s="27">
        <v>0</v>
      </c>
      <c r="T166" s="26">
        <v>0</v>
      </c>
      <c r="U166" s="28">
        <v>0</v>
      </c>
      <c r="V166" s="27">
        <v>0</v>
      </c>
      <c r="W166" s="27">
        <v>0</v>
      </c>
      <c r="X166" s="27">
        <v>0</v>
      </c>
      <c r="Y166" s="27">
        <v>0</v>
      </c>
      <c r="Z166" s="26">
        <v>0</v>
      </c>
      <c r="AA166" s="27">
        <v>0</v>
      </c>
      <c r="AB166" s="27">
        <v>0</v>
      </c>
      <c r="AC166" s="27">
        <v>0</v>
      </c>
      <c r="AD166" s="27">
        <v>0</v>
      </c>
      <c r="AE166" s="26">
        <v>0</v>
      </c>
      <c r="AF166" s="27">
        <v>0</v>
      </c>
      <c r="AG166" s="27">
        <v>0</v>
      </c>
      <c r="AH166" s="27">
        <v>0</v>
      </c>
      <c r="AI166" s="27">
        <v>0</v>
      </c>
      <c r="AJ166" s="27">
        <v>0</v>
      </c>
      <c r="AK166" s="26">
        <v>0</v>
      </c>
      <c r="AL166" s="28">
        <v>0</v>
      </c>
      <c r="AM166" s="54"/>
      <c r="AN166" s="13">
        <v>0</v>
      </c>
      <c r="AO166" s="13">
        <v>0</v>
      </c>
    </row>
    <row r="167" spans="1:41" s="15" customFormat="1">
      <c r="A167" s="167"/>
      <c r="B167" s="12" t="s">
        <v>59</v>
      </c>
      <c r="C167" s="27">
        <v>5000</v>
      </c>
      <c r="D167" s="26">
        <v>5000</v>
      </c>
      <c r="E167" s="27"/>
      <c r="F167" s="27">
        <v>0</v>
      </c>
      <c r="G167" s="27">
        <v>5000</v>
      </c>
      <c r="H167" s="27">
        <v>0</v>
      </c>
      <c r="I167" s="26">
        <v>0</v>
      </c>
      <c r="J167" s="27">
        <v>0</v>
      </c>
      <c r="K167" s="27">
        <v>0</v>
      </c>
      <c r="L167" s="27">
        <v>0</v>
      </c>
      <c r="M167" s="27">
        <v>0</v>
      </c>
      <c r="N167" s="26">
        <v>0</v>
      </c>
      <c r="O167" s="27">
        <v>0</v>
      </c>
      <c r="P167" s="27">
        <v>0</v>
      </c>
      <c r="Q167" s="27">
        <v>0</v>
      </c>
      <c r="R167" s="27">
        <v>0</v>
      </c>
      <c r="S167" s="27">
        <v>0</v>
      </c>
      <c r="T167" s="26">
        <v>0</v>
      </c>
      <c r="U167" s="28">
        <v>0</v>
      </c>
      <c r="V167" s="27">
        <v>0</v>
      </c>
      <c r="W167" s="27">
        <v>0</v>
      </c>
      <c r="X167" s="27">
        <v>0</v>
      </c>
      <c r="Y167" s="27">
        <v>0</v>
      </c>
      <c r="Z167" s="26">
        <v>0</v>
      </c>
      <c r="AA167" s="27">
        <v>0</v>
      </c>
      <c r="AB167" s="27">
        <v>0</v>
      </c>
      <c r="AC167" s="27">
        <v>0</v>
      </c>
      <c r="AD167" s="27">
        <v>0</v>
      </c>
      <c r="AE167" s="26">
        <v>0</v>
      </c>
      <c r="AF167" s="27">
        <v>0</v>
      </c>
      <c r="AG167" s="27">
        <v>0</v>
      </c>
      <c r="AH167" s="27">
        <v>0</v>
      </c>
      <c r="AI167" s="27">
        <v>0</v>
      </c>
      <c r="AJ167" s="27">
        <v>0</v>
      </c>
      <c r="AK167" s="26">
        <v>0</v>
      </c>
      <c r="AL167" s="28">
        <v>0</v>
      </c>
      <c r="AM167" s="54"/>
      <c r="AN167" s="13">
        <v>0</v>
      </c>
      <c r="AO167" s="13">
        <v>0</v>
      </c>
    </row>
    <row r="168" spans="1:41" s="15" customFormat="1">
      <c r="A168" s="167"/>
      <c r="B168" s="12" t="s">
        <v>7</v>
      </c>
      <c r="C168" s="26"/>
      <c r="D168" s="26"/>
      <c r="E168" s="32"/>
      <c r="F168" s="27">
        <v>1700</v>
      </c>
      <c r="G168" s="27">
        <v>5000</v>
      </c>
      <c r="H168" s="27">
        <v>0</v>
      </c>
      <c r="I168" s="26">
        <v>6700</v>
      </c>
      <c r="J168" s="32">
        <v>0</v>
      </c>
      <c r="K168" s="27">
        <v>0</v>
      </c>
      <c r="L168" s="27">
        <v>0</v>
      </c>
      <c r="M168" s="27">
        <v>0</v>
      </c>
      <c r="N168" s="26">
        <v>0</v>
      </c>
      <c r="O168" s="32">
        <v>0</v>
      </c>
      <c r="P168" s="27">
        <v>0</v>
      </c>
      <c r="Q168" s="27">
        <v>0</v>
      </c>
      <c r="R168" s="27">
        <v>0</v>
      </c>
      <c r="S168" s="27">
        <v>0</v>
      </c>
      <c r="T168" s="26">
        <v>0</v>
      </c>
      <c r="U168" s="28">
        <v>7047</v>
      </c>
      <c r="V168" s="32">
        <v>0</v>
      </c>
      <c r="W168" s="27">
        <v>0</v>
      </c>
      <c r="X168" s="27">
        <v>0</v>
      </c>
      <c r="Y168" s="27">
        <v>0</v>
      </c>
      <c r="Z168" s="26">
        <v>0</v>
      </c>
      <c r="AA168" s="32">
        <v>0</v>
      </c>
      <c r="AB168" s="27">
        <v>0</v>
      </c>
      <c r="AC168" s="27">
        <v>0</v>
      </c>
      <c r="AD168" s="27">
        <v>0</v>
      </c>
      <c r="AE168" s="26">
        <v>0</v>
      </c>
      <c r="AF168" s="32">
        <v>0</v>
      </c>
      <c r="AG168" s="27">
        <v>0</v>
      </c>
      <c r="AH168" s="27">
        <v>0</v>
      </c>
      <c r="AI168" s="27">
        <v>0</v>
      </c>
      <c r="AJ168" s="27">
        <v>0</v>
      </c>
      <c r="AK168" s="26">
        <v>0</v>
      </c>
      <c r="AL168" s="28">
        <v>-4413</v>
      </c>
      <c r="AM168" s="54"/>
      <c r="AN168" s="13">
        <v>0</v>
      </c>
      <c r="AO168" s="13">
        <v>0</v>
      </c>
    </row>
    <row r="169" spans="1:41" s="15" customFormat="1" ht="17" thickBot="1">
      <c r="A169" s="168"/>
      <c r="B169" s="4" t="s">
        <v>60</v>
      </c>
      <c r="C169" s="26">
        <v>7034</v>
      </c>
      <c r="D169" s="37">
        <v>347</v>
      </c>
      <c r="E169" s="21"/>
      <c r="F169" s="21">
        <v>0</v>
      </c>
      <c r="G169" s="21">
        <v>3452</v>
      </c>
      <c r="H169" s="21">
        <v>1256</v>
      </c>
      <c r="I169" s="20">
        <v>1256</v>
      </c>
      <c r="J169" s="21">
        <v>1256</v>
      </c>
      <c r="K169" s="21">
        <v>1220</v>
      </c>
      <c r="L169" s="21">
        <v>603</v>
      </c>
      <c r="M169" s="21">
        <v>179</v>
      </c>
      <c r="N169" s="20">
        <v>179</v>
      </c>
      <c r="O169" s="21">
        <v>-1417</v>
      </c>
      <c r="P169" s="21">
        <v>-1417</v>
      </c>
      <c r="Q169" s="21">
        <v>-2816</v>
      </c>
      <c r="R169" s="21">
        <v>-4413</v>
      </c>
      <c r="S169" s="21">
        <v>-4413</v>
      </c>
      <c r="T169" s="20">
        <v>-4413</v>
      </c>
      <c r="U169" s="22">
        <v>-4413</v>
      </c>
      <c r="V169" s="21">
        <v>-4413</v>
      </c>
      <c r="W169" s="21">
        <v>-4413</v>
      </c>
      <c r="X169" s="21">
        <v>-4413</v>
      </c>
      <c r="Y169" s="21">
        <v>-4413</v>
      </c>
      <c r="Z169" s="20">
        <v>-4413</v>
      </c>
      <c r="AA169" s="21">
        <v>-4413</v>
      </c>
      <c r="AB169" s="21">
        <v>-4413</v>
      </c>
      <c r="AC169" s="21">
        <v>-4413</v>
      </c>
      <c r="AD169" s="21">
        <v>-4413</v>
      </c>
      <c r="AE169" s="20">
        <v>-4413</v>
      </c>
      <c r="AF169" s="21">
        <v>-4413</v>
      </c>
      <c r="AG169" s="21">
        <v>-4413</v>
      </c>
      <c r="AH169" s="21">
        <v>-4413</v>
      </c>
      <c r="AI169" s="21">
        <v>-4413</v>
      </c>
      <c r="AJ169" s="21">
        <v>-4413</v>
      </c>
      <c r="AK169" s="20">
        <v>-4413</v>
      </c>
      <c r="AL169" s="22">
        <v>-4413</v>
      </c>
      <c r="AM169" s="54"/>
      <c r="AN169" s="13">
        <v>0</v>
      </c>
      <c r="AO169" s="13">
        <v>0</v>
      </c>
    </row>
    <row r="170" spans="1:41" s="15" customFormat="1" ht="17" thickBot="1">
      <c r="A170" s="46"/>
      <c r="B170" s="12" t="s">
        <v>61</v>
      </c>
      <c r="C170" s="26"/>
      <c r="D170" s="26"/>
      <c r="E170" s="19">
        <v>0</v>
      </c>
      <c r="F170" s="19"/>
      <c r="G170" s="19"/>
      <c r="H170" s="19"/>
      <c r="I170" s="23"/>
      <c r="J170" s="19"/>
      <c r="K170" s="19"/>
      <c r="L170" s="19"/>
      <c r="M170" s="19"/>
      <c r="N170" s="23"/>
      <c r="O170" s="19"/>
      <c r="P170" s="19"/>
      <c r="Q170" s="19"/>
      <c r="R170" s="19"/>
      <c r="S170" s="19"/>
      <c r="T170" s="23"/>
      <c r="U170" s="24"/>
      <c r="V170" s="19"/>
      <c r="W170" s="19"/>
      <c r="X170" s="19"/>
      <c r="Y170" s="19"/>
      <c r="Z170" s="23"/>
      <c r="AA170" s="19"/>
      <c r="AB170" s="19"/>
      <c r="AC170" s="19"/>
      <c r="AD170" s="19"/>
      <c r="AE170" s="23"/>
      <c r="AF170" s="19"/>
      <c r="AG170" s="19"/>
      <c r="AH170" s="19"/>
      <c r="AI170" s="19"/>
      <c r="AJ170" s="19"/>
      <c r="AK170" s="23"/>
      <c r="AL170" s="24"/>
      <c r="AM170" s="54"/>
      <c r="AN170" s="13">
        <v>0</v>
      </c>
      <c r="AO170" s="13">
        <v>0</v>
      </c>
    </row>
    <row r="171" spans="1:41" s="15" customFormat="1">
      <c r="A171" s="166" t="s">
        <v>89</v>
      </c>
      <c r="B171" s="3" t="s">
        <v>57</v>
      </c>
      <c r="C171" s="26"/>
      <c r="D171" s="26"/>
      <c r="E171" s="27"/>
      <c r="F171" s="27">
        <v>0</v>
      </c>
      <c r="G171" s="27">
        <v>-2330</v>
      </c>
      <c r="H171" s="27">
        <v>954</v>
      </c>
      <c r="I171" s="26">
        <v>624</v>
      </c>
      <c r="J171" s="27">
        <v>0</v>
      </c>
      <c r="K171" s="27">
        <v>9</v>
      </c>
      <c r="L171" s="27">
        <v>2059</v>
      </c>
      <c r="M171" s="27">
        <v>506</v>
      </c>
      <c r="N171" s="26">
        <v>2574</v>
      </c>
      <c r="O171" s="27">
        <v>8703</v>
      </c>
      <c r="P171" s="27">
        <v>0</v>
      </c>
      <c r="Q171" s="27">
        <v>6327</v>
      </c>
      <c r="R171" s="27">
        <v>403</v>
      </c>
      <c r="S171" s="27">
        <v>0</v>
      </c>
      <c r="T171" s="26">
        <v>15433</v>
      </c>
      <c r="U171" s="28">
        <v>19324</v>
      </c>
      <c r="V171" s="27">
        <v>0</v>
      </c>
      <c r="W171" s="27">
        <v>0</v>
      </c>
      <c r="X171" s="27">
        <v>0</v>
      </c>
      <c r="Y171" s="27">
        <v>0</v>
      </c>
      <c r="Z171" s="26">
        <v>0</v>
      </c>
      <c r="AA171" s="27">
        <v>0</v>
      </c>
      <c r="AB171" s="27">
        <v>0</v>
      </c>
      <c r="AC171" s="27">
        <v>0</v>
      </c>
      <c r="AD171" s="27">
        <v>0</v>
      </c>
      <c r="AE171" s="26">
        <v>0</v>
      </c>
      <c r="AF171" s="27">
        <v>0</v>
      </c>
      <c r="AG171" s="27">
        <v>0</v>
      </c>
      <c r="AH171" s="27">
        <v>0</v>
      </c>
      <c r="AI171" s="27">
        <v>0</v>
      </c>
      <c r="AJ171" s="27">
        <v>0</v>
      </c>
      <c r="AK171" s="26">
        <v>0</v>
      </c>
      <c r="AL171" s="28">
        <v>0</v>
      </c>
      <c r="AM171" s="54">
        <v>64</v>
      </c>
      <c r="AN171" s="13">
        <f>U171*AM171</f>
        <v>1236736</v>
      </c>
      <c r="AO171" s="13">
        <f>AM171*AL171</f>
        <v>0</v>
      </c>
    </row>
    <row r="172" spans="1:41" s="15" customFormat="1">
      <c r="A172" s="167"/>
      <c r="B172" s="12" t="s">
        <v>58</v>
      </c>
      <c r="C172" s="26"/>
      <c r="D172" s="26"/>
      <c r="E172" s="27"/>
      <c r="F172" s="27">
        <v>0</v>
      </c>
      <c r="G172" s="27">
        <v>0</v>
      </c>
      <c r="H172" s="27">
        <v>0</v>
      </c>
      <c r="I172" s="26">
        <v>2000</v>
      </c>
      <c r="J172" s="27">
        <v>0</v>
      </c>
      <c r="K172" s="27">
        <v>0</v>
      </c>
      <c r="L172" s="27">
        <v>0</v>
      </c>
      <c r="M172" s="27">
        <v>14000</v>
      </c>
      <c r="N172" s="26">
        <v>14000</v>
      </c>
      <c r="O172" s="27">
        <v>0</v>
      </c>
      <c r="P172" s="27">
        <v>0</v>
      </c>
      <c r="Q172" s="27">
        <v>0</v>
      </c>
      <c r="R172" s="27">
        <v>8000</v>
      </c>
      <c r="S172" s="27">
        <v>0</v>
      </c>
      <c r="T172" s="26">
        <v>8000</v>
      </c>
      <c r="U172" s="28">
        <v>0</v>
      </c>
      <c r="V172" s="27">
        <v>0</v>
      </c>
      <c r="W172" s="27">
        <v>0</v>
      </c>
      <c r="X172" s="27">
        <v>0</v>
      </c>
      <c r="Y172" s="27">
        <v>0</v>
      </c>
      <c r="Z172" s="26">
        <v>0</v>
      </c>
      <c r="AA172" s="27">
        <v>0</v>
      </c>
      <c r="AB172" s="27">
        <v>0</v>
      </c>
      <c r="AC172" s="27">
        <v>0</v>
      </c>
      <c r="AD172" s="27">
        <v>0</v>
      </c>
      <c r="AE172" s="26">
        <v>0</v>
      </c>
      <c r="AF172" s="27">
        <v>0</v>
      </c>
      <c r="AG172" s="27">
        <v>0</v>
      </c>
      <c r="AH172" s="27">
        <v>0</v>
      </c>
      <c r="AI172" s="27">
        <v>0</v>
      </c>
      <c r="AJ172" s="27">
        <v>0</v>
      </c>
      <c r="AK172" s="26">
        <v>0</v>
      </c>
      <c r="AL172" s="28">
        <v>0</v>
      </c>
      <c r="AM172" s="54"/>
      <c r="AN172" s="13">
        <v>0</v>
      </c>
      <c r="AO172" s="13">
        <v>0</v>
      </c>
    </row>
    <row r="173" spans="1:41" s="15" customFormat="1">
      <c r="A173" s="167"/>
      <c r="B173" s="12" t="s">
        <v>59</v>
      </c>
      <c r="C173" s="27">
        <v>0</v>
      </c>
      <c r="D173" s="26">
        <v>0</v>
      </c>
      <c r="E173" s="27"/>
      <c r="F173" s="27">
        <v>0</v>
      </c>
      <c r="G173" s="27">
        <v>0</v>
      </c>
      <c r="H173" s="27">
        <v>0</v>
      </c>
      <c r="I173" s="26">
        <v>0</v>
      </c>
      <c r="J173" s="27">
        <v>0</v>
      </c>
      <c r="K173" s="27">
        <v>0</v>
      </c>
      <c r="L173" s="27">
        <v>0</v>
      </c>
      <c r="M173" s="27">
        <v>0</v>
      </c>
      <c r="N173" s="26">
        <v>0</v>
      </c>
      <c r="O173" s="27">
        <v>0</v>
      </c>
      <c r="P173" s="27">
        <v>0</v>
      </c>
      <c r="Q173" s="27">
        <v>0</v>
      </c>
      <c r="R173" s="27">
        <v>0</v>
      </c>
      <c r="S173" s="27">
        <v>0</v>
      </c>
      <c r="T173" s="26">
        <v>0</v>
      </c>
      <c r="U173" s="28">
        <v>0</v>
      </c>
      <c r="V173" s="27">
        <v>0</v>
      </c>
      <c r="W173" s="27">
        <v>0</v>
      </c>
      <c r="X173" s="27">
        <v>0</v>
      </c>
      <c r="Y173" s="27">
        <v>0</v>
      </c>
      <c r="Z173" s="26">
        <v>0</v>
      </c>
      <c r="AA173" s="27">
        <v>0</v>
      </c>
      <c r="AB173" s="27">
        <v>0</v>
      </c>
      <c r="AC173" s="27">
        <v>0</v>
      </c>
      <c r="AD173" s="27">
        <v>0</v>
      </c>
      <c r="AE173" s="26">
        <v>0</v>
      </c>
      <c r="AF173" s="27">
        <v>0</v>
      </c>
      <c r="AG173" s="27">
        <v>0</v>
      </c>
      <c r="AH173" s="27">
        <v>0</v>
      </c>
      <c r="AI173" s="27">
        <v>0</v>
      </c>
      <c r="AJ173" s="27">
        <v>0</v>
      </c>
      <c r="AK173" s="26">
        <v>0</v>
      </c>
      <c r="AL173" s="28">
        <v>0</v>
      </c>
      <c r="AM173" s="54"/>
      <c r="AN173" s="13">
        <v>0</v>
      </c>
      <c r="AO173" s="13">
        <v>0</v>
      </c>
    </row>
    <row r="174" spans="1:41" s="15" customFormat="1">
      <c r="A174" s="167"/>
      <c r="B174" s="12" t="s">
        <v>7</v>
      </c>
      <c r="C174" s="26"/>
      <c r="D174" s="26"/>
      <c r="E174" s="32"/>
      <c r="F174" s="27">
        <v>0</v>
      </c>
      <c r="G174" s="27">
        <v>0</v>
      </c>
      <c r="H174" s="27">
        <v>0</v>
      </c>
      <c r="I174" s="26">
        <v>2000</v>
      </c>
      <c r="J174" s="32">
        <v>0</v>
      </c>
      <c r="K174" s="27">
        <v>0</v>
      </c>
      <c r="L174" s="27">
        <v>0</v>
      </c>
      <c r="M174" s="27">
        <v>14000</v>
      </c>
      <c r="N174" s="26">
        <v>14000</v>
      </c>
      <c r="O174" s="32">
        <v>0</v>
      </c>
      <c r="P174" s="27">
        <v>0</v>
      </c>
      <c r="Q174" s="27">
        <v>0</v>
      </c>
      <c r="R174" s="27">
        <v>8000</v>
      </c>
      <c r="S174" s="27">
        <v>0</v>
      </c>
      <c r="T174" s="26">
        <v>8000</v>
      </c>
      <c r="U174" s="28">
        <v>24693</v>
      </c>
      <c r="V174" s="32">
        <v>0</v>
      </c>
      <c r="W174" s="27">
        <v>0</v>
      </c>
      <c r="X174" s="27">
        <v>0</v>
      </c>
      <c r="Y174" s="27">
        <v>0</v>
      </c>
      <c r="Z174" s="26">
        <v>0</v>
      </c>
      <c r="AA174" s="32">
        <v>0</v>
      </c>
      <c r="AB174" s="27">
        <v>0</v>
      </c>
      <c r="AC174" s="27">
        <v>0</v>
      </c>
      <c r="AD174" s="27">
        <v>0</v>
      </c>
      <c r="AE174" s="26">
        <v>0</v>
      </c>
      <c r="AF174" s="32">
        <v>0</v>
      </c>
      <c r="AG174" s="27">
        <v>0</v>
      </c>
      <c r="AH174" s="27">
        <v>0</v>
      </c>
      <c r="AI174" s="27">
        <v>0</v>
      </c>
      <c r="AJ174" s="27">
        <v>0</v>
      </c>
      <c r="AK174" s="26">
        <v>0</v>
      </c>
      <c r="AL174" s="28">
        <v>5369</v>
      </c>
      <c r="AM174" s="54"/>
      <c r="AN174" s="13">
        <v>0</v>
      </c>
      <c r="AO174" s="13">
        <v>0</v>
      </c>
    </row>
    <row r="175" spans="1:41" s="15" customFormat="1" ht="17" thickBot="1">
      <c r="A175" s="168"/>
      <c r="B175" s="4" t="s">
        <v>60</v>
      </c>
      <c r="C175" s="26">
        <v>4900</v>
      </c>
      <c r="D175" s="37">
        <v>693</v>
      </c>
      <c r="E175" s="21"/>
      <c r="F175" s="21">
        <v>0</v>
      </c>
      <c r="G175" s="21">
        <v>2330</v>
      </c>
      <c r="H175" s="21">
        <v>1376</v>
      </c>
      <c r="I175" s="20">
        <v>1376</v>
      </c>
      <c r="J175" s="21">
        <v>1376</v>
      </c>
      <c r="K175" s="21">
        <v>1367</v>
      </c>
      <c r="L175" s="21">
        <v>-692</v>
      </c>
      <c r="M175" s="21">
        <v>12802</v>
      </c>
      <c r="N175" s="20">
        <v>12802</v>
      </c>
      <c r="O175" s="21">
        <v>4099</v>
      </c>
      <c r="P175" s="21">
        <v>4099</v>
      </c>
      <c r="Q175" s="21">
        <v>-2228</v>
      </c>
      <c r="R175" s="21">
        <v>5369</v>
      </c>
      <c r="S175" s="21">
        <v>5369</v>
      </c>
      <c r="T175" s="20">
        <v>5369</v>
      </c>
      <c r="U175" s="22">
        <v>5369</v>
      </c>
      <c r="V175" s="21">
        <v>5369</v>
      </c>
      <c r="W175" s="21">
        <v>5369</v>
      </c>
      <c r="X175" s="21">
        <v>5369</v>
      </c>
      <c r="Y175" s="21">
        <v>5369</v>
      </c>
      <c r="Z175" s="20">
        <v>5369</v>
      </c>
      <c r="AA175" s="21">
        <v>5369</v>
      </c>
      <c r="AB175" s="21">
        <v>5369</v>
      </c>
      <c r="AC175" s="21">
        <v>5369</v>
      </c>
      <c r="AD175" s="21">
        <v>5369</v>
      </c>
      <c r="AE175" s="20">
        <v>5369</v>
      </c>
      <c r="AF175" s="21">
        <v>5369</v>
      </c>
      <c r="AG175" s="21">
        <v>5369</v>
      </c>
      <c r="AH175" s="21">
        <v>5369</v>
      </c>
      <c r="AI175" s="21">
        <v>5369</v>
      </c>
      <c r="AJ175" s="21">
        <v>5369</v>
      </c>
      <c r="AK175" s="20">
        <v>5369</v>
      </c>
      <c r="AL175" s="22">
        <v>5369</v>
      </c>
      <c r="AM175" s="54"/>
      <c r="AN175" s="13">
        <v>0</v>
      </c>
      <c r="AO175" s="13">
        <v>0</v>
      </c>
    </row>
    <row r="176" spans="1:41" s="15" customFormat="1" ht="17" thickBot="1">
      <c r="A176" s="5"/>
      <c r="B176" s="12" t="s">
        <v>61</v>
      </c>
      <c r="C176" s="26"/>
      <c r="D176" s="26"/>
      <c r="E176" s="19">
        <v>0</v>
      </c>
      <c r="F176" s="19"/>
      <c r="G176" s="19"/>
      <c r="H176" s="19"/>
      <c r="I176" s="23"/>
      <c r="J176" s="19"/>
      <c r="K176" s="19"/>
      <c r="L176" s="19"/>
      <c r="M176" s="19"/>
      <c r="N176" s="23"/>
      <c r="O176" s="19"/>
      <c r="P176" s="19"/>
      <c r="Q176" s="19"/>
      <c r="R176" s="19"/>
      <c r="S176" s="19"/>
      <c r="T176" s="23"/>
      <c r="U176" s="24"/>
      <c r="V176" s="19"/>
      <c r="W176" s="19"/>
      <c r="X176" s="19"/>
      <c r="Y176" s="19"/>
      <c r="Z176" s="23"/>
      <c r="AA176" s="19"/>
      <c r="AB176" s="19"/>
      <c r="AC176" s="19"/>
      <c r="AD176" s="19"/>
      <c r="AE176" s="23"/>
      <c r="AF176" s="19"/>
      <c r="AG176" s="19"/>
      <c r="AH176" s="19"/>
      <c r="AI176" s="19"/>
      <c r="AJ176" s="19"/>
      <c r="AK176" s="23"/>
      <c r="AL176" s="24"/>
      <c r="AM176" s="54"/>
      <c r="AN176" s="13">
        <v>0</v>
      </c>
      <c r="AO176" s="13">
        <v>0</v>
      </c>
    </row>
    <row r="177" spans="1:41" s="15" customFormat="1">
      <c r="A177" s="182" t="s">
        <v>90</v>
      </c>
      <c r="B177" s="3" t="s">
        <v>57</v>
      </c>
      <c r="C177" s="26"/>
      <c r="D177" s="26"/>
      <c r="E177" s="27"/>
      <c r="F177" s="27">
        <v>63200</v>
      </c>
      <c r="G177" s="27">
        <v>107998</v>
      </c>
      <c r="H177" s="27">
        <v>942</v>
      </c>
      <c r="I177" s="26">
        <v>172140</v>
      </c>
      <c r="J177" s="27">
        <v>27470</v>
      </c>
      <c r="K177" s="27">
        <v>10293</v>
      </c>
      <c r="L177" s="27">
        <v>2491</v>
      </c>
      <c r="M177" s="27">
        <v>2800</v>
      </c>
      <c r="N177" s="26">
        <v>43054</v>
      </c>
      <c r="O177" s="27">
        <v>766</v>
      </c>
      <c r="P177" s="27">
        <v>3048</v>
      </c>
      <c r="Q177" s="27">
        <v>807</v>
      </c>
      <c r="R177" s="27">
        <v>9693</v>
      </c>
      <c r="S177" s="27">
        <v>1600</v>
      </c>
      <c r="T177" s="26">
        <v>15914</v>
      </c>
      <c r="U177" s="28">
        <v>331271</v>
      </c>
      <c r="V177" s="27">
        <v>0</v>
      </c>
      <c r="W177" s="27">
        <v>0</v>
      </c>
      <c r="X177" s="27">
        <v>0</v>
      </c>
      <c r="Y177" s="27">
        <v>0</v>
      </c>
      <c r="Z177" s="26">
        <v>0</v>
      </c>
      <c r="AA177" s="27">
        <v>0</v>
      </c>
      <c r="AB177" s="27">
        <v>0</v>
      </c>
      <c r="AC177" s="27">
        <v>0</v>
      </c>
      <c r="AD177" s="27">
        <v>0</v>
      </c>
      <c r="AE177" s="26">
        <v>0</v>
      </c>
      <c r="AF177" s="27">
        <v>0</v>
      </c>
      <c r="AG177" s="27">
        <v>0</v>
      </c>
      <c r="AH177" s="27">
        <v>0</v>
      </c>
      <c r="AI177" s="27">
        <v>0</v>
      </c>
      <c r="AJ177" s="27">
        <v>0</v>
      </c>
      <c r="AK177" s="26">
        <v>0</v>
      </c>
      <c r="AL177" s="28">
        <v>0</v>
      </c>
      <c r="AM177" s="54">
        <v>64</v>
      </c>
      <c r="AN177" s="13">
        <f>U177*AM177</f>
        <v>21201344</v>
      </c>
      <c r="AO177" s="13">
        <f>AM177*AL177</f>
        <v>0</v>
      </c>
    </row>
    <row r="178" spans="1:41" s="15" customFormat="1">
      <c r="A178" s="183"/>
      <c r="B178" s="12" t="s">
        <v>58</v>
      </c>
      <c r="C178" s="26"/>
      <c r="D178" s="26"/>
      <c r="E178" s="27"/>
      <c r="F178" s="27">
        <v>63200</v>
      </c>
      <c r="G178" s="27">
        <v>69875</v>
      </c>
      <c r="H178" s="27">
        <v>25125</v>
      </c>
      <c r="I178" s="26">
        <v>158200</v>
      </c>
      <c r="J178" s="27">
        <v>0</v>
      </c>
      <c r="K178" s="27">
        <v>0</v>
      </c>
      <c r="L178" s="27">
        <v>10000</v>
      </c>
      <c r="M178" s="27">
        <v>30000</v>
      </c>
      <c r="N178" s="26">
        <v>40000</v>
      </c>
      <c r="O178" s="27">
        <v>0</v>
      </c>
      <c r="P178" s="27">
        <v>0</v>
      </c>
      <c r="Q178" s="27">
        <v>0</v>
      </c>
      <c r="R178" s="27">
        <v>10000</v>
      </c>
      <c r="S178" s="27">
        <v>30000</v>
      </c>
      <c r="T178" s="26">
        <v>40000</v>
      </c>
      <c r="U178" s="28">
        <v>0</v>
      </c>
      <c r="V178" s="27">
        <v>0</v>
      </c>
      <c r="W178" s="27">
        <v>0</v>
      </c>
      <c r="X178" s="27">
        <v>0</v>
      </c>
      <c r="Y178" s="27">
        <v>0</v>
      </c>
      <c r="Z178" s="26">
        <v>0</v>
      </c>
      <c r="AA178" s="27">
        <v>0</v>
      </c>
      <c r="AB178" s="27">
        <v>0</v>
      </c>
      <c r="AC178" s="27">
        <v>0</v>
      </c>
      <c r="AD178" s="27">
        <v>0</v>
      </c>
      <c r="AE178" s="26">
        <v>0</v>
      </c>
      <c r="AF178" s="27">
        <v>0</v>
      </c>
      <c r="AG178" s="27">
        <v>0</v>
      </c>
      <c r="AH178" s="27">
        <v>0</v>
      </c>
      <c r="AI178" s="27">
        <v>0</v>
      </c>
      <c r="AJ178" s="27">
        <v>0</v>
      </c>
      <c r="AK178" s="26">
        <v>0</v>
      </c>
      <c r="AL178" s="28">
        <v>0</v>
      </c>
      <c r="AM178" s="54"/>
      <c r="AN178" s="13">
        <v>0</v>
      </c>
      <c r="AO178" s="13">
        <v>0</v>
      </c>
    </row>
    <row r="179" spans="1:41" s="15" customFormat="1">
      <c r="A179" s="183"/>
      <c r="B179" s="12" t="s">
        <v>59</v>
      </c>
      <c r="C179" s="26">
        <v>15000</v>
      </c>
      <c r="D179" s="26">
        <v>15000</v>
      </c>
      <c r="E179" s="27"/>
      <c r="F179" s="27">
        <v>0</v>
      </c>
      <c r="G179" s="27">
        <v>0</v>
      </c>
      <c r="H179" s="27">
        <v>15000</v>
      </c>
      <c r="I179" s="26">
        <v>15000</v>
      </c>
      <c r="J179" s="27">
        <v>0</v>
      </c>
      <c r="K179" s="27">
        <v>0</v>
      </c>
      <c r="L179" s="27">
        <v>0</v>
      </c>
      <c r="M179" s="27">
        <v>0</v>
      </c>
      <c r="N179" s="26">
        <v>0</v>
      </c>
      <c r="O179" s="27">
        <v>0</v>
      </c>
      <c r="P179" s="27">
        <v>0</v>
      </c>
      <c r="Q179" s="27">
        <v>0</v>
      </c>
      <c r="R179" s="27">
        <v>0</v>
      </c>
      <c r="S179" s="27">
        <v>0</v>
      </c>
      <c r="T179" s="26">
        <v>0</v>
      </c>
      <c r="U179" s="28">
        <v>0</v>
      </c>
      <c r="V179" s="27">
        <v>0</v>
      </c>
      <c r="W179" s="27">
        <v>0</v>
      </c>
      <c r="X179" s="27">
        <v>0</v>
      </c>
      <c r="Y179" s="27">
        <v>0</v>
      </c>
      <c r="Z179" s="26">
        <v>0</v>
      </c>
      <c r="AA179" s="27">
        <v>0</v>
      </c>
      <c r="AB179" s="27">
        <v>0</v>
      </c>
      <c r="AC179" s="27">
        <v>0</v>
      </c>
      <c r="AD179" s="27">
        <v>0</v>
      </c>
      <c r="AE179" s="26">
        <v>0</v>
      </c>
      <c r="AF179" s="27">
        <v>0</v>
      </c>
      <c r="AG179" s="27">
        <v>0</v>
      </c>
      <c r="AH179" s="27">
        <v>0</v>
      </c>
      <c r="AI179" s="27">
        <v>0</v>
      </c>
      <c r="AJ179" s="27">
        <v>0</v>
      </c>
      <c r="AK179" s="26">
        <v>0</v>
      </c>
      <c r="AL179" s="28">
        <v>0</v>
      </c>
      <c r="AM179" s="54"/>
      <c r="AN179" s="13">
        <v>0</v>
      </c>
      <c r="AO179" s="13">
        <v>0</v>
      </c>
    </row>
    <row r="180" spans="1:41" s="15" customFormat="1">
      <c r="A180" s="183"/>
      <c r="B180" s="12" t="s">
        <v>7</v>
      </c>
      <c r="C180" s="26"/>
      <c r="D180" s="26"/>
      <c r="E180" s="32"/>
      <c r="F180" s="27">
        <v>63200</v>
      </c>
      <c r="G180" s="27">
        <v>107998</v>
      </c>
      <c r="H180" s="27">
        <v>40125</v>
      </c>
      <c r="I180" s="26">
        <v>211323</v>
      </c>
      <c r="J180" s="32">
        <v>0</v>
      </c>
      <c r="K180" s="27">
        <v>0</v>
      </c>
      <c r="L180" s="27">
        <v>10000</v>
      </c>
      <c r="M180" s="27">
        <v>30000</v>
      </c>
      <c r="N180" s="26">
        <v>40000</v>
      </c>
      <c r="O180" s="32">
        <v>0</v>
      </c>
      <c r="P180" s="27">
        <v>0</v>
      </c>
      <c r="Q180" s="27">
        <v>0</v>
      </c>
      <c r="R180" s="27">
        <v>10000</v>
      </c>
      <c r="S180" s="27">
        <v>30000</v>
      </c>
      <c r="T180" s="26">
        <v>40000</v>
      </c>
      <c r="U180" s="28">
        <v>391486</v>
      </c>
      <c r="V180" s="32">
        <v>0</v>
      </c>
      <c r="W180" s="27">
        <v>0</v>
      </c>
      <c r="X180" s="27">
        <v>0</v>
      </c>
      <c r="Y180" s="27">
        <v>0</v>
      </c>
      <c r="Z180" s="26">
        <v>0</v>
      </c>
      <c r="AA180" s="32">
        <v>0</v>
      </c>
      <c r="AB180" s="27">
        <v>0</v>
      </c>
      <c r="AC180" s="27">
        <v>0</v>
      </c>
      <c r="AD180" s="27">
        <v>0</v>
      </c>
      <c r="AE180" s="26">
        <v>0</v>
      </c>
      <c r="AF180" s="32">
        <v>0</v>
      </c>
      <c r="AG180" s="27">
        <v>0</v>
      </c>
      <c r="AH180" s="27">
        <v>0</v>
      </c>
      <c r="AI180" s="27">
        <v>0</v>
      </c>
      <c r="AJ180" s="27">
        <v>0</v>
      </c>
      <c r="AK180" s="26">
        <v>0</v>
      </c>
      <c r="AL180" s="28">
        <v>0</v>
      </c>
      <c r="AM180" s="54"/>
      <c r="AN180" s="13">
        <v>0</v>
      </c>
      <c r="AO180" s="13">
        <v>0</v>
      </c>
    </row>
    <row r="181" spans="1:41" s="15" customFormat="1" ht="17" thickBot="1">
      <c r="A181" s="184"/>
      <c r="B181" s="4" t="s">
        <v>60</v>
      </c>
      <c r="C181" s="26">
        <v>106723</v>
      </c>
      <c r="D181" s="37">
        <v>100163</v>
      </c>
      <c r="E181" s="21"/>
      <c r="F181" s="21">
        <v>0</v>
      </c>
      <c r="G181" s="21">
        <v>0</v>
      </c>
      <c r="H181" s="21">
        <v>39183</v>
      </c>
      <c r="I181" s="20">
        <v>39183</v>
      </c>
      <c r="J181" s="21">
        <v>11713</v>
      </c>
      <c r="K181" s="21">
        <v>1420</v>
      </c>
      <c r="L181" s="21">
        <v>8929</v>
      </c>
      <c r="M181" s="21">
        <v>36129</v>
      </c>
      <c r="N181" s="20">
        <v>36129</v>
      </c>
      <c r="O181" s="21">
        <v>35363</v>
      </c>
      <c r="P181" s="21">
        <v>32315</v>
      </c>
      <c r="Q181" s="21">
        <v>31508</v>
      </c>
      <c r="R181" s="21">
        <v>31815</v>
      </c>
      <c r="S181" s="21">
        <v>60215</v>
      </c>
      <c r="T181" s="20">
        <v>60215</v>
      </c>
      <c r="U181" s="22">
        <v>60215</v>
      </c>
      <c r="V181" s="21">
        <v>60215</v>
      </c>
      <c r="W181" s="21">
        <v>60215</v>
      </c>
      <c r="X181" s="21">
        <v>60215</v>
      </c>
      <c r="Y181" s="21">
        <v>60215</v>
      </c>
      <c r="Z181" s="20">
        <v>60215</v>
      </c>
      <c r="AA181" s="21">
        <v>60215</v>
      </c>
      <c r="AB181" s="21">
        <v>60215</v>
      </c>
      <c r="AC181" s="21">
        <v>60215</v>
      </c>
      <c r="AD181" s="21">
        <v>60215</v>
      </c>
      <c r="AE181" s="20">
        <v>60215</v>
      </c>
      <c r="AF181" s="21">
        <v>60215</v>
      </c>
      <c r="AG181" s="21">
        <v>60215</v>
      </c>
      <c r="AH181" s="21">
        <v>60215</v>
      </c>
      <c r="AI181" s="21">
        <v>60215</v>
      </c>
      <c r="AJ181" s="21">
        <v>60215</v>
      </c>
      <c r="AK181" s="20">
        <v>60215</v>
      </c>
      <c r="AL181" s="22">
        <v>60215</v>
      </c>
      <c r="AM181" s="54"/>
      <c r="AN181" s="13">
        <v>0</v>
      </c>
      <c r="AO181" s="13">
        <v>0</v>
      </c>
    </row>
    <row r="182" spans="1:41" s="15" customFormat="1" ht="17" thickBot="1">
      <c r="A182" s="46"/>
      <c r="B182" s="12" t="s">
        <v>61</v>
      </c>
      <c r="C182" s="26"/>
      <c r="D182" s="26"/>
      <c r="E182" s="19">
        <v>0</v>
      </c>
      <c r="F182" s="19"/>
      <c r="G182" s="19"/>
      <c r="H182" s="19"/>
      <c r="I182" s="23"/>
      <c r="J182" s="19"/>
      <c r="K182" s="19"/>
      <c r="L182" s="19"/>
      <c r="M182" s="19"/>
      <c r="N182" s="23"/>
      <c r="O182" s="19"/>
      <c r="P182" s="19"/>
      <c r="Q182" s="19"/>
      <c r="R182" s="19"/>
      <c r="S182" s="19"/>
      <c r="T182" s="23"/>
      <c r="U182" s="24"/>
      <c r="V182" s="19"/>
      <c r="W182" s="19"/>
      <c r="X182" s="19"/>
      <c r="Y182" s="19"/>
      <c r="Z182" s="23"/>
      <c r="AA182" s="19"/>
      <c r="AB182" s="19"/>
      <c r="AC182" s="19"/>
      <c r="AD182" s="19"/>
      <c r="AE182" s="23"/>
      <c r="AF182" s="19"/>
      <c r="AG182" s="19"/>
      <c r="AH182" s="19"/>
      <c r="AI182" s="19"/>
      <c r="AJ182" s="19"/>
      <c r="AK182" s="23"/>
      <c r="AL182" s="24"/>
      <c r="AM182" s="54"/>
      <c r="AN182" s="13">
        <v>0</v>
      </c>
      <c r="AO182" s="13">
        <v>0</v>
      </c>
    </row>
    <row r="183" spans="1:41" s="15" customFormat="1">
      <c r="A183" s="182" t="s">
        <v>91</v>
      </c>
      <c r="B183" s="3" t="s">
        <v>57</v>
      </c>
      <c r="C183" s="26"/>
      <c r="D183" s="26"/>
      <c r="E183" s="27"/>
      <c r="F183" s="27">
        <v>9125</v>
      </c>
      <c r="G183" s="27">
        <v>-7568</v>
      </c>
      <c r="H183" s="27">
        <v>813</v>
      </c>
      <c r="I183" s="26">
        <v>2370</v>
      </c>
      <c r="J183" s="27">
        <v>4651</v>
      </c>
      <c r="K183" s="27">
        <v>218</v>
      </c>
      <c r="L183" s="27">
        <v>1319</v>
      </c>
      <c r="M183" s="27">
        <v>295</v>
      </c>
      <c r="N183" s="26">
        <v>6483</v>
      </c>
      <c r="O183" s="27">
        <v>140</v>
      </c>
      <c r="P183" s="27">
        <v>291</v>
      </c>
      <c r="Q183" s="27">
        <v>344</v>
      </c>
      <c r="R183" s="27">
        <v>1343</v>
      </c>
      <c r="S183" s="27">
        <v>0</v>
      </c>
      <c r="T183" s="26">
        <v>2118</v>
      </c>
      <c r="U183" s="28">
        <v>22495</v>
      </c>
      <c r="V183" s="27">
        <v>0</v>
      </c>
      <c r="W183" s="27">
        <v>0</v>
      </c>
      <c r="X183" s="27">
        <v>0</v>
      </c>
      <c r="Y183" s="27">
        <v>0</v>
      </c>
      <c r="Z183" s="26">
        <v>0</v>
      </c>
      <c r="AA183" s="27">
        <v>0</v>
      </c>
      <c r="AB183" s="27">
        <v>0</v>
      </c>
      <c r="AC183" s="27">
        <v>0</v>
      </c>
      <c r="AD183" s="27">
        <v>0</v>
      </c>
      <c r="AE183" s="26">
        <v>0</v>
      </c>
      <c r="AF183" s="27">
        <v>0</v>
      </c>
      <c r="AG183" s="27">
        <v>0</v>
      </c>
      <c r="AH183" s="27">
        <v>0</v>
      </c>
      <c r="AI183" s="27">
        <v>0</v>
      </c>
      <c r="AJ183" s="27">
        <v>0</v>
      </c>
      <c r="AK183" s="26">
        <v>0</v>
      </c>
      <c r="AL183" s="28">
        <v>0</v>
      </c>
      <c r="AM183" s="54">
        <v>128</v>
      </c>
      <c r="AN183" s="13">
        <f>U183*AM183</f>
        <v>2879360</v>
      </c>
      <c r="AO183" s="13">
        <f>AM183*AL183</f>
        <v>0</v>
      </c>
    </row>
    <row r="184" spans="1:41" s="15" customFormat="1">
      <c r="A184" s="183"/>
      <c r="B184" s="12" t="s">
        <v>58</v>
      </c>
      <c r="C184" s="26"/>
      <c r="D184" s="26"/>
      <c r="E184" s="27"/>
      <c r="F184" s="27">
        <v>9125</v>
      </c>
      <c r="G184" s="27">
        <v>0</v>
      </c>
      <c r="H184" s="27">
        <v>1500</v>
      </c>
      <c r="I184" s="26">
        <v>10625</v>
      </c>
      <c r="J184" s="27">
        <v>0</v>
      </c>
      <c r="K184" s="27">
        <v>1000</v>
      </c>
      <c r="L184" s="27">
        <v>1000</v>
      </c>
      <c r="M184" s="27">
        <v>2000</v>
      </c>
      <c r="N184" s="26">
        <v>4000</v>
      </c>
      <c r="O184" s="27">
        <v>1000</v>
      </c>
      <c r="P184" s="27">
        <v>2000</v>
      </c>
      <c r="Q184" s="27">
        <v>2000</v>
      </c>
      <c r="R184" s="27">
        <v>3000</v>
      </c>
      <c r="S184" s="27">
        <v>3000</v>
      </c>
      <c r="T184" s="26">
        <v>11000</v>
      </c>
      <c r="U184" s="28">
        <v>0</v>
      </c>
      <c r="V184" s="27">
        <v>4000</v>
      </c>
      <c r="W184" s="27">
        <v>0</v>
      </c>
      <c r="X184" s="27">
        <v>0</v>
      </c>
      <c r="Y184" s="27">
        <v>0</v>
      </c>
      <c r="Z184" s="26">
        <v>4000</v>
      </c>
      <c r="AA184" s="27">
        <v>0</v>
      </c>
      <c r="AB184" s="27">
        <v>0</v>
      </c>
      <c r="AC184" s="27">
        <v>0</v>
      </c>
      <c r="AD184" s="27">
        <v>0</v>
      </c>
      <c r="AE184" s="26">
        <v>0</v>
      </c>
      <c r="AF184" s="27">
        <v>0</v>
      </c>
      <c r="AG184" s="27">
        <v>0</v>
      </c>
      <c r="AH184" s="27">
        <v>0</v>
      </c>
      <c r="AI184" s="27">
        <v>0</v>
      </c>
      <c r="AJ184" s="27">
        <v>0</v>
      </c>
      <c r="AK184" s="26">
        <v>0</v>
      </c>
      <c r="AL184" s="28">
        <v>0</v>
      </c>
      <c r="AM184" s="54"/>
      <c r="AN184" s="13">
        <v>0</v>
      </c>
      <c r="AO184" s="13">
        <v>0</v>
      </c>
    </row>
    <row r="185" spans="1:41" s="15" customFormat="1">
      <c r="A185" s="183"/>
      <c r="B185" s="12" t="s">
        <v>59</v>
      </c>
      <c r="C185" s="26">
        <v>1875</v>
      </c>
      <c r="D185" s="26">
        <v>1875</v>
      </c>
      <c r="E185" s="27"/>
      <c r="F185" s="27">
        <v>0</v>
      </c>
      <c r="G185" s="27">
        <v>0</v>
      </c>
      <c r="H185" s="27">
        <v>1875</v>
      </c>
      <c r="I185" s="26">
        <v>1875</v>
      </c>
      <c r="J185" s="27">
        <v>0</v>
      </c>
      <c r="K185" s="27">
        <v>0</v>
      </c>
      <c r="L185" s="27">
        <v>0</v>
      </c>
      <c r="M185" s="27">
        <v>0</v>
      </c>
      <c r="N185" s="26">
        <v>0</v>
      </c>
      <c r="O185" s="27">
        <v>0</v>
      </c>
      <c r="P185" s="27">
        <v>0</v>
      </c>
      <c r="Q185" s="27">
        <v>0</v>
      </c>
      <c r="R185" s="27">
        <v>0</v>
      </c>
      <c r="S185" s="27">
        <v>0</v>
      </c>
      <c r="T185" s="26">
        <v>0</v>
      </c>
      <c r="U185" s="28">
        <v>0</v>
      </c>
      <c r="V185" s="27">
        <v>0</v>
      </c>
      <c r="W185" s="27">
        <v>0</v>
      </c>
      <c r="X185" s="27">
        <v>0</v>
      </c>
      <c r="Y185" s="27">
        <v>0</v>
      </c>
      <c r="Z185" s="26">
        <v>0</v>
      </c>
      <c r="AA185" s="27">
        <v>0</v>
      </c>
      <c r="AB185" s="27">
        <v>0</v>
      </c>
      <c r="AC185" s="27">
        <v>0</v>
      </c>
      <c r="AD185" s="27">
        <v>0</v>
      </c>
      <c r="AE185" s="26">
        <v>0</v>
      </c>
      <c r="AF185" s="27">
        <v>0</v>
      </c>
      <c r="AG185" s="27">
        <v>0</v>
      </c>
      <c r="AH185" s="27">
        <v>0</v>
      </c>
      <c r="AI185" s="27">
        <v>0</v>
      </c>
      <c r="AJ185" s="27">
        <v>0</v>
      </c>
      <c r="AK185" s="26">
        <v>0</v>
      </c>
      <c r="AL185" s="28">
        <v>0</v>
      </c>
      <c r="AM185" s="54"/>
      <c r="AN185" s="13">
        <v>0</v>
      </c>
      <c r="AO185" s="13">
        <v>0</v>
      </c>
    </row>
    <row r="186" spans="1:41" s="15" customFormat="1">
      <c r="A186" s="183"/>
      <c r="B186" s="12" t="s">
        <v>7</v>
      </c>
      <c r="C186" s="26"/>
      <c r="D186" s="26"/>
      <c r="E186" s="32"/>
      <c r="F186" s="27">
        <v>9125</v>
      </c>
      <c r="G186" s="27">
        <v>0</v>
      </c>
      <c r="H186" s="27">
        <v>3375</v>
      </c>
      <c r="I186" s="26">
        <v>12500</v>
      </c>
      <c r="J186" s="32">
        <v>0</v>
      </c>
      <c r="K186" s="27">
        <v>1000</v>
      </c>
      <c r="L186" s="27">
        <v>1000</v>
      </c>
      <c r="M186" s="27">
        <v>2000</v>
      </c>
      <c r="N186" s="26">
        <v>4000</v>
      </c>
      <c r="O186" s="32">
        <v>1000</v>
      </c>
      <c r="P186" s="27">
        <v>2000</v>
      </c>
      <c r="Q186" s="27">
        <v>2000</v>
      </c>
      <c r="R186" s="27">
        <v>3000</v>
      </c>
      <c r="S186" s="27">
        <v>3000</v>
      </c>
      <c r="T186" s="26">
        <v>11000</v>
      </c>
      <c r="U186" s="28">
        <v>39024</v>
      </c>
      <c r="V186" s="32">
        <v>4000</v>
      </c>
      <c r="W186" s="27">
        <v>0</v>
      </c>
      <c r="X186" s="27">
        <v>0</v>
      </c>
      <c r="Y186" s="27">
        <v>0</v>
      </c>
      <c r="Z186" s="26">
        <v>4000</v>
      </c>
      <c r="AA186" s="32">
        <v>0</v>
      </c>
      <c r="AB186" s="27">
        <v>0</v>
      </c>
      <c r="AC186" s="27">
        <v>0</v>
      </c>
      <c r="AD186" s="27">
        <v>0</v>
      </c>
      <c r="AE186" s="26">
        <v>0</v>
      </c>
      <c r="AF186" s="32">
        <v>0</v>
      </c>
      <c r="AG186" s="27">
        <v>0</v>
      </c>
      <c r="AH186" s="27">
        <v>0</v>
      </c>
      <c r="AI186" s="27">
        <v>0</v>
      </c>
      <c r="AJ186" s="27">
        <v>0</v>
      </c>
      <c r="AK186" s="26">
        <v>0</v>
      </c>
      <c r="AL186" s="28">
        <v>4000</v>
      </c>
      <c r="AM186" s="54"/>
      <c r="AN186" s="13">
        <v>0</v>
      </c>
      <c r="AO186" s="13">
        <v>0</v>
      </c>
    </row>
    <row r="187" spans="1:41" s="15" customFormat="1" ht="17" thickBot="1">
      <c r="A187" s="184"/>
      <c r="B187" s="4" t="s">
        <v>60</v>
      </c>
      <c r="C187" s="26">
        <v>18772</v>
      </c>
      <c r="D187" s="37">
        <v>11524</v>
      </c>
      <c r="E187" s="21"/>
      <c r="F187" s="21">
        <v>0</v>
      </c>
      <c r="G187" s="21">
        <v>7568</v>
      </c>
      <c r="H187" s="21">
        <v>10130</v>
      </c>
      <c r="I187" s="20">
        <v>10130</v>
      </c>
      <c r="J187" s="21">
        <v>5479</v>
      </c>
      <c r="K187" s="21">
        <v>6261</v>
      </c>
      <c r="L187" s="21">
        <v>5942</v>
      </c>
      <c r="M187" s="21">
        <v>7647</v>
      </c>
      <c r="N187" s="20">
        <v>7647</v>
      </c>
      <c r="O187" s="21">
        <v>8507</v>
      </c>
      <c r="P187" s="21">
        <v>10216</v>
      </c>
      <c r="Q187" s="21">
        <v>11872</v>
      </c>
      <c r="R187" s="21">
        <v>13529</v>
      </c>
      <c r="S187" s="21">
        <v>16529</v>
      </c>
      <c r="T187" s="20">
        <v>16529</v>
      </c>
      <c r="U187" s="22">
        <v>16529</v>
      </c>
      <c r="V187" s="21">
        <v>20529</v>
      </c>
      <c r="W187" s="21">
        <v>20529</v>
      </c>
      <c r="X187" s="21">
        <v>20529</v>
      </c>
      <c r="Y187" s="21">
        <v>20529</v>
      </c>
      <c r="Z187" s="20">
        <v>20529</v>
      </c>
      <c r="AA187" s="21">
        <v>20529</v>
      </c>
      <c r="AB187" s="21">
        <v>20529</v>
      </c>
      <c r="AC187" s="21">
        <v>20529</v>
      </c>
      <c r="AD187" s="21">
        <v>20529</v>
      </c>
      <c r="AE187" s="20">
        <v>20529</v>
      </c>
      <c r="AF187" s="21">
        <v>20529</v>
      </c>
      <c r="AG187" s="21">
        <v>20529</v>
      </c>
      <c r="AH187" s="21">
        <v>20529</v>
      </c>
      <c r="AI187" s="21">
        <v>20529</v>
      </c>
      <c r="AJ187" s="21">
        <v>20529</v>
      </c>
      <c r="AK187" s="20">
        <v>20529</v>
      </c>
      <c r="AL187" s="22">
        <v>20529</v>
      </c>
      <c r="AM187" s="54"/>
      <c r="AN187" s="13">
        <v>0</v>
      </c>
      <c r="AO187" s="13">
        <v>0</v>
      </c>
    </row>
    <row r="188" spans="1:41" s="15" customFormat="1" ht="17" thickBot="1">
      <c r="A188" s="46"/>
      <c r="B188" s="12" t="s">
        <v>61</v>
      </c>
      <c r="C188" s="26"/>
      <c r="D188" s="26"/>
      <c r="E188" s="19">
        <v>0</v>
      </c>
      <c r="F188" s="19"/>
      <c r="G188" s="19"/>
      <c r="H188" s="19"/>
      <c r="I188" s="23"/>
      <c r="J188" s="19"/>
      <c r="K188" s="19"/>
      <c r="L188" s="19"/>
      <c r="M188" s="19"/>
      <c r="N188" s="23"/>
      <c r="O188" s="19"/>
      <c r="P188" s="19"/>
      <c r="Q188" s="19"/>
      <c r="R188" s="19"/>
      <c r="S188" s="19"/>
      <c r="T188" s="23"/>
      <c r="U188" s="24"/>
      <c r="V188" s="19"/>
      <c r="W188" s="19"/>
      <c r="X188" s="19"/>
      <c r="Y188" s="19"/>
      <c r="Z188" s="23"/>
      <c r="AA188" s="19"/>
      <c r="AB188" s="19"/>
      <c r="AC188" s="19"/>
      <c r="AD188" s="19"/>
      <c r="AE188" s="23"/>
      <c r="AF188" s="19"/>
      <c r="AG188" s="19"/>
      <c r="AH188" s="19"/>
      <c r="AI188" s="19"/>
      <c r="AJ188" s="19"/>
      <c r="AK188" s="23"/>
      <c r="AL188" s="24"/>
      <c r="AM188" s="54"/>
      <c r="AN188" s="13">
        <v>0</v>
      </c>
      <c r="AO188" s="13">
        <v>0</v>
      </c>
    </row>
    <row r="189" spans="1:41" s="15" customFormat="1">
      <c r="A189" s="166" t="s">
        <v>92</v>
      </c>
      <c r="B189" s="3" t="s">
        <v>57</v>
      </c>
      <c r="C189" s="26"/>
      <c r="D189" s="26"/>
      <c r="E189" s="27"/>
      <c r="F189" s="27">
        <v>63982</v>
      </c>
      <c r="G189" s="27">
        <v>-70551</v>
      </c>
      <c r="H189" s="27">
        <v>31900</v>
      </c>
      <c r="I189" s="26">
        <v>39923</v>
      </c>
      <c r="J189" s="27">
        <v>9930</v>
      </c>
      <c r="K189" s="27">
        <v>11890</v>
      </c>
      <c r="L189" s="27">
        <v>34810</v>
      </c>
      <c r="M189" s="27">
        <v>3194</v>
      </c>
      <c r="N189" s="26">
        <v>59824</v>
      </c>
      <c r="O189" s="27">
        <v>72772</v>
      </c>
      <c r="P189" s="27">
        <v>4188</v>
      </c>
      <c r="Q189" s="27">
        <v>61696</v>
      </c>
      <c r="R189" s="27">
        <v>39160</v>
      </c>
      <c r="S189" s="27">
        <v>176800</v>
      </c>
      <c r="T189" s="26">
        <v>354616</v>
      </c>
      <c r="U189" s="28">
        <v>527268</v>
      </c>
      <c r="V189" s="27">
        <v>40</v>
      </c>
      <c r="W189" s="27">
        <v>0</v>
      </c>
      <c r="X189" s="27">
        <v>760</v>
      </c>
      <c r="Y189" s="27">
        <v>122000</v>
      </c>
      <c r="Z189" s="26">
        <v>122800</v>
      </c>
      <c r="AA189" s="27">
        <v>0</v>
      </c>
      <c r="AB189" s="27">
        <v>0</v>
      </c>
      <c r="AC189" s="27">
        <v>0</v>
      </c>
      <c r="AD189" s="27">
        <v>0</v>
      </c>
      <c r="AE189" s="26">
        <v>0</v>
      </c>
      <c r="AF189" s="27">
        <v>0</v>
      </c>
      <c r="AG189" s="27">
        <v>0</v>
      </c>
      <c r="AH189" s="27">
        <v>0</v>
      </c>
      <c r="AI189" s="27">
        <v>0</v>
      </c>
      <c r="AJ189" s="27">
        <v>0</v>
      </c>
      <c r="AK189" s="26">
        <v>0</v>
      </c>
      <c r="AL189" s="28">
        <v>122800</v>
      </c>
      <c r="AM189" s="54">
        <v>16</v>
      </c>
      <c r="AN189" s="13">
        <f>U189*AM189</f>
        <v>8436288</v>
      </c>
      <c r="AO189" s="13">
        <f>AM189*AL189</f>
        <v>1964800</v>
      </c>
    </row>
    <row r="190" spans="1:41" s="15" customFormat="1">
      <c r="A190" s="167"/>
      <c r="B190" s="12" t="s">
        <v>58</v>
      </c>
      <c r="C190" s="26"/>
      <c r="D190" s="26"/>
      <c r="E190" s="27"/>
      <c r="F190" s="27">
        <v>63982</v>
      </c>
      <c r="G190" s="27">
        <v>14258</v>
      </c>
      <c r="H190" s="27">
        <v>0</v>
      </c>
      <c r="I190" s="26">
        <v>92832</v>
      </c>
      <c r="J190" s="27">
        <v>0</v>
      </c>
      <c r="K190" s="27">
        <v>0</v>
      </c>
      <c r="L190" s="27">
        <v>0</v>
      </c>
      <c r="M190" s="27">
        <v>90000</v>
      </c>
      <c r="N190" s="26">
        <v>90000</v>
      </c>
      <c r="O190" s="27">
        <v>0</v>
      </c>
      <c r="P190" s="27">
        <v>0</v>
      </c>
      <c r="Q190" s="27">
        <v>0</v>
      </c>
      <c r="R190" s="27">
        <v>400000</v>
      </c>
      <c r="S190" s="27">
        <v>0</v>
      </c>
      <c r="T190" s="26">
        <v>400000</v>
      </c>
      <c r="U190" s="28">
        <v>0</v>
      </c>
      <c r="V190" s="27">
        <v>0</v>
      </c>
      <c r="W190" s="27">
        <v>0</v>
      </c>
      <c r="X190" s="27">
        <v>0</v>
      </c>
      <c r="Y190" s="27">
        <v>0</v>
      </c>
      <c r="Z190" s="26">
        <v>0</v>
      </c>
      <c r="AA190" s="27">
        <v>0</v>
      </c>
      <c r="AB190" s="27">
        <v>0</v>
      </c>
      <c r="AC190" s="27">
        <v>0</v>
      </c>
      <c r="AD190" s="27">
        <v>0</v>
      </c>
      <c r="AE190" s="26">
        <v>0</v>
      </c>
      <c r="AF190" s="27">
        <v>0</v>
      </c>
      <c r="AG190" s="27">
        <v>0</v>
      </c>
      <c r="AH190" s="27">
        <v>0</v>
      </c>
      <c r="AI190" s="27">
        <v>0</v>
      </c>
      <c r="AJ190" s="27">
        <v>0</v>
      </c>
      <c r="AK190" s="26">
        <v>0</v>
      </c>
      <c r="AL190" s="28">
        <v>0</v>
      </c>
      <c r="AM190" s="54"/>
      <c r="AN190" s="13">
        <v>0</v>
      </c>
      <c r="AO190" s="13">
        <v>0</v>
      </c>
    </row>
    <row r="191" spans="1:41" s="15" customFormat="1">
      <c r="A191" s="167"/>
      <c r="B191" s="12" t="s">
        <v>59</v>
      </c>
      <c r="C191" s="26">
        <v>37168</v>
      </c>
      <c r="D191" s="26">
        <v>37168</v>
      </c>
      <c r="E191" s="27"/>
      <c r="F191" s="27">
        <v>0</v>
      </c>
      <c r="G191" s="27">
        <v>37168</v>
      </c>
      <c r="H191" s="27">
        <v>0</v>
      </c>
      <c r="I191" s="26">
        <v>0</v>
      </c>
      <c r="J191" s="27">
        <v>0</v>
      </c>
      <c r="K191" s="27">
        <v>0</v>
      </c>
      <c r="L191" s="27">
        <v>0</v>
      </c>
      <c r="M191" s="27">
        <v>0</v>
      </c>
      <c r="N191" s="26">
        <v>30880</v>
      </c>
      <c r="O191" s="27">
        <v>0</v>
      </c>
      <c r="P191" s="27">
        <v>0</v>
      </c>
      <c r="Q191" s="27">
        <v>0</v>
      </c>
      <c r="R191" s="27">
        <v>0</v>
      </c>
      <c r="S191" s="27">
        <v>0</v>
      </c>
      <c r="T191" s="26">
        <v>0</v>
      </c>
      <c r="U191" s="28">
        <v>30880</v>
      </c>
      <c r="V191" s="27">
        <v>0</v>
      </c>
      <c r="W191" s="27">
        <v>0</v>
      </c>
      <c r="X191" s="27">
        <v>0</v>
      </c>
      <c r="Y191" s="27">
        <v>0</v>
      </c>
      <c r="Z191" s="26">
        <v>0</v>
      </c>
      <c r="AA191" s="27">
        <v>0</v>
      </c>
      <c r="AB191" s="27">
        <v>0</v>
      </c>
      <c r="AC191" s="27">
        <v>0</v>
      </c>
      <c r="AD191" s="27">
        <v>0</v>
      </c>
      <c r="AE191" s="26">
        <v>0</v>
      </c>
      <c r="AF191" s="27">
        <v>0</v>
      </c>
      <c r="AG191" s="27">
        <v>0</v>
      </c>
      <c r="AH191" s="27">
        <v>0</v>
      </c>
      <c r="AI191" s="27">
        <v>0</v>
      </c>
      <c r="AJ191" s="27">
        <v>0</v>
      </c>
      <c r="AK191" s="26">
        <v>0</v>
      </c>
      <c r="AL191" s="28">
        <v>0</v>
      </c>
      <c r="AM191" s="54"/>
      <c r="AN191" s="13">
        <v>0</v>
      </c>
      <c r="AO191" s="13">
        <v>0</v>
      </c>
    </row>
    <row r="192" spans="1:41" s="15" customFormat="1">
      <c r="A192" s="167"/>
      <c r="B192" s="12" t="s">
        <v>7</v>
      </c>
      <c r="C192" s="26"/>
      <c r="D192" s="26"/>
      <c r="E192" s="27"/>
      <c r="F192" s="27">
        <v>63982</v>
      </c>
      <c r="G192" s="27">
        <v>51426</v>
      </c>
      <c r="H192" s="27">
        <v>0</v>
      </c>
      <c r="I192" s="26">
        <v>130000</v>
      </c>
      <c r="J192" s="27">
        <v>0</v>
      </c>
      <c r="K192" s="27">
        <v>0</v>
      </c>
      <c r="L192" s="27">
        <v>0</v>
      </c>
      <c r="M192" s="27">
        <v>90000</v>
      </c>
      <c r="N192" s="26">
        <v>90000</v>
      </c>
      <c r="O192" s="27">
        <v>0</v>
      </c>
      <c r="P192" s="27">
        <v>0</v>
      </c>
      <c r="Q192" s="27">
        <v>0</v>
      </c>
      <c r="R192" s="27">
        <v>400000</v>
      </c>
      <c r="S192" s="27">
        <v>0</v>
      </c>
      <c r="T192" s="26">
        <v>400000</v>
      </c>
      <c r="U192" s="28">
        <v>692905</v>
      </c>
      <c r="V192" s="27">
        <v>0</v>
      </c>
      <c r="W192" s="27">
        <v>0</v>
      </c>
      <c r="X192" s="27">
        <v>0</v>
      </c>
      <c r="Y192" s="27">
        <v>0</v>
      </c>
      <c r="Z192" s="26">
        <v>0</v>
      </c>
      <c r="AA192" s="27">
        <v>0</v>
      </c>
      <c r="AB192" s="27">
        <v>0</v>
      </c>
      <c r="AC192" s="27">
        <v>0</v>
      </c>
      <c r="AD192" s="27">
        <v>0</v>
      </c>
      <c r="AE192" s="26">
        <v>0</v>
      </c>
      <c r="AF192" s="27">
        <v>0</v>
      </c>
      <c r="AG192" s="27">
        <v>0</v>
      </c>
      <c r="AH192" s="27">
        <v>0</v>
      </c>
      <c r="AI192" s="27">
        <v>0</v>
      </c>
      <c r="AJ192" s="27">
        <v>0</v>
      </c>
      <c r="AK192" s="26">
        <v>0</v>
      </c>
      <c r="AL192" s="28">
        <v>165637</v>
      </c>
      <c r="AM192" s="54"/>
      <c r="AN192" s="13">
        <v>0</v>
      </c>
      <c r="AO192" s="13">
        <v>0</v>
      </c>
    </row>
    <row r="193" spans="1:41" s="15" customFormat="1" ht="17" thickBot="1">
      <c r="A193" s="168"/>
      <c r="B193" s="4" t="s">
        <v>60</v>
      </c>
      <c r="C193" s="26">
        <v>153699</v>
      </c>
      <c r="D193" s="37">
        <v>72905</v>
      </c>
      <c r="E193" s="21"/>
      <c r="F193" s="21">
        <v>0</v>
      </c>
      <c r="G193" s="21">
        <v>121977</v>
      </c>
      <c r="H193" s="21">
        <v>90077</v>
      </c>
      <c r="I193" s="20">
        <v>90077</v>
      </c>
      <c r="J193" s="21">
        <v>80147</v>
      </c>
      <c r="K193" s="21">
        <v>68257</v>
      </c>
      <c r="L193" s="21">
        <v>33447</v>
      </c>
      <c r="M193" s="21">
        <v>120253</v>
      </c>
      <c r="N193" s="20">
        <v>120253</v>
      </c>
      <c r="O193" s="21">
        <v>47481</v>
      </c>
      <c r="P193" s="21">
        <v>43293</v>
      </c>
      <c r="Q193" s="21">
        <v>-18403</v>
      </c>
      <c r="R193" s="21">
        <v>342437</v>
      </c>
      <c r="S193" s="21">
        <v>165637</v>
      </c>
      <c r="T193" s="20">
        <v>165637</v>
      </c>
      <c r="U193" s="22">
        <v>165637</v>
      </c>
      <c r="V193" s="21">
        <v>165597</v>
      </c>
      <c r="W193" s="21">
        <v>165597</v>
      </c>
      <c r="X193" s="21">
        <v>164837</v>
      </c>
      <c r="Y193" s="21">
        <v>42837</v>
      </c>
      <c r="Z193" s="20">
        <v>42837</v>
      </c>
      <c r="AA193" s="21">
        <v>42837</v>
      </c>
      <c r="AB193" s="21">
        <v>42837</v>
      </c>
      <c r="AC193" s="21">
        <v>42837</v>
      </c>
      <c r="AD193" s="21">
        <v>42837</v>
      </c>
      <c r="AE193" s="20">
        <v>42837</v>
      </c>
      <c r="AF193" s="21">
        <v>42837</v>
      </c>
      <c r="AG193" s="21">
        <v>42837</v>
      </c>
      <c r="AH193" s="21">
        <v>42837</v>
      </c>
      <c r="AI193" s="21">
        <v>42837</v>
      </c>
      <c r="AJ193" s="21">
        <v>42837</v>
      </c>
      <c r="AK193" s="20">
        <v>42837</v>
      </c>
      <c r="AL193" s="22">
        <v>42837</v>
      </c>
      <c r="AM193" s="54"/>
      <c r="AN193" s="13">
        <v>0</v>
      </c>
      <c r="AO193" s="13">
        <v>0</v>
      </c>
    </row>
    <row r="194" spans="1:41" s="15" customFormat="1" ht="17" thickBot="1">
      <c r="A194" s="46"/>
      <c r="B194" s="12" t="s">
        <v>61</v>
      </c>
      <c r="C194" s="26"/>
      <c r="D194" s="26"/>
      <c r="E194" s="19">
        <v>0</v>
      </c>
      <c r="F194" s="19"/>
      <c r="G194" s="19"/>
      <c r="H194" s="19"/>
      <c r="I194" s="23"/>
      <c r="J194" s="19"/>
      <c r="K194" s="19"/>
      <c r="L194" s="19"/>
      <c r="M194" s="19"/>
      <c r="N194" s="23"/>
      <c r="O194" s="19"/>
      <c r="P194" s="19"/>
      <c r="Q194" s="19"/>
      <c r="R194" s="19"/>
      <c r="S194" s="19"/>
      <c r="T194" s="23"/>
      <c r="U194" s="24"/>
      <c r="V194" s="19"/>
      <c r="W194" s="19"/>
      <c r="X194" s="19"/>
      <c r="Y194" s="19"/>
      <c r="Z194" s="23"/>
      <c r="AA194" s="19"/>
      <c r="AB194" s="19"/>
      <c r="AC194" s="19"/>
      <c r="AD194" s="19"/>
      <c r="AE194" s="23"/>
      <c r="AF194" s="19"/>
      <c r="AG194" s="19"/>
      <c r="AH194" s="19"/>
      <c r="AI194" s="19"/>
      <c r="AJ194" s="19"/>
      <c r="AK194" s="23"/>
      <c r="AL194" s="24"/>
      <c r="AM194" s="54"/>
      <c r="AN194" s="13">
        <v>0</v>
      </c>
      <c r="AO194" s="13">
        <v>0</v>
      </c>
    </row>
    <row r="195" spans="1:41" s="15" customFormat="1">
      <c r="A195" s="166" t="s">
        <v>93</v>
      </c>
      <c r="B195" s="3" t="s">
        <v>57</v>
      </c>
      <c r="C195" s="26"/>
      <c r="D195" s="26"/>
      <c r="E195" s="27"/>
      <c r="F195" s="27">
        <v>410000</v>
      </c>
      <c r="G195" s="27">
        <v>-347325</v>
      </c>
      <c r="H195" s="27">
        <v>670735</v>
      </c>
      <c r="I195" s="26">
        <v>773410</v>
      </c>
      <c r="J195" s="27">
        <v>511436</v>
      </c>
      <c r="K195" s="27">
        <v>70315</v>
      </c>
      <c r="L195" s="27">
        <v>85145</v>
      </c>
      <c r="M195" s="27">
        <v>601389</v>
      </c>
      <c r="N195" s="26">
        <v>1268285</v>
      </c>
      <c r="O195" s="27">
        <v>179676</v>
      </c>
      <c r="P195" s="27">
        <v>18508</v>
      </c>
      <c r="Q195" s="27">
        <v>203297</v>
      </c>
      <c r="R195" s="27">
        <v>296049</v>
      </c>
      <c r="S195" s="27">
        <v>80632</v>
      </c>
      <c r="T195" s="26">
        <v>778162</v>
      </c>
      <c r="U195" s="28">
        <v>3062024</v>
      </c>
      <c r="V195" s="27">
        <v>6865</v>
      </c>
      <c r="W195" s="27">
        <v>0</v>
      </c>
      <c r="X195" s="27">
        <v>3240</v>
      </c>
      <c r="Y195" s="27">
        <v>90980</v>
      </c>
      <c r="Z195" s="26">
        <v>101085</v>
      </c>
      <c r="AA195" s="27">
        <v>0</v>
      </c>
      <c r="AB195" s="27">
        <v>0</v>
      </c>
      <c r="AC195" s="27">
        <v>6104</v>
      </c>
      <c r="AD195" s="27">
        <v>0</v>
      </c>
      <c r="AE195" s="26">
        <v>6104</v>
      </c>
      <c r="AF195" s="27">
        <v>0</v>
      </c>
      <c r="AG195" s="27">
        <v>0</v>
      </c>
      <c r="AH195" s="27">
        <v>0</v>
      </c>
      <c r="AI195" s="27">
        <v>0</v>
      </c>
      <c r="AJ195" s="27">
        <v>0</v>
      </c>
      <c r="AK195" s="26">
        <v>0</v>
      </c>
      <c r="AL195" s="28">
        <v>107189</v>
      </c>
      <c r="AM195" s="54">
        <v>32</v>
      </c>
      <c r="AN195" s="13">
        <f>U195*AM195</f>
        <v>97984768</v>
      </c>
      <c r="AO195" s="13">
        <f>AM195*AL195</f>
        <v>3430048</v>
      </c>
    </row>
    <row r="196" spans="1:41" s="15" customFormat="1">
      <c r="A196" s="167"/>
      <c r="B196" s="12" t="s">
        <v>58</v>
      </c>
      <c r="C196" s="26"/>
      <c r="D196" s="26"/>
      <c r="E196" s="27"/>
      <c r="F196" s="27">
        <v>410000</v>
      </c>
      <c r="G196" s="27">
        <v>107760</v>
      </c>
      <c r="H196" s="27">
        <v>0</v>
      </c>
      <c r="I196" s="26">
        <v>557760</v>
      </c>
      <c r="J196" s="27">
        <v>0</v>
      </c>
      <c r="K196" s="27">
        <v>0</v>
      </c>
      <c r="L196" s="27">
        <v>200000</v>
      </c>
      <c r="M196" s="27">
        <v>400000</v>
      </c>
      <c r="N196" s="26">
        <v>600000</v>
      </c>
      <c r="O196" s="27">
        <v>300000</v>
      </c>
      <c r="P196" s="27">
        <v>0</v>
      </c>
      <c r="Q196" s="27">
        <v>0</v>
      </c>
      <c r="R196" s="27">
        <v>400000</v>
      </c>
      <c r="S196" s="27">
        <v>0</v>
      </c>
      <c r="T196" s="26">
        <v>700000</v>
      </c>
      <c r="U196" s="28">
        <v>0</v>
      </c>
      <c r="V196" s="27">
        <v>0</v>
      </c>
      <c r="W196" s="27">
        <v>0</v>
      </c>
      <c r="X196" s="27">
        <v>0</v>
      </c>
      <c r="Y196" s="27">
        <v>0</v>
      </c>
      <c r="Z196" s="26">
        <v>0</v>
      </c>
      <c r="AA196" s="27">
        <v>0</v>
      </c>
      <c r="AB196" s="27">
        <v>0</v>
      </c>
      <c r="AC196" s="27">
        <v>0</v>
      </c>
      <c r="AD196" s="27">
        <v>0</v>
      </c>
      <c r="AE196" s="26">
        <v>0</v>
      </c>
      <c r="AF196" s="27">
        <v>0</v>
      </c>
      <c r="AG196" s="27">
        <v>0</v>
      </c>
      <c r="AH196" s="27">
        <v>0</v>
      </c>
      <c r="AI196" s="27">
        <v>0</v>
      </c>
      <c r="AJ196" s="27">
        <v>0</v>
      </c>
      <c r="AK196" s="26">
        <v>0</v>
      </c>
      <c r="AL196" s="28">
        <v>0</v>
      </c>
      <c r="AM196" s="54"/>
      <c r="AN196" s="13">
        <v>0</v>
      </c>
      <c r="AO196" s="13">
        <v>0</v>
      </c>
    </row>
    <row r="197" spans="1:41" s="15" customFormat="1">
      <c r="A197" s="167"/>
      <c r="B197" s="12" t="s">
        <v>59</v>
      </c>
      <c r="C197" s="26">
        <v>711214</v>
      </c>
      <c r="D197" s="26">
        <v>711214</v>
      </c>
      <c r="E197" s="27"/>
      <c r="F197" s="27">
        <v>0</v>
      </c>
      <c r="G197" s="27">
        <v>711214</v>
      </c>
      <c r="H197" s="27">
        <v>0</v>
      </c>
      <c r="I197" s="26">
        <v>0</v>
      </c>
      <c r="J197" s="27">
        <v>0</v>
      </c>
      <c r="K197" s="27">
        <v>0</v>
      </c>
      <c r="L197" s="27">
        <v>0</v>
      </c>
      <c r="M197" s="27">
        <v>0</v>
      </c>
      <c r="N197" s="26">
        <v>42198</v>
      </c>
      <c r="O197" s="27">
        <v>0</v>
      </c>
      <c r="P197" s="27">
        <v>0</v>
      </c>
      <c r="Q197" s="27">
        <v>0</v>
      </c>
      <c r="R197" s="27">
        <v>0</v>
      </c>
      <c r="S197" s="27">
        <v>0</v>
      </c>
      <c r="T197" s="26">
        <v>0</v>
      </c>
      <c r="U197" s="28">
        <v>42198</v>
      </c>
      <c r="V197" s="27">
        <v>0</v>
      </c>
      <c r="W197" s="27">
        <v>0</v>
      </c>
      <c r="X197" s="27">
        <v>0</v>
      </c>
      <c r="Y197" s="27">
        <v>0</v>
      </c>
      <c r="Z197" s="26">
        <v>0</v>
      </c>
      <c r="AA197" s="27">
        <v>0</v>
      </c>
      <c r="AB197" s="27">
        <v>0</v>
      </c>
      <c r="AC197" s="27">
        <v>0</v>
      </c>
      <c r="AD197" s="27">
        <v>0</v>
      </c>
      <c r="AE197" s="26">
        <v>0</v>
      </c>
      <c r="AF197" s="27">
        <v>0</v>
      </c>
      <c r="AG197" s="27">
        <v>0</v>
      </c>
      <c r="AH197" s="27">
        <v>0</v>
      </c>
      <c r="AI197" s="27">
        <v>0</v>
      </c>
      <c r="AJ197" s="27">
        <v>0</v>
      </c>
      <c r="AK197" s="26">
        <v>0</v>
      </c>
      <c r="AL197" s="28">
        <v>0</v>
      </c>
      <c r="AM197" s="54"/>
      <c r="AN197" s="13">
        <v>0</v>
      </c>
      <c r="AO197" s="13">
        <v>0</v>
      </c>
    </row>
    <row r="198" spans="1:41" s="15" customFormat="1">
      <c r="A198" s="167"/>
      <c r="B198" s="12" t="s">
        <v>7</v>
      </c>
      <c r="C198" s="26"/>
      <c r="D198" s="26"/>
      <c r="E198" s="32"/>
      <c r="F198" s="27">
        <v>410000</v>
      </c>
      <c r="G198" s="27">
        <v>818974</v>
      </c>
      <c r="H198" s="27">
        <v>0</v>
      </c>
      <c r="I198" s="26">
        <v>1268974</v>
      </c>
      <c r="J198" s="32">
        <v>0</v>
      </c>
      <c r="K198" s="27">
        <v>0</v>
      </c>
      <c r="L198" s="27">
        <v>200000</v>
      </c>
      <c r="M198" s="27">
        <v>400000</v>
      </c>
      <c r="N198" s="26">
        <v>600000</v>
      </c>
      <c r="O198" s="32">
        <v>300000</v>
      </c>
      <c r="P198" s="27">
        <v>0</v>
      </c>
      <c r="Q198" s="27">
        <v>0</v>
      </c>
      <c r="R198" s="27">
        <v>400000</v>
      </c>
      <c r="S198" s="27">
        <v>0</v>
      </c>
      <c r="T198" s="26">
        <v>700000</v>
      </c>
      <c r="U198" s="28">
        <v>2811141</v>
      </c>
      <c r="V198" s="32">
        <v>0</v>
      </c>
      <c r="W198" s="27">
        <v>0</v>
      </c>
      <c r="X198" s="27">
        <v>0</v>
      </c>
      <c r="Y198" s="27">
        <v>0</v>
      </c>
      <c r="Z198" s="26">
        <v>0</v>
      </c>
      <c r="AA198" s="32">
        <v>0</v>
      </c>
      <c r="AB198" s="27">
        <v>0</v>
      </c>
      <c r="AC198" s="27">
        <v>0</v>
      </c>
      <c r="AD198" s="27">
        <v>0</v>
      </c>
      <c r="AE198" s="26">
        <v>0</v>
      </c>
      <c r="AF198" s="32">
        <v>0</v>
      </c>
      <c r="AG198" s="27">
        <v>0</v>
      </c>
      <c r="AH198" s="27">
        <v>0</v>
      </c>
      <c r="AI198" s="27">
        <v>0</v>
      </c>
      <c r="AJ198" s="27">
        <v>0</v>
      </c>
      <c r="AK198" s="26">
        <v>0</v>
      </c>
      <c r="AL198" s="28">
        <v>-250883</v>
      </c>
      <c r="AM198" s="54"/>
      <c r="AN198" s="13">
        <v>0</v>
      </c>
      <c r="AO198" s="13">
        <v>0</v>
      </c>
    </row>
    <row r="199" spans="1:41" s="15" customFormat="1" ht="17" thickBot="1">
      <c r="A199" s="168"/>
      <c r="B199" s="4" t="s">
        <v>60</v>
      </c>
      <c r="C199" s="26">
        <v>1380387</v>
      </c>
      <c r="D199" s="37">
        <v>242167</v>
      </c>
      <c r="E199" s="21"/>
      <c r="F199" s="21">
        <v>0</v>
      </c>
      <c r="G199" s="21">
        <v>1166299</v>
      </c>
      <c r="H199" s="21">
        <v>495564</v>
      </c>
      <c r="I199" s="20">
        <v>495564</v>
      </c>
      <c r="J199" s="21">
        <v>-15872</v>
      </c>
      <c r="K199" s="21">
        <v>-86187</v>
      </c>
      <c r="L199" s="21">
        <v>28668</v>
      </c>
      <c r="M199" s="21">
        <v>-172721</v>
      </c>
      <c r="N199" s="20">
        <v>-172721</v>
      </c>
      <c r="O199" s="21">
        <v>-52397</v>
      </c>
      <c r="P199" s="21">
        <v>-70905</v>
      </c>
      <c r="Q199" s="21">
        <v>-274202</v>
      </c>
      <c r="R199" s="21">
        <v>-170251</v>
      </c>
      <c r="S199" s="21">
        <v>-250883</v>
      </c>
      <c r="T199" s="20">
        <v>-250883</v>
      </c>
      <c r="U199" s="22">
        <v>-250883</v>
      </c>
      <c r="V199" s="21">
        <v>-257748</v>
      </c>
      <c r="W199" s="21">
        <v>-257748</v>
      </c>
      <c r="X199" s="21">
        <v>-260988</v>
      </c>
      <c r="Y199" s="21">
        <v>-351968</v>
      </c>
      <c r="Z199" s="20">
        <v>-351968</v>
      </c>
      <c r="AA199" s="21">
        <v>-351968</v>
      </c>
      <c r="AB199" s="21">
        <v>-351968</v>
      </c>
      <c r="AC199" s="21">
        <v>-358072</v>
      </c>
      <c r="AD199" s="21">
        <v>-358072</v>
      </c>
      <c r="AE199" s="20">
        <v>-358072</v>
      </c>
      <c r="AF199" s="21">
        <v>-358072</v>
      </c>
      <c r="AG199" s="21">
        <v>-358072</v>
      </c>
      <c r="AH199" s="21">
        <v>-358072</v>
      </c>
      <c r="AI199" s="21">
        <v>-358072</v>
      </c>
      <c r="AJ199" s="21">
        <v>-358072</v>
      </c>
      <c r="AK199" s="20">
        <v>-358072</v>
      </c>
      <c r="AL199" s="22">
        <v>-358072</v>
      </c>
      <c r="AM199" s="54"/>
      <c r="AN199" s="13">
        <v>0</v>
      </c>
      <c r="AO199" s="13">
        <v>0</v>
      </c>
    </row>
    <row r="200" spans="1:41" s="15" customFormat="1" ht="17" thickBot="1">
      <c r="A200" s="5"/>
      <c r="B200" s="12" t="s">
        <v>61</v>
      </c>
      <c r="C200" s="26"/>
      <c r="D200" s="26"/>
      <c r="E200" s="19">
        <v>0</v>
      </c>
      <c r="F200" s="19"/>
      <c r="G200" s="19"/>
      <c r="H200" s="19"/>
      <c r="I200" s="23"/>
      <c r="J200" s="19"/>
      <c r="K200" s="19"/>
      <c r="L200" s="19"/>
      <c r="M200" s="19"/>
      <c r="N200" s="23"/>
      <c r="O200" s="19"/>
      <c r="P200" s="19"/>
      <c r="Q200" s="19"/>
      <c r="R200" s="19"/>
      <c r="S200" s="19"/>
      <c r="T200" s="23"/>
      <c r="U200" s="24"/>
      <c r="V200" s="19"/>
      <c r="W200" s="19"/>
      <c r="X200" s="19"/>
      <c r="Y200" s="19"/>
      <c r="Z200" s="23"/>
      <c r="AA200" s="19"/>
      <c r="AB200" s="19"/>
      <c r="AC200" s="19"/>
      <c r="AD200" s="19"/>
      <c r="AE200" s="23"/>
      <c r="AF200" s="19"/>
      <c r="AG200" s="19"/>
      <c r="AH200" s="19"/>
      <c r="AI200" s="19"/>
      <c r="AJ200" s="19"/>
      <c r="AK200" s="23"/>
      <c r="AL200" s="24"/>
      <c r="AM200" s="54"/>
      <c r="AN200" s="13">
        <v>0</v>
      </c>
      <c r="AO200" s="13">
        <v>0</v>
      </c>
    </row>
    <row r="201" spans="1:41" s="15" customFormat="1">
      <c r="A201" s="166" t="s">
        <v>94</v>
      </c>
      <c r="B201" s="3" t="s">
        <v>57</v>
      </c>
      <c r="C201" s="26"/>
      <c r="D201" s="26"/>
      <c r="E201" s="27"/>
      <c r="F201" s="27">
        <v>2000</v>
      </c>
      <c r="G201" s="27">
        <v>-20052</v>
      </c>
      <c r="H201" s="27">
        <v>84930</v>
      </c>
      <c r="I201" s="26">
        <v>66878</v>
      </c>
      <c r="J201" s="27">
        <v>84907</v>
      </c>
      <c r="K201" s="27">
        <v>8490</v>
      </c>
      <c r="L201" s="27">
        <v>4238</v>
      </c>
      <c r="M201" s="27">
        <v>90016</v>
      </c>
      <c r="N201" s="26">
        <v>187651</v>
      </c>
      <c r="O201" s="27">
        <v>11021</v>
      </c>
      <c r="P201" s="27">
        <v>2174</v>
      </c>
      <c r="Q201" s="27">
        <v>8640</v>
      </c>
      <c r="R201" s="27">
        <v>28208</v>
      </c>
      <c r="S201" s="27">
        <v>0</v>
      </c>
      <c r="T201" s="26">
        <v>50043</v>
      </c>
      <c r="U201" s="28">
        <v>340988</v>
      </c>
      <c r="V201" s="27">
        <v>0</v>
      </c>
      <c r="W201" s="27">
        <v>0</v>
      </c>
      <c r="X201" s="27">
        <v>0</v>
      </c>
      <c r="Y201" s="27">
        <v>0</v>
      </c>
      <c r="Z201" s="26">
        <v>0</v>
      </c>
      <c r="AA201" s="27">
        <v>0</v>
      </c>
      <c r="AB201" s="27">
        <v>0</v>
      </c>
      <c r="AC201" s="27">
        <v>104</v>
      </c>
      <c r="AD201" s="27">
        <v>0</v>
      </c>
      <c r="AE201" s="26">
        <v>104</v>
      </c>
      <c r="AF201" s="27">
        <v>0</v>
      </c>
      <c r="AG201" s="27">
        <v>0</v>
      </c>
      <c r="AH201" s="27">
        <v>0</v>
      </c>
      <c r="AI201" s="27">
        <v>0</v>
      </c>
      <c r="AJ201" s="27">
        <v>0</v>
      </c>
      <c r="AK201" s="26">
        <v>0</v>
      </c>
      <c r="AL201" s="28">
        <v>104</v>
      </c>
      <c r="AM201" s="54">
        <v>64</v>
      </c>
      <c r="AN201" s="13">
        <f>U201*AM201</f>
        <v>21823232</v>
      </c>
      <c r="AO201" s="13">
        <f>AM201*AL201</f>
        <v>6656</v>
      </c>
    </row>
    <row r="202" spans="1:41" s="15" customFormat="1">
      <c r="A202" s="167"/>
      <c r="B202" s="12" t="s">
        <v>58</v>
      </c>
      <c r="C202" s="26"/>
      <c r="D202" s="26"/>
      <c r="E202" s="27"/>
      <c r="F202" s="27">
        <v>2000</v>
      </c>
      <c r="G202" s="27">
        <v>28560</v>
      </c>
      <c r="H202" s="27">
        <v>0</v>
      </c>
      <c r="I202" s="26">
        <v>30560</v>
      </c>
      <c r="J202" s="27">
        <v>0</v>
      </c>
      <c r="K202" s="27">
        <v>0</v>
      </c>
      <c r="L202" s="27">
        <v>80000</v>
      </c>
      <c r="M202" s="27">
        <v>100000</v>
      </c>
      <c r="N202" s="26">
        <v>180000</v>
      </c>
      <c r="O202" s="27">
        <v>0</v>
      </c>
      <c r="P202" s="27">
        <v>0</v>
      </c>
      <c r="Q202" s="27">
        <v>0</v>
      </c>
      <c r="R202" s="27">
        <v>80000</v>
      </c>
      <c r="S202" s="27">
        <v>0</v>
      </c>
      <c r="T202" s="26">
        <v>80000</v>
      </c>
      <c r="U202" s="28">
        <v>0</v>
      </c>
      <c r="V202" s="27">
        <v>0</v>
      </c>
      <c r="W202" s="27">
        <v>0</v>
      </c>
      <c r="X202" s="27">
        <v>0</v>
      </c>
      <c r="Y202" s="27">
        <v>0</v>
      </c>
      <c r="Z202" s="26">
        <v>0</v>
      </c>
      <c r="AA202" s="27">
        <v>0</v>
      </c>
      <c r="AB202" s="27">
        <v>0</v>
      </c>
      <c r="AC202" s="27">
        <v>0</v>
      </c>
      <c r="AD202" s="27">
        <v>0</v>
      </c>
      <c r="AE202" s="26">
        <v>0</v>
      </c>
      <c r="AF202" s="27">
        <v>0</v>
      </c>
      <c r="AG202" s="27">
        <v>0</v>
      </c>
      <c r="AH202" s="27">
        <v>0</v>
      </c>
      <c r="AI202" s="27">
        <v>0</v>
      </c>
      <c r="AJ202" s="27">
        <v>0</v>
      </c>
      <c r="AK202" s="26">
        <v>0</v>
      </c>
      <c r="AL202" s="28">
        <v>0</v>
      </c>
      <c r="AM202" s="54"/>
      <c r="AN202" s="13">
        <v>0</v>
      </c>
      <c r="AO202" s="13">
        <v>0</v>
      </c>
    </row>
    <row r="203" spans="1:41" s="15" customFormat="1">
      <c r="A203" s="167"/>
      <c r="B203" s="12" t="s">
        <v>59</v>
      </c>
      <c r="C203" s="26">
        <v>58716</v>
      </c>
      <c r="D203" s="26">
        <v>58716</v>
      </c>
      <c r="E203" s="27"/>
      <c r="F203" s="27">
        <v>0</v>
      </c>
      <c r="G203" s="27">
        <v>58716</v>
      </c>
      <c r="H203" s="27">
        <v>0</v>
      </c>
      <c r="I203" s="26">
        <v>0</v>
      </c>
      <c r="J203" s="27">
        <v>0</v>
      </c>
      <c r="K203" s="27">
        <v>0</v>
      </c>
      <c r="L203" s="27">
        <v>0</v>
      </c>
      <c r="M203" s="27">
        <v>0</v>
      </c>
      <c r="N203" s="26">
        <v>0</v>
      </c>
      <c r="O203" s="27">
        <v>0</v>
      </c>
      <c r="P203" s="27">
        <v>0</v>
      </c>
      <c r="Q203" s="27">
        <v>0</v>
      </c>
      <c r="R203" s="27">
        <v>0</v>
      </c>
      <c r="S203" s="27">
        <v>0</v>
      </c>
      <c r="T203" s="26">
        <v>0</v>
      </c>
      <c r="U203" s="28">
        <v>0</v>
      </c>
      <c r="V203" s="27">
        <v>0</v>
      </c>
      <c r="W203" s="27">
        <v>0</v>
      </c>
      <c r="X203" s="27">
        <v>0</v>
      </c>
      <c r="Y203" s="27">
        <v>0</v>
      </c>
      <c r="Z203" s="26">
        <v>0</v>
      </c>
      <c r="AA203" s="27">
        <v>0</v>
      </c>
      <c r="AB203" s="27">
        <v>0</v>
      </c>
      <c r="AC203" s="27">
        <v>0</v>
      </c>
      <c r="AD203" s="27">
        <v>0</v>
      </c>
      <c r="AE203" s="26">
        <v>0</v>
      </c>
      <c r="AF203" s="27">
        <v>0</v>
      </c>
      <c r="AG203" s="27">
        <v>0</v>
      </c>
      <c r="AH203" s="27">
        <v>0</v>
      </c>
      <c r="AI203" s="27">
        <v>0</v>
      </c>
      <c r="AJ203" s="27">
        <v>0</v>
      </c>
      <c r="AK203" s="26">
        <v>0</v>
      </c>
      <c r="AL203" s="28">
        <v>0</v>
      </c>
      <c r="AM203" s="54"/>
      <c r="AN203" s="13">
        <v>0</v>
      </c>
      <c r="AO203" s="13">
        <v>0</v>
      </c>
    </row>
    <row r="204" spans="1:41" s="15" customFormat="1">
      <c r="A204" s="167"/>
      <c r="B204" s="12" t="s">
        <v>7</v>
      </c>
      <c r="C204" s="26"/>
      <c r="D204" s="26"/>
      <c r="E204" s="32"/>
      <c r="F204" s="27">
        <v>2000</v>
      </c>
      <c r="G204" s="27">
        <v>87276</v>
      </c>
      <c r="H204" s="27">
        <v>0</v>
      </c>
      <c r="I204" s="26">
        <v>89276</v>
      </c>
      <c r="J204" s="32">
        <v>0</v>
      </c>
      <c r="K204" s="27">
        <v>0</v>
      </c>
      <c r="L204" s="27">
        <v>80000</v>
      </c>
      <c r="M204" s="27">
        <v>100000</v>
      </c>
      <c r="N204" s="26">
        <v>180000</v>
      </c>
      <c r="O204" s="32">
        <v>0</v>
      </c>
      <c r="P204" s="27">
        <v>0</v>
      </c>
      <c r="Q204" s="27">
        <v>0</v>
      </c>
      <c r="R204" s="27">
        <v>80000</v>
      </c>
      <c r="S204" s="27">
        <v>0</v>
      </c>
      <c r="T204" s="26">
        <v>80000</v>
      </c>
      <c r="U204" s="28">
        <v>385692</v>
      </c>
      <c r="V204" s="32">
        <v>0</v>
      </c>
      <c r="W204" s="27">
        <v>0</v>
      </c>
      <c r="X204" s="27">
        <v>0</v>
      </c>
      <c r="Y204" s="27">
        <v>0</v>
      </c>
      <c r="Z204" s="26">
        <v>0</v>
      </c>
      <c r="AA204" s="32">
        <v>0</v>
      </c>
      <c r="AB204" s="27">
        <v>0</v>
      </c>
      <c r="AC204" s="27">
        <v>0</v>
      </c>
      <c r="AD204" s="27">
        <v>0</v>
      </c>
      <c r="AE204" s="26">
        <v>0</v>
      </c>
      <c r="AF204" s="32">
        <v>0</v>
      </c>
      <c r="AG204" s="27">
        <v>0</v>
      </c>
      <c r="AH204" s="27">
        <v>0</v>
      </c>
      <c r="AI204" s="27">
        <v>0</v>
      </c>
      <c r="AJ204" s="27">
        <v>0</v>
      </c>
      <c r="AK204" s="26">
        <v>0</v>
      </c>
      <c r="AL204" s="28">
        <v>44704</v>
      </c>
      <c r="AM204" s="54"/>
      <c r="AN204" s="13">
        <v>0</v>
      </c>
      <c r="AO204" s="13">
        <v>0</v>
      </c>
    </row>
    <row r="205" spans="1:41" s="15" customFormat="1" ht="17" thickBot="1">
      <c r="A205" s="168"/>
      <c r="B205" s="4" t="s">
        <v>60</v>
      </c>
      <c r="C205" s="26">
        <v>91922</v>
      </c>
      <c r="D205" s="37">
        <v>36416</v>
      </c>
      <c r="E205" s="21"/>
      <c r="F205" s="21">
        <v>0</v>
      </c>
      <c r="G205" s="21">
        <v>107328</v>
      </c>
      <c r="H205" s="21">
        <v>22398</v>
      </c>
      <c r="I205" s="20">
        <v>22398</v>
      </c>
      <c r="J205" s="21">
        <v>-62509</v>
      </c>
      <c r="K205" s="21">
        <v>-70999</v>
      </c>
      <c r="L205" s="21">
        <v>4763</v>
      </c>
      <c r="M205" s="21">
        <v>14747</v>
      </c>
      <c r="N205" s="20">
        <v>14747</v>
      </c>
      <c r="O205" s="21">
        <v>3726</v>
      </c>
      <c r="P205" s="21">
        <v>1552</v>
      </c>
      <c r="Q205" s="21">
        <v>-7088</v>
      </c>
      <c r="R205" s="21">
        <v>44704</v>
      </c>
      <c r="S205" s="21">
        <v>44704</v>
      </c>
      <c r="T205" s="20">
        <v>44704</v>
      </c>
      <c r="U205" s="22">
        <v>44704</v>
      </c>
      <c r="V205" s="21">
        <v>44704</v>
      </c>
      <c r="W205" s="21">
        <v>44704</v>
      </c>
      <c r="X205" s="21">
        <v>44704</v>
      </c>
      <c r="Y205" s="21">
        <v>44704</v>
      </c>
      <c r="Z205" s="20">
        <v>44704</v>
      </c>
      <c r="AA205" s="21">
        <v>44704</v>
      </c>
      <c r="AB205" s="21">
        <v>44704</v>
      </c>
      <c r="AC205" s="21">
        <v>44600</v>
      </c>
      <c r="AD205" s="21">
        <v>44600</v>
      </c>
      <c r="AE205" s="20">
        <v>44600</v>
      </c>
      <c r="AF205" s="21">
        <v>44600</v>
      </c>
      <c r="AG205" s="21">
        <v>44600</v>
      </c>
      <c r="AH205" s="21">
        <v>44600</v>
      </c>
      <c r="AI205" s="21">
        <v>44600</v>
      </c>
      <c r="AJ205" s="21">
        <v>44600</v>
      </c>
      <c r="AK205" s="20">
        <v>44600</v>
      </c>
      <c r="AL205" s="22">
        <v>44600</v>
      </c>
      <c r="AM205" s="54"/>
      <c r="AN205" s="13">
        <v>0</v>
      </c>
      <c r="AO205" s="13">
        <v>0</v>
      </c>
    </row>
    <row r="206" spans="1:41" s="15" customFormat="1" ht="17" thickBot="1">
      <c r="A206" s="46"/>
      <c r="B206" s="12" t="s">
        <v>61</v>
      </c>
      <c r="C206" s="26"/>
      <c r="D206" s="26"/>
      <c r="E206" s="19">
        <v>0</v>
      </c>
      <c r="F206" s="19"/>
      <c r="G206" s="19"/>
      <c r="H206" s="19"/>
      <c r="I206" s="23"/>
      <c r="J206" s="19"/>
      <c r="K206" s="19"/>
      <c r="L206" s="19"/>
      <c r="M206" s="19"/>
      <c r="N206" s="23"/>
      <c r="O206" s="19"/>
      <c r="P206" s="19"/>
      <c r="Q206" s="19"/>
      <c r="R206" s="19"/>
      <c r="S206" s="19"/>
      <c r="T206" s="23"/>
      <c r="U206" s="24"/>
      <c r="V206" s="19"/>
      <c r="W206" s="19"/>
      <c r="X206" s="19"/>
      <c r="Y206" s="19"/>
      <c r="Z206" s="23"/>
      <c r="AA206" s="19"/>
      <c r="AB206" s="19"/>
      <c r="AC206" s="19"/>
      <c r="AD206" s="19"/>
      <c r="AE206" s="23"/>
      <c r="AF206" s="19"/>
      <c r="AG206" s="19"/>
      <c r="AH206" s="19"/>
      <c r="AI206" s="19"/>
      <c r="AJ206" s="19"/>
      <c r="AK206" s="23"/>
      <c r="AL206" s="24"/>
      <c r="AM206" s="54"/>
      <c r="AN206" s="13">
        <v>0</v>
      </c>
      <c r="AO206" s="13">
        <v>0</v>
      </c>
    </row>
    <row r="207" spans="1:41" s="15" customFormat="1">
      <c r="A207" s="166" t="s">
        <v>95</v>
      </c>
      <c r="B207" s="3" t="s">
        <v>57</v>
      </c>
      <c r="C207" s="26"/>
      <c r="D207" s="26"/>
      <c r="E207" s="27"/>
      <c r="F207" s="27">
        <v>0</v>
      </c>
      <c r="G207" s="27">
        <v>20906</v>
      </c>
      <c r="H207" s="27">
        <v>3756</v>
      </c>
      <c r="I207" s="26">
        <v>24662</v>
      </c>
      <c r="J207" s="27">
        <v>140</v>
      </c>
      <c r="K207" s="27">
        <v>140</v>
      </c>
      <c r="L207" s="27">
        <v>176</v>
      </c>
      <c r="M207" s="27">
        <v>56</v>
      </c>
      <c r="N207" s="26">
        <v>512</v>
      </c>
      <c r="O207" s="27">
        <v>56</v>
      </c>
      <c r="P207" s="27">
        <v>56</v>
      </c>
      <c r="Q207" s="27">
        <v>116</v>
      </c>
      <c r="R207" s="27">
        <v>0</v>
      </c>
      <c r="S207" s="27">
        <v>0</v>
      </c>
      <c r="T207" s="26">
        <v>228</v>
      </c>
      <c r="U207" s="28">
        <v>46376</v>
      </c>
      <c r="V207" s="27">
        <v>0</v>
      </c>
      <c r="W207" s="27">
        <v>0</v>
      </c>
      <c r="X207" s="27">
        <v>0</v>
      </c>
      <c r="Y207" s="27">
        <v>0</v>
      </c>
      <c r="Z207" s="26">
        <v>0</v>
      </c>
      <c r="AA207" s="27">
        <v>0</v>
      </c>
      <c r="AB207" s="27">
        <v>0</v>
      </c>
      <c r="AC207" s="27">
        <v>0</v>
      </c>
      <c r="AD207" s="27">
        <v>0</v>
      </c>
      <c r="AE207" s="26">
        <v>0</v>
      </c>
      <c r="AF207" s="27">
        <v>0</v>
      </c>
      <c r="AG207" s="27">
        <v>0</v>
      </c>
      <c r="AH207" s="27">
        <v>0</v>
      </c>
      <c r="AI207" s="27">
        <v>0</v>
      </c>
      <c r="AJ207" s="27">
        <v>0</v>
      </c>
      <c r="AK207" s="26">
        <v>0</v>
      </c>
      <c r="AL207" s="28">
        <v>0</v>
      </c>
      <c r="AM207" s="54">
        <v>16</v>
      </c>
      <c r="AN207" s="13">
        <f>U207*AM207</f>
        <v>742016</v>
      </c>
      <c r="AO207" s="13">
        <f>AM207*AL207</f>
        <v>0</v>
      </c>
    </row>
    <row r="208" spans="1:41" s="15" customFormat="1">
      <c r="A208" s="167"/>
      <c r="B208" s="12" t="s">
        <v>58</v>
      </c>
      <c r="C208" s="26"/>
      <c r="D208" s="26"/>
      <c r="E208" s="27"/>
      <c r="F208" s="27">
        <v>0</v>
      </c>
      <c r="G208" s="27">
        <v>0</v>
      </c>
      <c r="H208" s="27">
        <v>0</v>
      </c>
      <c r="I208" s="26">
        <v>0</v>
      </c>
      <c r="J208" s="27">
        <v>0</v>
      </c>
      <c r="K208" s="27">
        <v>0</v>
      </c>
      <c r="L208" s="27">
        <v>0</v>
      </c>
      <c r="M208" s="27">
        <v>30000</v>
      </c>
      <c r="N208" s="26">
        <v>30000</v>
      </c>
      <c r="O208" s="27">
        <v>0</v>
      </c>
      <c r="P208" s="27">
        <v>0</v>
      </c>
      <c r="Q208" s="27">
        <v>0</v>
      </c>
      <c r="R208" s="27">
        <v>0</v>
      </c>
      <c r="S208" s="27">
        <v>0</v>
      </c>
      <c r="T208" s="26">
        <v>0</v>
      </c>
      <c r="U208" s="28">
        <v>0</v>
      </c>
      <c r="V208" s="27">
        <v>0</v>
      </c>
      <c r="W208" s="27">
        <v>0</v>
      </c>
      <c r="X208" s="27">
        <v>0</v>
      </c>
      <c r="Y208" s="27">
        <v>0</v>
      </c>
      <c r="Z208" s="26">
        <v>0</v>
      </c>
      <c r="AA208" s="27">
        <v>0</v>
      </c>
      <c r="AB208" s="27">
        <v>0</v>
      </c>
      <c r="AC208" s="27">
        <v>0</v>
      </c>
      <c r="AD208" s="27">
        <v>0</v>
      </c>
      <c r="AE208" s="26">
        <v>0</v>
      </c>
      <c r="AF208" s="27">
        <v>0</v>
      </c>
      <c r="AG208" s="27">
        <v>0</v>
      </c>
      <c r="AH208" s="27">
        <v>0</v>
      </c>
      <c r="AI208" s="27">
        <v>0</v>
      </c>
      <c r="AJ208" s="27">
        <v>0</v>
      </c>
      <c r="AK208" s="26">
        <v>0</v>
      </c>
      <c r="AL208" s="28">
        <v>0</v>
      </c>
      <c r="AM208" s="54"/>
      <c r="AN208" s="13">
        <v>0</v>
      </c>
      <c r="AO208" s="13">
        <v>0</v>
      </c>
    </row>
    <row r="209" spans="1:41" s="15" customFormat="1">
      <c r="A209" s="167"/>
      <c r="B209" s="12" t="s">
        <v>59</v>
      </c>
      <c r="C209" s="26">
        <v>0</v>
      </c>
      <c r="D209" s="26">
        <v>0</v>
      </c>
      <c r="E209" s="27"/>
      <c r="F209" s="27">
        <v>0</v>
      </c>
      <c r="G209" s="27">
        <v>0</v>
      </c>
      <c r="H209" s="27">
        <v>0</v>
      </c>
      <c r="I209" s="26">
        <v>0</v>
      </c>
      <c r="J209" s="27">
        <v>0</v>
      </c>
      <c r="K209" s="27">
        <v>0</v>
      </c>
      <c r="L209" s="27">
        <v>0</v>
      </c>
      <c r="M209" s="27">
        <v>0</v>
      </c>
      <c r="N209" s="26">
        <v>0</v>
      </c>
      <c r="O209" s="27">
        <v>0</v>
      </c>
      <c r="P209" s="27">
        <v>0</v>
      </c>
      <c r="Q209" s="27">
        <v>0</v>
      </c>
      <c r="R209" s="27">
        <v>0</v>
      </c>
      <c r="S209" s="27">
        <v>0</v>
      </c>
      <c r="T209" s="26">
        <v>0</v>
      </c>
      <c r="U209" s="28">
        <v>0</v>
      </c>
      <c r="V209" s="27">
        <v>0</v>
      </c>
      <c r="W209" s="27">
        <v>0</v>
      </c>
      <c r="X209" s="27">
        <v>0</v>
      </c>
      <c r="Y209" s="27">
        <v>0</v>
      </c>
      <c r="Z209" s="26">
        <v>0</v>
      </c>
      <c r="AA209" s="27">
        <v>0</v>
      </c>
      <c r="AB209" s="27">
        <v>0</v>
      </c>
      <c r="AC209" s="27">
        <v>0</v>
      </c>
      <c r="AD209" s="27">
        <v>0</v>
      </c>
      <c r="AE209" s="26">
        <v>0</v>
      </c>
      <c r="AF209" s="27">
        <v>0</v>
      </c>
      <c r="AG209" s="27">
        <v>0</v>
      </c>
      <c r="AH209" s="27">
        <v>0</v>
      </c>
      <c r="AI209" s="27">
        <v>0</v>
      </c>
      <c r="AJ209" s="27">
        <v>0</v>
      </c>
      <c r="AK209" s="26">
        <v>0</v>
      </c>
      <c r="AL209" s="28">
        <v>0</v>
      </c>
      <c r="AM209" s="54"/>
      <c r="AN209" s="13">
        <v>0</v>
      </c>
      <c r="AO209" s="13">
        <v>0</v>
      </c>
    </row>
    <row r="210" spans="1:41" s="15" customFormat="1">
      <c r="A210" s="167"/>
      <c r="B210" s="12" t="s">
        <v>7</v>
      </c>
      <c r="C210" s="26"/>
      <c r="D210" s="26"/>
      <c r="E210" s="32"/>
      <c r="F210" s="27">
        <v>0</v>
      </c>
      <c r="G210" s="27">
        <v>0</v>
      </c>
      <c r="H210" s="27">
        <v>0</v>
      </c>
      <c r="I210" s="26">
        <v>0</v>
      </c>
      <c r="J210" s="32">
        <v>0</v>
      </c>
      <c r="K210" s="27">
        <v>0</v>
      </c>
      <c r="L210" s="27">
        <v>0</v>
      </c>
      <c r="M210" s="27">
        <v>30000</v>
      </c>
      <c r="N210" s="26">
        <v>30000</v>
      </c>
      <c r="O210" s="32">
        <v>0</v>
      </c>
      <c r="P210" s="27">
        <v>0</v>
      </c>
      <c r="Q210" s="27">
        <v>0</v>
      </c>
      <c r="R210" s="27">
        <v>0</v>
      </c>
      <c r="S210" s="27">
        <v>0</v>
      </c>
      <c r="T210" s="26">
        <v>0</v>
      </c>
      <c r="U210" s="28">
        <v>50974</v>
      </c>
      <c r="V210" s="32">
        <v>0</v>
      </c>
      <c r="W210" s="27">
        <v>0</v>
      </c>
      <c r="X210" s="27">
        <v>0</v>
      </c>
      <c r="Y210" s="27">
        <v>0</v>
      </c>
      <c r="Z210" s="26">
        <v>0</v>
      </c>
      <c r="AA210" s="32">
        <v>0</v>
      </c>
      <c r="AB210" s="27">
        <v>0</v>
      </c>
      <c r="AC210" s="27">
        <v>0</v>
      </c>
      <c r="AD210" s="27">
        <v>0</v>
      </c>
      <c r="AE210" s="26">
        <v>0</v>
      </c>
      <c r="AF210" s="32">
        <v>0</v>
      </c>
      <c r="AG210" s="27">
        <v>0</v>
      </c>
      <c r="AH210" s="27">
        <v>0</v>
      </c>
      <c r="AI210" s="27">
        <v>0</v>
      </c>
      <c r="AJ210" s="27">
        <v>0</v>
      </c>
      <c r="AK210" s="26">
        <v>0</v>
      </c>
      <c r="AL210" s="28">
        <v>4598</v>
      </c>
      <c r="AM210" s="54"/>
      <c r="AN210" s="13">
        <v>0</v>
      </c>
      <c r="AO210" s="13">
        <v>0</v>
      </c>
    </row>
    <row r="211" spans="1:41" s="15" customFormat="1" ht="17" thickBot="1">
      <c r="A211" s="168"/>
      <c r="B211" s="4" t="s">
        <v>60</v>
      </c>
      <c r="C211" s="34">
        <v>18186</v>
      </c>
      <c r="D211" s="35">
        <v>20974</v>
      </c>
      <c r="E211" s="21"/>
      <c r="F211" s="21">
        <v>0</v>
      </c>
      <c r="G211" s="21">
        <v>-20906</v>
      </c>
      <c r="H211" s="21">
        <v>-24662</v>
      </c>
      <c r="I211" s="20">
        <v>-24662</v>
      </c>
      <c r="J211" s="21">
        <v>-24802</v>
      </c>
      <c r="K211" s="21">
        <v>-24942</v>
      </c>
      <c r="L211" s="21">
        <v>-25118</v>
      </c>
      <c r="M211" s="21">
        <v>4826</v>
      </c>
      <c r="N211" s="20">
        <v>4826</v>
      </c>
      <c r="O211" s="21">
        <v>4770</v>
      </c>
      <c r="P211" s="21">
        <v>4714</v>
      </c>
      <c r="Q211" s="21">
        <v>4598</v>
      </c>
      <c r="R211" s="21">
        <v>4598</v>
      </c>
      <c r="S211" s="21">
        <v>4598</v>
      </c>
      <c r="T211" s="20">
        <v>4598</v>
      </c>
      <c r="U211" s="22">
        <v>4598</v>
      </c>
      <c r="V211" s="21">
        <v>4598</v>
      </c>
      <c r="W211" s="21">
        <v>4598</v>
      </c>
      <c r="X211" s="21">
        <v>4598</v>
      </c>
      <c r="Y211" s="21">
        <v>4598</v>
      </c>
      <c r="Z211" s="20">
        <v>4598</v>
      </c>
      <c r="AA211" s="21">
        <v>4598</v>
      </c>
      <c r="AB211" s="21">
        <v>4598</v>
      </c>
      <c r="AC211" s="21">
        <v>4598</v>
      </c>
      <c r="AD211" s="21">
        <v>4598</v>
      </c>
      <c r="AE211" s="20">
        <v>4598</v>
      </c>
      <c r="AF211" s="21">
        <v>4598</v>
      </c>
      <c r="AG211" s="21">
        <v>4598</v>
      </c>
      <c r="AH211" s="21">
        <v>4598</v>
      </c>
      <c r="AI211" s="21">
        <v>4598</v>
      </c>
      <c r="AJ211" s="21">
        <v>4598</v>
      </c>
      <c r="AK211" s="20">
        <v>4598</v>
      </c>
      <c r="AL211" s="22">
        <v>4598</v>
      </c>
      <c r="AM211" s="54"/>
      <c r="AN211" s="13">
        <v>0</v>
      </c>
      <c r="AO211" s="13">
        <v>0</v>
      </c>
    </row>
    <row r="212" spans="1:41" s="15" customFormat="1" ht="17" thickBot="1">
      <c r="A212" s="46" t="s">
        <v>95</v>
      </c>
      <c r="B212" s="12"/>
      <c r="C212" s="26"/>
      <c r="D212" s="26"/>
      <c r="E212" s="19"/>
      <c r="F212" s="19">
        <v>0</v>
      </c>
      <c r="G212" s="19">
        <v>0</v>
      </c>
      <c r="H212" s="19">
        <v>0</v>
      </c>
      <c r="I212" s="23">
        <v>0</v>
      </c>
      <c r="J212" s="19">
        <v>0</v>
      </c>
      <c r="K212" s="19">
        <v>0</v>
      </c>
      <c r="L212" s="19">
        <v>0</v>
      </c>
      <c r="M212" s="19">
        <v>0</v>
      </c>
      <c r="N212" s="23">
        <v>0</v>
      </c>
      <c r="O212" s="19">
        <v>0</v>
      </c>
      <c r="P212" s="19">
        <v>0</v>
      </c>
      <c r="Q212" s="19">
        <v>0</v>
      </c>
      <c r="R212" s="19">
        <v>0</v>
      </c>
      <c r="S212" s="19">
        <v>0</v>
      </c>
      <c r="T212" s="23">
        <v>0</v>
      </c>
      <c r="U212" s="24">
        <v>0</v>
      </c>
      <c r="V212" s="19">
        <v>0</v>
      </c>
      <c r="W212" s="19">
        <v>0</v>
      </c>
      <c r="X212" s="19">
        <v>0</v>
      </c>
      <c r="Y212" s="19">
        <v>0</v>
      </c>
      <c r="Z212" s="23">
        <v>0</v>
      </c>
      <c r="AA212" s="19">
        <v>0</v>
      </c>
      <c r="AB212" s="19">
        <v>0</v>
      </c>
      <c r="AC212" s="19">
        <v>0</v>
      </c>
      <c r="AD212" s="19">
        <v>0</v>
      </c>
      <c r="AE212" s="23">
        <v>0</v>
      </c>
      <c r="AF212" s="19">
        <v>0</v>
      </c>
      <c r="AG212" s="19">
        <v>0</v>
      </c>
      <c r="AH212" s="19">
        <v>0</v>
      </c>
      <c r="AI212" s="19">
        <v>0</v>
      </c>
      <c r="AJ212" s="19">
        <v>0</v>
      </c>
      <c r="AK212" s="23">
        <v>0</v>
      </c>
      <c r="AL212" s="24">
        <v>0</v>
      </c>
      <c r="AM212" s="54"/>
      <c r="AN212" s="13">
        <v>0</v>
      </c>
      <c r="AO212" s="13">
        <v>0</v>
      </c>
    </row>
    <row r="213" spans="1:41" s="29" customFormat="1">
      <c r="A213" s="163" t="s">
        <v>96</v>
      </c>
      <c r="B213" s="25" t="s">
        <v>57</v>
      </c>
      <c r="C213" s="26"/>
      <c r="D213" s="26"/>
      <c r="E213" s="27"/>
      <c r="F213" s="27">
        <v>0</v>
      </c>
      <c r="G213" s="27">
        <v>0</v>
      </c>
      <c r="H213" s="27">
        <v>0</v>
      </c>
      <c r="I213" s="26">
        <v>0</v>
      </c>
      <c r="J213" s="27">
        <v>0</v>
      </c>
      <c r="K213" s="27">
        <v>0</v>
      </c>
      <c r="L213" s="27">
        <v>0</v>
      </c>
      <c r="M213" s="27">
        <v>0</v>
      </c>
      <c r="N213" s="26">
        <v>0</v>
      </c>
      <c r="O213" s="27">
        <v>0</v>
      </c>
      <c r="P213" s="27">
        <v>0</v>
      </c>
      <c r="Q213" s="27">
        <v>0</v>
      </c>
      <c r="R213" s="27">
        <v>0</v>
      </c>
      <c r="S213" s="27">
        <v>0</v>
      </c>
      <c r="T213" s="26">
        <v>0</v>
      </c>
      <c r="U213" s="28">
        <v>0</v>
      </c>
      <c r="V213" s="27">
        <v>0</v>
      </c>
      <c r="W213" s="27">
        <v>0</v>
      </c>
      <c r="X213" s="27">
        <v>0</v>
      </c>
      <c r="Y213" s="27">
        <v>0</v>
      </c>
      <c r="Z213" s="26">
        <v>0</v>
      </c>
      <c r="AA213" s="27">
        <v>0</v>
      </c>
      <c r="AB213" s="27">
        <v>0</v>
      </c>
      <c r="AC213" s="27">
        <v>0</v>
      </c>
      <c r="AD213" s="27">
        <v>0</v>
      </c>
      <c r="AE213" s="26">
        <v>0</v>
      </c>
      <c r="AF213" s="27">
        <v>0</v>
      </c>
      <c r="AG213" s="27">
        <v>0</v>
      </c>
      <c r="AH213" s="27">
        <v>0</v>
      </c>
      <c r="AI213" s="27">
        <v>0</v>
      </c>
      <c r="AJ213" s="27">
        <v>0</v>
      </c>
      <c r="AK213" s="26">
        <v>0</v>
      </c>
      <c r="AL213" s="28">
        <v>0</v>
      </c>
      <c r="AM213" s="54">
        <v>128</v>
      </c>
      <c r="AN213" s="13">
        <f>U213*AM213</f>
        <v>0</v>
      </c>
      <c r="AO213" s="13">
        <f>AM213*AL213</f>
        <v>0</v>
      </c>
    </row>
    <row r="214" spans="1:41" s="29" customFormat="1">
      <c r="A214" s="164"/>
      <c r="B214" s="31" t="s">
        <v>58</v>
      </c>
      <c r="C214" s="26"/>
      <c r="D214" s="26"/>
      <c r="E214" s="27"/>
      <c r="F214" s="27">
        <v>0</v>
      </c>
      <c r="G214" s="27">
        <v>0</v>
      </c>
      <c r="H214" s="27">
        <v>0</v>
      </c>
      <c r="I214" s="26">
        <v>0</v>
      </c>
      <c r="J214" s="27">
        <v>0</v>
      </c>
      <c r="K214" s="27">
        <v>0</v>
      </c>
      <c r="L214" s="27">
        <v>0</v>
      </c>
      <c r="M214" s="27">
        <v>0</v>
      </c>
      <c r="N214" s="26">
        <v>0</v>
      </c>
      <c r="O214" s="27">
        <v>0</v>
      </c>
      <c r="P214" s="27">
        <v>0</v>
      </c>
      <c r="Q214" s="27">
        <v>0</v>
      </c>
      <c r="R214" s="27">
        <v>0</v>
      </c>
      <c r="S214" s="27">
        <v>0</v>
      </c>
      <c r="T214" s="26">
        <v>0</v>
      </c>
      <c r="U214" s="28">
        <v>0</v>
      </c>
      <c r="V214" s="27">
        <v>0</v>
      </c>
      <c r="W214" s="27">
        <v>0</v>
      </c>
      <c r="X214" s="27">
        <v>0</v>
      </c>
      <c r="Y214" s="27">
        <v>0</v>
      </c>
      <c r="Z214" s="26">
        <v>0</v>
      </c>
      <c r="AA214" s="27">
        <v>0</v>
      </c>
      <c r="AB214" s="27">
        <v>0</v>
      </c>
      <c r="AC214" s="27">
        <v>0</v>
      </c>
      <c r="AD214" s="27">
        <v>0</v>
      </c>
      <c r="AE214" s="26">
        <v>0</v>
      </c>
      <c r="AF214" s="27">
        <v>0</v>
      </c>
      <c r="AG214" s="27">
        <v>0</v>
      </c>
      <c r="AH214" s="27">
        <v>0</v>
      </c>
      <c r="AI214" s="27">
        <v>0</v>
      </c>
      <c r="AJ214" s="27">
        <v>0</v>
      </c>
      <c r="AK214" s="26">
        <v>0</v>
      </c>
      <c r="AL214" s="28">
        <v>0</v>
      </c>
      <c r="AM214" s="54"/>
      <c r="AN214" s="13">
        <v>0</v>
      </c>
      <c r="AO214" s="13">
        <v>0</v>
      </c>
    </row>
    <row r="215" spans="1:41" s="29" customFormat="1">
      <c r="A215" s="164"/>
      <c r="B215" s="31" t="s">
        <v>59</v>
      </c>
      <c r="C215" s="26">
        <v>0</v>
      </c>
      <c r="D215" s="26">
        <v>0</v>
      </c>
      <c r="E215" s="27"/>
      <c r="F215" s="27">
        <v>0</v>
      </c>
      <c r="G215" s="27">
        <v>0</v>
      </c>
      <c r="H215" s="27">
        <v>0</v>
      </c>
      <c r="I215" s="26">
        <v>0</v>
      </c>
      <c r="J215" s="27">
        <v>0</v>
      </c>
      <c r="K215" s="27">
        <v>0</v>
      </c>
      <c r="L215" s="27">
        <v>0</v>
      </c>
      <c r="M215" s="27">
        <v>0</v>
      </c>
      <c r="N215" s="26">
        <v>0</v>
      </c>
      <c r="O215" s="27">
        <v>0</v>
      </c>
      <c r="P215" s="27">
        <v>0</v>
      </c>
      <c r="Q215" s="27">
        <v>0</v>
      </c>
      <c r="R215" s="27">
        <v>0</v>
      </c>
      <c r="S215" s="27">
        <v>0</v>
      </c>
      <c r="T215" s="26">
        <v>0</v>
      </c>
      <c r="U215" s="28">
        <v>0</v>
      </c>
      <c r="V215" s="27">
        <v>0</v>
      </c>
      <c r="W215" s="27">
        <v>0</v>
      </c>
      <c r="X215" s="27">
        <v>0</v>
      </c>
      <c r="Y215" s="27">
        <v>0</v>
      </c>
      <c r="Z215" s="26">
        <v>0</v>
      </c>
      <c r="AA215" s="27">
        <v>0</v>
      </c>
      <c r="AB215" s="27">
        <v>0</v>
      </c>
      <c r="AC215" s="27">
        <v>0</v>
      </c>
      <c r="AD215" s="27">
        <v>0</v>
      </c>
      <c r="AE215" s="26">
        <v>0</v>
      </c>
      <c r="AF215" s="27">
        <v>0</v>
      </c>
      <c r="AG215" s="27">
        <v>0</v>
      </c>
      <c r="AH215" s="27">
        <v>0</v>
      </c>
      <c r="AI215" s="27">
        <v>0</v>
      </c>
      <c r="AJ215" s="27">
        <v>0</v>
      </c>
      <c r="AK215" s="26">
        <v>0</v>
      </c>
      <c r="AL215" s="28">
        <v>0</v>
      </c>
      <c r="AM215" s="54"/>
      <c r="AN215" s="13">
        <v>0</v>
      </c>
      <c r="AO215" s="13">
        <v>0</v>
      </c>
    </row>
    <row r="216" spans="1:41" s="29" customFormat="1">
      <c r="A216" s="164"/>
      <c r="B216" s="31" t="s">
        <v>7</v>
      </c>
      <c r="C216" s="26"/>
      <c r="D216" s="26"/>
      <c r="E216" s="27"/>
      <c r="F216" s="27">
        <v>0</v>
      </c>
      <c r="G216" s="27">
        <v>0</v>
      </c>
      <c r="H216" s="27">
        <v>0</v>
      </c>
      <c r="I216" s="26">
        <v>0</v>
      </c>
      <c r="J216" s="27">
        <v>0</v>
      </c>
      <c r="K216" s="27">
        <v>0</v>
      </c>
      <c r="L216" s="27">
        <v>0</v>
      </c>
      <c r="M216" s="27">
        <v>0</v>
      </c>
      <c r="N216" s="26">
        <v>0</v>
      </c>
      <c r="O216" s="27">
        <v>0</v>
      </c>
      <c r="P216" s="27">
        <v>0</v>
      </c>
      <c r="Q216" s="27">
        <v>0</v>
      </c>
      <c r="R216" s="27">
        <v>0</v>
      </c>
      <c r="S216" s="27">
        <v>0</v>
      </c>
      <c r="T216" s="26">
        <v>0</v>
      </c>
      <c r="U216" s="28">
        <v>0</v>
      </c>
      <c r="V216" s="27">
        <v>0</v>
      </c>
      <c r="W216" s="27">
        <v>0</v>
      </c>
      <c r="X216" s="27">
        <v>0</v>
      </c>
      <c r="Y216" s="27">
        <v>0</v>
      </c>
      <c r="Z216" s="26">
        <v>0</v>
      </c>
      <c r="AA216" s="27">
        <v>0</v>
      </c>
      <c r="AB216" s="27">
        <v>0</v>
      </c>
      <c r="AC216" s="27">
        <v>0</v>
      </c>
      <c r="AD216" s="27">
        <v>0</v>
      </c>
      <c r="AE216" s="26">
        <v>0</v>
      </c>
      <c r="AF216" s="27">
        <v>0</v>
      </c>
      <c r="AG216" s="27">
        <v>0</v>
      </c>
      <c r="AH216" s="27">
        <v>0</v>
      </c>
      <c r="AI216" s="27">
        <v>0</v>
      </c>
      <c r="AJ216" s="27">
        <v>0</v>
      </c>
      <c r="AK216" s="26">
        <v>0</v>
      </c>
      <c r="AL216" s="28">
        <v>0</v>
      </c>
      <c r="AM216" s="54"/>
      <c r="AN216" s="13">
        <v>0</v>
      </c>
      <c r="AO216" s="13">
        <v>0</v>
      </c>
    </row>
    <row r="217" spans="1:41" s="29" customFormat="1" ht="17" thickBot="1">
      <c r="A217" s="165"/>
      <c r="B217" s="33" t="s">
        <v>60</v>
      </c>
      <c r="C217" s="34">
        <v>0</v>
      </c>
      <c r="D217" s="35">
        <v>0</v>
      </c>
      <c r="E217" s="21"/>
      <c r="F217" s="21">
        <v>0</v>
      </c>
      <c r="G217" s="21">
        <v>0</v>
      </c>
      <c r="H217" s="21">
        <v>0</v>
      </c>
      <c r="I217" s="20">
        <v>0</v>
      </c>
      <c r="J217" s="21">
        <v>0</v>
      </c>
      <c r="K217" s="21">
        <v>0</v>
      </c>
      <c r="L217" s="21">
        <v>0</v>
      </c>
      <c r="M217" s="21">
        <v>0</v>
      </c>
      <c r="N217" s="20">
        <v>0</v>
      </c>
      <c r="O217" s="21">
        <v>0</v>
      </c>
      <c r="P217" s="21">
        <v>0</v>
      </c>
      <c r="Q217" s="21">
        <v>0</v>
      </c>
      <c r="R217" s="21">
        <v>0</v>
      </c>
      <c r="S217" s="21">
        <v>0</v>
      </c>
      <c r="T217" s="20">
        <v>0</v>
      </c>
      <c r="U217" s="22">
        <v>0</v>
      </c>
      <c r="V217" s="21">
        <v>0</v>
      </c>
      <c r="W217" s="21">
        <v>0</v>
      </c>
      <c r="X217" s="21">
        <v>0</v>
      </c>
      <c r="Y217" s="21">
        <v>0</v>
      </c>
      <c r="Z217" s="20">
        <v>0</v>
      </c>
      <c r="AA217" s="21">
        <v>0</v>
      </c>
      <c r="AB217" s="21">
        <v>0</v>
      </c>
      <c r="AC217" s="21">
        <v>0</v>
      </c>
      <c r="AD217" s="21">
        <v>0</v>
      </c>
      <c r="AE217" s="20">
        <v>0</v>
      </c>
      <c r="AF217" s="21">
        <v>0</v>
      </c>
      <c r="AG217" s="21">
        <v>0</v>
      </c>
      <c r="AH217" s="21">
        <v>0</v>
      </c>
      <c r="AI217" s="21">
        <v>0</v>
      </c>
      <c r="AJ217" s="21">
        <v>0</v>
      </c>
      <c r="AK217" s="20">
        <v>0</v>
      </c>
      <c r="AL217" s="22">
        <v>0</v>
      </c>
      <c r="AM217" s="54"/>
      <c r="AN217" s="13">
        <v>0</v>
      </c>
      <c r="AO217" s="13">
        <v>0</v>
      </c>
    </row>
    <row r="218" spans="1:41" s="29" customFormat="1" ht="17" thickBot="1">
      <c r="A218" s="36"/>
      <c r="B218" s="31" t="s">
        <v>61</v>
      </c>
      <c r="C218" s="26"/>
      <c r="D218" s="26"/>
      <c r="E218" s="19"/>
      <c r="F218" s="19"/>
      <c r="G218" s="19"/>
      <c r="H218" s="19"/>
      <c r="I218" s="23"/>
      <c r="J218" s="19"/>
      <c r="K218" s="19"/>
      <c r="L218" s="19"/>
      <c r="M218" s="19"/>
      <c r="N218" s="23"/>
      <c r="O218" s="19"/>
      <c r="P218" s="19"/>
      <c r="Q218" s="19"/>
      <c r="R218" s="19"/>
      <c r="S218" s="19"/>
      <c r="T218" s="23"/>
      <c r="U218" s="24"/>
      <c r="V218" s="19"/>
      <c r="W218" s="19"/>
      <c r="X218" s="19"/>
      <c r="Y218" s="19"/>
      <c r="Z218" s="23"/>
      <c r="AA218" s="19"/>
      <c r="AB218" s="19"/>
      <c r="AC218" s="19"/>
      <c r="AD218" s="19"/>
      <c r="AE218" s="23"/>
      <c r="AF218" s="19"/>
      <c r="AG218" s="19"/>
      <c r="AH218" s="19"/>
      <c r="AI218" s="19"/>
      <c r="AJ218" s="19"/>
      <c r="AK218" s="23"/>
      <c r="AL218" s="24"/>
      <c r="AM218" s="54"/>
      <c r="AN218" s="13">
        <v>0</v>
      </c>
      <c r="AO218" s="13">
        <v>0</v>
      </c>
    </row>
    <row r="219" spans="1:41" s="29" customFormat="1">
      <c r="A219" s="163" t="s">
        <v>97</v>
      </c>
      <c r="B219" s="25" t="s">
        <v>57</v>
      </c>
      <c r="C219" s="26"/>
      <c r="D219" s="26"/>
      <c r="E219" s="27"/>
      <c r="F219" s="27">
        <v>727693</v>
      </c>
      <c r="G219" s="27">
        <v>-768895</v>
      </c>
      <c r="H219" s="27">
        <v>116909</v>
      </c>
      <c r="I219" s="26">
        <v>90596</v>
      </c>
      <c r="J219" s="27">
        <v>138143</v>
      </c>
      <c r="K219" s="27">
        <v>45191</v>
      </c>
      <c r="L219" s="27">
        <v>33395</v>
      </c>
      <c r="M219" s="27">
        <v>195135</v>
      </c>
      <c r="N219" s="26">
        <v>411864</v>
      </c>
      <c r="O219" s="27">
        <v>91507</v>
      </c>
      <c r="P219" s="27">
        <v>31592</v>
      </c>
      <c r="Q219" s="27">
        <v>150524</v>
      </c>
      <c r="R219" s="27">
        <v>221857</v>
      </c>
      <c r="S219" s="27">
        <v>23298</v>
      </c>
      <c r="T219" s="26">
        <v>518778</v>
      </c>
      <c r="U219" s="28">
        <v>1189199</v>
      </c>
      <c r="V219" s="27">
        <v>2152</v>
      </c>
      <c r="W219" s="27">
        <v>0</v>
      </c>
      <c r="X219" s="27">
        <v>0</v>
      </c>
      <c r="Y219" s="27">
        <v>4400</v>
      </c>
      <c r="Z219" s="26">
        <v>6552</v>
      </c>
      <c r="AA219" s="27">
        <v>0</v>
      </c>
      <c r="AB219" s="27">
        <v>0</v>
      </c>
      <c r="AC219" s="27">
        <v>12000</v>
      </c>
      <c r="AD219" s="27">
        <v>0</v>
      </c>
      <c r="AE219" s="26">
        <v>12000</v>
      </c>
      <c r="AF219" s="27">
        <v>0</v>
      </c>
      <c r="AG219" s="27">
        <v>0</v>
      </c>
      <c r="AH219" s="27">
        <v>0</v>
      </c>
      <c r="AI219" s="27">
        <v>0</v>
      </c>
      <c r="AJ219" s="27">
        <v>0</v>
      </c>
      <c r="AK219" s="26">
        <v>0</v>
      </c>
      <c r="AL219" s="28">
        <v>18552</v>
      </c>
      <c r="AM219" s="54">
        <v>32</v>
      </c>
      <c r="AN219" s="13">
        <f>U219*AM219</f>
        <v>38054368</v>
      </c>
      <c r="AO219" s="13">
        <f>AM219*AL219</f>
        <v>593664</v>
      </c>
    </row>
    <row r="220" spans="1:41" s="29" customFormat="1">
      <c r="A220" s="164"/>
      <c r="B220" s="31" t="s">
        <v>58</v>
      </c>
      <c r="C220" s="26"/>
      <c r="D220" s="26"/>
      <c r="E220" s="27"/>
      <c r="F220" s="27">
        <v>727693</v>
      </c>
      <c r="G220" s="27">
        <v>235716</v>
      </c>
      <c r="H220" s="27">
        <v>0</v>
      </c>
      <c r="I220" s="26">
        <v>978298</v>
      </c>
      <c r="J220" s="27">
        <v>0</v>
      </c>
      <c r="K220" s="27">
        <v>0</v>
      </c>
      <c r="L220" s="27">
        <v>500000</v>
      </c>
      <c r="M220" s="27">
        <v>500000</v>
      </c>
      <c r="N220" s="26">
        <v>1000000</v>
      </c>
      <c r="O220" s="27">
        <v>0</v>
      </c>
      <c r="P220" s="27">
        <v>0</v>
      </c>
      <c r="Q220" s="27">
        <v>0</v>
      </c>
      <c r="R220" s="27">
        <v>300000</v>
      </c>
      <c r="S220" s="27">
        <v>0</v>
      </c>
      <c r="T220" s="26">
        <v>300000</v>
      </c>
      <c r="U220" s="28">
        <v>0</v>
      </c>
      <c r="V220" s="27">
        <v>0</v>
      </c>
      <c r="W220" s="27">
        <v>0</v>
      </c>
      <c r="X220" s="27">
        <v>0</v>
      </c>
      <c r="Y220" s="27">
        <v>0</v>
      </c>
      <c r="Z220" s="26">
        <v>0</v>
      </c>
      <c r="AA220" s="27">
        <v>0</v>
      </c>
      <c r="AB220" s="27">
        <v>0</v>
      </c>
      <c r="AC220" s="27">
        <v>0</v>
      </c>
      <c r="AD220" s="27">
        <v>0</v>
      </c>
      <c r="AE220" s="26">
        <v>0</v>
      </c>
      <c r="AF220" s="27">
        <v>0</v>
      </c>
      <c r="AG220" s="27">
        <v>0</v>
      </c>
      <c r="AH220" s="27">
        <v>0</v>
      </c>
      <c r="AI220" s="27">
        <v>0</v>
      </c>
      <c r="AJ220" s="27">
        <v>0</v>
      </c>
      <c r="AK220" s="26">
        <v>0</v>
      </c>
      <c r="AL220" s="28">
        <v>0</v>
      </c>
      <c r="AM220" s="54"/>
      <c r="AN220" s="13">
        <v>0</v>
      </c>
      <c r="AO220" s="13">
        <v>0</v>
      </c>
    </row>
    <row r="221" spans="1:41" s="29" customFormat="1">
      <c r="A221" s="164"/>
      <c r="B221" s="31" t="s">
        <v>59</v>
      </c>
      <c r="C221" s="26">
        <v>0</v>
      </c>
      <c r="D221" s="26">
        <v>0</v>
      </c>
      <c r="E221" s="27"/>
      <c r="F221" s="27">
        <v>0</v>
      </c>
      <c r="G221" s="27">
        <v>0</v>
      </c>
      <c r="H221" s="27">
        <v>0</v>
      </c>
      <c r="I221" s="26">
        <v>0</v>
      </c>
      <c r="J221" s="27">
        <v>0</v>
      </c>
      <c r="K221" s="27">
        <v>0</v>
      </c>
      <c r="L221" s="27">
        <v>0</v>
      </c>
      <c r="M221" s="27">
        <v>0</v>
      </c>
      <c r="N221" s="26">
        <v>0</v>
      </c>
      <c r="O221" s="27">
        <v>0</v>
      </c>
      <c r="P221" s="27">
        <v>0</v>
      </c>
      <c r="Q221" s="27">
        <v>0</v>
      </c>
      <c r="R221" s="27">
        <v>0</v>
      </c>
      <c r="S221" s="27">
        <v>0</v>
      </c>
      <c r="T221" s="26">
        <v>0</v>
      </c>
      <c r="U221" s="28">
        <v>0</v>
      </c>
      <c r="V221" s="27">
        <v>0</v>
      </c>
      <c r="W221" s="27">
        <v>0</v>
      </c>
      <c r="X221" s="27">
        <v>0</v>
      </c>
      <c r="Y221" s="27">
        <v>0</v>
      </c>
      <c r="Z221" s="26">
        <v>0</v>
      </c>
      <c r="AA221" s="27">
        <v>0</v>
      </c>
      <c r="AB221" s="27">
        <v>0</v>
      </c>
      <c r="AC221" s="27">
        <v>0</v>
      </c>
      <c r="AD221" s="27">
        <v>0</v>
      </c>
      <c r="AE221" s="26">
        <v>0</v>
      </c>
      <c r="AF221" s="27">
        <v>0</v>
      </c>
      <c r="AG221" s="27">
        <v>0</v>
      </c>
      <c r="AH221" s="27">
        <v>0</v>
      </c>
      <c r="AI221" s="27">
        <v>0</v>
      </c>
      <c r="AJ221" s="27">
        <v>0</v>
      </c>
      <c r="AK221" s="26">
        <v>0</v>
      </c>
      <c r="AL221" s="28">
        <v>0</v>
      </c>
      <c r="AM221" s="54"/>
      <c r="AN221" s="13">
        <v>0</v>
      </c>
      <c r="AO221" s="13">
        <v>0</v>
      </c>
    </row>
    <row r="222" spans="1:41" s="29" customFormat="1">
      <c r="A222" s="164"/>
      <c r="B222" s="31" t="s">
        <v>7</v>
      </c>
      <c r="C222" s="26"/>
      <c r="D222" s="26"/>
      <c r="E222" s="32"/>
      <c r="F222" s="27">
        <v>727693</v>
      </c>
      <c r="G222" s="27">
        <v>235716</v>
      </c>
      <c r="H222" s="27">
        <v>0</v>
      </c>
      <c r="I222" s="26">
        <v>978298</v>
      </c>
      <c r="J222" s="32">
        <v>0</v>
      </c>
      <c r="K222" s="27">
        <v>0</v>
      </c>
      <c r="L222" s="27">
        <v>500000</v>
      </c>
      <c r="M222" s="27">
        <v>500000</v>
      </c>
      <c r="N222" s="26">
        <v>1000000</v>
      </c>
      <c r="O222" s="32">
        <v>0</v>
      </c>
      <c r="P222" s="27">
        <v>0</v>
      </c>
      <c r="Q222" s="27">
        <v>0</v>
      </c>
      <c r="R222" s="27">
        <v>300000</v>
      </c>
      <c r="S222" s="27">
        <v>0</v>
      </c>
      <c r="T222" s="26">
        <v>300000</v>
      </c>
      <c r="U222" s="28">
        <v>2446259</v>
      </c>
      <c r="V222" s="32">
        <v>0</v>
      </c>
      <c r="W222" s="27">
        <v>0</v>
      </c>
      <c r="X222" s="27">
        <v>0</v>
      </c>
      <c r="Y222" s="27">
        <v>0</v>
      </c>
      <c r="Z222" s="26">
        <v>0</v>
      </c>
      <c r="AA222" s="32">
        <v>0</v>
      </c>
      <c r="AB222" s="27">
        <v>0</v>
      </c>
      <c r="AC222" s="27">
        <v>0</v>
      </c>
      <c r="AD222" s="27">
        <v>0</v>
      </c>
      <c r="AE222" s="26">
        <v>0</v>
      </c>
      <c r="AF222" s="32">
        <v>0</v>
      </c>
      <c r="AG222" s="27">
        <v>0</v>
      </c>
      <c r="AH222" s="27">
        <v>0</v>
      </c>
      <c r="AI222" s="27">
        <v>0</v>
      </c>
      <c r="AJ222" s="27">
        <v>0</v>
      </c>
      <c r="AK222" s="26">
        <v>0</v>
      </c>
      <c r="AL222" s="28">
        <v>1257060</v>
      </c>
      <c r="AM222" s="54"/>
      <c r="AN222" s="13">
        <v>0</v>
      </c>
      <c r="AO222" s="13">
        <v>0</v>
      </c>
    </row>
    <row r="223" spans="1:41" s="29" customFormat="1" ht="17" thickBot="1">
      <c r="A223" s="165"/>
      <c r="B223" s="33" t="s">
        <v>60</v>
      </c>
      <c r="C223" s="34">
        <v>821353</v>
      </c>
      <c r="D223" s="35">
        <v>167961</v>
      </c>
      <c r="E223" s="21"/>
      <c r="F223" s="21">
        <v>0</v>
      </c>
      <c r="G223" s="21">
        <v>1004611</v>
      </c>
      <c r="H223" s="21">
        <v>887702</v>
      </c>
      <c r="I223" s="20">
        <v>887702</v>
      </c>
      <c r="J223" s="21">
        <v>749559</v>
      </c>
      <c r="K223" s="21">
        <v>704368</v>
      </c>
      <c r="L223" s="21">
        <v>1170973</v>
      </c>
      <c r="M223" s="21">
        <v>1475838</v>
      </c>
      <c r="N223" s="20">
        <v>1475838</v>
      </c>
      <c r="O223" s="21">
        <v>1384331</v>
      </c>
      <c r="P223" s="21">
        <v>1352739</v>
      </c>
      <c r="Q223" s="21">
        <v>1202215</v>
      </c>
      <c r="R223" s="21">
        <v>1280358</v>
      </c>
      <c r="S223" s="21">
        <v>1257060</v>
      </c>
      <c r="T223" s="20">
        <v>1257060</v>
      </c>
      <c r="U223" s="22">
        <v>1257060</v>
      </c>
      <c r="V223" s="21">
        <v>1254908</v>
      </c>
      <c r="W223" s="21">
        <v>1254908</v>
      </c>
      <c r="X223" s="21">
        <v>1254908</v>
      </c>
      <c r="Y223" s="21">
        <v>1250508</v>
      </c>
      <c r="Z223" s="20">
        <v>1250508</v>
      </c>
      <c r="AA223" s="21">
        <v>1250508</v>
      </c>
      <c r="AB223" s="21">
        <v>1250508</v>
      </c>
      <c r="AC223" s="21">
        <v>1238508</v>
      </c>
      <c r="AD223" s="21">
        <v>1238508</v>
      </c>
      <c r="AE223" s="20">
        <v>1238508</v>
      </c>
      <c r="AF223" s="21">
        <v>1238508</v>
      </c>
      <c r="AG223" s="21">
        <v>1238508</v>
      </c>
      <c r="AH223" s="21">
        <v>1238508</v>
      </c>
      <c r="AI223" s="21">
        <v>1238508</v>
      </c>
      <c r="AJ223" s="21">
        <v>1238508</v>
      </c>
      <c r="AK223" s="20">
        <v>1238508</v>
      </c>
      <c r="AL223" s="22">
        <v>1238508</v>
      </c>
      <c r="AM223" s="54"/>
      <c r="AN223" s="13">
        <v>0</v>
      </c>
      <c r="AO223" s="13">
        <v>0</v>
      </c>
    </row>
    <row r="224" spans="1:41" s="29" customFormat="1" ht="17" thickBot="1">
      <c r="A224" s="36"/>
      <c r="B224" s="31" t="s">
        <v>61</v>
      </c>
      <c r="C224" s="26"/>
      <c r="D224" s="26"/>
      <c r="E224" s="19">
        <v>0</v>
      </c>
      <c r="F224" s="19"/>
      <c r="G224" s="19"/>
      <c r="H224" s="19"/>
      <c r="I224" s="23"/>
      <c r="J224" s="19"/>
      <c r="K224" s="19"/>
      <c r="L224" s="19"/>
      <c r="M224" s="19"/>
      <c r="N224" s="23"/>
      <c r="O224" s="19"/>
      <c r="P224" s="19"/>
      <c r="Q224" s="19"/>
      <c r="R224" s="19"/>
      <c r="S224" s="19"/>
      <c r="T224" s="23"/>
      <c r="U224" s="24"/>
      <c r="V224" s="19"/>
      <c r="W224" s="19"/>
      <c r="X224" s="19"/>
      <c r="Y224" s="19"/>
      <c r="Z224" s="23"/>
      <c r="AA224" s="19"/>
      <c r="AB224" s="19"/>
      <c r="AC224" s="19"/>
      <c r="AD224" s="19"/>
      <c r="AE224" s="23"/>
      <c r="AF224" s="19"/>
      <c r="AG224" s="19"/>
      <c r="AH224" s="19"/>
      <c r="AI224" s="19"/>
      <c r="AJ224" s="19"/>
      <c r="AK224" s="23"/>
      <c r="AL224" s="24"/>
      <c r="AM224" s="54"/>
      <c r="AN224" s="13">
        <v>0</v>
      </c>
      <c r="AO224" s="13">
        <v>0</v>
      </c>
    </row>
    <row r="225" spans="1:41" s="29" customFormat="1">
      <c r="A225" s="163" t="s">
        <v>98</v>
      </c>
      <c r="B225" s="25" t="s">
        <v>57</v>
      </c>
      <c r="C225" s="26"/>
      <c r="D225" s="26"/>
      <c r="E225" s="27"/>
      <c r="F225" s="27">
        <v>50000</v>
      </c>
      <c r="G225" s="27">
        <v>-57383</v>
      </c>
      <c r="H225" s="27">
        <v>36956</v>
      </c>
      <c r="I225" s="26">
        <v>29573</v>
      </c>
      <c r="J225" s="27">
        <v>10519</v>
      </c>
      <c r="K225" s="27">
        <v>6806</v>
      </c>
      <c r="L225" s="27">
        <v>10458</v>
      </c>
      <c r="M225" s="27">
        <v>1794</v>
      </c>
      <c r="N225" s="26">
        <v>29577</v>
      </c>
      <c r="O225" s="27">
        <v>13121</v>
      </c>
      <c r="P225" s="27">
        <v>1136</v>
      </c>
      <c r="Q225" s="27">
        <v>14342</v>
      </c>
      <c r="R225" s="27">
        <v>886</v>
      </c>
      <c r="S225" s="27">
        <v>0</v>
      </c>
      <c r="T225" s="26">
        <v>29485</v>
      </c>
      <c r="U225" s="28">
        <v>108253</v>
      </c>
      <c r="V225" s="27">
        <v>0</v>
      </c>
      <c r="W225" s="27">
        <v>0</v>
      </c>
      <c r="X225" s="27">
        <v>0</v>
      </c>
      <c r="Y225" s="27">
        <v>0</v>
      </c>
      <c r="Z225" s="26">
        <v>0</v>
      </c>
      <c r="AA225" s="27">
        <v>0</v>
      </c>
      <c r="AB225" s="27">
        <v>0</v>
      </c>
      <c r="AC225" s="27">
        <v>0</v>
      </c>
      <c r="AD225" s="27">
        <v>0</v>
      </c>
      <c r="AE225" s="26">
        <v>0</v>
      </c>
      <c r="AF225" s="27">
        <v>0</v>
      </c>
      <c r="AG225" s="27">
        <v>0</v>
      </c>
      <c r="AH225" s="27">
        <v>0</v>
      </c>
      <c r="AI225" s="27">
        <v>0</v>
      </c>
      <c r="AJ225" s="27">
        <v>0</v>
      </c>
      <c r="AK225" s="26">
        <v>0</v>
      </c>
      <c r="AL225" s="28">
        <v>0</v>
      </c>
      <c r="AM225" s="54">
        <v>64</v>
      </c>
      <c r="AN225" s="13">
        <f>U225*AM225</f>
        <v>6928192</v>
      </c>
      <c r="AO225" s="13">
        <f>AM225*AL225</f>
        <v>0</v>
      </c>
    </row>
    <row r="226" spans="1:41" s="29" customFormat="1">
      <c r="A226" s="164"/>
      <c r="B226" s="31" t="s">
        <v>58</v>
      </c>
      <c r="C226" s="26"/>
      <c r="D226" s="26"/>
      <c r="E226" s="27"/>
      <c r="F226" s="27">
        <v>50000</v>
      </c>
      <c r="G226" s="27">
        <v>0</v>
      </c>
      <c r="H226" s="27">
        <v>0</v>
      </c>
      <c r="I226" s="26">
        <v>50000</v>
      </c>
      <c r="J226" s="27">
        <v>0</v>
      </c>
      <c r="K226" s="27">
        <v>0</v>
      </c>
      <c r="L226" s="27">
        <v>0</v>
      </c>
      <c r="M226" s="27">
        <v>30000</v>
      </c>
      <c r="N226" s="26">
        <v>30000</v>
      </c>
      <c r="O226" s="27">
        <v>0</v>
      </c>
      <c r="P226" s="27">
        <v>0</v>
      </c>
      <c r="Q226" s="27">
        <v>0</v>
      </c>
      <c r="R226" s="27">
        <v>10000</v>
      </c>
      <c r="S226" s="27">
        <v>0</v>
      </c>
      <c r="T226" s="26">
        <v>10000</v>
      </c>
      <c r="U226" s="28">
        <v>0</v>
      </c>
      <c r="V226" s="27">
        <v>0</v>
      </c>
      <c r="W226" s="27">
        <v>0</v>
      </c>
      <c r="X226" s="27">
        <v>0</v>
      </c>
      <c r="Y226" s="27">
        <v>0</v>
      </c>
      <c r="Z226" s="26">
        <v>0</v>
      </c>
      <c r="AA226" s="27">
        <v>0</v>
      </c>
      <c r="AB226" s="27">
        <v>0</v>
      </c>
      <c r="AC226" s="27">
        <v>0</v>
      </c>
      <c r="AD226" s="27">
        <v>0</v>
      </c>
      <c r="AE226" s="26">
        <v>0</v>
      </c>
      <c r="AF226" s="27">
        <v>0</v>
      </c>
      <c r="AG226" s="27">
        <v>0</v>
      </c>
      <c r="AH226" s="27">
        <v>0</v>
      </c>
      <c r="AI226" s="27">
        <v>0</v>
      </c>
      <c r="AJ226" s="27">
        <v>0</v>
      </c>
      <c r="AK226" s="26">
        <v>0</v>
      </c>
      <c r="AL226" s="28">
        <v>0</v>
      </c>
      <c r="AM226" s="54"/>
      <c r="AN226" s="13">
        <v>0</v>
      </c>
      <c r="AO226" s="13">
        <v>0</v>
      </c>
    </row>
    <row r="227" spans="1:41" s="29" customFormat="1">
      <c r="A227" s="164"/>
      <c r="B227" s="31" t="s">
        <v>59</v>
      </c>
      <c r="C227" s="26">
        <v>0</v>
      </c>
      <c r="D227" s="26">
        <v>0</v>
      </c>
      <c r="E227" s="27"/>
      <c r="F227" s="27">
        <v>0</v>
      </c>
      <c r="G227" s="27">
        <v>0</v>
      </c>
      <c r="H227" s="27">
        <v>0</v>
      </c>
      <c r="I227" s="26">
        <v>0</v>
      </c>
      <c r="J227" s="27">
        <v>0</v>
      </c>
      <c r="K227" s="27">
        <v>0</v>
      </c>
      <c r="L227" s="27">
        <v>0</v>
      </c>
      <c r="M227" s="27">
        <v>0</v>
      </c>
      <c r="N227" s="26">
        <v>1000338</v>
      </c>
      <c r="O227" s="27">
        <v>0</v>
      </c>
      <c r="P227" s="27">
        <v>0</v>
      </c>
      <c r="Q227" s="27">
        <v>0</v>
      </c>
      <c r="R227" s="27">
        <v>0</v>
      </c>
      <c r="S227" s="27">
        <v>0</v>
      </c>
      <c r="T227" s="26">
        <v>0</v>
      </c>
      <c r="U227" s="28">
        <v>1000338</v>
      </c>
      <c r="V227" s="27">
        <v>0</v>
      </c>
      <c r="W227" s="27">
        <v>0</v>
      </c>
      <c r="X227" s="27">
        <v>0</v>
      </c>
      <c r="Y227" s="27">
        <v>0</v>
      </c>
      <c r="Z227" s="26">
        <v>0</v>
      </c>
      <c r="AA227" s="27">
        <v>0</v>
      </c>
      <c r="AB227" s="27">
        <v>0</v>
      </c>
      <c r="AC227" s="27">
        <v>0</v>
      </c>
      <c r="AD227" s="27">
        <v>0</v>
      </c>
      <c r="AE227" s="26">
        <v>0</v>
      </c>
      <c r="AF227" s="27">
        <v>0</v>
      </c>
      <c r="AG227" s="27">
        <v>0</v>
      </c>
      <c r="AH227" s="27">
        <v>0</v>
      </c>
      <c r="AI227" s="27">
        <v>0</v>
      </c>
      <c r="AJ227" s="27">
        <v>0</v>
      </c>
      <c r="AK227" s="26">
        <v>0</v>
      </c>
      <c r="AL227" s="28">
        <v>0</v>
      </c>
      <c r="AM227" s="54"/>
      <c r="AN227" s="13">
        <v>0</v>
      </c>
      <c r="AO227" s="13">
        <v>0</v>
      </c>
    </row>
    <row r="228" spans="1:41" s="29" customFormat="1">
      <c r="A228" s="164"/>
      <c r="B228" s="31" t="s">
        <v>7</v>
      </c>
      <c r="C228" s="26"/>
      <c r="D228" s="26"/>
      <c r="E228" s="32"/>
      <c r="F228" s="27">
        <v>50000</v>
      </c>
      <c r="G228" s="27">
        <v>0</v>
      </c>
      <c r="H228" s="27">
        <v>0</v>
      </c>
      <c r="I228" s="26">
        <v>50000</v>
      </c>
      <c r="J228" s="32">
        <v>0</v>
      </c>
      <c r="K228" s="27">
        <v>0</v>
      </c>
      <c r="L228" s="27">
        <v>0</v>
      </c>
      <c r="M228" s="27">
        <v>30000</v>
      </c>
      <c r="N228" s="26">
        <v>30000</v>
      </c>
      <c r="O228" s="32">
        <v>0</v>
      </c>
      <c r="P228" s="27">
        <v>0</v>
      </c>
      <c r="Q228" s="27">
        <v>0</v>
      </c>
      <c r="R228" s="27">
        <v>10000</v>
      </c>
      <c r="S228" s="27">
        <v>0</v>
      </c>
      <c r="T228" s="26">
        <v>10000</v>
      </c>
      <c r="U228" s="28">
        <v>109618</v>
      </c>
      <c r="V228" s="32">
        <v>0</v>
      </c>
      <c r="W228" s="27">
        <v>0</v>
      </c>
      <c r="X228" s="27">
        <v>0</v>
      </c>
      <c r="Y228" s="27">
        <v>0</v>
      </c>
      <c r="Z228" s="26">
        <v>0</v>
      </c>
      <c r="AA228" s="32">
        <v>0</v>
      </c>
      <c r="AB228" s="27">
        <v>0</v>
      </c>
      <c r="AC228" s="27">
        <v>0</v>
      </c>
      <c r="AD228" s="27">
        <v>0</v>
      </c>
      <c r="AE228" s="26">
        <v>0</v>
      </c>
      <c r="AF228" s="32">
        <v>0</v>
      </c>
      <c r="AG228" s="27">
        <v>0</v>
      </c>
      <c r="AH228" s="27">
        <v>0</v>
      </c>
      <c r="AI228" s="27">
        <v>0</v>
      </c>
      <c r="AJ228" s="27">
        <v>0</v>
      </c>
      <c r="AK228" s="26">
        <v>0</v>
      </c>
      <c r="AL228" s="28">
        <v>1365</v>
      </c>
      <c r="AM228" s="54"/>
      <c r="AN228" s="13">
        <v>0</v>
      </c>
      <c r="AO228" s="13">
        <v>0</v>
      </c>
    </row>
    <row r="229" spans="1:41" s="29" customFormat="1" ht="17" thickBot="1">
      <c r="A229" s="165"/>
      <c r="B229" s="33" t="s">
        <v>60</v>
      </c>
      <c r="C229" s="34">
        <v>66095</v>
      </c>
      <c r="D229" s="35">
        <v>19618</v>
      </c>
      <c r="E229" s="21"/>
      <c r="F229" s="21">
        <v>0</v>
      </c>
      <c r="G229" s="21">
        <v>57383</v>
      </c>
      <c r="H229" s="21">
        <v>20427</v>
      </c>
      <c r="I229" s="20">
        <v>20427</v>
      </c>
      <c r="J229" s="21">
        <v>9908</v>
      </c>
      <c r="K229" s="21">
        <v>3102</v>
      </c>
      <c r="L229" s="21">
        <v>-7356</v>
      </c>
      <c r="M229" s="21">
        <v>20850</v>
      </c>
      <c r="N229" s="20">
        <v>20850</v>
      </c>
      <c r="O229" s="21">
        <v>7729</v>
      </c>
      <c r="P229" s="21">
        <v>6593</v>
      </c>
      <c r="Q229" s="21">
        <v>-7749</v>
      </c>
      <c r="R229" s="21">
        <v>1365</v>
      </c>
      <c r="S229" s="21">
        <v>1365</v>
      </c>
      <c r="T229" s="20">
        <v>1365</v>
      </c>
      <c r="U229" s="22">
        <v>1365</v>
      </c>
      <c r="V229" s="21">
        <v>1365</v>
      </c>
      <c r="W229" s="21">
        <v>1365</v>
      </c>
      <c r="X229" s="21">
        <v>1365</v>
      </c>
      <c r="Y229" s="21">
        <v>1365</v>
      </c>
      <c r="Z229" s="20">
        <v>1365</v>
      </c>
      <c r="AA229" s="21">
        <v>1365</v>
      </c>
      <c r="AB229" s="21">
        <v>1365</v>
      </c>
      <c r="AC229" s="21">
        <v>1365</v>
      </c>
      <c r="AD229" s="21">
        <v>1365</v>
      </c>
      <c r="AE229" s="20">
        <v>1365</v>
      </c>
      <c r="AF229" s="21">
        <v>1365</v>
      </c>
      <c r="AG229" s="21">
        <v>1365</v>
      </c>
      <c r="AH229" s="21">
        <v>1365</v>
      </c>
      <c r="AI229" s="21">
        <v>1365</v>
      </c>
      <c r="AJ229" s="21">
        <v>1365</v>
      </c>
      <c r="AK229" s="20">
        <v>1365</v>
      </c>
      <c r="AL229" s="22">
        <v>1365</v>
      </c>
      <c r="AM229" s="54"/>
      <c r="AN229" s="13">
        <v>0</v>
      </c>
      <c r="AO229" s="13">
        <v>0</v>
      </c>
    </row>
    <row r="230" spans="1:41" s="29" customFormat="1" ht="17" thickBot="1">
      <c r="A230" s="36"/>
      <c r="B230" s="31" t="s">
        <v>61</v>
      </c>
      <c r="C230" s="26"/>
      <c r="D230" s="26"/>
      <c r="E230" s="19">
        <v>0</v>
      </c>
      <c r="F230" s="19"/>
      <c r="G230" s="19"/>
      <c r="H230" s="19"/>
      <c r="I230" s="23"/>
      <c r="J230" s="19"/>
      <c r="K230" s="19"/>
      <c r="L230" s="19"/>
      <c r="M230" s="19"/>
      <c r="N230" s="23"/>
      <c r="O230" s="19"/>
      <c r="P230" s="19"/>
      <c r="Q230" s="19"/>
      <c r="R230" s="19"/>
      <c r="S230" s="19"/>
      <c r="T230" s="23"/>
      <c r="U230" s="24"/>
      <c r="V230" s="19"/>
      <c r="W230" s="19"/>
      <c r="X230" s="19"/>
      <c r="Y230" s="19"/>
      <c r="Z230" s="23"/>
      <c r="AA230" s="19"/>
      <c r="AB230" s="19"/>
      <c r="AC230" s="19"/>
      <c r="AD230" s="19"/>
      <c r="AE230" s="23"/>
      <c r="AF230" s="19"/>
      <c r="AG230" s="19"/>
      <c r="AH230" s="19"/>
      <c r="AI230" s="19"/>
      <c r="AJ230" s="19"/>
      <c r="AK230" s="23"/>
      <c r="AL230" s="24"/>
      <c r="AM230" s="54"/>
      <c r="AN230" s="13">
        <v>0</v>
      </c>
      <c r="AO230" s="13">
        <v>0</v>
      </c>
    </row>
    <row r="231" spans="1:41" s="29" customFormat="1">
      <c r="A231" s="163" t="s">
        <v>99</v>
      </c>
      <c r="B231" s="25" t="s">
        <v>57</v>
      </c>
      <c r="C231" s="26"/>
      <c r="D231" s="26"/>
      <c r="E231" s="27"/>
      <c r="F231" s="27">
        <v>0</v>
      </c>
      <c r="G231" s="27">
        <v>-472</v>
      </c>
      <c r="H231" s="27">
        <v>0</v>
      </c>
      <c r="I231" s="26">
        <v>-425</v>
      </c>
      <c r="J231" s="27">
        <v>124590</v>
      </c>
      <c r="K231" s="27">
        <v>114518</v>
      </c>
      <c r="L231" s="27">
        <v>5004</v>
      </c>
      <c r="M231" s="27">
        <v>4282</v>
      </c>
      <c r="N231" s="26">
        <v>248394</v>
      </c>
      <c r="O231" s="27">
        <v>498686</v>
      </c>
      <c r="P231" s="27">
        <v>23169</v>
      </c>
      <c r="Q231" s="27">
        <v>421</v>
      </c>
      <c r="R231" s="27">
        <v>51148</v>
      </c>
      <c r="S231" s="27">
        <v>91300</v>
      </c>
      <c r="T231" s="26">
        <v>664724</v>
      </c>
      <c r="U231" s="28">
        <v>918922</v>
      </c>
      <c r="V231" s="27">
        <v>347703</v>
      </c>
      <c r="W231" s="27">
        <v>80</v>
      </c>
      <c r="X231" s="27">
        <v>0</v>
      </c>
      <c r="Y231" s="27">
        <v>21465</v>
      </c>
      <c r="Z231" s="26">
        <v>369248</v>
      </c>
      <c r="AA231" s="27">
        <v>4800</v>
      </c>
      <c r="AB231" s="27">
        <v>0</v>
      </c>
      <c r="AC231" s="27">
        <v>0</v>
      </c>
      <c r="AD231" s="27">
        <v>0</v>
      </c>
      <c r="AE231" s="26">
        <v>4800</v>
      </c>
      <c r="AF231" s="27">
        <v>0</v>
      </c>
      <c r="AG231" s="27">
        <v>0</v>
      </c>
      <c r="AH231" s="27">
        <v>0</v>
      </c>
      <c r="AI231" s="27">
        <v>0</v>
      </c>
      <c r="AJ231" s="27">
        <v>0</v>
      </c>
      <c r="AK231" s="26">
        <v>0</v>
      </c>
      <c r="AL231" s="28">
        <v>374048</v>
      </c>
      <c r="AM231" s="54">
        <v>64</v>
      </c>
      <c r="AN231" s="13">
        <f>U231*AM231</f>
        <v>58811008</v>
      </c>
      <c r="AO231" s="13">
        <f>AM231*AL231</f>
        <v>23939072</v>
      </c>
    </row>
    <row r="232" spans="1:41" s="29" customFormat="1">
      <c r="A232" s="164"/>
      <c r="B232" s="31" t="s">
        <v>58</v>
      </c>
      <c r="C232" s="26"/>
      <c r="D232" s="26"/>
      <c r="E232" s="27"/>
      <c r="F232" s="27">
        <v>0</v>
      </c>
      <c r="G232" s="27">
        <v>0</v>
      </c>
      <c r="H232" s="27">
        <v>0</v>
      </c>
      <c r="I232" s="26">
        <v>47</v>
      </c>
      <c r="J232" s="27">
        <v>0</v>
      </c>
      <c r="K232" s="27">
        <v>20000</v>
      </c>
      <c r="L232" s="27">
        <v>85000</v>
      </c>
      <c r="M232" s="27">
        <v>165000</v>
      </c>
      <c r="N232" s="26">
        <v>270000</v>
      </c>
      <c r="O232" s="27">
        <v>0</v>
      </c>
      <c r="P232" s="27">
        <v>30000</v>
      </c>
      <c r="Q232" s="27">
        <v>50000</v>
      </c>
      <c r="R232" s="27">
        <v>50000</v>
      </c>
      <c r="S232" s="27">
        <v>450000</v>
      </c>
      <c r="T232" s="26">
        <v>580000</v>
      </c>
      <c r="U232" s="28">
        <v>0</v>
      </c>
      <c r="V232" s="27">
        <v>0</v>
      </c>
      <c r="W232" s="27">
        <v>0</v>
      </c>
      <c r="X232" s="27">
        <v>0</v>
      </c>
      <c r="Y232" s="27">
        <v>150000</v>
      </c>
      <c r="Z232" s="26">
        <v>150000</v>
      </c>
      <c r="AA232" s="27">
        <v>0</v>
      </c>
      <c r="AB232" s="27">
        <v>0</v>
      </c>
      <c r="AC232" s="27">
        <v>0</v>
      </c>
      <c r="AD232" s="27">
        <v>0</v>
      </c>
      <c r="AE232" s="26">
        <v>0</v>
      </c>
      <c r="AF232" s="27">
        <v>0</v>
      </c>
      <c r="AG232" s="27">
        <v>0</v>
      </c>
      <c r="AH232" s="27">
        <v>0</v>
      </c>
      <c r="AI232" s="27">
        <v>0</v>
      </c>
      <c r="AJ232" s="27">
        <v>0</v>
      </c>
      <c r="AK232" s="26">
        <v>0</v>
      </c>
      <c r="AL232" s="28">
        <v>0</v>
      </c>
      <c r="AM232" s="54"/>
      <c r="AN232" s="13">
        <v>0</v>
      </c>
      <c r="AO232" s="13">
        <v>0</v>
      </c>
    </row>
    <row r="233" spans="1:41" s="29" customFormat="1">
      <c r="A233" s="164"/>
      <c r="B233" s="31" t="s">
        <v>59</v>
      </c>
      <c r="C233" s="26">
        <v>57000</v>
      </c>
      <c r="D233" s="26">
        <v>57000</v>
      </c>
      <c r="E233" s="27"/>
      <c r="F233" s="27">
        <v>0</v>
      </c>
      <c r="G233" s="27">
        <v>0</v>
      </c>
      <c r="H233" s="27">
        <v>57000</v>
      </c>
      <c r="I233" s="26">
        <v>57000</v>
      </c>
      <c r="J233" s="27">
        <v>0</v>
      </c>
      <c r="K233" s="27">
        <v>0</v>
      </c>
      <c r="L233" s="27">
        <v>0</v>
      </c>
      <c r="M233" s="27">
        <v>0</v>
      </c>
      <c r="N233" s="26">
        <v>0</v>
      </c>
      <c r="O233" s="27">
        <v>0</v>
      </c>
      <c r="P233" s="27">
        <v>0</v>
      </c>
      <c r="Q233" s="27">
        <v>0</v>
      </c>
      <c r="R233" s="27">
        <v>0</v>
      </c>
      <c r="S233" s="27">
        <v>0</v>
      </c>
      <c r="T233" s="26">
        <v>0</v>
      </c>
      <c r="U233" s="28">
        <v>0</v>
      </c>
      <c r="V233" s="27">
        <v>0</v>
      </c>
      <c r="W233" s="27">
        <v>0</v>
      </c>
      <c r="X233" s="27">
        <v>0</v>
      </c>
      <c r="Y233" s="27">
        <v>0</v>
      </c>
      <c r="Z233" s="26">
        <v>0</v>
      </c>
      <c r="AA233" s="27">
        <v>0</v>
      </c>
      <c r="AB233" s="27">
        <v>0</v>
      </c>
      <c r="AC233" s="27">
        <v>0</v>
      </c>
      <c r="AD233" s="27">
        <v>0</v>
      </c>
      <c r="AE233" s="26">
        <v>0</v>
      </c>
      <c r="AF233" s="27">
        <v>0</v>
      </c>
      <c r="AG233" s="27">
        <v>0</v>
      </c>
      <c r="AH233" s="27">
        <v>0</v>
      </c>
      <c r="AI233" s="27">
        <v>0</v>
      </c>
      <c r="AJ233" s="27">
        <v>0</v>
      </c>
      <c r="AK233" s="26">
        <v>0</v>
      </c>
      <c r="AL233" s="28">
        <v>0</v>
      </c>
      <c r="AM233" s="54"/>
      <c r="AN233" s="13">
        <v>0</v>
      </c>
      <c r="AO233" s="13">
        <v>0</v>
      </c>
    </row>
    <row r="234" spans="1:41" s="29" customFormat="1">
      <c r="A234" s="164"/>
      <c r="B234" s="31" t="s">
        <v>7</v>
      </c>
      <c r="C234" s="26"/>
      <c r="D234" s="26"/>
      <c r="E234" s="32"/>
      <c r="F234" s="27">
        <v>0</v>
      </c>
      <c r="G234" s="27">
        <v>0</v>
      </c>
      <c r="H234" s="27">
        <v>57000</v>
      </c>
      <c r="I234" s="26">
        <v>57047</v>
      </c>
      <c r="J234" s="32">
        <v>0</v>
      </c>
      <c r="K234" s="27">
        <v>20000</v>
      </c>
      <c r="L234" s="27">
        <v>85000</v>
      </c>
      <c r="M234" s="27">
        <v>165000</v>
      </c>
      <c r="N234" s="26">
        <v>270000</v>
      </c>
      <c r="O234" s="32">
        <v>0</v>
      </c>
      <c r="P234" s="27">
        <v>30000</v>
      </c>
      <c r="Q234" s="27">
        <v>50000</v>
      </c>
      <c r="R234" s="27">
        <v>50000</v>
      </c>
      <c r="S234" s="27">
        <v>450000</v>
      </c>
      <c r="T234" s="26">
        <v>580000</v>
      </c>
      <c r="U234" s="28">
        <v>913276</v>
      </c>
      <c r="V234" s="32">
        <v>0</v>
      </c>
      <c r="W234" s="27">
        <v>0</v>
      </c>
      <c r="X234" s="27">
        <v>0</v>
      </c>
      <c r="Y234" s="27">
        <v>150000</v>
      </c>
      <c r="Z234" s="26">
        <v>150000</v>
      </c>
      <c r="AA234" s="32">
        <v>0</v>
      </c>
      <c r="AB234" s="27">
        <v>0</v>
      </c>
      <c r="AC234" s="27">
        <v>0</v>
      </c>
      <c r="AD234" s="27">
        <v>0</v>
      </c>
      <c r="AE234" s="26">
        <v>0</v>
      </c>
      <c r="AF234" s="32">
        <v>0</v>
      </c>
      <c r="AG234" s="27">
        <v>0</v>
      </c>
      <c r="AH234" s="27">
        <v>0</v>
      </c>
      <c r="AI234" s="27">
        <v>0</v>
      </c>
      <c r="AJ234" s="27">
        <v>0</v>
      </c>
      <c r="AK234" s="26">
        <v>0</v>
      </c>
      <c r="AL234" s="28">
        <v>150000</v>
      </c>
      <c r="AM234" s="54"/>
      <c r="AN234" s="13">
        <v>0</v>
      </c>
      <c r="AO234" s="13">
        <v>0</v>
      </c>
    </row>
    <row r="235" spans="1:41" s="29" customFormat="1" ht="17" thickBot="1">
      <c r="A235" s="165"/>
      <c r="B235" s="33" t="s">
        <v>60</v>
      </c>
      <c r="C235" s="34">
        <v>57482</v>
      </c>
      <c r="D235" s="35">
        <v>6229</v>
      </c>
      <c r="E235" s="21"/>
      <c r="F235" s="21">
        <v>0</v>
      </c>
      <c r="G235" s="21">
        <v>472</v>
      </c>
      <c r="H235" s="21">
        <v>57472</v>
      </c>
      <c r="I235" s="20">
        <v>57472</v>
      </c>
      <c r="J235" s="21">
        <v>-67118</v>
      </c>
      <c r="K235" s="21">
        <v>-161636</v>
      </c>
      <c r="L235" s="21">
        <v>-81640</v>
      </c>
      <c r="M235" s="21">
        <v>79078</v>
      </c>
      <c r="N235" s="20">
        <v>79078</v>
      </c>
      <c r="O235" s="21">
        <v>-419608</v>
      </c>
      <c r="P235" s="21">
        <v>-412777</v>
      </c>
      <c r="Q235" s="21">
        <v>-363198</v>
      </c>
      <c r="R235" s="21">
        <v>-364346</v>
      </c>
      <c r="S235" s="21">
        <v>-5646</v>
      </c>
      <c r="T235" s="20">
        <v>-5646</v>
      </c>
      <c r="U235" s="22">
        <v>-5646</v>
      </c>
      <c r="V235" s="21">
        <v>-353349</v>
      </c>
      <c r="W235" s="21">
        <v>-353429</v>
      </c>
      <c r="X235" s="21">
        <v>-353429</v>
      </c>
      <c r="Y235" s="21">
        <v>-224894</v>
      </c>
      <c r="Z235" s="20">
        <v>-224894</v>
      </c>
      <c r="AA235" s="21">
        <v>-229694</v>
      </c>
      <c r="AB235" s="21">
        <v>-229694</v>
      </c>
      <c r="AC235" s="21">
        <v>-229694</v>
      </c>
      <c r="AD235" s="21">
        <v>-229694</v>
      </c>
      <c r="AE235" s="20">
        <v>-229694</v>
      </c>
      <c r="AF235" s="21">
        <v>-229694</v>
      </c>
      <c r="AG235" s="21">
        <v>-229694</v>
      </c>
      <c r="AH235" s="21">
        <v>-229694</v>
      </c>
      <c r="AI235" s="21">
        <v>-229694</v>
      </c>
      <c r="AJ235" s="21">
        <v>-229694</v>
      </c>
      <c r="AK235" s="20">
        <v>-229694</v>
      </c>
      <c r="AL235" s="22">
        <v>-229694</v>
      </c>
      <c r="AM235" s="54"/>
      <c r="AN235" s="13">
        <v>0</v>
      </c>
      <c r="AO235" s="13">
        <v>0</v>
      </c>
    </row>
    <row r="236" spans="1:41" s="29" customFormat="1" ht="17" thickBot="1">
      <c r="A236" s="36"/>
      <c r="B236" s="31" t="s">
        <v>61</v>
      </c>
      <c r="C236" s="26"/>
      <c r="D236" s="26"/>
      <c r="E236" s="19"/>
      <c r="F236" s="19"/>
      <c r="G236" s="19"/>
      <c r="H236" s="19"/>
      <c r="I236" s="23"/>
      <c r="J236" s="19"/>
      <c r="K236" s="19"/>
      <c r="L236" s="19"/>
      <c r="M236" s="19"/>
      <c r="N236" s="23"/>
      <c r="O236" s="19"/>
      <c r="P236" s="19"/>
      <c r="Q236" s="19"/>
      <c r="R236" s="19"/>
      <c r="S236" s="19"/>
      <c r="T236" s="23"/>
      <c r="U236" s="24"/>
      <c r="V236" s="19"/>
      <c r="W236" s="19"/>
      <c r="X236" s="19"/>
      <c r="Y236" s="19"/>
      <c r="Z236" s="23"/>
      <c r="AA236" s="19"/>
      <c r="AB236" s="19"/>
      <c r="AC236" s="19"/>
      <c r="AD236" s="19"/>
      <c r="AE236" s="23"/>
      <c r="AF236" s="19"/>
      <c r="AG236" s="19"/>
      <c r="AH236" s="19"/>
      <c r="AI236" s="19"/>
      <c r="AJ236" s="19"/>
      <c r="AK236" s="23"/>
      <c r="AL236" s="24"/>
      <c r="AM236" s="54"/>
      <c r="AN236" s="13">
        <v>0</v>
      </c>
      <c r="AO236" s="13">
        <v>0</v>
      </c>
    </row>
    <row r="237" spans="1:41" s="29" customFormat="1">
      <c r="A237" s="163" t="s">
        <v>100</v>
      </c>
      <c r="B237" s="25" t="s">
        <v>57</v>
      </c>
      <c r="C237" s="26"/>
      <c r="D237" s="26"/>
      <c r="E237" s="27"/>
      <c r="F237" s="27">
        <v>7310</v>
      </c>
      <c r="G237" s="27">
        <v>1112</v>
      </c>
      <c r="H237" s="27">
        <v>0</v>
      </c>
      <c r="I237" s="26">
        <v>8422</v>
      </c>
      <c r="J237" s="27">
        <v>13880</v>
      </c>
      <c r="K237" s="27">
        <v>1844</v>
      </c>
      <c r="L237" s="27">
        <v>5901</v>
      </c>
      <c r="M237" s="27">
        <v>2558</v>
      </c>
      <c r="N237" s="26">
        <v>24183</v>
      </c>
      <c r="O237" s="27">
        <v>2528</v>
      </c>
      <c r="P237" s="27">
        <v>10830</v>
      </c>
      <c r="Q237" s="27">
        <v>3524</v>
      </c>
      <c r="R237" s="27">
        <v>9650</v>
      </c>
      <c r="S237" s="27">
        <v>5635</v>
      </c>
      <c r="T237" s="26">
        <v>32167</v>
      </c>
      <c r="U237" s="28">
        <v>73107</v>
      </c>
      <c r="V237" s="27">
        <v>7160</v>
      </c>
      <c r="W237" s="27">
        <v>2120</v>
      </c>
      <c r="X237" s="27">
        <v>0</v>
      </c>
      <c r="Y237" s="27">
        <v>1180</v>
      </c>
      <c r="Z237" s="26">
        <v>10460</v>
      </c>
      <c r="AA237" s="27">
        <v>0</v>
      </c>
      <c r="AB237" s="27">
        <v>0</v>
      </c>
      <c r="AC237" s="27">
        <v>0</v>
      </c>
      <c r="AD237" s="27">
        <v>0</v>
      </c>
      <c r="AE237" s="26">
        <v>0</v>
      </c>
      <c r="AF237" s="27">
        <v>0</v>
      </c>
      <c r="AG237" s="27">
        <v>0</v>
      </c>
      <c r="AH237" s="27">
        <v>0</v>
      </c>
      <c r="AI237" s="27">
        <v>0</v>
      </c>
      <c r="AJ237" s="27">
        <v>0</v>
      </c>
      <c r="AK237" s="26">
        <v>0</v>
      </c>
      <c r="AL237" s="28">
        <v>10460</v>
      </c>
      <c r="AM237" s="54">
        <v>128</v>
      </c>
      <c r="AN237" s="13">
        <f>U237*AM237</f>
        <v>9357696</v>
      </c>
      <c r="AO237" s="13">
        <f>AM237*AL237</f>
        <v>1338880</v>
      </c>
    </row>
    <row r="238" spans="1:41" s="29" customFormat="1">
      <c r="A238" s="164"/>
      <c r="B238" s="31" t="s">
        <v>58</v>
      </c>
      <c r="C238" s="26"/>
      <c r="D238" s="26"/>
      <c r="E238" s="27"/>
      <c r="F238" s="27">
        <v>7310</v>
      </c>
      <c r="G238" s="27">
        <v>0</v>
      </c>
      <c r="H238" s="27">
        <v>0</v>
      </c>
      <c r="I238" s="26">
        <v>7310</v>
      </c>
      <c r="J238" s="27">
        <v>0</v>
      </c>
      <c r="K238" s="27">
        <v>0</v>
      </c>
      <c r="L238" s="27">
        <v>8000</v>
      </c>
      <c r="M238" s="27">
        <v>20000</v>
      </c>
      <c r="N238" s="26">
        <v>28000</v>
      </c>
      <c r="O238" s="27">
        <v>0</v>
      </c>
      <c r="P238" s="27">
        <v>0</v>
      </c>
      <c r="Q238" s="27">
        <v>5000</v>
      </c>
      <c r="R238" s="27">
        <v>20000</v>
      </c>
      <c r="S238" s="27">
        <v>25000</v>
      </c>
      <c r="T238" s="26">
        <v>50000</v>
      </c>
      <c r="U238" s="28">
        <v>0</v>
      </c>
      <c r="V238" s="27">
        <v>0</v>
      </c>
      <c r="W238" s="27">
        <v>0</v>
      </c>
      <c r="X238" s="27">
        <v>0</v>
      </c>
      <c r="Y238" s="27">
        <v>0</v>
      </c>
      <c r="Z238" s="26">
        <v>0</v>
      </c>
      <c r="AA238" s="27">
        <v>0</v>
      </c>
      <c r="AB238" s="27">
        <v>0</v>
      </c>
      <c r="AC238" s="27">
        <v>0</v>
      </c>
      <c r="AD238" s="27">
        <v>0</v>
      </c>
      <c r="AE238" s="26">
        <v>0</v>
      </c>
      <c r="AF238" s="27">
        <v>0</v>
      </c>
      <c r="AG238" s="27">
        <v>0</v>
      </c>
      <c r="AH238" s="27">
        <v>0</v>
      </c>
      <c r="AI238" s="27">
        <v>0</v>
      </c>
      <c r="AJ238" s="27">
        <v>0</v>
      </c>
      <c r="AK238" s="26">
        <v>0</v>
      </c>
      <c r="AL238" s="28">
        <v>0</v>
      </c>
      <c r="AM238" s="54"/>
      <c r="AN238" s="13">
        <v>0</v>
      </c>
      <c r="AO238" s="13">
        <v>0</v>
      </c>
    </row>
    <row r="239" spans="1:41" s="29" customFormat="1">
      <c r="A239" s="164"/>
      <c r="B239" s="31" t="s">
        <v>59</v>
      </c>
      <c r="C239" s="26">
        <v>4750</v>
      </c>
      <c r="D239" s="26">
        <v>4750</v>
      </c>
      <c r="E239" s="27"/>
      <c r="F239" s="27">
        <v>0</v>
      </c>
      <c r="G239" s="27">
        <v>0</v>
      </c>
      <c r="H239" s="27">
        <v>4750</v>
      </c>
      <c r="I239" s="26">
        <v>4750</v>
      </c>
      <c r="J239" s="27">
        <v>0</v>
      </c>
      <c r="K239" s="27">
        <v>0</v>
      </c>
      <c r="L239" s="27">
        <v>0</v>
      </c>
      <c r="M239" s="27">
        <v>0</v>
      </c>
      <c r="N239" s="26">
        <v>0</v>
      </c>
      <c r="O239" s="27">
        <v>0</v>
      </c>
      <c r="P239" s="27">
        <v>0</v>
      </c>
      <c r="Q239" s="27">
        <v>0</v>
      </c>
      <c r="R239" s="27">
        <v>0</v>
      </c>
      <c r="S239" s="27">
        <v>0</v>
      </c>
      <c r="T239" s="26">
        <v>0</v>
      </c>
      <c r="U239" s="28">
        <v>0</v>
      </c>
      <c r="V239" s="27">
        <v>0</v>
      </c>
      <c r="W239" s="27">
        <v>0</v>
      </c>
      <c r="X239" s="27">
        <v>0</v>
      </c>
      <c r="Y239" s="27">
        <v>0</v>
      </c>
      <c r="Z239" s="26">
        <v>0</v>
      </c>
      <c r="AA239" s="27">
        <v>0</v>
      </c>
      <c r="AB239" s="27">
        <v>0</v>
      </c>
      <c r="AC239" s="27">
        <v>0</v>
      </c>
      <c r="AD239" s="27">
        <v>0</v>
      </c>
      <c r="AE239" s="26">
        <v>0</v>
      </c>
      <c r="AF239" s="27">
        <v>0</v>
      </c>
      <c r="AG239" s="27">
        <v>0</v>
      </c>
      <c r="AH239" s="27">
        <v>0</v>
      </c>
      <c r="AI239" s="27">
        <v>0</v>
      </c>
      <c r="AJ239" s="27">
        <v>0</v>
      </c>
      <c r="AK239" s="26">
        <v>0</v>
      </c>
      <c r="AL239" s="28">
        <v>0</v>
      </c>
      <c r="AM239" s="54"/>
      <c r="AN239" s="13">
        <v>0</v>
      </c>
      <c r="AO239" s="13">
        <v>0</v>
      </c>
    </row>
    <row r="240" spans="1:41" s="29" customFormat="1">
      <c r="A240" s="164"/>
      <c r="B240" s="31" t="s">
        <v>7</v>
      </c>
      <c r="C240" s="26"/>
      <c r="D240" s="26"/>
      <c r="E240" s="32"/>
      <c r="F240" s="27">
        <v>7310</v>
      </c>
      <c r="G240" s="27">
        <v>0</v>
      </c>
      <c r="H240" s="27">
        <v>4750</v>
      </c>
      <c r="I240" s="26">
        <v>12060</v>
      </c>
      <c r="J240" s="32">
        <v>0</v>
      </c>
      <c r="K240" s="27">
        <v>0</v>
      </c>
      <c r="L240" s="27">
        <v>8000</v>
      </c>
      <c r="M240" s="27">
        <v>20000</v>
      </c>
      <c r="N240" s="26">
        <v>28000</v>
      </c>
      <c r="O240" s="32">
        <v>0</v>
      </c>
      <c r="P240" s="27">
        <v>0</v>
      </c>
      <c r="Q240" s="27">
        <v>5000</v>
      </c>
      <c r="R240" s="27">
        <v>20000</v>
      </c>
      <c r="S240" s="27">
        <v>25000</v>
      </c>
      <c r="T240" s="26">
        <v>50000</v>
      </c>
      <c r="U240" s="28">
        <v>98395</v>
      </c>
      <c r="V240" s="32">
        <v>0</v>
      </c>
      <c r="W240" s="27">
        <v>0</v>
      </c>
      <c r="X240" s="27">
        <v>0</v>
      </c>
      <c r="Y240" s="27">
        <v>0</v>
      </c>
      <c r="Z240" s="26">
        <v>0</v>
      </c>
      <c r="AA240" s="32">
        <v>0</v>
      </c>
      <c r="AB240" s="27">
        <v>0</v>
      </c>
      <c r="AC240" s="27">
        <v>0</v>
      </c>
      <c r="AD240" s="27">
        <v>0</v>
      </c>
      <c r="AE240" s="26">
        <v>0</v>
      </c>
      <c r="AF240" s="32">
        <v>0</v>
      </c>
      <c r="AG240" s="27">
        <v>0</v>
      </c>
      <c r="AH240" s="27">
        <v>0</v>
      </c>
      <c r="AI240" s="27">
        <v>0</v>
      </c>
      <c r="AJ240" s="27">
        <v>0</v>
      </c>
      <c r="AK240" s="26">
        <v>0</v>
      </c>
      <c r="AL240" s="28">
        <v>0</v>
      </c>
      <c r="AM240" s="54"/>
      <c r="AN240" s="13">
        <v>0</v>
      </c>
      <c r="AO240" s="13">
        <v>0</v>
      </c>
    </row>
    <row r="241" spans="1:41" s="29" customFormat="1" ht="17" thickBot="1">
      <c r="A241" s="165"/>
      <c r="B241" s="33" t="s">
        <v>60</v>
      </c>
      <c r="C241" s="34">
        <v>12104</v>
      </c>
      <c r="D241" s="35">
        <v>8335</v>
      </c>
      <c r="E241" s="21"/>
      <c r="F241" s="21">
        <v>0</v>
      </c>
      <c r="G241" s="21">
        <v>-1112</v>
      </c>
      <c r="H241" s="21">
        <v>3638</v>
      </c>
      <c r="I241" s="20">
        <v>3638</v>
      </c>
      <c r="J241" s="21">
        <v>-10242</v>
      </c>
      <c r="K241" s="21">
        <v>-12086</v>
      </c>
      <c r="L241" s="21">
        <v>-9987</v>
      </c>
      <c r="M241" s="21">
        <v>7455</v>
      </c>
      <c r="N241" s="20">
        <v>7455</v>
      </c>
      <c r="O241" s="21">
        <v>4927</v>
      </c>
      <c r="P241" s="21">
        <v>-5903</v>
      </c>
      <c r="Q241" s="21">
        <v>-4427</v>
      </c>
      <c r="R241" s="21">
        <v>5923</v>
      </c>
      <c r="S241" s="21">
        <v>25288</v>
      </c>
      <c r="T241" s="20">
        <v>25288</v>
      </c>
      <c r="U241" s="22">
        <v>25288</v>
      </c>
      <c r="V241" s="21">
        <v>18128</v>
      </c>
      <c r="W241" s="21">
        <v>16008</v>
      </c>
      <c r="X241" s="21">
        <v>16008</v>
      </c>
      <c r="Y241" s="21">
        <v>14828</v>
      </c>
      <c r="Z241" s="20">
        <v>14828</v>
      </c>
      <c r="AA241" s="21">
        <v>14828</v>
      </c>
      <c r="AB241" s="21">
        <v>14828</v>
      </c>
      <c r="AC241" s="21">
        <v>14828</v>
      </c>
      <c r="AD241" s="21">
        <v>14828</v>
      </c>
      <c r="AE241" s="20">
        <v>14828</v>
      </c>
      <c r="AF241" s="21">
        <v>14828</v>
      </c>
      <c r="AG241" s="21">
        <v>14828</v>
      </c>
      <c r="AH241" s="21">
        <v>14828</v>
      </c>
      <c r="AI241" s="21">
        <v>14828</v>
      </c>
      <c r="AJ241" s="21">
        <v>14828</v>
      </c>
      <c r="AK241" s="20">
        <v>14828</v>
      </c>
      <c r="AL241" s="22">
        <v>14828</v>
      </c>
      <c r="AM241" s="54"/>
      <c r="AN241" s="13">
        <v>0</v>
      </c>
      <c r="AO241" s="13">
        <v>0</v>
      </c>
    </row>
    <row r="242" spans="1:41" s="29" customFormat="1" ht="17" thickBot="1">
      <c r="A242" s="36"/>
      <c r="B242" s="31" t="s">
        <v>61</v>
      </c>
      <c r="C242" s="26"/>
      <c r="D242" s="26"/>
      <c r="E242" s="19"/>
      <c r="F242" s="19"/>
      <c r="G242" s="19"/>
      <c r="H242" s="19"/>
      <c r="I242" s="23"/>
      <c r="J242" s="19"/>
      <c r="K242" s="19"/>
      <c r="L242" s="19"/>
      <c r="M242" s="19"/>
      <c r="N242" s="23"/>
      <c r="O242" s="19"/>
      <c r="P242" s="19"/>
      <c r="Q242" s="19"/>
      <c r="R242" s="19"/>
      <c r="S242" s="19"/>
      <c r="T242" s="23"/>
      <c r="U242" s="24"/>
      <c r="V242" s="19"/>
      <c r="W242" s="19"/>
      <c r="X242" s="19"/>
      <c r="Y242" s="19"/>
      <c r="Z242" s="23"/>
      <c r="AA242" s="19"/>
      <c r="AB242" s="19"/>
      <c r="AC242" s="19"/>
      <c r="AD242" s="19"/>
      <c r="AE242" s="23"/>
      <c r="AF242" s="19"/>
      <c r="AG242" s="19"/>
      <c r="AH242" s="19"/>
      <c r="AI242" s="19"/>
      <c r="AJ242" s="19"/>
      <c r="AK242" s="23"/>
      <c r="AL242" s="24"/>
      <c r="AM242" s="54"/>
      <c r="AN242" s="13">
        <v>0</v>
      </c>
      <c r="AO242" s="13">
        <v>0</v>
      </c>
    </row>
    <row r="243" spans="1:41" s="29" customFormat="1">
      <c r="A243" s="169" t="s">
        <v>101</v>
      </c>
      <c r="B243" s="25" t="s">
        <v>57</v>
      </c>
      <c r="C243" s="26"/>
      <c r="D243" s="26"/>
      <c r="E243" s="27"/>
      <c r="F243" s="27">
        <v>1200</v>
      </c>
      <c r="G243" s="27">
        <v>-884</v>
      </c>
      <c r="H243" s="27">
        <v>320</v>
      </c>
      <c r="I243" s="26">
        <v>636</v>
      </c>
      <c r="J243" s="27">
        <v>0</v>
      </c>
      <c r="K243" s="27">
        <v>0</v>
      </c>
      <c r="L243" s="27">
        <v>0</v>
      </c>
      <c r="M243" s="27">
        <v>3</v>
      </c>
      <c r="N243" s="26">
        <v>3</v>
      </c>
      <c r="O243" s="27">
        <v>804</v>
      </c>
      <c r="P243" s="27">
        <v>3</v>
      </c>
      <c r="Q243" s="27">
        <v>6251</v>
      </c>
      <c r="R243" s="27">
        <v>1340</v>
      </c>
      <c r="S243" s="27">
        <v>46938</v>
      </c>
      <c r="T243" s="26">
        <v>55336</v>
      </c>
      <c r="U243" s="28">
        <v>69643</v>
      </c>
      <c r="V243" s="27">
        <v>0</v>
      </c>
      <c r="W243" s="27">
        <v>0</v>
      </c>
      <c r="X243" s="27">
        <v>0</v>
      </c>
      <c r="Y243" s="27">
        <v>340</v>
      </c>
      <c r="Z243" s="26">
        <v>340</v>
      </c>
      <c r="AA243" s="27">
        <v>0</v>
      </c>
      <c r="AB243" s="27">
        <v>0</v>
      </c>
      <c r="AC243" s="27">
        <v>0</v>
      </c>
      <c r="AD243" s="27">
        <v>0</v>
      </c>
      <c r="AE243" s="26">
        <v>0</v>
      </c>
      <c r="AF243" s="27">
        <v>0</v>
      </c>
      <c r="AG243" s="27">
        <v>0</v>
      </c>
      <c r="AH243" s="27">
        <v>0</v>
      </c>
      <c r="AI243" s="27">
        <v>0</v>
      </c>
      <c r="AJ243" s="27">
        <v>0</v>
      </c>
      <c r="AK243" s="26">
        <v>0</v>
      </c>
      <c r="AL243" s="28">
        <v>340</v>
      </c>
      <c r="AM243" s="54">
        <v>32</v>
      </c>
      <c r="AN243" s="13">
        <f>U243*AM243</f>
        <v>2228576</v>
      </c>
      <c r="AO243" s="13">
        <f>AM243*AL243</f>
        <v>10880</v>
      </c>
    </row>
    <row r="244" spans="1:41" s="29" customFormat="1">
      <c r="A244" s="170"/>
      <c r="B244" s="31" t="s">
        <v>58</v>
      </c>
      <c r="C244" s="26"/>
      <c r="D244" s="26"/>
      <c r="E244" s="27"/>
      <c r="F244" s="27">
        <v>1200</v>
      </c>
      <c r="G244" s="27">
        <v>0</v>
      </c>
      <c r="H244" s="27">
        <v>0</v>
      </c>
      <c r="I244" s="26">
        <v>1200</v>
      </c>
      <c r="J244" s="27">
        <v>0</v>
      </c>
      <c r="K244" s="27">
        <v>0</v>
      </c>
      <c r="L244" s="27">
        <v>0</v>
      </c>
      <c r="M244" s="27">
        <v>10000</v>
      </c>
      <c r="N244" s="26">
        <v>10000</v>
      </c>
      <c r="O244" s="27">
        <v>0</v>
      </c>
      <c r="P244" s="27">
        <v>0</v>
      </c>
      <c r="Q244" s="27">
        <v>0</v>
      </c>
      <c r="R244" s="27">
        <v>25000</v>
      </c>
      <c r="S244" s="27">
        <v>0</v>
      </c>
      <c r="T244" s="26">
        <v>25000</v>
      </c>
      <c r="U244" s="28">
        <v>0</v>
      </c>
      <c r="V244" s="27">
        <v>0</v>
      </c>
      <c r="W244" s="27">
        <v>0</v>
      </c>
      <c r="X244" s="27">
        <v>22000</v>
      </c>
      <c r="Y244" s="27">
        <v>0</v>
      </c>
      <c r="Z244" s="26">
        <v>22000</v>
      </c>
      <c r="AA244" s="27">
        <v>0</v>
      </c>
      <c r="AB244" s="27">
        <v>0</v>
      </c>
      <c r="AC244" s="27">
        <v>0</v>
      </c>
      <c r="AD244" s="27">
        <v>0</v>
      </c>
      <c r="AE244" s="26">
        <v>0</v>
      </c>
      <c r="AF244" s="27">
        <v>0</v>
      </c>
      <c r="AG244" s="27">
        <v>0</v>
      </c>
      <c r="AH244" s="27">
        <v>0</v>
      </c>
      <c r="AI244" s="27">
        <v>0</v>
      </c>
      <c r="AJ244" s="27">
        <v>0</v>
      </c>
      <c r="AK244" s="26">
        <v>0</v>
      </c>
      <c r="AL244" s="28">
        <v>0</v>
      </c>
      <c r="AM244" s="54"/>
      <c r="AN244" s="13">
        <v>0</v>
      </c>
      <c r="AO244" s="13">
        <v>0</v>
      </c>
    </row>
    <row r="245" spans="1:41" s="29" customFormat="1">
      <c r="A245" s="170"/>
      <c r="B245" s="31" t="s">
        <v>59</v>
      </c>
      <c r="C245" s="26">
        <v>0</v>
      </c>
      <c r="D245" s="26">
        <v>0</v>
      </c>
      <c r="E245" s="27"/>
      <c r="F245" s="27">
        <v>0</v>
      </c>
      <c r="G245" s="27">
        <v>0</v>
      </c>
      <c r="H245" s="27">
        <v>0</v>
      </c>
      <c r="I245" s="26">
        <v>0</v>
      </c>
      <c r="J245" s="27">
        <v>0</v>
      </c>
      <c r="K245" s="27">
        <v>0</v>
      </c>
      <c r="L245" s="27">
        <v>0</v>
      </c>
      <c r="M245" s="27">
        <v>0</v>
      </c>
      <c r="N245" s="26">
        <v>0</v>
      </c>
      <c r="O245" s="27">
        <v>0</v>
      </c>
      <c r="P245" s="27">
        <v>0</v>
      </c>
      <c r="Q245" s="27">
        <v>0</v>
      </c>
      <c r="R245" s="27">
        <v>0</v>
      </c>
      <c r="S245" s="27">
        <v>0</v>
      </c>
      <c r="T245" s="26">
        <v>0</v>
      </c>
      <c r="U245" s="28">
        <v>0</v>
      </c>
      <c r="V245" s="27">
        <v>0</v>
      </c>
      <c r="W245" s="27">
        <v>0</v>
      </c>
      <c r="X245" s="27">
        <v>0</v>
      </c>
      <c r="Y245" s="27">
        <v>0</v>
      </c>
      <c r="Z245" s="26">
        <v>0</v>
      </c>
      <c r="AA245" s="27">
        <v>0</v>
      </c>
      <c r="AB245" s="27">
        <v>0</v>
      </c>
      <c r="AC245" s="27">
        <v>0</v>
      </c>
      <c r="AD245" s="27">
        <v>0</v>
      </c>
      <c r="AE245" s="26">
        <v>0</v>
      </c>
      <c r="AF245" s="27">
        <v>0</v>
      </c>
      <c r="AG245" s="27">
        <v>0</v>
      </c>
      <c r="AH245" s="27">
        <v>0</v>
      </c>
      <c r="AI245" s="27">
        <v>0</v>
      </c>
      <c r="AJ245" s="27">
        <v>0</v>
      </c>
      <c r="AK245" s="26">
        <v>0</v>
      </c>
      <c r="AL245" s="28">
        <v>0</v>
      </c>
      <c r="AM245" s="54"/>
      <c r="AN245" s="13">
        <v>0</v>
      </c>
      <c r="AO245" s="13">
        <v>0</v>
      </c>
    </row>
    <row r="246" spans="1:41" s="29" customFormat="1">
      <c r="A246" s="170"/>
      <c r="B246" s="31" t="s">
        <v>7</v>
      </c>
      <c r="C246" s="26"/>
      <c r="D246" s="26"/>
      <c r="E246" s="32"/>
      <c r="F246" s="27">
        <v>1200</v>
      </c>
      <c r="G246" s="27">
        <v>0</v>
      </c>
      <c r="H246" s="27">
        <v>0</v>
      </c>
      <c r="I246" s="26">
        <v>1200</v>
      </c>
      <c r="J246" s="32">
        <v>0</v>
      </c>
      <c r="K246" s="27">
        <v>0</v>
      </c>
      <c r="L246" s="27">
        <v>0</v>
      </c>
      <c r="M246" s="27">
        <v>10000</v>
      </c>
      <c r="N246" s="26">
        <v>10000</v>
      </c>
      <c r="O246" s="32">
        <v>0</v>
      </c>
      <c r="P246" s="27">
        <v>0</v>
      </c>
      <c r="Q246" s="27">
        <v>0</v>
      </c>
      <c r="R246" s="27">
        <v>25000</v>
      </c>
      <c r="S246" s="27">
        <v>0</v>
      </c>
      <c r="T246" s="26">
        <v>25000</v>
      </c>
      <c r="U246" s="28">
        <v>49868</v>
      </c>
      <c r="V246" s="32">
        <v>0</v>
      </c>
      <c r="W246" s="27">
        <v>0</v>
      </c>
      <c r="X246" s="27">
        <v>22000</v>
      </c>
      <c r="Y246" s="27">
        <v>0</v>
      </c>
      <c r="Z246" s="26">
        <v>22000</v>
      </c>
      <c r="AA246" s="32">
        <v>0</v>
      </c>
      <c r="AB246" s="27">
        <v>0</v>
      </c>
      <c r="AC246" s="27">
        <v>0</v>
      </c>
      <c r="AD246" s="27">
        <v>0</v>
      </c>
      <c r="AE246" s="26">
        <v>0</v>
      </c>
      <c r="AF246" s="32">
        <v>0</v>
      </c>
      <c r="AG246" s="27">
        <v>0</v>
      </c>
      <c r="AH246" s="27">
        <v>0</v>
      </c>
      <c r="AI246" s="27">
        <v>0</v>
      </c>
      <c r="AJ246" s="27">
        <v>0</v>
      </c>
      <c r="AK246" s="26">
        <v>0</v>
      </c>
      <c r="AL246" s="28">
        <v>2225</v>
      </c>
      <c r="AM246" s="54"/>
      <c r="AN246" s="13">
        <v>0</v>
      </c>
      <c r="AO246" s="13">
        <v>0</v>
      </c>
    </row>
    <row r="247" spans="1:41" s="29" customFormat="1" ht="17" thickBot="1">
      <c r="A247" s="171"/>
      <c r="B247" s="33" t="s">
        <v>60</v>
      </c>
      <c r="C247" s="34">
        <v>884</v>
      </c>
      <c r="D247" s="35">
        <v>13668</v>
      </c>
      <c r="E247" s="21"/>
      <c r="F247" s="21">
        <v>0</v>
      </c>
      <c r="G247" s="21">
        <v>884</v>
      </c>
      <c r="H247" s="21">
        <v>564</v>
      </c>
      <c r="I247" s="20">
        <v>564</v>
      </c>
      <c r="J247" s="21">
        <v>564</v>
      </c>
      <c r="K247" s="21">
        <v>564</v>
      </c>
      <c r="L247" s="21">
        <v>564</v>
      </c>
      <c r="M247" s="21">
        <v>10561</v>
      </c>
      <c r="N247" s="20">
        <v>10561</v>
      </c>
      <c r="O247" s="21">
        <v>9757</v>
      </c>
      <c r="P247" s="21">
        <v>9754</v>
      </c>
      <c r="Q247" s="21">
        <v>3503</v>
      </c>
      <c r="R247" s="21">
        <v>27163</v>
      </c>
      <c r="S247" s="21">
        <v>-19775</v>
      </c>
      <c r="T247" s="20">
        <v>-19775</v>
      </c>
      <c r="U247" s="22">
        <v>-19775</v>
      </c>
      <c r="V247" s="21">
        <v>-19775</v>
      </c>
      <c r="W247" s="21">
        <v>-19775</v>
      </c>
      <c r="X247" s="21">
        <v>2225</v>
      </c>
      <c r="Y247" s="21">
        <v>1885</v>
      </c>
      <c r="Z247" s="20">
        <v>1885</v>
      </c>
      <c r="AA247" s="21">
        <v>1885</v>
      </c>
      <c r="AB247" s="21">
        <v>1885</v>
      </c>
      <c r="AC247" s="21">
        <v>1885</v>
      </c>
      <c r="AD247" s="21">
        <v>1885</v>
      </c>
      <c r="AE247" s="20">
        <v>1885</v>
      </c>
      <c r="AF247" s="21">
        <v>1885</v>
      </c>
      <c r="AG247" s="21">
        <v>1885</v>
      </c>
      <c r="AH247" s="21">
        <v>1885</v>
      </c>
      <c r="AI247" s="21">
        <v>1885</v>
      </c>
      <c r="AJ247" s="21">
        <v>1885</v>
      </c>
      <c r="AK247" s="20">
        <v>1885</v>
      </c>
      <c r="AL247" s="22">
        <v>1885</v>
      </c>
      <c r="AM247" s="54"/>
      <c r="AN247" s="13">
        <v>0</v>
      </c>
      <c r="AO247" s="13">
        <v>0</v>
      </c>
    </row>
    <row r="248" spans="1:41" s="29" customFormat="1" ht="17" thickBot="1">
      <c r="A248" s="36"/>
      <c r="B248" s="31" t="s">
        <v>61</v>
      </c>
      <c r="C248" s="26"/>
      <c r="D248" s="26"/>
      <c r="E248" s="19"/>
      <c r="F248" s="19"/>
      <c r="G248" s="19"/>
      <c r="H248" s="19"/>
      <c r="I248" s="23"/>
      <c r="J248" s="19"/>
      <c r="K248" s="19"/>
      <c r="L248" s="19"/>
      <c r="M248" s="19"/>
      <c r="N248" s="23"/>
      <c r="O248" s="19"/>
      <c r="P248" s="19"/>
      <c r="Q248" s="19"/>
      <c r="R248" s="19"/>
      <c r="S248" s="19"/>
      <c r="T248" s="23"/>
      <c r="U248" s="61"/>
      <c r="V248" s="19"/>
      <c r="W248" s="19"/>
      <c r="X248" s="19"/>
      <c r="Y248" s="19"/>
      <c r="Z248" s="23"/>
      <c r="AA248" s="19"/>
      <c r="AB248" s="19"/>
      <c r="AC248" s="19"/>
      <c r="AD248" s="19"/>
      <c r="AE248" s="23"/>
      <c r="AF248" s="19"/>
      <c r="AG248" s="19"/>
      <c r="AH248" s="19"/>
      <c r="AI248" s="19"/>
      <c r="AJ248" s="19"/>
      <c r="AK248" s="23"/>
      <c r="AL248" s="24"/>
      <c r="AM248" s="54"/>
      <c r="AN248" s="13">
        <v>0</v>
      </c>
      <c r="AO248" s="13">
        <v>0</v>
      </c>
    </row>
    <row r="249" spans="1:41" s="29" customFormat="1">
      <c r="A249" s="169" t="s">
        <v>102</v>
      </c>
      <c r="B249" s="25" t="s">
        <v>57</v>
      </c>
      <c r="C249" s="26"/>
      <c r="D249" s="26"/>
      <c r="E249" s="27"/>
      <c r="F249" s="27">
        <v>200</v>
      </c>
      <c r="G249" s="27">
        <v>-64</v>
      </c>
      <c r="H249" s="27">
        <v>6800</v>
      </c>
      <c r="I249" s="26">
        <v>6936</v>
      </c>
      <c r="J249" s="27">
        <v>0</v>
      </c>
      <c r="K249" s="27">
        <v>5538</v>
      </c>
      <c r="L249" s="27">
        <v>0</v>
      </c>
      <c r="M249" s="27">
        <v>3200</v>
      </c>
      <c r="N249" s="26">
        <v>8738</v>
      </c>
      <c r="O249" s="27">
        <v>80</v>
      </c>
      <c r="P249" s="27">
        <v>1846</v>
      </c>
      <c r="Q249" s="27">
        <v>120</v>
      </c>
      <c r="R249" s="27">
        <v>4440</v>
      </c>
      <c r="S249" s="27">
        <v>40000</v>
      </c>
      <c r="T249" s="92">
        <v>46486</v>
      </c>
      <c r="U249" s="95">
        <v>69452</v>
      </c>
      <c r="V249" s="27">
        <v>0</v>
      </c>
      <c r="W249" s="27">
        <v>0</v>
      </c>
      <c r="X249" s="27">
        <v>0</v>
      </c>
      <c r="Y249" s="27">
        <v>0</v>
      </c>
      <c r="Z249" s="26">
        <v>0</v>
      </c>
      <c r="AA249" s="27">
        <v>0</v>
      </c>
      <c r="AB249" s="27">
        <v>0</v>
      </c>
      <c r="AC249" s="27">
        <v>0</v>
      </c>
      <c r="AD249" s="27">
        <v>0</v>
      </c>
      <c r="AE249" s="26">
        <v>0</v>
      </c>
      <c r="AF249" s="27">
        <v>0</v>
      </c>
      <c r="AG249" s="27">
        <v>0</v>
      </c>
      <c r="AH249" s="27">
        <v>0</v>
      </c>
      <c r="AI249" s="27">
        <v>0</v>
      </c>
      <c r="AJ249" s="27">
        <v>0</v>
      </c>
      <c r="AK249" s="26">
        <v>0</v>
      </c>
      <c r="AL249" s="28">
        <v>0</v>
      </c>
      <c r="AM249" s="54">
        <v>64</v>
      </c>
      <c r="AN249" s="13">
        <f>U249*AM249</f>
        <v>4444928</v>
      </c>
      <c r="AO249" s="13">
        <f>AM249*AL249</f>
        <v>0</v>
      </c>
    </row>
    <row r="250" spans="1:41" s="29" customFormat="1" ht="14">
      <c r="A250" s="170"/>
      <c r="B250" s="31" t="s">
        <v>58</v>
      </c>
      <c r="C250" s="26"/>
      <c r="D250" s="26"/>
      <c r="E250" s="27"/>
      <c r="F250" s="27">
        <v>200</v>
      </c>
      <c r="G250" s="27">
        <v>0</v>
      </c>
      <c r="H250" s="27">
        <v>0</v>
      </c>
      <c r="I250" s="26">
        <v>200</v>
      </c>
      <c r="J250" s="27">
        <v>0</v>
      </c>
      <c r="K250" s="27">
        <v>0</v>
      </c>
      <c r="L250" s="27">
        <v>0</v>
      </c>
      <c r="M250" s="27">
        <v>20000</v>
      </c>
      <c r="N250" s="26">
        <v>20000</v>
      </c>
      <c r="O250" s="27">
        <v>0</v>
      </c>
      <c r="P250" s="27">
        <v>0</v>
      </c>
      <c r="Q250" s="27">
        <v>0</v>
      </c>
      <c r="R250" s="27">
        <v>2000</v>
      </c>
      <c r="S250" s="27">
        <v>0</v>
      </c>
      <c r="T250" s="92">
        <v>2000</v>
      </c>
      <c r="U250" s="28">
        <v>0</v>
      </c>
      <c r="V250" s="27">
        <v>0</v>
      </c>
      <c r="W250" s="27">
        <v>0</v>
      </c>
      <c r="X250" s="27">
        <v>40000</v>
      </c>
      <c r="Y250" s="27">
        <v>0</v>
      </c>
      <c r="Z250" s="26">
        <v>40000</v>
      </c>
      <c r="AA250" s="27">
        <v>0</v>
      </c>
      <c r="AB250" s="27">
        <v>0</v>
      </c>
      <c r="AC250" s="27">
        <v>0</v>
      </c>
      <c r="AD250" s="27">
        <v>0</v>
      </c>
      <c r="AE250" s="26">
        <v>0</v>
      </c>
      <c r="AF250" s="27">
        <v>0</v>
      </c>
      <c r="AG250" s="27">
        <v>0</v>
      </c>
      <c r="AH250" s="27">
        <v>0</v>
      </c>
      <c r="AI250" s="27">
        <v>0</v>
      </c>
      <c r="AJ250" s="27">
        <v>0</v>
      </c>
      <c r="AK250" s="26">
        <v>0</v>
      </c>
      <c r="AL250" s="28">
        <v>0</v>
      </c>
      <c r="AM250" s="54"/>
      <c r="AN250" s="30"/>
      <c r="AO250" s="30"/>
    </row>
    <row r="251" spans="1:41" s="29" customFormat="1" ht="14">
      <c r="A251" s="170"/>
      <c r="B251" s="31" t="s">
        <v>59</v>
      </c>
      <c r="C251" s="26">
        <v>0</v>
      </c>
      <c r="D251" s="26">
        <v>0</v>
      </c>
      <c r="E251" s="27"/>
      <c r="F251" s="27">
        <v>0</v>
      </c>
      <c r="G251" s="27">
        <v>0</v>
      </c>
      <c r="H251" s="27">
        <v>0</v>
      </c>
      <c r="I251" s="26">
        <v>0</v>
      </c>
      <c r="J251" s="27">
        <v>0</v>
      </c>
      <c r="K251" s="27">
        <v>0</v>
      </c>
      <c r="L251" s="27">
        <v>0</v>
      </c>
      <c r="M251" s="27">
        <v>0</v>
      </c>
      <c r="N251" s="26">
        <v>0</v>
      </c>
      <c r="O251" s="27">
        <v>0</v>
      </c>
      <c r="P251" s="27">
        <v>0</v>
      </c>
      <c r="Q251" s="27">
        <v>0</v>
      </c>
      <c r="R251" s="27">
        <v>0</v>
      </c>
      <c r="S251" s="27">
        <v>0</v>
      </c>
      <c r="T251" s="92">
        <v>0</v>
      </c>
      <c r="U251" s="28">
        <v>0</v>
      </c>
      <c r="V251" s="27">
        <v>0</v>
      </c>
      <c r="W251" s="27">
        <v>0</v>
      </c>
      <c r="X251" s="27">
        <v>0</v>
      </c>
      <c r="Y251" s="27">
        <v>0</v>
      </c>
      <c r="Z251" s="26">
        <v>0</v>
      </c>
      <c r="AA251" s="27">
        <v>0</v>
      </c>
      <c r="AB251" s="27">
        <v>0</v>
      </c>
      <c r="AC251" s="27">
        <v>0</v>
      </c>
      <c r="AD251" s="27">
        <v>0</v>
      </c>
      <c r="AE251" s="26">
        <v>0</v>
      </c>
      <c r="AF251" s="27">
        <v>0</v>
      </c>
      <c r="AG251" s="27">
        <v>0</v>
      </c>
      <c r="AH251" s="27">
        <v>0</v>
      </c>
      <c r="AI251" s="27">
        <v>0</v>
      </c>
      <c r="AJ251" s="27">
        <v>0</v>
      </c>
      <c r="AK251" s="26">
        <v>0</v>
      </c>
      <c r="AL251" s="28">
        <v>0</v>
      </c>
      <c r="AM251" s="54"/>
      <c r="AN251" s="30"/>
      <c r="AO251" s="30"/>
    </row>
    <row r="252" spans="1:41" s="29" customFormat="1" ht="14">
      <c r="A252" s="170"/>
      <c r="B252" s="31" t="s">
        <v>7</v>
      </c>
      <c r="C252" s="26"/>
      <c r="D252" s="26"/>
      <c r="E252" s="32"/>
      <c r="F252" s="27">
        <v>200</v>
      </c>
      <c r="G252" s="27">
        <v>0</v>
      </c>
      <c r="H252" s="27">
        <v>0</v>
      </c>
      <c r="I252" s="26">
        <v>200</v>
      </c>
      <c r="J252" s="32">
        <v>0</v>
      </c>
      <c r="K252" s="27">
        <v>0</v>
      </c>
      <c r="L252" s="27">
        <v>0</v>
      </c>
      <c r="M252" s="27">
        <v>20000</v>
      </c>
      <c r="N252" s="26">
        <v>20000</v>
      </c>
      <c r="O252" s="32">
        <v>0</v>
      </c>
      <c r="P252" s="27">
        <v>0</v>
      </c>
      <c r="Q252" s="27">
        <v>0</v>
      </c>
      <c r="R252" s="27">
        <v>2000</v>
      </c>
      <c r="S252" s="27">
        <v>0</v>
      </c>
      <c r="T252" s="92">
        <v>2000</v>
      </c>
      <c r="U252" s="28">
        <v>29492</v>
      </c>
      <c r="V252" s="32">
        <v>0</v>
      </c>
      <c r="W252" s="27">
        <v>0</v>
      </c>
      <c r="X252" s="27">
        <v>40000</v>
      </c>
      <c r="Y252" s="27">
        <v>0</v>
      </c>
      <c r="Z252" s="26">
        <v>40000</v>
      </c>
      <c r="AA252" s="32">
        <v>0</v>
      </c>
      <c r="AB252" s="27">
        <v>0</v>
      </c>
      <c r="AC252" s="27">
        <v>0</v>
      </c>
      <c r="AD252" s="27">
        <v>0</v>
      </c>
      <c r="AE252" s="26">
        <v>0</v>
      </c>
      <c r="AF252" s="32">
        <v>0</v>
      </c>
      <c r="AG252" s="27">
        <v>0</v>
      </c>
      <c r="AH252" s="27">
        <v>0</v>
      </c>
      <c r="AI252" s="27">
        <v>0</v>
      </c>
      <c r="AJ252" s="27">
        <v>0</v>
      </c>
      <c r="AK252" s="26">
        <v>0</v>
      </c>
      <c r="AL252" s="28">
        <v>40</v>
      </c>
      <c r="AM252" s="54"/>
      <c r="AN252" s="30"/>
      <c r="AO252" s="30"/>
    </row>
    <row r="253" spans="1:41" s="29" customFormat="1" ht="15" thickBot="1">
      <c r="A253" s="171"/>
      <c r="B253" s="33" t="s">
        <v>60</v>
      </c>
      <c r="C253" s="34">
        <v>64</v>
      </c>
      <c r="D253" s="35">
        <v>7292</v>
      </c>
      <c r="E253" s="21"/>
      <c r="F253" s="21">
        <v>0</v>
      </c>
      <c r="G253" s="21">
        <v>64</v>
      </c>
      <c r="H253" s="21">
        <v>-6736</v>
      </c>
      <c r="I253" s="20">
        <v>-6736</v>
      </c>
      <c r="J253" s="21">
        <v>-6736</v>
      </c>
      <c r="K253" s="21">
        <v>-12274</v>
      </c>
      <c r="L253" s="21">
        <v>-12274</v>
      </c>
      <c r="M253" s="21">
        <v>4526</v>
      </c>
      <c r="N253" s="20">
        <v>4526</v>
      </c>
      <c r="O253" s="21">
        <v>4446</v>
      </c>
      <c r="P253" s="21">
        <v>2600</v>
      </c>
      <c r="Q253" s="21">
        <v>2480</v>
      </c>
      <c r="R253" s="21">
        <v>40</v>
      </c>
      <c r="S253" s="21">
        <v>-39960</v>
      </c>
      <c r="T253" s="93">
        <v>-39960</v>
      </c>
      <c r="U253" s="22">
        <v>-39960</v>
      </c>
      <c r="V253" s="21">
        <v>-39960</v>
      </c>
      <c r="W253" s="21">
        <v>-39960</v>
      </c>
      <c r="X253" s="21">
        <v>40</v>
      </c>
      <c r="Y253" s="21">
        <v>40</v>
      </c>
      <c r="Z253" s="20">
        <v>40</v>
      </c>
      <c r="AA253" s="21">
        <v>40</v>
      </c>
      <c r="AB253" s="21">
        <v>40</v>
      </c>
      <c r="AC253" s="21">
        <v>40</v>
      </c>
      <c r="AD253" s="21">
        <v>40</v>
      </c>
      <c r="AE253" s="20">
        <v>40</v>
      </c>
      <c r="AF253" s="21">
        <v>40</v>
      </c>
      <c r="AG253" s="21">
        <v>40</v>
      </c>
      <c r="AH253" s="21">
        <v>40</v>
      </c>
      <c r="AI253" s="21">
        <v>40</v>
      </c>
      <c r="AJ253" s="21">
        <v>40</v>
      </c>
      <c r="AK253" s="20">
        <v>40</v>
      </c>
      <c r="AL253" s="22">
        <v>40</v>
      </c>
      <c r="AM253" s="54"/>
      <c r="AN253" s="30"/>
      <c r="AO253" s="30"/>
    </row>
    <row r="254" spans="1:41" s="29" customFormat="1" ht="17" thickBot="1">
      <c r="A254" s="36"/>
      <c r="B254" s="31" t="s">
        <v>61</v>
      </c>
      <c r="C254" s="26"/>
      <c r="D254" s="26"/>
      <c r="E254" s="19">
        <v>0</v>
      </c>
      <c r="F254" s="19"/>
      <c r="G254" s="19"/>
      <c r="H254" s="19"/>
      <c r="I254" s="23"/>
      <c r="J254" s="19"/>
      <c r="K254" s="19"/>
      <c r="L254" s="19"/>
      <c r="M254" s="19"/>
      <c r="N254" s="23"/>
      <c r="O254" s="19"/>
      <c r="P254" s="19"/>
      <c r="Q254" s="19"/>
      <c r="R254" s="19"/>
      <c r="S254" s="19"/>
      <c r="T254" s="94"/>
      <c r="U254" s="96"/>
      <c r="V254" s="19"/>
      <c r="W254" s="19"/>
      <c r="X254" s="19"/>
      <c r="Y254" s="19"/>
      <c r="Z254" s="23"/>
      <c r="AA254" s="19"/>
      <c r="AB254" s="19"/>
      <c r="AC254" s="19"/>
      <c r="AD254" s="19"/>
      <c r="AE254" s="23"/>
      <c r="AF254" s="19"/>
      <c r="AG254" s="19"/>
      <c r="AH254" s="19"/>
      <c r="AI254" s="19"/>
      <c r="AJ254" s="19"/>
      <c r="AK254" s="23"/>
      <c r="AL254" s="61"/>
      <c r="AM254" s="54"/>
      <c r="AN254" s="30"/>
      <c r="AO254" s="30"/>
    </row>
    <row r="255" spans="1:41" s="48" customFormat="1">
      <c r="A255" s="160" t="s">
        <v>18</v>
      </c>
      <c r="B255" s="97" t="s">
        <v>57</v>
      </c>
      <c r="C255" s="7"/>
      <c r="D255" s="7"/>
      <c r="E255" s="70"/>
      <c r="F255" s="63">
        <v>4354628</v>
      </c>
      <c r="G255" s="63">
        <v>-4662524</v>
      </c>
      <c r="H255" s="77">
        <v>2470235</v>
      </c>
      <c r="I255" s="87">
        <v>2391734</v>
      </c>
      <c r="J255" s="63">
        <v>2852738</v>
      </c>
      <c r="K255" s="63">
        <v>796163</v>
      </c>
      <c r="L255" s="77">
        <v>862008</v>
      </c>
      <c r="M255" s="77">
        <v>1997576</v>
      </c>
      <c r="N255" s="87">
        <v>6508485</v>
      </c>
      <c r="O255" s="77">
        <v>2205321</v>
      </c>
      <c r="P255" s="77">
        <v>398311</v>
      </c>
      <c r="Q255" s="77">
        <v>2139567</v>
      </c>
      <c r="R255" s="77">
        <v>1790260</v>
      </c>
      <c r="S255" s="77">
        <v>634669</v>
      </c>
      <c r="T255" s="84">
        <v>7168128</v>
      </c>
      <c r="U255" s="67">
        <v>20743626</v>
      </c>
      <c r="V255" s="70">
        <v>436663</v>
      </c>
      <c r="W255" s="63">
        <v>8009</v>
      </c>
      <c r="X255" s="63">
        <v>7240</v>
      </c>
      <c r="Y255" s="77">
        <v>379125</v>
      </c>
      <c r="Z255" s="87">
        <v>831037</v>
      </c>
      <c r="AA255" s="70">
        <v>30959</v>
      </c>
      <c r="AB255" s="63">
        <v>4319</v>
      </c>
      <c r="AC255" s="63">
        <v>60148</v>
      </c>
      <c r="AD255" s="77">
        <v>4634</v>
      </c>
      <c r="AE255" s="87">
        <v>100060</v>
      </c>
      <c r="AF255" s="70">
        <v>0</v>
      </c>
      <c r="AG255" s="63">
        <v>0</v>
      </c>
      <c r="AH255" s="63">
        <v>0</v>
      </c>
      <c r="AI255" s="63">
        <v>0</v>
      </c>
      <c r="AJ255" s="77">
        <v>0</v>
      </c>
      <c r="AK255" s="84">
        <v>0</v>
      </c>
      <c r="AL255" s="67">
        <v>931097</v>
      </c>
      <c r="AM255" s="56"/>
      <c r="AN255" s="13"/>
      <c r="AO255" s="13"/>
    </row>
    <row r="256" spans="1:41" s="48" customFormat="1">
      <c r="A256" s="161"/>
      <c r="B256" s="98" t="s">
        <v>58</v>
      </c>
      <c r="C256" s="8"/>
      <c r="D256" s="8"/>
      <c r="E256" s="71"/>
      <c r="F256" s="9">
        <v>4354628</v>
      </c>
      <c r="G256" s="9">
        <v>1165024</v>
      </c>
      <c r="H256" s="78">
        <v>189659</v>
      </c>
      <c r="I256" s="88">
        <v>5938706</v>
      </c>
      <c r="J256" s="9">
        <v>25000</v>
      </c>
      <c r="K256" s="9">
        <v>83000</v>
      </c>
      <c r="L256" s="78">
        <v>1659000</v>
      </c>
      <c r="M256" s="78">
        <v>3333000</v>
      </c>
      <c r="N256" s="88">
        <v>5100000</v>
      </c>
      <c r="O256" s="78">
        <v>936000</v>
      </c>
      <c r="P256" s="78">
        <v>72000</v>
      </c>
      <c r="Q256" s="78">
        <v>1348800</v>
      </c>
      <c r="R256" s="78">
        <v>2090000</v>
      </c>
      <c r="S256" s="78">
        <v>610000</v>
      </c>
      <c r="T256" s="85">
        <v>5056800</v>
      </c>
      <c r="U256" s="68">
        <v>2518650</v>
      </c>
      <c r="V256" s="71">
        <v>79000</v>
      </c>
      <c r="W256" s="9">
        <v>0</v>
      </c>
      <c r="X256" s="9">
        <v>62000</v>
      </c>
      <c r="Y256" s="78">
        <v>250000</v>
      </c>
      <c r="Z256" s="88">
        <v>391000</v>
      </c>
      <c r="AA256" s="71">
        <v>0</v>
      </c>
      <c r="AB256" s="9">
        <v>0</v>
      </c>
      <c r="AC256" s="9">
        <v>0</v>
      </c>
      <c r="AD256" s="78">
        <v>100</v>
      </c>
      <c r="AE256" s="88">
        <v>100</v>
      </c>
      <c r="AF256" s="71">
        <v>0</v>
      </c>
      <c r="AG256" s="9">
        <v>0</v>
      </c>
      <c r="AH256" s="9">
        <v>0</v>
      </c>
      <c r="AI256" s="9">
        <v>0</v>
      </c>
      <c r="AJ256" s="78">
        <v>0</v>
      </c>
      <c r="AK256" s="85">
        <v>0</v>
      </c>
      <c r="AL256" s="68">
        <v>229100</v>
      </c>
      <c r="AM256" s="56"/>
      <c r="AN256" s="13"/>
      <c r="AO256" s="13"/>
    </row>
    <row r="257" spans="1:41" s="48" customFormat="1">
      <c r="A257" s="161"/>
      <c r="B257" s="98" t="s">
        <v>59</v>
      </c>
      <c r="C257" s="8">
        <v>3280818</v>
      </c>
      <c r="D257" s="8">
        <v>3280818</v>
      </c>
      <c r="E257" s="71"/>
      <c r="F257" s="9">
        <v>0</v>
      </c>
      <c r="G257" s="9">
        <v>3079155</v>
      </c>
      <c r="H257" s="9">
        <v>142947</v>
      </c>
      <c r="I257" s="88">
        <v>3222102</v>
      </c>
      <c r="J257" s="9">
        <v>0</v>
      </c>
      <c r="K257" s="9">
        <v>0</v>
      </c>
      <c r="L257" s="9">
        <v>0</v>
      </c>
      <c r="M257" s="9">
        <v>0</v>
      </c>
      <c r="N257" s="88">
        <v>0</v>
      </c>
      <c r="O257" s="9">
        <v>0</v>
      </c>
      <c r="P257" s="9">
        <v>0</v>
      </c>
      <c r="Q257" s="9">
        <v>0</v>
      </c>
      <c r="R257" s="9">
        <v>0</v>
      </c>
      <c r="S257" s="9">
        <v>0</v>
      </c>
      <c r="T257" s="85">
        <v>0</v>
      </c>
      <c r="U257" s="68">
        <v>3222102</v>
      </c>
      <c r="V257" s="71">
        <v>0</v>
      </c>
      <c r="W257" s="9">
        <v>0</v>
      </c>
      <c r="X257" s="9">
        <v>0</v>
      </c>
      <c r="Y257" s="78">
        <v>0</v>
      </c>
      <c r="Z257" s="88">
        <v>0</v>
      </c>
      <c r="AA257" s="71">
        <v>0</v>
      </c>
      <c r="AB257" s="9">
        <v>0</v>
      </c>
      <c r="AC257" s="9">
        <v>0</v>
      </c>
      <c r="AD257" s="78">
        <v>0</v>
      </c>
      <c r="AE257" s="88">
        <v>0</v>
      </c>
      <c r="AF257" s="71">
        <v>0</v>
      </c>
      <c r="AG257" s="9">
        <v>0</v>
      </c>
      <c r="AH257" s="9">
        <v>0</v>
      </c>
      <c r="AI257" s="9">
        <v>0</v>
      </c>
      <c r="AJ257" s="78">
        <v>0</v>
      </c>
      <c r="AK257" s="85">
        <v>0</v>
      </c>
      <c r="AL257" s="68">
        <v>0</v>
      </c>
      <c r="AM257" s="56"/>
      <c r="AN257" s="13"/>
      <c r="AO257" s="13"/>
    </row>
    <row r="258" spans="1:41" s="48" customFormat="1">
      <c r="A258" s="161"/>
      <c r="B258" s="98" t="s">
        <v>7</v>
      </c>
      <c r="C258" s="8"/>
      <c r="D258" s="8"/>
      <c r="E258" s="71"/>
      <c r="F258" s="71">
        <v>4354628</v>
      </c>
      <c r="G258" s="71">
        <v>4244179</v>
      </c>
      <c r="H258" s="71">
        <v>332606</v>
      </c>
      <c r="I258" s="88">
        <v>9160808</v>
      </c>
      <c r="J258" s="71">
        <v>25000</v>
      </c>
      <c r="K258" s="9">
        <v>83000</v>
      </c>
      <c r="L258" s="9">
        <v>1659000</v>
      </c>
      <c r="M258" s="78">
        <v>3333000</v>
      </c>
      <c r="N258" s="88">
        <v>5100000</v>
      </c>
      <c r="O258" s="71">
        <v>4397062</v>
      </c>
      <c r="P258" s="9">
        <v>72000</v>
      </c>
      <c r="Q258" s="9">
        <v>1348800</v>
      </c>
      <c r="R258" s="9">
        <v>2090000</v>
      </c>
      <c r="S258" s="78">
        <v>610000</v>
      </c>
      <c r="T258" s="85">
        <v>8517862</v>
      </c>
      <c r="U258" s="68">
        <v>27453949</v>
      </c>
      <c r="V258" s="71">
        <v>79000</v>
      </c>
      <c r="W258" s="9">
        <v>0</v>
      </c>
      <c r="X258" s="9">
        <v>62000</v>
      </c>
      <c r="Y258" s="78">
        <v>250000</v>
      </c>
      <c r="Z258" s="88">
        <v>6790558</v>
      </c>
      <c r="AA258" s="71">
        <v>0</v>
      </c>
      <c r="AB258" s="9">
        <v>0</v>
      </c>
      <c r="AC258" s="9">
        <v>0</v>
      </c>
      <c r="AD258" s="78">
        <v>100</v>
      </c>
      <c r="AE258" s="88">
        <v>100</v>
      </c>
      <c r="AF258" s="71">
        <v>0</v>
      </c>
      <c r="AG258" s="9">
        <v>0</v>
      </c>
      <c r="AH258" s="9">
        <v>0</v>
      </c>
      <c r="AI258" s="9">
        <v>0</v>
      </c>
      <c r="AJ258" s="78">
        <v>0</v>
      </c>
      <c r="AK258" s="85">
        <v>0</v>
      </c>
      <c r="AL258" s="68">
        <v>6479893</v>
      </c>
      <c r="AM258" s="56"/>
      <c r="AN258" s="13"/>
      <c r="AO258" s="13"/>
    </row>
    <row r="259" spans="1:41" s="48" customFormat="1" ht="17" thickBot="1">
      <c r="A259" s="162"/>
      <c r="B259" s="99" t="s">
        <v>60</v>
      </c>
      <c r="C259" s="103">
        <v>10753659</v>
      </c>
      <c r="D259" s="103">
        <v>4675279</v>
      </c>
      <c r="E259" s="72"/>
      <c r="F259" s="65">
        <v>0</v>
      </c>
      <c r="G259" s="65">
        <v>8906703</v>
      </c>
      <c r="H259" s="79">
        <v>6721279</v>
      </c>
      <c r="I259" s="89">
        <v>6769074</v>
      </c>
      <c r="J259" s="72">
        <v>3570894</v>
      </c>
      <c r="K259" s="65">
        <v>3107116</v>
      </c>
      <c r="L259" s="65">
        <v>4011970</v>
      </c>
      <c r="M259" s="79">
        <v>5236132</v>
      </c>
      <c r="N259" s="89">
        <v>5360589</v>
      </c>
      <c r="O259" s="72">
        <v>7136581</v>
      </c>
      <c r="P259" s="65">
        <v>7352790</v>
      </c>
      <c r="Q259" s="65">
        <v>6622464</v>
      </c>
      <c r="R259" s="65">
        <v>6842483</v>
      </c>
      <c r="S259" s="79">
        <v>6838975</v>
      </c>
      <c r="T259" s="86">
        <v>6710323</v>
      </c>
      <c r="U259" s="69">
        <v>6710323</v>
      </c>
      <c r="V259" s="72">
        <v>6041895</v>
      </c>
      <c r="W259" s="65">
        <v>6311150</v>
      </c>
      <c r="X259" s="65">
        <v>6371039</v>
      </c>
      <c r="Y259" s="79">
        <v>6241914</v>
      </c>
      <c r="Z259" s="86">
        <v>5959521</v>
      </c>
      <c r="AA259" s="72">
        <v>6083600</v>
      </c>
      <c r="AB259" s="65">
        <v>6100081</v>
      </c>
      <c r="AC259" s="65">
        <v>6041932</v>
      </c>
      <c r="AD259" s="79">
        <v>6037398</v>
      </c>
      <c r="AE259" s="86">
        <v>5859561</v>
      </c>
      <c r="AF259" s="72">
        <v>6041932</v>
      </c>
      <c r="AG259" s="65">
        <v>6041932</v>
      </c>
      <c r="AH259" s="65">
        <v>6041932</v>
      </c>
      <c r="AI259" s="65">
        <v>6041932</v>
      </c>
      <c r="AJ259" s="79">
        <v>6041932</v>
      </c>
      <c r="AK259" s="86">
        <v>5859561</v>
      </c>
      <c r="AL259" s="69">
        <v>5548796</v>
      </c>
      <c r="AM259" s="56"/>
      <c r="AN259" s="13"/>
      <c r="AO259" s="13"/>
    </row>
    <row r="260" spans="1:41" s="51" customFormat="1">
      <c r="A260" s="160" t="s">
        <v>103</v>
      </c>
      <c r="B260" s="100" t="s">
        <v>57</v>
      </c>
      <c r="C260" s="49"/>
      <c r="D260" s="49"/>
      <c r="E260" s="107"/>
      <c r="F260" s="66">
        <v>91360832</v>
      </c>
      <c r="G260" s="66">
        <v>-86071368</v>
      </c>
      <c r="H260" s="66">
        <v>58299016</v>
      </c>
      <c r="I260" s="87">
        <v>69791712</v>
      </c>
      <c r="J260" s="66">
        <v>71810960</v>
      </c>
      <c r="K260" s="66">
        <v>24518208</v>
      </c>
      <c r="L260" s="66">
        <v>18460168</v>
      </c>
      <c r="M260" s="66">
        <v>49932416</v>
      </c>
      <c r="N260" s="90">
        <v>164721752</v>
      </c>
      <c r="O260" s="66">
        <v>69473144</v>
      </c>
      <c r="P260" s="66">
        <v>13195600</v>
      </c>
      <c r="Q260" s="66">
        <v>41932864</v>
      </c>
      <c r="R260" s="66">
        <v>47574256</v>
      </c>
      <c r="S260" s="66">
        <v>23404928</v>
      </c>
      <c r="T260" s="84">
        <v>195580792</v>
      </c>
      <c r="U260" s="106">
        <v>527844968</v>
      </c>
      <c r="V260" s="73">
        <v>24795064</v>
      </c>
      <c r="W260" s="66">
        <v>464576</v>
      </c>
      <c r="X260" s="66">
        <v>141760</v>
      </c>
      <c r="Y260" s="80">
        <v>8487056</v>
      </c>
      <c r="Z260" s="87">
        <v>33888456</v>
      </c>
      <c r="AA260" s="73">
        <v>948464</v>
      </c>
      <c r="AB260" s="66">
        <v>146496</v>
      </c>
      <c r="AC260" s="66">
        <v>1054304</v>
      </c>
      <c r="AD260" s="80">
        <v>177056</v>
      </c>
      <c r="AE260" s="87">
        <v>2326320</v>
      </c>
      <c r="AF260" s="73">
        <v>0</v>
      </c>
      <c r="AG260" s="66">
        <v>0</v>
      </c>
      <c r="AH260" s="66">
        <v>0</v>
      </c>
      <c r="AI260" s="66">
        <v>0</v>
      </c>
      <c r="AJ260" s="80">
        <v>0</v>
      </c>
      <c r="AK260" s="84">
        <v>0</v>
      </c>
      <c r="AL260" s="105">
        <v>36214776</v>
      </c>
      <c r="AM260" s="57"/>
      <c r="AN260" s="13">
        <f>SUM(AN3:AN259)</f>
        <v>525531240</v>
      </c>
      <c r="AO260" s="13">
        <f>SUM(AO3:AO259)</f>
        <v>36061816</v>
      </c>
    </row>
    <row r="261" spans="1:41" s="51" customFormat="1">
      <c r="A261" s="161"/>
      <c r="B261" s="101" t="s">
        <v>58</v>
      </c>
      <c r="C261" s="50"/>
      <c r="D261" s="50"/>
      <c r="E261" s="75"/>
      <c r="F261" s="62">
        <v>91360832</v>
      </c>
      <c r="G261" s="62">
        <v>30196176</v>
      </c>
      <c r="H261" s="62">
        <v>10474176</v>
      </c>
      <c r="I261" s="88">
        <v>29160960</v>
      </c>
      <c r="J261" s="62">
        <v>1600000</v>
      </c>
      <c r="K261" s="62">
        <v>4864000</v>
      </c>
      <c r="L261" s="62">
        <v>48224000</v>
      </c>
      <c r="M261" s="62">
        <v>92608000</v>
      </c>
      <c r="N261" s="91">
        <v>39104000</v>
      </c>
      <c r="O261" s="62">
        <v>22848000</v>
      </c>
      <c r="P261" s="62">
        <v>4096000</v>
      </c>
      <c r="Q261" s="62">
        <v>26590400</v>
      </c>
      <c r="R261" s="62">
        <v>58892800</v>
      </c>
      <c r="S261" s="62">
        <v>40320000</v>
      </c>
      <c r="T261" s="85">
        <v>66496000</v>
      </c>
      <c r="U261" s="68">
        <v>134760960</v>
      </c>
      <c r="V261" s="74">
        <v>4672000</v>
      </c>
      <c r="W261" s="62">
        <v>0</v>
      </c>
      <c r="X261" s="62">
        <v>4864000</v>
      </c>
      <c r="Y261" s="81">
        <v>11200000</v>
      </c>
      <c r="Z261" s="88">
        <v>20736000</v>
      </c>
      <c r="AA261" s="74">
        <v>0</v>
      </c>
      <c r="AB261" s="62">
        <v>0</v>
      </c>
      <c r="AC261" s="62">
        <v>0</v>
      </c>
      <c r="AD261" s="81">
        <v>12800</v>
      </c>
      <c r="AE261" s="88">
        <v>12800</v>
      </c>
      <c r="AF261" s="74">
        <v>0</v>
      </c>
      <c r="AG261" s="62">
        <v>0</v>
      </c>
      <c r="AH261" s="62">
        <v>0</v>
      </c>
      <c r="AI261" s="62">
        <v>0</v>
      </c>
      <c r="AJ261" s="81">
        <v>0</v>
      </c>
      <c r="AK261" s="85">
        <v>0</v>
      </c>
      <c r="AL261" s="68">
        <v>14284800</v>
      </c>
      <c r="AM261" s="57"/>
      <c r="AN261" s="13"/>
      <c r="AO261" s="13"/>
    </row>
    <row r="262" spans="1:41" s="51" customFormat="1">
      <c r="A262" s="161"/>
      <c r="B262" s="101" t="s">
        <v>59</v>
      </c>
      <c r="C262" s="50">
        <v>70631024</v>
      </c>
      <c r="D262" s="50">
        <v>70631024</v>
      </c>
      <c r="E262" s="75"/>
      <c r="F262" s="62">
        <v>0</v>
      </c>
      <c r="G262" s="62">
        <v>63165328</v>
      </c>
      <c r="H262" s="62">
        <v>9344608</v>
      </c>
      <c r="I262" s="88">
        <v>72509936</v>
      </c>
      <c r="J262" s="62">
        <v>0</v>
      </c>
      <c r="K262" s="62">
        <v>0</v>
      </c>
      <c r="L262" s="62">
        <v>0</v>
      </c>
      <c r="M262" s="62">
        <v>0</v>
      </c>
      <c r="N262" s="91">
        <v>0</v>
      </c>
      <c r="O262" s="62">
        <v>0</v>
      </c>
      <c r="P262" s="62">
        <v>0</v>
      </c>
      <c r="Q262" s="62">
        <v>0</v>
      </c>
      <c r="R262" s="62">
        <v>0</v>
      </c>
      <c r="S262" s="62">
        <v>0</v>
      </c>
      <c r="T262" s="85">
        <v>0</v>
      </c>
      <c r="U262" s="68">
        <v>72509936</v>
      </c>
      <c r="V262" s="74">
        <v>0</v>
      </c>
      <c r="W262" s="62">
        <v>0</v>
      </c>
      <c r="X262" s="62">
        <v>0</v>
      </c>
      <c r="Y262" s="81">
        <v>0</v>
      </c>
      <c r="Z262" s="88">
        <v>0</v>
      </c>
      <c r="AA262" s="74">
        <v>0</v>
      </c>
      <c r="AB262" s="62">
        <v>0</v>
      </c>
      <c r="AC262" s="62">
        <v>0</v>
      </c>
      <c r="AD262" s="81">
        <v>0</v>
      </c>
      <c r="AE262" s="88">
        <v>0</v>
      </c>
      <c r="AF262" s="74">
        <v>0</v>
      </c>
      <c r="AG262" s="62">
        <v>0</v>
      </c>
      <c r="AH262" s="62">
        <v>0</v>
      </c>
      <c r="AI262" s="62">
        <v>0</v>
      </c>
      <c r="AJ262" s="81">
        <v>0</v>
      </c>
      <c r="AK262" s="85">
        <v>0</v>
      </c>
      <c r="AL262" s="68">
        <v>0</v>
      </c>
      <c r="AM262" s="57"/>
      <c r="AN262" s="13"/>
      <c r="AO262" s="13"/>
    </row>
    <row r="263" spans="1:41" s="51" customFormat="1">
      <c r="A263" s="161"/>
      <c r="B263" s="101" t="s">
        <v>7</v>
      </c>
      <c r="C263" s="50"/>
      <c r="D263" s="50"/>
      <c r="E263" s="75"/>
      <c r="F263" s="75">
        <v>91360832</v>
      </c>
      <c r="G263" s="75">
        <v>93361504</v>
      </c>
      <c r="H263" s="75">
        <v>19818784</v>
      </c>
      <c r="I263" s="88">
        <v>210744352</v>
      </c>
      <c r="J263" s="75">
        <v>1600000</v>
      </c>
      <c r="K263" s="10">
        <v>4864000</v>
      </c>
      <c r="L263" s="10">
        <v>48224000</v>
      </c>
      <c r="M263" s="82">
        <v>92448000</v>
      </c>
      <c r="N263" s="91">
        <v>147136000</v>
      </c>
      <c r="O263" s="75">
        <v>22848000</v>
      </c>
      <c r="P263" s="10">
        <v>4096000</v>
      </c>
      <c r="Q263" s="10">
        <v>26590400</v>
      </c>
      <c r="R263" s="10">
        <v>58080000</v>
      </c>
      <c r="S263" s="82">
        <v>40320000</v>
      </c>
      <c r="T263" s="85">
        <v>151934400</v>
      </c>
      <c r="U263" s="68">
        <v>607565464</v>
      </c>
      <c r="V263" s="75">
        <v>4672000</v>
      </c>
      <c r="W263" s="10">
        <v>0</v>
      </c>
      <c r="X263" s="10">
        <v>3264000</v>
      </c>
      <c r="Y263" s="82">
        <v>11200000</v>
      </c>
      <c r="Z263" s="88">
        <v>40009248</v>
      </c>
      <c r="AA263" s="75">
        <v>0</v>
      </c>
      <c r="AB263" s="10">
        <v>0</v>
      </c>
      <c r="AC263" s="10">
        <v>0</v>
      </c>
      <c r="AD263" s="82">
        <v>12800</v>
      </c>
      <c r="AE263" s="88">
        <v>12800</v>
      </c>
      <c r="AF263" s="75">
        <v>0</v>
      </c>
      <c r="AG263" s="10">
        <v>0</v>
      </c>
      <c r="AH263" s="10">
        <v>0</v>
      </c>
      <c r="AI263" s="10">
        <v>0</v>
      </c>
      <c r="AJ263" s="82">
        <v>0</v>
      </c>
      <c r="AK263" s="85">
        <v>0</v>
      </c>
      <c r="AL263" s="68">
        <v>98869296</v>
      </c>
      <c r="AM263" s="57"/>
      <c r="AN263" s="13"/>
      <c r="AO263" s="13"/>
    </row>
    <row r="264" spans="1:41" s="51" customFormat="1" ht="17" thickBot="1">
      <c r="A264" s="162"/>
      <c r="B264" s="102" t="s">
        <v>60</v>
      </c>
      <c r="C264" s="104">
        <v>245467728</v>
      </c>
      <c r="D264" s="104">
        <v>97750712</v>
      </c>
      <c r="E264" s="76"/>
      <c r="F264" s="64">
        <v>0</v>
      </c>
      <c r="G264" s="64">
        <v>179432872</v>
      </c>
      <c r="H264" s="64">
        <v>137839840</v>
      </c>
      <c r="I264" s="89">
        <v>140952640</v>
      </c>
      <c r="J264" s="76">
        <v>48415664</v>
      </c>
      <c r="K264" s="64">
        <v>44690128</v>
      </c>
      <c r="L264" s="64">
        <v>81635528</v>
      </c>
      <c r="M264" s="83">
        <v>117029832</v>
      </c>
      <c r="N264" s="89">
        <v>123366888</v>
      </c>
      <c r="O264" s="76">
        <v>51329104</v>
      </c>
      <c r="P264" s="64">
        <v>77026304</v>
      </c>
      <c r="Q264" s="64">
        <v>65528256</v>
      </c>
      <c r="R264" s="64">
        <v>71175664</v>
      </c>
      <c r="S264" s="83">
        <v>88979344</v>
      </c>
      <c r="T264" s="86">
        <v>79720496</v>
      </c>
      <c r="U264" s="69">
        <v>79720496</v>
      </c>
      <c r="V264" s="76">
        <v>38724184</v>
      </c>
      <c r="W264" s="64">
        <v>56910744</v>
      </c>
      <c r="X264" s="64">
        <v>60474520</v>
      </c>
      <c r="Y264" s="83">
        <v>63187464</v>
      </c>
      <c r="Z264" s="86">
        <v>64968040</v>
      </c>
      <c r="AA264" s="76">
        <v>54163800</v>
      </c>
      <c r="AB264" s="64">
        <v>54836504</v>
      </c>
      <c r="AC264" s="64">
        <v>53910136</v>
      </c>
      <c r="AD264" s="83">
        <v>53745880</v>
      </c>
      <c r="AE264" s="86">
        <v>62654520</v>
      </c>
      <c r="AF264" s="76">
        <v>53910136</v>
      </c>
      <c r="AG264" s="64">
        <v>53910136</v>
      </c>
      <c r="AH264" s="64">
        <v>53910136</v>
      </c>
      <c r="AI264" s="64">
        <v>53910136</v>
      </c>
      <c r="AJ264" s="83">
        <v>53910136</v>
      </c>
      <c r="AK264" s="86">
        <v>62654520</v>
      </c>
      <c r="AL264" s="69">
        <v>62654520</v>
      </c>
      <c r="AM264" s="57"/>
      <c r="AN264" s="13"/>
      <c r="AO264" s="13"/>
    </row>
  </sheetData>
  <autoFilter ref="A2:AO264" xr:uid="{00000000-0009-0000-0000-000000000000}"/>
  <mergeCells count="52">
    <mergeCell ref="A195:A199"/>
    <mergeCell ref="A231:A235"/>
    <mergeCell ref="A189:A193"/>
    <mergeCell ref="A249:A253"/>
    <mergeCell ref="A69:A73"/>
    <mergeCell ref="A207:A211"/>
    <mergeCell ref="A183:A187"/>
    <mergeCell ref="A177:A181"/>
    <mergeCell ref="A165:A169"/>
    <mergeCell ref="A75:A79"/>
    <mergeCell ref="A141:A145"/>
    <mergeCell ref="A87:A91"/>
    <mergeCell ref="A117:A121"/>
    <mergeCell ref="A123:A127"/>
    <mergeCell ref="A129:A133"/>
    <mergeCell ref="A93:A97"/>
    <mergeCell ref="A171:A175"/>
    <mergeCell ref="O1:S1"/>
    <mergeCell ref="A15:A19"/>
    <mergeCell ref="A9:A13"/>
    <mergeCell ref="A3:A7"/>
    <mergeCell ref="A1:B1"/>
    <mergeCell ref="E1:H1"/>
    <mergeCell ref="A63:A67"/>
    <mergeCell ref="A21:A25"/>
    <mergeCell ref="A33:A37"/>
    <mergeCell ref="A39:A43"/>
    <mergeCell ref="A45:A49"/>
    <mergeCell ref="J1:M1"/>
    <mergeCell ref="A57:A61"/>
    <mergeCell ref="V1:Y1"/>
    <mergeCell ref="AA1:AD1"/>
    <mergeCell ref="AF1:AJ1"/>
    <mergeCell ref="A2:B2"/>
    <mergeCell ref="A159:A163"/>
    <mergeCell ref="A135:A139"/>
    <mergeCell ref="A147:A151"/>
    <mergeCell ref="A153:A157"/>
    <mergeCell ref="A27:A31"/>
    <mergeCell ref="A51:A55"/>
    <mergeCell ref="A105:A109"/>
    <mergeCell ref="A81:A85"/>
    <mergeCell ref="A99:A103"/>
    <mergeCell ref="A111:A115"/>
    <mergeCell ref="A260:A264"/>
    <mergeCell ref="A213:A217"/>
    <mergeCell ref="A201:A205"/>
    <mergeCell ref="A237:A241"/>
    <mergeCell ref="A255:A259"/>
    <mergeCell ref="A243:A247"/>
    <mergeCell ref="A219:A223"/>
    <mergeCell ref="A225:A229"/>
  </mergeCells>
  <phoneticPr fontId="3" type="noConversion"/>
  <conditionalFormatting sqref="E242:H242">
    <cfRule type="cellIs" dxfId="2507" priority="1006" stopIfTrue="1" operator="lessThanOrEqual">
      <formula>3000</formula>
    </cfRule>
    <cfRule type="cellIs" dxfId="2506" priority="1007" stopIfTrue="1" operator="between">
      <formula>3000</formula>
      <formula>9000</formula>
    </cfRule>
    <cfRule type="cellIs" dxfId="2505" priority="1008" stopIfTrue="1" operator="greaterThanOrEqual">
      <formula>9000</formula>
    </cfRule>
  </conditionalFormatting>
  <conditionalFormatting sqref="J242:M242">
    <cfRule type="cellIs" dxfId="2504" priority="1003" stopIfTrue="1" operator="lessThanOrEqual">
      <formula>3000</formula>
    </cfRule>
    <cfRule type="cellIs" dxfId="2503" priority="1004" stopIfTrue="1" operator="between">
      <formula>3000</formula>
      <formula>9000</formula>
    </cfRule>
    <cfRule type="cellIs" dxfId="2502" priority="1005" stopIfTrue="1" operator="greaterThanOrEqual">
      <formula>9000</formula>
    </cfRule>
  </conditionalFormatting>
  <conditionalFormatting sqref="O242">
    <cfRule type="cellIs" dxfId="2501" priority="1000" stopIfTrue="1" operator="lessThanOrEqual">
      <formula>3000</formula>
    </cfRule>
    <cfRule type="cellIs" dxfId="2500" priority="1001" stopIfTrue="1" operator="between">
      <formula>3000</formula>
      <formula>9000</formula>
    </cfRule>
    <cfRule type="cellIs" dxfId="2499" priority="1002" stopIfTrue="1" operator="greaterThanOrEqual">
      <formula>9000</formula>
    </cfRule>
  </conditionalFormatting>
  <conditionalFormatting sqref="P242:S242">
    <cfRule type="cellIs" dxfId="2498" priority="997" stopIfTrue="1" operator="lessThanOrEqual">
      <formula>3000</formula>
    </cfRule>
    <cfRule type="cellIs" dxfId="2497" priority="998" stopIfTrue="1" operator="between">
      <formula>3000</formula>
      <formula>9000</formula>
    </cfRule>
    <cfRule type="cellIs" dxfId="2496" priority="999" stopIfTrue="1" operator="greaterThanOrEqual">
      <formula>9000</formula>
    </cfRule>
  </conditionalFormatting>
  <conditionalFormatting sqref="O20">
    <cfRule type="cellIs" dxfId="2495" priority="964" stopIfTrue="1" operator="lessThanOrEqual">
      <formula>3000</formula>
    </cfRule>
    <cfRule type="cellIs" dxfId="2494" priority="965" stopIfTrue="1" operator="between">
      <formula>3000</formula>
      <formula>9000</formula>
    </cfRule>
    <cfRule type="cellIs" dxfId="2493" priority="966" stopIfTrue="1" operator="greaterThanOrEqual">
      <formula>9000</formula>
    </cfRule>
  </conditionalFormatting>
  <conditionalFormatting sqref="J20:M20">
    <cfRule type="cellIs" dxfId="2492" priority="967" stopIfTrue="1" operator="lessThanOrEqual">
      <formula>3000</formula>
    </cfRule>
    <cfRule type="cellIs" dxfId="2491" priority="968" stopIfTrue="1" operator="between">
      <formula>3000</formula>
      <formula>9000</formula>
    </cfRule>
    <cfRule type="cellIs" dxfId="2490" priority="969" stopIfTrue="1" operator="greaterThanOrEqual">
      <formula>9000</formula>
    </cfRule>
  </conditionalFormatting>
  <conditionalFormatting sqref="O14">
    <cfRule type="cellIs" dxfId="2489" priority="976" stopIfTrue="1" operator="lessThanOrEqual">
      <formula>3000</formula>
    </cfRule>
    <cfRule type="cellIs" dxfId="2488" priority="977" stopIfTrue="1" operator="between">
      <formula>3000</formula>
      <formula>9000</formula>
    </cfRule>
    <cfRule type="cellIs" dxfId="2487" priority="978" stopIfTrue="1" operator="greaterThanOrEqual">
      <formula>9000</formula>
    </cfRule>
  </conditionalFormatting>
  <conditionalFormatting sqref="P8:S8">
    <cfRule type="cellIs" dxfId="2486" priority="985" stopIfTrue="1" operator="lessThanOrEqual">
      <formula>3000</formula>
    </cfRule>
    <cfRule type="cellIs" dxfId="2485" priority="986" stopIfTrue="1" operator="between">
      <formula>3000</formula>
      <formula>9000</formula>
    </cfRule>
    <cfRule type="cellIs" dxfId="2484" priority="987" stopIfTrue="1" operator="greaterThanOrEqual">
      <formula>9000</formula>
    </cfRule>
  </conditionalFormatting>
  <conditionalFormatting sqref="E8:H8">
    <cfRule type="cellIs" dxfId="2483" priority="994" stopIfTrue="1" operator="lessThanOrEqual">
      <formula>3000</formula>
    </cfRule>
    <cfRule type="cellIs" dxfId="2482" priority="995" stopIfTrue="1" operator="between">
      <formula>3000</formula>
      <formula>9000</formula>
    </cfRule>
    <cfRule type="cellIs" dxfId="2481" priority="996" stopIfTrue="1" operator="greaterThanOrEqual">
      <formula>9000</formula>
    </cfRule>
  </conditionalFormatting>
  <conditionalFormatting sqref="P74:S74">
    <cfRule type="cellIs" dxfId="2480" priority="853" stopIfTrue="1" operator="lessThanOrEqual">
      <formula>3000</formula>
    </cfRule>
    <cfRule type="cellIs" dxfId="2479" priority="854" stopIfTrue="1" operator="between">
      <formula>3000</formula>
      <formula>9000</formula>
    </cfRule>
    <cfRule type="cellIs" dxfId="2478" priority="855" stopIfTrue="1" operator="greaterThanOrEqual">
      <formula>9000</formula>
    </cfRule>
  </conditionalFormatting>
  <conditionalFormatting sqref="O74">
    <cfRule type="cellIs" dxfId="2477" priority="856" stopIfTrue="1" operator="lessThanOrEqual">
      <formula>3000</formula>
    </cfRule>
    <cfRule type="cellIs" dxfId="2476" priority="857" stopIfTrue="1" operator="between">
      <formula>3000</formula>
      <formula>9000</formula>
    </cfRule>
    <cfRule type="cellIs" dxfId="2475" priority="858" stopIfTrue="1" operator="greaterThanOrEqual">
      <formula>9000</formula>
    </cfRule>
  </conditionalFormatting>
  <conditionalFormatting sqref="P68:S68">
    <cfRule type="cellIs" dxfId="2474" priority="865" stopIfTrue="1" operator="lessThanOrEqual">
      <formula>3000</formula>
    </cfRule>
    <cfRule type="cellIs" dxfId="2473" priority="866" stopIfTrue="1" operator="between">
      <formula>3000</formula>
      <formula>9000</formula>
    </cfRule>
    <cfRule type="cellIs" dxfId="2472" priority="867" stopIfTrue="1" operator="greaterThanOrEqual">
      <formula>9000</formula>
    </cfRule>
  </conditionalFormatting>
  <conditionalFormatting sqref="E68:H68">
    <cfRule type="cellIs" dxfId="2471" priority="874" stopIfTrue="1" operator="lessThanOrEqual">
      <formula>3000</formula>
    </cfRule>
    <cfRule type="cellIs" dxfId="2470" priority="875" stopIfTrue="1" operator="between">
      <formula>3000</formula>
      <formula>9000</formula>
    </cfRule>
    <cfRule type="cellIs" dxfId="2469" priority="876" stopIfTrue="1" operator="greaterThanOrEqual">
      <formula>9000</formula>
    </cfRule>
  </conditionalFormatting>
  <conditionalFormatting sqref="J62:M62">
    <cfRule type="cellIs" dxfId="2468" priority="883" stopIfTrue="1" operator="lessThanOrEqual">
      <formula>3000</formula>
    </cfRule>
    <cfRule type="cellIs" dxfId="2467" priority="884" stopIfTrue="1" operator="between">
      <formula>3000</formula>
      <formula>9000</formula>
    </cfRule>
    <cfRule type="cellIs" dxfId="2466" priority="885" stopIfTrue="1" operator="greaterThanOrEqual">
      <formula>9000</formula>
    </cfRule>
  </conditionalFormatting>
  <conditionalFormatting sqref="O56">
    <cfRule type="cellIs" dxfId="2465" priority="892" stopIfTrue="1" operator="lessThanOrEqual">
      <formula>3000</formula>
    </cfRule>
    <cfRule type="cellIs" dxfId="2464" priority="893" stopIfTrue="1" operator="between">
      <formula>3000</formula>
      <formula>9000</formula>
    </cfRule>
    <cfRule type="cellIs" dxfId="2463" priority="894" stopIfTrue="1" operator="greaterThanOrEqual">
      <formula>9000</formula>
    </cfRule>
  </conditionalFormatting>
  <conditionalFormatting sqref="P50:S50">
    <cfRule type="cellIs" dxfId="2462" priority="901" stopIfTrue="1" operator="lessThanOrEqual">
      <formula>3000</formula>
    </cfRule>
    <cfRule type="cellIs" dxfId="2461" priority="902" stopIfTrue="1" operator="between">
      <formula>3000</formula>
      <formula>9000</formula>
    </cfRule>
    <cfRule type="cellIs" dxfId="2460" priority="903" stopIfTrue="1" operator="greaterThanOrEqual">
      <formula>9000</formula>
    </cfRule>
  </conditionalFormatting>
  <conditionalFormatting sqref="E50:H50">
    <cfRule type="cellIs" dxfId="2459" priority="910" stopIfTrue="1" operator="lessThanOrEqual">
      <formula>3000</formula>
    </cfRule>
    <cfRule type="cellIs" dxfId="2458" priority="911" stopIfTrue="1" operator="between">
      <formula>3000</formula>
      <formula>9000</formula>
    </cfRule>
    <cfRule type="cellIs" dxfId="2457" priority="912" stopIfTrue="1" operator="greaterThanOrEqual">
      <formula>9000</formula>
    </cfRule>
  </conditionalFormatting>
  <conditionalFormatting sqref="J44:M44">
    <cfRule type="cellIs" dxfId="2456" priority="919" stopIfTrue="1" operator="lessThanOrEqual">
      <formula>3000</formula>
    </cfRule>
    <cfRule type="cellIs" dxfId="2455" priority="920" stopIfTrue="1" operator="between">
      <formula>3000</formula>
      <formula>9000</formula>
    </cfRule>
    <cfRule type="cellIs" dxfId="2454" priority="921" stopIfTrue="1" operator="greaterThanOrEqual">
      <formula>9000</formula>
    </cfRule>
  </conditionalFormatting>
  <conditionalFormatting sqref="P38:S38">
    <cfRule type="cellIs" dxfId="2453" priority="925" stopIfTrue="1" operator="lessThanOrEqual">
      <formula>3000</formula>
    </cfRule>
    <cfRule type="cellIs" dxfId="2452" priority="926" stopIfTrue="1" operator="between">
      <formula>3000</formula>
      <formula>9000</formula>
    </cfRule>
    <cfRule type="cellIs" dxfId="2451" priority="927" stopIfTrue="1" operator="greaterThanOrEqual">
      <formula>9000</formula>
    </cfRule>
  </conditionalFormatting>
  <conditionalFormatting sqref="E38:H38">
    <cfRule type="cellIs" dxfId="2450" priority="934" stopIfTrue="1" operator="lessThanOrEqual">
      <formula>3000</formula>
    </cfRule>
    <cfRule type="cellIs" dxfId="2449" priority="935" stopIfTrue="1" operator="between">
      <formula>3000</formula>
      <formula>9000</formula>
    </cfRule>
    <cfRule type="cellIs" dxfId="2448" priority="936" stopIfTrue="1" operator="greaterThanOrEqual">
      <formula>9000</formula>
    </cfRule>
  </conditionalFormatting>
  <conditionalFormatting sqref="J32:M32">
    <cfRule type="cellIs" dxfId="2447" priority="943" stopIfTrue="1" operator="lessThanOrEqual">
      <formula>3000</formula>
    </cfRule>
    <cfRule type="cellIs" dxfId="2446" priority="944" stopIfTrue="1" operator="between">
      <formula>3000</formula>
      <formula>9000</formula>
    </cfRule>
    <cfRule type="cellIs" dxfId="2445" priority="945" stopIfTrue="1" operator="greaterThanOrEqual">
      <formula>9000</formula>
    </cfRule>
  </conditionalFormatting>
  <conditionalFormatting sqref="O26">
    <cfRule type="cellIs" dxfId="2444" priority="952" stopIfTrue="1" operator="lessThanOrEqual">
      <formula>3000</formula>
    </cfRule>
    <cfRule type="cellIs" dxfId="2443" priority="953" stopIfTrue="1" operator="between">
      <formula>3000</formula>
      <formula>9000</formula>
    </cfRule>
    <cfRule type="cellIs" dxfId="2442" priority="954" stopIfTrue="1" operator="greaterThanOrEqual">
      <formula>9000</formula>
    </cfRule>
  </conditionalFormatting>
  <conditionalFormatting sqref="P20:S20">
    <cfRule type="cellIs" dxfId="2441" priority="961" stopIfTrue="1" operator="lessThanOrEqual">
      <formula>3000</formula>
    </cfRule>
    <cfRule type="cellIs" dxfId="2440" priority="962" stopIfTrue="1" operator="between">
      <formula>3000</formula>
      <formula>9000</formula>
    </cfRule>
    <cfRule type="cellIs" dxfId="2439" priority="963" stopIfTrue="1" operator="greaterThanOrEqual">
      <formula>9000</formula>
    </cfRule>
  </conditionalFormatting>
  <conditionalFormatting sqref="E20:H20">
    <cfRule type="cellIs" dxfId="2438" priority="970" stopIfTrue="1" operator="lessThanOrEqual">
      <formula>3000</formula>
    </cfRule>
    <cfRule type="cellIs" dxfId="2437" priority="971" stopIfTrue="1" operator="between">
      <formula>3000</formula>
      <formula>9000</formula>
    </cfRule>
    <cfRule type="cellIs" dxfId="2436" priority="972" stopIfTrue="1" operator="greaterThanOrEqual">
      <formula>9000</formula>
    </cfRule>
  </conditionalFormatting>
  <conditionalFormatting sqref="J14:M14">
    <cfRule type="cellIs" dxfId="2435" priority="979" stopIfTrue="1" operator="lessThanOrEqual">
      <formula>3000</formula>
    </cfRule>
    <cfRule type="cellIs" dxfId="2434" priority="980" stopIfTrue="1" operator="between">
      <formula>3000</formula>
      <formula>9000</formula>
    </cfRule>
    <cfRule type="cellIs" dxfId="2433" priority="981" stopIfTrue="1" operator="greaterThanOrEqual">
      <formula>9000</formula>
    </cfRule>
  </conditionalFormatting>
  <conditionalFormatting sqref="O8">
    <cfRule type="cellIs" dxfId="2432" priority="988" stopIfTrue="1" operator="lessThanOrEqual">
      <formula>3000</formula>
    </cfRule>
    <cfRule type="cellIs" dxfId="2431" priority="989" stopIfTrue="1" operator="between">
      <formula>3000</formula>
      <formula>9000</formula>
    </cfRule>
    <cfRule type="cellIs" dxfId="2430" priority="990" stopIfTrue="1" operator="greaterThanOrEqual">
      <formula>9000</formula>
    </cfRule>
  </conditionalFormatting>
  <conditionalFormatting sqref="J128:M128">
    <cfRule type="cellIs" dxfId="2429" priority="751" stopIfTrue="1" operator="lessThanOrEqual">
      <formula>3000</formula>
    </cfRule>
    <cfRule type="cellIs" dxfId="2428" priority="752" stopIfTrue="1" operator="between">
      <formula>3000</formula>
      <formula>9000</formula>
    </cfRule>
    <cfRule type="cellIs" dxfId="2427" priority="753" stopIfTrue="1" operator="greaterThanOrEqual">
      <formula>9000</formula>
    </cfRule>
  </conditionalFormatting>
  <conditionalFormatting sqref="E128:H128">
    <cfRule type="cellIs" dxfId="2426" priority="754" stopIfTrue="1" operator="lessThanOrEqual">
      <formula>3000</formula>
    </cfRule>
    <cfRule type="cellIs" dxfId="2425" priority="755" stopIfTrue="1" operator="between">
      <formula>3000</formula>
      <formula>9000</formula>
    </cfRule>
    <cfRule type="cellIs" dxfId="2424" priority="756" stopIfTrue="1" operator="greaterThanOrEqual">
      <formula>9000</formula>
    </cfRule>
  </conditionalFormatting>
  <conditionalFormatting sqref="J122:M122">
    <cfRule type="cellIs" dxfId="2423" priority="763" stopIfTrue="1" operator="lessThanOrEqual">
      <formula>3000</formula>
    </cfRule>
    <cfRule type="cellIs" dxfId="2422" priority="764" stopIfTrue="1" operator="between">
      <formula>3000</formula>
      <formula>9000</formula>
    </cfRule>
    <cfRule type="cellIs" dxfId="2421" priority="765" stopIfTrue="1" operator="greaterThanOrEqual">
      <formula>9000</formula>
    </cfRule>
  </conditionalFormatting>
  <conditionalFormatting sqref="J116:M116">
    <cfRule type="cellIs" dxfId="2420" priority="775" stopIfTrue="1" operator="lessThanOrEqual">
      <formula>3000</formula>
    </cfRule>
    <cfRule type="cellIs" dxfId="2419" priority="776" stopIfTrue="1" operator="between">
      <formula>3000</formula>
      <formula>9000</formula>
    </cfRule>
    <cfRule type="cellIs" dxfId="2418" priority="777" stopIfTrue="1" operator="greaterThanOrEqual">
      <formula>9000</formula>
    </cfRule>
  </conditionalFormatting>
  <conditionalFormatting sqref="O110">
    <cfRule type="cellIs" dxfId="2417" priority="784" stopIfTrue="1" operator="lessThanOrEqual">
      <formula>3000</formula>
    </cfRule>
    <cfRule type="cellIs" dxfId="2416" priority="785" stopIfTrue="1" operator="between">
      <formula>3000</formula>
      <formula>9000</formula>
    </cfRule>
    <cfRule type="cellIs" dxfId="2415" priority="786" stopIfTrue="1" operator="greaterThanOrEqual">
      <formula>9000</formula>
    </cfRule>
  </conditionalFormatting>
  <conditionalFormatting sqref="P104:S104">
    <cfRule type="cellIs" dxfId="2414" priority="793" stopIfTrue="1" operator="lessThanOrEqual">
      <formula>3000</formula>
    </cfRule>
    <cfRule type="cellIs" dxfId="2413" priority="794" stopIfTrue="1" operator="between">
      <formula>3000</formula>
      <formula>9000</formula>
    </cfRule>
    <cfRule type="cellIs" dxfId="2412" priority="795" stopIfTrue="1" operator="greaterThanOrEqual">
      <formula>9000</formula>
    </cfRule>
  </conditionalFormatting>
  <conditionalFormatting sqref="E104:H104">
    <cfRule type="cellIs" dxfId="2411" priority="802" stopIfTrue="1" operator="lessThanOrEqual">
      <formula>3000</formula>
    </cfRule>
    <cfRule type="cellIs" dxfId="2410" priority="803" stopIfTrue="1" operator="between">
      <formula>3000</formula>
      <formula>9000</formula>
    </cfRule>
    <cfRule type="cellIs" dxfId="2409" priority="804" stopIfTrue="1" operator="greaterThanOrEqual">
      <formula>9000</formula>
    </cfRule>
  </conditionalFormatting>
  <conditionalFormatting sqref="J98:M98">
    <cfRule type="cellIs" dxfId="2408" priority="811" stopIfTrue="1" operator="lessThanOrEqual">
      <formula>3000</formula>
    </cfRule>
    <cfRule type="cellIs" dxfId="2407" priority="812" stopIfTrue="1" operator="between">
      <formula>3000</formula>
      <formula>9000</formula>
    </cfRule>
    <cfRule type="cellIs" dxfId="2406" priority="813" stopIfTrue="1" operator="greaterThanOrEqual">
      <formula>9000</formula>
    </cfRule>
  </conditionalFormatting>
  <conditionalFormatting sqref="O92">
    <cfRule type="cellIs" dxfId="2405" priority="820" stopIfTrue="1" operator="lessThanOrEqual">
      <formula>3000</formula>
    </cfRule>
    <cfRule type="cellIs" dxfId="2404" priority="821" stopIfTrue="1" operator="between">
      <formula>3000</formula>
      <formula>9000</formula>
    </cfRule>
    <cfRule type="cellIs" dxfId="2403" priority="822" stopIfTrue="1" operator="greaterThanOrEqual">
      <formula>9000</formula>
    </cfRule>
  </conditionalFormatting>
  <conditionalFormatting sqref="P86:S86">
    <cfRule type="cellIs" dxfId="2402" priority="829" stopIfTrue="1" operator="lessThanOrEqual">
      <formula>3000</formula>
    </cfRule>
    <cfRule type="cellIs" dxfId="2401" priority="830" stopIfTrue="1" operator="between">
      <formula>3000</formula>
      <formula>9000</formula>
    </cfRule>
    <cfRule type="cellIs" dxfId="2400" priority="831" stopIfTrue="1" operator="greaterThanOrEqual">
      <formula>9000</formula>
    </cfRule>
  </conditionalFormatting>
  <conditionalFormatting sqref="E86:H86">
    <cfRule type="cellIs" dxfId="2399" priority="838" stopIfTrue="1" operator="lessThanOrEqual">
      <formula>3000</formula>
    </cfRule>
    <cfRule type="cellIs" dxfId="2398" priority="839" stopIfTrue="1" operator="between">
      <formula>3000</formula>
      <formula>9000</formula>
    </cfRule>
    <cfRule type="cellIs" dxfId="2397" priority="840" stopIfTrue="1" operator="greaterThanOrEqual">
      <formula>9000</formula>
    </cfRule>
  </conditionalFormatting>
  <conditionalFormatting sqref="J80:M80">
    <cfRule type="cellIs" dxfId="2396" priority="847" stopIfTrue="1" operator="lessThanOrEqual">
      <formula>3000</formula>
    </cfRule>
    <cfRule type="cellIs" dxfId="2395" priority="848" stopIfTrue="1" operator="between">
      <formula>3000</formula>
      <formula>9000</formula>
    </cfRule>
    <cfRule type="cellIs" dxfId="2394" priority="849" stopIfTrue="1" operator="greaterThanOrEqual">
      <formula>9000</formula>
    </cfRule>
  </conditionalFormatting>
  <conditionalFormatting sqref="O80">
    <cfRule type="cellIs" dxfId="2393" priority="844" stopIfTrue="1" operator="lessThanOrEqual">
      <formula>3000</formula>
    </cfRule>
    <cfRule type="cellIs" dxfId="2392" priority="845" stopIfTrue="1" operator="between">
      <formula>3000</formula>
      <formula>9000</formula>
    </cfRule>
    <cfRule type="cellIs" dxfId="2391" priority="846" stopIfTrue="1" operator="greaterThanOrEqual">
      <formula>9000</formula>
    </cfRule>
  </conditionalFormatting>
  <conditionalFormatting sqref="P80:S80">
    <cfRule type="cellIs" dxfId="2390" priority="841" stopIfTrue="1" operator="lessThanOrEqual">
      <formula>3000</formula>
    </cfRule>
    <cfRule type="cellIs" dxfId="2389" priority="842" stopIfTrue="1" operator="between">
      <formula>3000</formula>
      <formula>9000</formula>
    </cfRule>
    <cfRule type="cellIs" dxfId="2388" priority="843" stopIfTrue="1" operator="greaterThanOrEqual">
      <formula>9000</formula>
    </cfRule>
  </conditionalFormatting>
  <conditionalFormatting sqref="E74:H74">
    <cfRule type="cellIs" dxfId="2387" priority="862" stopIfTrue="1" operator="lessThanOrEqual">
      <formula>3000</formula>
    </cfRule>
    <cfRule type="cellIs" dxfId="2386" priority="863" stopIfTrue="1" operator="between">
      <formula>3000</formula>
      <formula>9000</formula>
    </cfRule>
    <cfRule type="cellIs" dxfId="2385" priority="864" stopIfTrue="1" operator="greaterThanOrEqual">
      <formula>9000</formula>
    </cfRule>
  </conditionalFormatting>
  <conditionalFormatting sqref="J68:M68">
    <cfRule type="cellIs" dxfId="2384" priority="871" stopIfTrue="1" operator="lessThanOrEqual">
      <formula>3000</formula>
    </cfRule>
    <cfRule type="cellIs" dxfId="2383" priority="872" stopIfTrue="1" operator="between">
      <formula>3000</formula>
      <formula>9000</formula>
    </cfRule>
    <cfRule type="cellIs" dxfId="2382" priority="873" stopIfTrue="1" operator="greaterThanOrEqual">
      <formula>9000</formula>
    </cfRule>
  </conditionalFormatting>
  <conditionalFormatting sqref="O50">
    <cfRule type="cellIs" dxfId="2381" priority="904" stopIfTrue="1" operator="lessThanOrEqual">
      <formula>3000</formula>
    </cfRule>
    <cfRule type="cellIs" dxfId="2380" priority="905" stopIfTrue="1" operator="between">
      <formula>3000</formula>
      <formula>9000</formula>
    </cfRule>
    <cfRule type="cellIs" dxfId="2379" priority="906" stopIfTrue="1" operator="greaterThanOrEqual">
      <formula>9000</formula>
    </cfRule>
  </conditionalFormatting>
  <conditionalFormatting sqref="P44:S44">
    <cfRule type="cellIs" dxfId="2378" priority="913" stopIfTrue="1" operator="lessThanOrEqual">
      <formula>3000</formula>
    </cfRule>
    <cfRule type="cellIs" dxfId="2377" priority="914" stopIfTrue="1" operator="between">
      <formula>3000</formula>
      <formula>9000</formula>
    </cfRule>
    <cfRule type="cellIs" dxfId="2376" priority="915" stopIfTrue="1" operator="greaterThanOrEqual">
      <formula>9000</formula>
    </cfRule>
  </conditionalFormatting>
  <conditionalFormatting sqref="E44:H44">
    <cfRule type="cellIs" dxfId="2375" priority="922" stopIfTrue="1" operator="lessThanOrEqual">
      <formula>3000</formula>
    </cfRule>
    <cfRule type="cellIs" dxfId="2374" priority="923" stopIfTrue="1" operator="between">
      <formula>3000</formula>
      <formula>9000</formula>
    </cfRule>
    <cfRule type="cellIs" dxfId="2373" priority="924" stopIfTrue="1" operator="greaterThanOrEqual">
      <formula>9000</formula>
    </cfRule>
  </conditionalFormatting>
  <conditionalFormatting sqref="J38:M38">
    <cfRule type="cellIs" dxfId="2372" priority="931" stopIfTrue="1" operator="lessThanOrEqual">
      <formula>3000</formula>
    </cfRule>
    <cfRule type="cellIs" dxfId="2371" priority="932" stopIfTrue="1" operator="between">
      <formula>3000</formula>
      <formula>9000</formula>
    </cfRule>
    <cfRule type="cellIs" dxfId="2370" priority="933" stopIfTrue="1" operator="greaterThanOrEqual">
      <formula>9000</formula>
    </cfRule>
  </conditionalFormatting>
  <conditionalFormatting sqref="O32">
    <cfRule type="cellIs" dxfId="2369" priority="940" stopIfTrue="1" operator="lessThanOrEqual">
      <formula>3000</formula>
    </cfRule>
    <cfRule type="cellIs" dxfId="2368" priority="941" stopIfTrue="1" operator="between">
      <formula>3000</formula>
      <formula>9000</formula>
    </cfRule>
    <cfRule type="cellIs" dxfId="2367" priority="942" stopIfTrue="1" operator="greaterThanOrEqual">
      <formula>9000</formula>
    </cfRule>
  </conditionalFormatting>
  <conditionalFormatting sqref="E80:H80">
    <cfRule type="cellIs" dxfId="2366" priority="850" stopIfTrue="1" operator="lessThanOrEqual">
      <formula>3000</formula>
    </cfRule>
    <cfRule type="cellIs" dxfId="2365" priority="851" stopIfTrue="1" operator="between">
      <formula>3000</formula>
      <formula>9000</formula>
    </cfRule>
    <cfRule type="cellIs" dxfId="2364" priority="852" stopIfTrue="1" operator="greaterThanOrEqual">
      <formula>9000</formula>
    </cfRule>
  </conditionalFormatting>
  <conditionalFormatting sqref="J50:M50">
    <cfRule type="cellIs" dxfId="2363" priority="907" stopIfTrue="1" operator="lessThanOrEqual">
      <formula>3000</formula>
    </cfRule>
    <cfRule type="cellIs" dxfId="2362" priority="908" stopIfTrue="1" operator="between">
      <formula>3000</formula>
      <formula>9000</formula>
    </cfRule>
    <cfRule type="cellIs" dxfId="2361" priority="909" stopIfTrue="1" operator="greaterThanOrEqual">
      <formula>9000</formula>
    </cfRule>
  </conditionalFormatting>
  <conditionalFormatting sqref="O38">
    <cfRule type="cellIs" dxfId="2360" priority="928" stopIfTrue="1" operator="lessThanOrEqual">
      <formula>3000</formula>
    </cfRule>
    <cfRule type="cellIs" dxfId="2359" priority="929" stopIfTrue="1" operator="between">
      <formula>3000</formula>
      <formula>9000</formula>
    </cfRule>
    <cfRule type="cellIs" dxfId="2358" priority="930" stopIfTrue="1" operator="greaterThanOrEqual">
      <formula>9000</formula>
    </cfRule>
  </conditionalFormatting>
  <conditionalFormatting sqref="P32:S32">
    <cfRule type="cellIs" dxfId="2357" priority="937" stopIfTrue="1" operator="lessThanOrEqual">
      <formula>3000</formula>
    </cfRule>
    <cfRule type="cellIs" dxfId="2356" priority="938" stopIfTrue="1" operator="between">
      <formula>3000</formula>
      <formula>9000</formula>
    </cfRule>
    <cfRule type="cellIs" dxfId="2355" priority="939" stopIfTrue="1" operator="greaterThanOrEqual">
      <formula>9000</formula>
    </cfRule>
  </conditionalFormatting>
  <conditionalFormatting sqref="E32:H32">
    <cfRule type="cellIs" dxfId="2354" priority="946" stopIfTrue="1" operator="lessThanOrEqual">
      <formula>3000</formula>
    </cfRule>
    <cfRule type="cellIs" dxfId="2353" priority="947" stopIfTrue="1" operator="between">
      <formula>3000</formula>
      <formula>9000</formula>
    </cfRule>
    <cfRule type="cellIs" dxfId="2352" priority="948" stopIfTrue="1" operator="greaterThanOrEqual">
      <formula>9000</formula>
    </cfRule>
  </conditionalFormatting>
  <conditionalFormatting sqref="J26:M26">
    <cfRule type="cellIs" dxfId="2351" priority="955" stopIfTrue="1" operator="lessThanOrEqual">
      <formula>3000</formula>
    </cfRule>
    <cfRule type="cellIs" dxfId="2350" priority="956" stopIfTrue="1" operator="between">
      <formula>3000</formula>
      <formula>9000</formula>
    </cfRule>
    <cfRule type="cellIs" dxfId="2349" priority="957" stopIfTrue="1" operator="greaterThanOrEqual">
      <formula>9000</formula>
    </cfRule>
  </conditionalFormatting>
  <conditionalFormatting sqref="P14:S14">
    <cfRule type="cellIs" dxfId="2348" priority="973" stopIfTrue="1" operator="lessThanOrEqual">
      <formula>3000</formula>
    </cfRule>
    <cfRule type="cellIs" dxfId="2347" priority="974" stopIfTrue="1" operator="between">
      <formula>3000</formula>
      <formula>9000</formula>
    </cfRule>
    <cfRule type="cellIs" dxfId="2346" priority="975" stopIfTrue="1" operator="greaterThanOrEqual">
      <formula>9000</formula>
    </cfRule>
  </conditionalFormatting>
  <conditionalFormatting sqref="E14:H14">
    <cfRule type="cellIs" dxfId="2345" priority="982" stopIfTrue="1" operator="lessThanOrEqual">
      <formula>3000</formula>
    </cfRule>
    <cfRule type="cellIs" dxfId="2344" priority="983" stopIfTrue="1" operator="between">
      <formula>3000</formula>
      <formula>9000</formula>
    </cfRule>
    <cfRule type="cellIs" dxfId="2343" priority="984" stopIfTrue="1" operator="greaterThanOrEqual">
      <formula>9000</formula>
    </cfRule>
  </conditionalFormatting>
  <conditionalFormatting sqref="J8:M8">
    <cfRule type="cellIs" dxfId="2342" priority="991" stopIfTrue="1" operator="lessThanOrEqual">
      <formula>3000</formula>
    </cfRule>
    <cfRule type="cellIs" dxfId="2341" priority="992" stopIfTrue="1" operator="between">
      <formula>3000</formula>
      <formula>9000</formula>
    </cfRule>
    <cfRule type="cellIs" dxfId="2340" priority="993" stopIfTrue="1" operator="greaterThanOrEqual">
      <formula>9000</formula>
    </cfRule>
  </conditionalFormatting>
  <conditionalFormatting sqref="E212:H212">
    <cfRule type="cellIs" dxfId="2339" priority="586" stopIfTrue="1" operator="lessThanOrEqual">
      <formula>3000</formula>
    </cfRule>
    <cfRule type="cellIs" dxfId="2338" priority="587" stopIfTrue="1" operator="between">
      <formula>3000</formula>
      <formula>9000</formula>
    </cfRule>
    <cfRule type="cellIs" dxfId="2337" priority="588" stopIfTrue="1" operator="greaterThanOrEqual">
      <formula>9000</formula>
    </cfRule>
  </conditionalFormatting>
  <conditionalFormatting sqref="J212:M212">
    <cfRule type="cellIs" dxfId="2336" priority="583" stopIfTrue="1" operator="lessThanOrEqual">
      <formula>3000</formula>
    </cfRule>
    <cfRule type="cellIs" dxfId="2335" priority="584" stopIfTrue="1" operator="between">
      <formula>3000</formula>
      <formula>9000</formula>
    </cfRule>
    <cfRule type="cellIs" dxfId="2334" priority="585" stopIfTrue="1" operator="greaterThanOrEqual">
      <formula>9000</formula>
    </cfRule>
  </conditionalFormatting>
  <conditionalFormatting sqref="O212">
    <cfRule type="cellIs" dxfId="2333" priority="580" stopIfTrue="1" operator="lessThanOrEqual">
      <formula>3000</formula>
    </cfRule>
    <cfRule type="cellIs" dxfId="2332" priority="581" stopIfTrue="1" operator="between">
      <formula>3000</formula>
      <formula>9000</formula>
    </cfRule>
    <cfRule type="cellIs" dxfId="2331" priority="582" stopIfTrue="1" operator="greaterThanOrEqual">
      <formula>9000</formula>
    </cfRule>
  </conditionalFormatting>
  <conditionalFormatting sqref="P212:S212">
    <cfRule type="cellIs" dxfId="2330" priority="577" stopIfTrue="1" operator="lessThanOrEqual">
      <formula>3000</formula>
    </cfRule>
    <cfRule type="cellIs" dxfId="2329" priority="578" stopIfTrue="1" operator="between">
      <formula>3000</formula>
      <formula>9000</formula>
    </cfRule>
    <cfRule type="cellIs" dxfId="2328" priority="579" stopIfTrue="1" operator="greaterThanOrEqual">
      <formula>9000</formula>
    </cfRule>
  </conditionalFormatting>
  <conditionalFormatting sqref="E26:H26">
    <cfRule type="cellIs" dxfId="2327" priority="958" stopIfTrue="1" operator="lessThanOrEqual">
      <formula>3000</formula>
    </cfRule>
    <cfRule type="cellIs" dxfId="2326" priority="959" stopIfTrue="1" operator="between">
      <formula>3000</formula>
      <formula>9000</formula>
    </cfRule>
    <cfRule type="cellIs" dxfId="2325" priority="960" stopIfTrue="1" operator="greaterThanOrEqual">
      <formula>9000</formula>
    </cfRule>
  </conditionalFormatting>
  <conditionalFormatting sqref="P26:S26">
    <cfRule type="cellIs" dxfId="2324" priority="949" stopIfTrue="1" operator="lessThanOrEqual">
      <formula>3000</formula>
    </cfRule>
    <cfRule type="cellIs" dxfId="2323" priority="950" stopIfTrue="1" operator="between">
      <formula>3000</formula>
      <formula>9000</formula>
    </cfRule>
    <cfRule type="cellIs" dxfId="2322" priority="951" stopIfTrue="1" operator="greaterThanOrEqual">
      <formula>9000</formula>
    </cfRule>
  </conditionalFormatting>
  <conditionalFormatting sqref="O44">
    <cfRule type="cellIs" dxfId="2321" priority="916" stopIfTrue="1" operator="lessThanOrEqual">
      <formula>3000</formula>
    </cfRule>
    <cfRule type="cellIs" dxfId="2320" priority="917" stopIfTrue="1" operator="between">
      <formula>3000</formula>
      <formula>9000</formula>
    </cfRule>
    <cfRule type="cellIs" dxfId="2319" priority="918" stopIfTrue="1" operator="greaterThanOrEqual">
      <formula>9000</formula>
    </cfRule>
  </conditionalFormatting>
  <conditionalFormatting sqref="E56:H56">
    <cfRule type="cellIs" dxfId="2318" priority="898" stopIfTrue="1" operator="lessThanOrEqual">
      <formula>3000</formula>
    </cfRule>
    <cfRule type="cellIs" dxfId="2317" priority="899" stopIfTrue="1" operator="between">
      <formula>3000</formula>
      <formula>9000</formula>
    </cfRule>
    <cfRule type="cellIs" dxfId="2316" priority="900" stopIfTrue="1" operator="greaterThanOrEqual">
      <formula>9000</formula>
    </cfRule>
  </conditionalFormatting>
  <conditionalFormatting sqref="J56:M56">
    <cfRule type="cellIs" dxfId="2315" priority="895" stopIfTrue="1" operator="lessThanOrEqual">
      <formula>3000</formula>
    </cfRule>
    <cfRule type="cellIs" dxfId="2314" priority="896" stopIfTrue="1" operator="between">
      <formula>3000</formula>
      <formula>9000</formula>
    </cfRule>
    <cfRule type="cellIs" dxfId="2313" priority="897" stopIfTrue="1" operator="greaterThanOrEqual">
      <formula>9000</formula>
    </cfRule>
  </conditionalFormatting>
  <conditionalFormatting sqref="P56:S56">
    <cfRule type="cellIs" dxfId="2312" priority="889" stopIfTrue="1" operator="lessThanOrEqual">
      <formula>3000</formula>
    </cfRule>
    <cfRule type="cellIs" dxfId="2311" priority="890" stopIfTrue="1" operator="between">
      <formula>3000</formula>
      <formula>9000</formula>
    </cfRule>
    <cfRule type="cellIs" dxfId="2310" priority="891" stopIfTrue="1" operator="greaterThanOrEqual">
      <formula>9000</formula>
    </cfRule>
  </conditionalFormatting>
  <conditionalFormatting sqref="O62">
    <cfRule type="cellIs" dxfId="2309" priority="880" stopIfTrue="1" operator="lessThanOrEqual">
      <formula>3000</formula>
    </cfRule>
    <cfRule type="cellIs" dxfId="2308" priority="881" stopIfTrue="1" operator="between">
      <formula>3000</formula>
      <formula>9000</formula>
    </cfRule>
    <cfRule type="cellIs" dxfId="2307" priority="882" stopIfTrue="1" operator="greaterThanOrEqual">
      <formula>9000</formula>
    </cfRule>
  </conditionalFormatting>
  <conditionalFormatting sqref="E62:H62">
    <cfRule type="cellIs" dxfId="2306" priority="886" stopIfTrue="1" operator="lessThanOrEqual">
      <formula>3000</formula>
    </cfRule>
    <cfRule type="cellIs" dxfId="2305" priority="887" stopIfTrue="1" operator="between">
      <formula>3000</formula>
      <formula>9000</formula>
    </cfRule>
    <cfRule type="cellIs" dxfId="2304" priority="888" stopIfTrue="1" operator="greaterThanOrEqual">
      <formula>9000</formula>
    </cfRule>
  </conditionalFormatting>
  <conditionalFormatting sqref="P62:S62">
    <cfRule type="cellIs" dxfId="2303" priority="877" stopIfTrue="1" operator="lessThanOrEqual">
      <formula>3000</formula>
    </cfRule>
    <cfRule type="cellIs" dxfId="2302" priority="878" stopIfTrue="1" operator="between">
      <formula>3000</formula>
      <formula>9000</formula>
    </cfRule>
    <cfRule type="cellIs" dxfId="2301" priority="879" stopIfTrue="1" operator="greaterThanOrEqual">
      <formula>9000</formula>
    </cfRule>
  </conditionalFormatting>
  <conditionalFormatting sqref="J74:M74">
    <cfRule type="cellIs" dxfId="2300" priority="859" stopIfTrue="1" operator="lessThanOrEqual">
      <formula>3000</formula>
    </cfRule>
    <cfRule type="cellIs" dxfId="2299" priority="860" stopIfTrue="1" operator="between">
      <formula>3000</formula>
      <formula>9000</formula>
    </cfRule>
    <cfRule type="cellIs" dxfId="2298" priority="861" stopIfTrue="1" operator="greaterThanOrEqual">
      <formula>9000</formula>
    </cfRule>
  </conditionalFormatting>
  <conditionalFormatting sqref="O68">
    <cfRule type="cellIs" dxfId="2297" priority="868" stopIfTrue="1" operator="lessThanOrEqual">
      <formula>3000</formula>
    </cfRule>
    <cfRule type="cellIs" dxfId="2296" priority="869" stopIfTrue="1" operator="between">
      <formula>3000</formula>
      <formula>9000</formula>
    </cfRule>
    <cfRule type="cellIs" dxfId="2295" priority="870" stopIfTrue="1" operator="greaterThanOrEqual">
      <formula>9000</formula>
    </cfRule>
  </conditionalFormatting>
  <conditionalFormatting sqref="O86">
    <cfRule type="cellIs" dxfId="2294" priority="832" stopIfTrue="1" operator="lessThanOrEqual">
      <formula>3000</formula>
    </cfRule>
    <cfRule type="cellIs" dxfId="2293" priority="833" stopIfTrue="1" operator="between">
      <formula>3000</formula>
      <formula>9000</formula>
    </cfRule>
    <cfRule type="cellIs" dxfId="2292" priority="834" stopIfTrue="1" operator="greaterThanOrEqual">
      <formula>9000</formula>
    </cfRule>
  </conditionalFormatting>
  <conditionalFormatting sqref="J86:M86">
    <cfRule type="cellIs" dxfId="2291" priority="835" stopIfTrue="1" operator="lessThanOrEqual">
      <formula>3000</formula>
    </cfRule>
    <cfRule type="cellIs" dxfId="2290" priority="836" stopIfTrue="1" operator="between">
      <formula>3000</formula>
      <formula>9000</formula>
    </cfRule>
    <cfRule type="cellIs" dxfId="2289" priority="837" stopIfTrue="1" operator="greaterThanOrEqual">
      <formula>9000</formula>
    </cfRule>
  </conditionalFormatting>
  <conditionalFormatting sqref="E92:H92">
    <cfRule type="cellIs" dxfId="2288" priority="826" stopIfTrue="1" operator="lessThanOrEqual">
      <formula>3000</formula>
    </cfRule>
    <cfRule type="cellIs" dxfId="2287" priority="827" stopIfTrue="1" operator="between">
      <formula>3000</formula>
      <formula>9000</formula>
    </cfRule>
    <cfRule type="cellIs" dxfId="2286" priority="828" stopIfTrue="1" operator="greaterThanOrEqual">
      <formula>9000</formula>
    </cfRule>
  </conditionalFormatting>
  <conditionalFormatting sqref="J92:M92">
    <cfRule type="cellIs" dxfId="2285" priority="823" stopIfTrue="1" operator="lessThanOrEqual">
      <formula>3000</formula>
    </cfRule>
    <cfRule type="cellIs" dxfId="2284" priority="824" stopIfTrue="1" operator="between">
      <formula>3000</formula>
      <formula>9000</formula>
    </cfRule>
    <cfRule type="cellIs" dxfId="2283" priority="825" stopIfTrue="1" operator="greaterThanOrEqual">
      <formula>9000</formula>
    </cfRule>
  </conditionalFormatting>
  <conditionalFormatting sqref="P92:S92">
    <cfRule type="cellIs" dxfId="2282" priority="817" stopIfTrue="1" operator="lessThanOrEqual">
      <formula>3000</formula>
    </cfRule>
    <cfRule type="cellIs" dxfId="2281" priority="818" stopIfTrue="1" operator="between">
      <formula>3000</formula>
      <formula>9000</formula>
    </cfRule>
    <cfRule type="cellIs" dxfId="2280" priority="819" stopIfTrue="1" operator="greaterThanOrEqual">
      <formula>9000</formula>
    </cfRule>
  </conditionalFormatting>
  <conditionalFormatting sqref="E98:H98">
    <cfRule type="cellIs" dxfId="2279" priority="814" stopIfTrue="1" operator="lessThanOrEqual">
      <formula>3000</formula>
    </cfRule>
    <cfRule type="cellIs" dxfId="2278" priority="815" stopIfTrue="1" operator="between">
      <formula>3000</formula>
      <formula>9000</formula>
    </cfRule>
    <cfRule type="cellIs" dxfId="2277" priority="816" stopIfTrue="1" operator="greaterThanOrEqual">
      <formula>9000</formula>
    </cfRule>
  </conditionalFormatting>
  <conditionalFormatting sqref="O98">
    <cfRule type="cellIs" dxfId="2276" priority="808" stopIfTrue="1" operator="lessThanOrEqual">
      <formula>3000</formula>
    </cfRule>
    <cfRule type="cellIs" dxfId="2275" priority="809" stopIfTrue="1" operator="between">
      <formula>3000</formula>
      <formula>9000</formula>
    </cfRule>
    <cfRule type="cellIs" dxfId="2274" priority="810" stopIfTrue="1" operator="greaterThanOrEqual">
      <formula>9000</formula>
    </cfRule>
  </conditionalFormatting>
  <conditionalFormatting sqref="P98:S98">
    <cfRule type="cellIs" dxfId="2273" priority="805" stopIfTrue="1" operator="lessThanOrEqual">
      <formula>3000</formula>
    </cfRule>
    <cfRule type="cellIs" dxfId="2272" priority="806" stopIfTrue="1" operator="between">
      <formula>3000</formula>
      <formula>9000</formula>
    </cfRule>
    <cfRule type="cellIs" dxfId="2271" priority="807" stopIfTrue="1" operator="greaterThanOrEqual">
      <formula>9000</formula>
    </cfRule>
  </conditionalFormatting>
  <conditionalFormatting sqref="J104:M104">
    <cfRule type="cellIs" dxfId="2270" priority="799" stopIfTrue="1" operator="lessThanOrEqual">
      <formula>3000</formula>
    </cfRule>
    <cfRule type="cellIs" dxfId="2269" priority="800" stopIfTrue="1" operator="between">
      <formula>3000</formula>
      <formula>9000</formula>
    </cfRule>
    <cfRule type="cellIs" dxfId="2268" priority="801" stopIfTrue="1" operator="greaterThanOrEqual">
      <formula>9000</formula>
    </cfRule>
  </conditionalFormatting>
  <conditionalFormatting sqref="O104">
    <cfRule type="cellIs" dxfId="2267" priority="796" stopIfTrue="1" operator="lessThanOrEqual">
      <formula>3000</formula>
    </cfRule>
    <cfRule type="cellIs" dxfId="2266" priority="797" stopIfTrue="1" operator="between">
      <formula>3000</formula>
      <formula>9000</formula>
    </cfRule>
    <cfRule type="cellIs" dxfId="2265" priority="798" stopIfTrue="1" operator="greaterThanOrEqual">
      <formula>9000</formula>
    </cfRule>
  </conditionalFormatting>
  <conditionalFormatting sqref="E110:H110">
    <cfRule type="cellIs" dxfId="2264" priority="790" stopIfTrue="1" operator="lessThanOrEqual">
      <formula>3000</formula>
    </cfRule>
    <cfRule type="cellIs" dxfId="2263" priority="791" stopIfTrue="1" operator="between">
      <formula>3000</formula>
      <formula>9000</formula>
    </cfRule>
    <cfRule type="cellIs" dxfId="2262" priority="792" stopIfTrue="1" operator="greaterThanOrEqual">
      <formula>9000</formula>
    </cfRule>
  </conditionalFormatting>
  <conditionalFormatting sqref="J110:M110">
    <cfRule type="cellIs" dxfId="2261" priority="787" stopIfTrue="1" operator="lessThanOrEqual">
      <formula>3000</formula>
    </cfRule>
    <cfRule type="cellIs" dxfId="2260" priority="788" stopIfTrue="1" operator="between">
      <formula>3000</formula>
      <formula>9000</formula>
    </cfRule>
    <cfRule type="cellIs" dxfId="2259" priority="789" stopIfTrue="1" operator="greaterThanOrEqual">
      <formula>9000</formula>
    </cfRule>
  </conditionalFormatting>
  <conditionalFormatting sqref="P110:S110">
    <cfRule type="cellIs" dxfId="2258" priority="781" stopIfTrue="1" operator="lessThanOrEqual">
      <formula>3000</formula>
    </cfRule>
    <cfRule type="cellIs" dxfId="2257" priority="782" stopIfTrue="1" operator="between">
      <formula>3000</formula>
      <formula>9000</formula>
    </cfRule>
    <cfRule type="cellIs" dxfId="2256" priority="783" stopIfTrue="1" operator="greaterThanOrEqual">
      <formula>9000</formula>
    </cfRule>
  </conditionalFormatting>
  <conditionalFormatting sqref="E116:H116">
    <cfRule type="cellIs" dxfId="2255" priority="778" stopIfTrue="1" operator="lessThanOrEqual">
      <formula>3000</formula>
    </cfRule>
    <cfRule type="cellIs" dxfId="2254" priority="779" stopIfTrue="1" operator="between">
      <formula>3000</formula>
      <formula>9000</formula>
    </cfRule>
    <cfRule type="cellIs" dxfId="2253" priority="780" stopIfTrue="1" operator="greaterThanOrEqual">
      <formula>9000</formula>
    </cfRule>
  </conditionalFormatting>
  <conditionalFormatting sqref="O116">
    <cfRule type="cellIs" dxfId="2252" priority="772" stopIfTrue="1" operator="lessThanOrEqual">
      <formula>3000</formula>
    </cfRule>
    <cfRule type="cellIs" dxfId="2251" priority="773" stopIfTrue="1" operator="between">
      <formula>3000</formula>
      <formula>9000</formula>
    </cfRule>
    <cfRule type="cellIs" dxfId="2250" priority="774" stopIfTrue="1" operator="greaterThanOrEqual">
      <formula>9000</formula>
    </cfRule>
  </conditionalFormatting>
  <conditionalFormatting sqref="P116:S116">
    <cfRule type="cellIs" dxfId="2249" priority="769" stopIfTrue="1" operator="lessThanOrEqual">
      <formula>3000</formula>
    </cfRule>
    <cfRule type="cellIs" dxfId="2248" priority="770" stopIfTrue="1" operator="between">
      <formula>3000</formula>
      <formula>9000</formula>
    </cfRule>
    <cfRule type="cellIs" dxfId="2247" priority="771" stopIfTrue="1" operator="greaterThanOrEqual">
      <formula>9000</formula>
    </cfRule>
  </conditionalFormatting>
  <conditionalFormatting sqref="E122:H122">
    <cfRule type="cellIs" dxfId="2246" priority="766" stopIfTrue="1" operator="lessThanOrEqual">
      <formula>3000</formula>
    </cfRule>
    <cfRule type="cellIs" dxfId="2245" priority="767" stopIfTrue="1" operator="between">
      <formula>3000</formula>
      <formula>9000</formula>
    </cfRule>
    <cfRule type="cellIs" dxfId="2244" priority="768" stopIfTrue="1" operator="greaterThanOrEqual">
      <formula>9000</formula>
    </cfRule>
  </conditionalFormatting>
  <conditionalFormatting sqref="O122">
    <cfRule type="cellIs" dxfId="2243" priority="760" stopIfTrue="1" operator="lessThanOrEqual">
      <formula>3000</formula>
    </cfRule>
    <cfRule type="cellIs" dxfId="2242" priority="761" stopIfTrue="1" operator="between">
      <formula>3000</formula>
      <formula>9000</formula>
    </cfRule>
    <cfRule type="cellIs" dxfId="2241" priority="762" stopIfTrue="1" operator="greaterThanOrEqual">
      <formula>9000</formula>
    </cfRule>
  </conditionalFormatting>
  <conditionalFormatting sqref="P122:S122">
    <cfRule type="cellIs" dxfId="2240" priority="757" stopIfTrue="1" operator="lessThanOrEqual">
      <formula>3000</formula>
    </cfRule>
    <cfRule type="cellIs" dxfId="2239" priority="758" stopIfTrue="1" operator="between">
      <formula>3000</formula>
      <formula>9000</formula>
    </cfRule>
    <cfRule type="cellIs" dxfId="2238" priority="759" stopIfTrue="1" operator="greaterThanOrEqual">
      <formula>9000</formula>
    </cfRule>
  </conditionalFormatting>
  <conditionalFormatting sqref="J134:M134">
    <cfRule type="cellIs" dxfId="2237" priority="739" stopIfTrue="1" operator="lessThanOrEqual">
      <formula>3000</formula>
    </cfRule>
    <cfRule type="cellIs" dxfId="2236" priority="740" stopIfTrue="1" operator="between">
      <formula>3000</formula>
      <formula>9000</formula>
    </cfRule>
    <cfRule type="cellIs" dxfId="2235" priority="741" stopIfTrue="1" operator="greaterThanOrEqual">
      <formula>9000</formula>
    </cfRule>
  </conditionalFormatting>
  <conditionalFormatting sqref="O128">
    <cfRule type="cellIs" dxfId="2234" priority="748" stopIfTrue="1" operator="lessThanOrEqual">
      <formula>3000</formula>
    </cfRule>
    <cfRule type="cellIs" dxfId="2233" priority="749" stopIfTrue="1" operator="between">
      <formula>3000</formula>
      <formula>9000</formula>
    </cfRule>
    <cfRule type="cellIs" dxfId="2232" priority="750" stopIfTrue="1" operator="greaterThanOrEqual">
      <formula>9000</formula>
    </cfRule>
  </conditionalFormatting>
  <conditionalFormatting sqref="E134:H134">
    <cfRule type="cellIs" dxfId="2231" priority="742" stopIfTrue="1" operator="lessThanOrEqual">
      <formula>3000</formula>
    </cfRule>
    <cfRule type="cellIs" dxfId="2230" priority="743" stopIfTrue="1" operator="between">
      <formula>3000</formula>
      <formula>9000</formula>
    </cfRule>
    <cfRule type="cellIs" dxfId="2229" priority="744" stopIfTrue="1" operator="greaterThanOrEqual">
      <formula>9000</formula>
    </cfRule>
  </conditionalFormatting>
  <conditionalFormatting sqref="P128:S128">
    <cfRule type="cellIs" dxfId="2228" priority="745" stopIfTrue="1" operator="lessThanOrEqual">
      <formula>3000</formula>
    </cfRule>
    <cfRule type="cellIs" dxfId="2227" priority="746" stopIfTrue="1" operator="between">
      <formula>3000</formula>
      <formula>9000</formula>
    </cfRule>
    <cfRule type="cellIs" dxfId="2226" priority="747" stopIfTrue="1" operator="greaterThanOrEqual">
      <formula>9000</formula>
    </cfRule>
  </conditionalFormatting>
  <conditionalFormatting sqref="E140:H140">
    <cfRule type="cellIs" dxfId="2225" priority="730" stopIfTrue="1" operator="lessThanOrEqual">
      <formula>3000</formula>
    </cfRule>
    <cfRule type="cellIs" dxfId="2224" priority="731" stopIfTrue="1" operator="between">
      <formula>3000</formula>
      <formula>9000</formula>
    </cfRule>
    <cfRule type="cellIs" dxfId="2223" priority="732" stopIfTrue="1" operator="greaterThanOrEqual">
      <formula>9000</formula>
    </cfRule>
  </conditionalFormatting>
  <conditionalFormatting sqref="J140:M140">
    <cfRule type="cellIs" dxfId="2222" priority="727" stopIfTrue="1" operator="lessThanOrEqual">
      <formula>3000</formula>
    </cfRule>
    <cfRule type="cellIs" dxfId="2221" priority="728" stopIfTrue="1" operator="between">
      <formula>3000</formula>
      <formula>9000</formula>
    </cfRule>
    <cfRule type="cellIs" dxfId="2220" priority="729" stopIfTrue="1" operator="greaterThanOrEqual">
      <formula>9000</formula>
    </cfRule>
  </conditionalFormatting>
  <conditionalFormatting sqref="O134">
    <cfRule type="cellIs" dxfId="2219" priority="736" stopIfTrue="1" operator="lessThanOrEqual">
      <formula>3000</formula>
    </cfRule>
    <cfRule type="cellIs" dxfId="2218" priority="737" stopIfTrue="1" operator="between">
      <formula>3000</formula>
      <formula>9000</formula>
    </cfRule>
    <cfRule type="cellIs" dxfId="2217" priority="738" stopIfTrue="1" operator="greaterThanOrEqual">
      <formula>9000</formula>
    </cfRule>
  </conditionalFormatting>
  <conditionalFormatting sqref="P134:S134">
    <cfRule type="cellIs" dxfId="2216" priority="733" stopIfTrue="1" operator="lessThanOrEqual">
      <formula>3000</formula>
    </cfRule>
    <cfRule type="cellIs" dxfId="2215" priority="734" stopIfTrue="1" operator="between">
      <formula>3000</formula>
      <formula>9000</formula>
    </cfRule>
    <cfRule type="cellIs" dxfId="2214" priority="735" stopIfTrue="1" operator="greaterThanOrEqual">
      <formula>9000</formula>
    </cfRule>
  </conditionalFormatting>
  <conditionalFormatting sqref="O140">
    <cfRule type="cellIs" dxfId="2213" priority="724" stopIfTrue="1" operator="lessThanOrEqual">
      <formula>3000</formula>
    </cfRule>
    <cfRule type="cellIs" dxfId="2212" priority="725" stopIfTrue="1" operator="between">
      <formula>3000</formula>
      <formula>9000</formula>
    </cfRule>
    <cfRule type="cellIs" dxfId="2211" priority="726" stopIfTrue="1" operator="greaterThanOrEqual">
      <formula>9000</formula>
    </cfRule>
  </conditionalFormatting>
  <conditionalFormatting sqref="P140:S140">
    <cfRule type="cellIs" dxfId="2210" priority="721" stopIfTrue="1" operator="lessThanOrEqual">
      <formula>3000</formula>
    </cfRule>
    <cfRule type="cellIs" dxfId="2209" priority="722" stopIfTrue="1" operator="between">
      <formula>3000</formula>
      <formula>9000</formula>
    </cfRule>
    <cfRule type="cellIs" dxfId="2208" priority="723" stopIfTrue="1" operator="greaterThanOrEqual">
      <formula>9000</formula>
    </cfRule>
  </conditionalFormatting>
  <conditionalFormatting sqref="E146:H146">
    <cfRule type="cellIs" dxfId="2207" priority="718" stopIfTrue="1" operator="lessThanOrEqual">
      <formula>3000</formula>
    </cfRule>
    <cfRule type="cellIs" dxfId="2206" priority="719" stopIfTrue="1" operator="between">
      <formula>3000</formula>
      <formula>9000</formula>
    </cfRule>
    <cfRule type="cellIs" dxfId="2205" priority="720" stopIfTrue="1" operator="greaterThanOrEqual">
      <formula>9000</formula>
    </cfRule>
  </conditionalFormatting>
  <conditionalFormatting sqref="J146:M146">
    <cfRule type="cellIs" dxfId="2204" priority="715" stopIfTrue="1" operator="lessThanOrEqual">
      <formula>3000</formula>
    </cfRule>
    <cfRule type="cellIs" dxfId="2203" priority="716" stopIfTrue="1" operator="between">
      <formula>3000</formula>
      <formula>9000</formula>
    </cfRule>
    <cfRule type="cellIs" dxfId="2202" priority="717" stopIfTrue="1" operator="greaterThanOrEqual">
      <formula>9000</formula>
    </cfRule>
  </conditionalFormatting>
  <conditionalFormatting sqref="O146">
    <cfRule type="cellIs" dxfId="2201" priority="712" stopIfTrue="1" operator="lessThanOrEqual">
      <formula>3000</formula>
    </cfRule>
    <cfRule type="cellIs" dxfId="2200" priority="713" stopIfTrue="1" operator="between">
      <formula>3000</formula>
      <formula>9000</formula>
    </cfRule>
    <cfRule type="cellIs" dxfId="2199" priority="714" stopIfTrue="1" operator="greaterThanOrEqual">
      <formula>9000</formula>
    </cfRule>
  </conditionalFormatting>
  <conditionalFormatting sqref="P146:S146">
    <cfRule type="cellIs" dxfId="2198" priority="709" stopIfTrue="1" operator="lessThanOrEqual">
      <formula>3000</formula>
    </cfRule>
    <cfRule type="cellIs" dxfId="2197" priority="710" stopIfTrue="1" operator="between">
      <formula>3000</formula>
      <formula>9000</formula>
    </cfRule>
    <cfRule type="cellIs" dxfId="2196" priority="711" stopIfTrue="1" operator="greaterThanOrEqual">
      <formula>9000</formula>
    </cfRule>
  </conditionalFormatting>
  <conditionalFormatting sqref="E152:H152">
    <cfRule type="cellIs" dxfId="2195" priority="706" stopIfTrue="1" operator="lessThanOrEqual">
      <formula>3000</formula>
    </cfRule>
    <cfRule type="cellIs" dxfId="2194" priority="707" stopIfTrue="1" operator="between">
      <formula>3000</formula>
      <formula>9000</formula>
    </cfRule>
    <cfRule type="cellIs" dxfId="2193" priority="708" stopIfTrue="1" operator="greaterThanOrEqual">
      <formula>9000</formula>
    </cfRule>
  </conditionalFormatting>
  <conditionalFormatting sqref="J152:M152">
    <cfRule type="cellIs" dxfId="2192" priority="703" stopIfTrue="1" operator="lessThanOrEqual">
      <formula>3000</formula>
    </cfRule>
    <cfRule type="cellIs" dxfId="2191" priority="704" stopIfTrue="1" operator="between">
      <formula>3000</formula>
      <formula>9000</formula>
    </cfRule>
    <cfRule type="cellIs" dxfId="2190" priority="705" stopIfTrue="1" operator="greaterThanOrEqual">
      <formula>9000</formula>
    </cfRule>
  </conditionalFormatting>
  <conditionalFormatting sqref="O152">
    <cfRule type="cellIs" dxfId="2189" priority="700" stopIfTrue="1" operator="lessThanOrEqual">
      <formula>3000</formula>
    </cfRule>
    <cfRule type="cellIs" dxfId="2188" priority="701" stopIfTrue="1" operator="between">
      <formula>3000</formula>
      <formula>9000</formula>
    </cfRule>
    <cfRule type="cellIs" dxfId="2187" priority="702" stopIfTrue="1" operator="greaterThanOrEqual">
      <formula>9000</formula>
    </cfRule>
  </conditionalFormatting>
  <conditionalFormatting sqref="P152:S152">
    <cfRule type="cellIs" dxfId="2186" priority="697" stopIfTrue="1" operator="lessThanOrEqual">
      <formula>3000</formula>
    </cfRule>
    <cfRule type="cellIs" dxfId="2185" priority="698" stopIfTrue="1" operator="between">
      <formula>3000</formula>
      <formula>9000</formula>
    </cfRule>
    <cfRule type="cellIs" dxfId="2184" priority="699" stopIfTrue="1" operator="greaterThanOrEqual">
      <formula>9000</formula>
    </cfRule>
  </conditionalFormatting>
  <conditionalFormatting sqref="E158:H158">
    <cfRule type="cellIs" dxfId="2183" priority="694" stopIfTrue="1" operator="lessThanOrEqual">
      <formula>3000</formula>
    </cfRule>
    <cfRule type="cellIs" dxfId="2182" priority="695" stopIfTrue="1" operator="between">
      <formula>3000</formula>
      <formula>9000</formula>
    </cfRule>
    <cfRule type="cellIs" dxfId="2181" priority="696" stopIfTrue="1" operator="greaterThanOrEqual">
      <formula>9000</formula>
    </cfRule>
  </conditionalFormatting>
  <conditionalFormatting sqref="J158:M158">
    <cfRule type="cellIs" dxfId="2180" priority="691" stopIfTrue="1" operator="lessThanOrEqual">
      <formula>3000</formula>
    </cfRule>
    <cfRule type="cellIs" dxfId="2179" priority="692" stopIfTrue="1" operator="between">
      <formula>3000</formula>
      <formula>9000</formula>
    </cfRule>
    <cfRule type="cellIs" dxfId="2178" priority="693" stopIfTrue="1" operator="greaterThanOrEqual">
      <formula>9000</formula>
    </cfRule>
  </conditionalFormatting>
  <conditionalFormatting sqref="O158">
    <cfRule type="cellIs" dxfId="2177" priority="688" stopIfTrue="1" operator="lessThanOrEqual">
      <formula>3000</formula>
    </cfRule>
    <cfRule type="cellIs" dxfId="2176" priority="689" stopIfTrue="1" operator="between">
      <formula>3000</formula>
      <formula>9000</formula>
    </cfRule>
    <cfRule type="cellIs" dxfId="2175" priority="690" stopIfTrue="1" operator="greaterThanOrEqual">
      <formula>9000</formula>
    </cfRule>
  </conditionalFormatting>
  <conditionalFormatting sqref="P158:S158">
    <cfRule type="cellIs" dxfId="2174" priority="685" stopIfTrue="1" operator="lessThanOrEqual">
      <formula>3000</formula>
    </cfRule>
    <cfRule type="cellIs" dxfId="2173" priority="686" stopIfTrue="1" operator="between">
      <formula>3000</formula>
      <formula>9000</formula>
    </cfRule>
    <cfRule type="cellIs" dxfId="2172" priority="687" stopIfTrue="1" operator="greaterThanOrEqual">
      <formula>9000</formula>
    </cfRule>
  </conditionalFormatting>
  <conditionalFormatting sqref="E164:H164">
    <cfRule type="cellIs" dxfId="2171" priority="682" stopIfTrue="1" operator="lessThanOrEqual">
      <formula>3000</formula>
    </cfRule>
    <cfRule type="cellIs" dxfId="2170" priority="683" stopIfTrue="1" operator="between">
      <formula>3000</formula>
      <formula>9000</formula>
    </cfRule>
    <cfRule type="cellIs" dxfId="2169" priority="684" stopIfTrue="1" operator="greaterThanOrEqual">
      <formula>9000</formula>
    </cfRule>
  </conditionalFormatting>
  <conditionalFormatting sqref="J164:M164">
    <cfRule type="cellIs" dxfId="2168" priority="679" stopIfTrue="1" operator="lessThanOrEqual">
      <formula>3000</formula>
    </cfRule>
    <cfRule type="cellIs" dxfId="2167" priority="680" stopIfTrue="1" operator="between">
      <formula>3000</formula>
      <formula>9000</formula>
    </cfRule>
    <cfRule type="cellIs" dxfId="2166" priority="681" stopIfTrue="1" operator="greaterThanOrEqual">
      <formula>9000</formula>
    </cfRule>
  </conditionalFormatting>
  <conditionalFormatting sqref="O164">
    <cfRule type="cellIs" dxfId="2165" priority="676" stopIfTrue="1" operator="lessThanOrEqual">
      <formula>3000</formula>
    </cfRule>
    <cfRule type="cellIs" dxfId="2164" priority="677" stopIfTrue="1" operator="between">
      <formula>3000</formula>
      <formula>9000</formula>
    </cfRule>
    <cfRule type="cellIs" dxfId="2163" priority="678" stopIfTrue="1" operator="greaterThanOrEqual">
      <formula>9000</formula>
    </cfRule>
  </conditionalFormatting>
  <conditionalFormatting sqref="P164:S164">
    <cfRule type="cellIs" dxfId="2162" priority="673" stopIfTrue="1" operator="lessThanOrEqual">
      <formula>3000</formula>
    </cfRule>
    <cfRule type="cellIs" dxfId="2161" priority="674" stopIfTrue="1" operator="between">
      <formula>3000</formula>
      <formula>9000</formula>
    </cfRule>
    <cfRule type="cellIs" dxfId="2160" priority="675" stopIfTrue="1" operator="greaterThanOrEqual">
      <formula>9000</formula>
    </cfRule>
  </conditionalFormatting>
  <conditionalFormatting sqref="E170:H170">
    <cfRule type="cellIs" dxfId="2159" priority="670" stopIfTrue="1" operator="lessThanOrEqual">
      <formula>3000</formula>
    </cfRule>
    <cfRule type="cellIs" dxfId="2158" priority="671" stopIfTrue="1" operator="between">
      <formula>3000</formula>
      <formula>9000</formula>
    </cfRule>
    <cfRule type="cellIs" dxfId="2157" priority="672" stopIfTrue="1" operator="greaterThanOrEqual">
      <formula>9000</formula>
    </cfRule>
  </conditionalFormatting>
  <conditionalFormatting sqref="J170:M170">
    <cfRule type="cellIs" dxfId="2156" priority="667" stopIfTrue="1" operator="lessThanOrEqual">
      <formula>3000</formula>
    </cfRule>
    <cfRule type="cellIs" dxfId="2155" priority="668" stopIfTrue="1" operator="between">
      <formula>3000</formula>
      <formula>9000</formula>
    </cfRule>
    <cfRule type="cellIs" dxfId="2154" priority="669" stopIfTrue="1" operator="greaterThanOrEqual">
      <formula>9000</formula>
    </cfRule>
  </conditionalFormatting>
  <conditionalFormatting sqref="O170">
    <cfRule type="cellIs" dxfId="2153" priority="664" stopIfTrue="1" operator="lessThanOrEqual">
      <formula>3000</formula>
    </cfRule>
    <cfRule type="cellIs" dxfId="2152" priority="665" stopIfTrue="1" operator="between">
      <formula>3000</formula>
      <formula>9000</formula>
    </cfRule>
    <cfRule type="cellIs" dxfId="2151" priority="666" stopIfTrue="1" operator="greaterThanOrEqual">
      <formula>9000</formula>
    </cfRule>
  </conditionalFormatting>
  <conditionalFormatting sqref="P170:S170">
    <cfRule type="cellIs" dxfId="2150" priority="661" stopIfTrue="1" operator="lessThanOrEqual">
      <formula>3000</formula>
    </cfRule>
    <cfRule type="cellIs" dxfId="2149" priority="662" stopIfTrue="1" operator="between">
      <formula>3000</formula>
      <formula>9000</formula>
    </cfRule>
    <cfRule type="cellIs" dxfId="2148" priority="663" stopIfTrue="1" operator="greaterThanOrEqual">
      <formula>9000</formula>
    </cfRule>
  </conditionalFormatting>
  <conditionalFormatting sqref="E176:H176">
    <cfRule type="cellIs" dxfId="2147" priority="658" stopIfTrue="1" operator="lessThanOrEqual">
      <formula>3000</formula>
    </cfRule>
    <cfRule type="cellIs" dxfId="2146" priority="659" stopIfTrue="1" operator="between">
      <formula>3000</formula>
      <formula>9000</formula>
    </cfRule>
    <cfRule type="cellIs" dxfId="2145" priority="660" stopIfTrue="1" operator="greaterThanOrEqual">
      <formula>9000</formula>
    </cfRule>
  </conditionalFormatting>
  <conditionalFormatting sqref="J176:M176">
    <cfRule type="cellIs" dxfId="2144" priority="655" stopIfTrue="1" operator="lessThanOrEqual">
      <formula>3000</formula>
    </cfRule>
    <cfRule type="cellIs" dxfId="2143" priority="656" stopIfTrue="1" operator="between">
      <formula>3000</formula>
      <formula>9000</formula>
    </cfRule>
    <cfRule type="cellIs" dxfId="2142" priority="657" stopIfTrue="1" operator="greaterThanOrEqual">
      <formula>9000</formula>
    </cfRule>
  </conditionalFormatting>
  <conditionalFormatting sqref="O176">
    <cfRule type="cellIs" dxfId="2141" priority="652" stopIfTrue="1" operator="lessThanOrEqual">
      <formula>3000</formula>
    </cfRule>
    <cfRule type="cellIs" dxfId="2140" priority="653" stopIfTrue="1" operator="between">
      <formula>3000</formula>
      <formula>9000</formula>
    </cfRule>
    <cfRule type="cellIs" dxfId="2139" priority="654" stopIfTrue="1" operator="greaterThanOrEqual">
      <formula>9000</formula>
    </cfRule>
  </conditionalFormatting>
  <conditionalFormatting sqref="P176:S176">
    <cfRule type="cellIs" dxfId="2138" priority="649" stopIfTrue="1" operator="lessThanOrEqual">
      <formula>3000</formula>
    </cfRule>
    <cfRule type="cellIs" dxfId="2137" priority="650" stopIfTrue="1" operator="between">
      <formula>3000</formula>
      <formula>9000</formula>
    </cfRule>
    <cfRule type="cellIs" dxfId="2136" priority="651" stopIfTrue="1" operator="greaterThanOrEqual">
      <formula>9000</formula>
    </cfRule>
  </conditionalFormatting>
  <conditionalFormatting sqref="E182:H182">
    <cfRule type="cellIs" dxfId="2135" priority="646" stopIfTrue="1" operator="lessThanOrEqual">
      <formula>3000</formula>
    </cfRule>
    <cfRule type="cellIs" dxfId="2134" priority="647" stopIfTrue="1" operator="between">
      <formula>3000</formula>
      <formula>9000</formula>
    </cfRule>
    <cfRule type="cellIs" dxfId="2133" priority="648" stopIfTrue="1" operator="greaterThanOrEqual">
      <formula>9000</formula>
    </cfRule>
  </conditionalFormatting>
  <conditionalFormatting sqref="J182:M182">
    <cfRule type="cellIs" dxfId="2132" priority="643" stopIfTrue="1" operator="lessThanOrEqual">
      <formula>3000</formula>
    </cfRule>
    <cfRule type="cellIs" dxfId="2131" priority="644" stopIfTrue="1" operator="between">
      <formula>3000</formula>
      <formula>9000</formula>
    </cfRule>
    <cfRule type="cellIs" dxfId="2130" priority="645" stopIfTrue="1" operator="greaterThanOrEqual">
      <formula>9000</formula>
    </cfRule>
  </conditionalFormatting>
  <conditionalFormatting sqref="O182">
    <cfRule type="cellIs" dxfId="2129" priority="640" stopIfTrue="1" operator="lessThanOrEqual">
      <formula>3000</formula>
    </cfRule>
    <cfRule type="cellIs" dxfId="2128" priority="641" stopIfTrue="1" operator="between">
      <formula>3000</formula>
      <formula>9000</formula>
    </cfRule>
    <cfRule type="cellIs" dxfId="2127" priority="642" stopIfTrue="1" operator="greaterThanOrEqual">
      <formula>9000</formula>
    </cfRule>
  </conditionalFormatting>
  <conditionalFormatting sqref="P182:S182">
    <cfRule type="cellIs" dxfId="2126" priority="637" stopIfTrue="1" operator="lessThanOrEqual">
      <formula>3000</formula>
    </cfRule>
    <cfRule type="cellIs" dxfId="2125" priority="638" stopIfTrue="1" operator="between">
      <formula>3000</formula>
      <formula>9000</formula>
    </cfRule>
    <cfRule type="cellIs" dxfId="2124" priority="639" stopIfTrue="1" operator="greaterThanOrEqual">
      <formula>9000</formula>
    </cfRule>
  </conditionalFormatting>
  <conditionalFormatting sqref="E188:H188">
    <cfRule type="cellIs" dxfId="2123" priority="634" stopIfTrue="1" operator="lessThanOrEqual">
      <formula>3000</formula>
    </cfRule>
    <cfRule type="cellIs" dxfId="2122" priority="635" stopIfTrue="1" operator="between">
      <formula>3000</formula>
      <formula>9000</formula>
    </cfRule>
    <cfRule type="cellIs" dxfId="2121" priority="636" stopIfTrue="1" operator="greaterThanOrEqual">
      <formula>9000</formula>
    </cfRule>
  </conditionalFormatting>
  <conditionalFormatting sqref="J188:M188">
    <cfRule type="cellIs" dxfId="2120" priority="631" stopIfTrue="1" operator="lessThanOrEqual">
      <formula>3000</formula>
    </cfRule>
    <cfRule type="cellIs" dxfId="2119" priority="632" stopIfTrue="1" operator="between">
      <formula>3000</formula>
      <formula>9000</formula>
    </cfRule>
    <cfRule type="cellIs" dxfId="2118" priority="633" stopIfTrue="1" operator="greaterThanOrEqual">
      <formula>9000</formula>
    </cfRule>
  </conditionalFormatting>
  <conditionalFormatting sqref="O188">
    <cfRule type="cellIs" dxfId="2117" priority="628" stopIfTrue="1" operator="lessThanOrEqual">
      <formula>3000</formula>
    </cfRule>
    <cfRule type="cellIs" dxfId="2116" priority="629" stopIfTrue="1" operator="between">
      <formula>3000</formula>
      <formula>9000</formula>
    </cfRule>
    <cfRule type="cellIs" dxfId="2115" priority="630" stopIfTrue="1" operator="greaterThanOrEqual">
      <formula>9000</formula>
    </cfRule>
  </conditionalFormatting>
  <conditionalFormatting sqref="P188:S188">
    <cfRule type="cellIs" dxfId="2114" priority="625" stopIfTrue="1" operator="lessThanOrEqual">
      <formula>3000</formula>
    </cfRule>
    <cfRule type="cellIs" dxfId="2113" priority="626" stopIfTrue="1" operator="between">
      <formula>3000</formula>
      <formula>9000</formula>
    </cfRule>
    <cfRule type="cellIs" dxfId="2112" priority="627" stopIfTrue="1" operator="greaterThanOrEqual">
      <formula>9000</formula>
    </cfRule>
  </conditionalFormatting>
  <conditionalFormatting sqref="E194:H194">
    <cfRule type="cellIs" dxfId="2111" priority="622" stopIfTrue="1" operator="lessThanOrEqual">
      <formula>3000</formula>
    </cfRule>
    <cfRule type="cellIs" dxfId="2110" priority="623" stopIfTrue="1" operator="between">
      <formula>3000</formula>
      <formula>9000</formula>
    </cfRule>
    <cfRule type="cellIs" dxfId="2109" priority="624" stopIfTrue="1" operator="greaterThanOrEqual">
      <formula>9000</formula>
    </cfRule>
  </conditionalFormatting>
  <conditionalFormatting sqref="J194:M194">
    <cfRule type="cellIs" dxfId="2108" priority="619" stopIfTrue="1" operator="lessThanOrEqual">
      <formula>3000</formula>
    </cfRule>
    <cfRule type="cellIs" dxfId="2107" priority="620" stopIfTrue="1" operator="between">
      <formula>3000</formula>
      <formula>9000</formula>
    </cfRule>
    <cfRule type="cellIs" dxfId="2106" priority="621" stopIfTrue="1" operator="greaterThanOrEqual">
      <formula>9000</formula>
    </cfRule>
  </conditionalFormatting>
  <conditionalFormatting sqref="O194">
    <cfRule type="cellIs" dxfId="2105" priority="616" stopIfTrue="1" operator="lessThanOrEqual">
      <formula>3000</formula>
    </cfRule>
    <cfRule type="cellIs" dxfId="2104" priority="617" stopIfTrue="1" operator="between">
      <formula>3000</formula>
      <formula>9000</formula>
    </cfRule>
    <cfRule type="cellIs" dxfId="2103" priority="618" stopIfTrue="1" operator="greaterThanOrEqual">
      <formula>9000</formula>
    </cfRule>
  </conditionalFormatting>
  <conditionalFormatting sqref="P194:S194">
    <cfRule type="cellIs" dxfId="2102" priority="613" stopIfTrue="1" operator="lessThanOrEqual">
      <formula>3000</formula>
    </cfRule>
    <cfRule type="cellIs" dxfId="2101" priority="614" stopIfTrue="1" operator="between">
      <formula>3000</formula>
      <formula>9000</formula>
    </cfRule>
    <cfRule type="cellIs" dxfId="2100" priority="615" stopIfTrue="1" operator="greaterThanOrEqual">
      <formula>9000</formula>
    </cfRule>
  </conditionalFormatting>
  <conditionalFormatting sqref="E200:H200">
    <cfRule type="cellIs" dxfId="2099" priority="610" stopIfTrue="1" operator="lessThanOrEqual">
      <formula>3000</formula>
    </cfRule>
    <cfRule type="cellIs" dxfId="2098" priority="611" stopIfTrue="1" operator="between">
      <formula>3000</formula>
      <formula>9000</formula>
    </cfRule>
    <cfRule type="cellIs" dxfId="2097" priority="612" stopIfTrue="1" operator="greaterThanOrEqual">
      <formula>9000</formula>
    </cfRule>
  </conditionalFormatting>
  <conditionalFormatting sqref="J200:M200">
    <cfRule type="cellIs" dxfId="2096" priority="607" stopIfTrue="1" operator="lessThanOrEqual">
      <formula>3000</formula>
    </cfRule>
    <cfRule type="cellIs" dxfId="2095" priority="608" stopIfTrue="1" operator="between">
      <formula>3000</formula>
      <formula>9000</formula>
    </cfRule>
    <cfRule type="cellIs" dxfId="2094" priority="609" stopIfTrue="1" operator="greaterThanOrEqual">
      <formula>9000</formula>
    </cfRule>
  </conditionalFormatting>
  <conditionalFormatting sqref="O200">
    <cfRule type="cellIs" dxfId="2093" priority="604" stopIfTrue="1" operator="lessThanOrEqual">
      <formula>3000</formula>
    </cfRule>
    <cfRule type="cellIs" dxfId="2092" priority="605" stopIfTrue="1" operator="between">
      <formula>3000</formula>
      <formula>9000</formula>
    </cfRule>
    <cfRule type="cellIs" dxfId="2091" priority="606" stopIfTrue="1" operator="greaterThanOrEqual">
      <formula>9000</formula>
    </cfRule>
  </conditionalFormatting>
  <conditionalFormatting sqref="P200:S200">
    <cfRule type="cellIs" dxfId="2090" priority="601" stopIfTrue="1" operator="lessThanOrEqual">
      <formula>3000</formula>
    </cfRule>
    <cfRule type="cellIs" dxfId="2089" priority="602" stopIfTrue="1" operator="between">
      <formula>3000</formula>
      <formula>9000</formula>
    </cfRule>
    <cfRule type="cellIs" dxfId="2088" priority="603" stopIfTrue="1" operator="greaterThanOrEqual">
      <formula>9000</formula>
    </cfRule>
  </conditionalFormatting>
  <conditionalFormatting sqref="E206:H206">
    <cfRule type="cellIs" dxfId="2087" priority="598" stopIfTrue="1" operator="lessThanOrEqual">
      <formula>3000</formula>
    </cfRule>
    <cfRule type="cellIs" dxfId="2086" priority="599" stopIfTrue="1" operator="between">
      <formula>3000</formula>
      <formula>9000</formula>
    </cfRule>
    <cfRule type="cellIs" dxfId="2085" priority="600" stopIfTrue="1" operator="greaterThanOrEqual">
      <formula>9000</formula>
    </cfRule>
  </conditionalFormatting>
  <conditionalFormatting sqref="J206:M206">
    <cfRule type="cellIs" dxfId="2084" priority="595" stopIfTrue="1" operator="lessThanOrEqual">
      <formula>3000</formula>
    </cfRule>
    <cfRule type="cellIs" dxfId="2083" priority="596" stopIfTrue="1" operator="between">
      <formula>3000</formula>
      <formula>9000</formula>
    </cfRule>
    <cfRule type="cellIs" dxfId="2082" priority="597" stopIfTrue="1" operator="greaterThanOrEqual">
      <formula>9000</formula>
    </cfRule>
  </conditionalFormatting>
  <conditionalFormatting sqref="O206">
    <cfRule type="cellIs" dxfId="2081" priority="592" stopIfTrue="1" operator="lessThanOrEqual">
      <formula>3000</formula>
    </cfRule>
    <cfRule type="cellIs" dxfId="2080" priority="593" stopIfTrue="1" operator="between">
      <formula>3000</formula>
      <formula>9000</formula>
    </cfRule>
    <cfRule type="cellIs" dxfId="2079" priority="594" stopIfTrue="1" operator="greaterThanOrEqual">
      <formula>9000</formula>
    </cfRule>
  </conditionalFormatting>
  <conditionalFormatting sqref="P206:S206">
    <cfRule type="cellIs" dxfId="2078" priority="589" stopIfTrue="1" operator="lessThanOrEqual">
      <formula>3000</formula>
    </cfRule>
    <cfRule type="cellIs" dxfId="2077" priority="590" stopIfTrue="1" operator="between">
      <formula>3000</formula>
      <formula>9000</formula>
    </cfRule>
    <cfRule type="cellIs" dxfId="2076" priority="591" stopIfTrue="1" operator="greaterThanOrEqual">
      <formula>9000</formula>
    </cfRule>
  </conditionalFormatting>
  <conditionalFormatting sqref="E218:H218">
    <cfRule type="cellIs" dxfId="2075" priority="574" stopIfTrue="1" operator="lessThanOrEqual">
      <formula>3000</formula>
    </cfRule>
    <cfRule type="cellIs" dxfId="2074" priority="575" stopIfTrue="1" operator="between">
      <formula>3000</formula>
      <formula>9000</formula>
    </cfRule>
    <cfRule type="cellIs" dxfId="2073" priority="576" stopIfTrue="1" operator="greaterThanOrEqual">
      <formula>9000</formula>
    </cfRule>
  </conditionalFormatting>
  <conditionalFormatting sqref="J218:M218">
    <cfRule type="cellIs" dxfId="2072" priority="571" stopIfTrue="1" operator="lessThanOrEqual">
      <formula>3000</formula>
    </cfRule>
    <cfRule type="cellIs" dxfId="2071" priority="572" stopIfTrue="1" operator="between">
      <formula>3000</formula>
      <formula>9000</formula>
    </cfRule>
    <cfRule type="cellIs" dxfId="2070" priority="573" stopIfTrue="1" operator="greaterThanOrEqual">
      <formula>9000</formula>
    </cfRule>
  </conditionalFormatting>
  <conditionalFormatting sqref="O218">
    <cfRule type="cellIs" dxfId="2069" priority="568" stopIfTrue="1" operator="lessThanOrEqual">
      <formula>3000</formula>
    </cfRule>
    <cfRule type="cellIs" dxfId="2068" priority="569" stopIfTrue="1" operator="between">
      <formula>3000</formula>
      <formula>9000</formula>
    </cfRule>
    <cfRule type="cellIs" dxfId="2067" priority="570" stopIfTrue="1" operator="greaterThanOrEqual">
      <formula>9000</formula>
    </cfRule>
  </conditionalFormatting>
  <conditionalFormatting sqref="P218:S218">
    <cfRule type="cellIs" dxfId="2066" priority="565" stopIfTrue="1" operator="lessThanOrEqual">
      <formula>3000</formula>
    </cfRule>
    <cfRule type="cellIs" dxfId="2065" priority="566" stopIfTrue="1" operator="between">
      <formula>3000</formula>
      <formula>9000</formula>
    </cfRule>
    <cfRule type="cellIs" dxfId="2064" priority="567" stopIfTrue="1" operator="greaterThanOrEqual">
      <formula>9000</formula>
    </cfRule>
  </conditionalFormatting>
  <conditionalFormatting sqref="E224:H224">
    <cfRule type="cellIs" dxfId="2063" priority="562" stopIfTrue="1" operator="lessThanOrEqual">
      <formula>3000</formula>
    </cfRule>
    <cfRule type="cellIs" dxfId="2062" priority="563" stopIfTrue="1" operator="between">
      <formula>3000</formula>
      <formula>9000</formula>
    </cfRule>
    <cfRule type="cellIs" dxfId="2061" priority="564" stopIfTrue="1" operator="greaterThanOrEqual">
      <formula>9000</formula>
    </cfRule>
  </conditionalFormatting>
  <conditionalFormatting sqref="J224:M224">
    <cfRule type="cellIs" dxfId="2060" priority="559" stopIfTrue="1" operator="lessThanOrEqual">
      <formula>3000</formula>
    </cfRule>
    <cfRule type="cellIs" dxfId="2059" priority="560" stopIfTrue="1" operator="between">
      <formula>3000</formula>
      <formula>9000</formula>
    </cfRule>
    <cfRule type="cellIs" dxfId="2058" priority="561" stopIfTrue="1" operator="greaterThanOrEqual">
      <formula>9000</formula>
    </cfRule>
  </conditionalFormatting>
  <conditionalFormatting sqref="O224">
    <cfRule type="cellIs" dxfId="2057" priority="556" stopIfTrue="1" operator="lessThanOrEqual">
      <formula>3000</formula>
    </cfRule>
    <cfRule type="cellIs" dxfId="2056" priority="557" stopIfTrue="1" operator="between">
      <formula>3000</formula>
      <formula>9000</formula>
    </cfRule>
    <cfRule type="cellIs" dxfId="2055" priority="558" stopIfTrue="1" operator="greaterThanOrEqual">
      <formula>9000</formula>
    </cfRule>
  </conditionalFormatting>
  <conditionalFormatting sqref="P224:S224">
    <cfRule type="cellIs" dxfId="2054" priority="553" stopIfTrue="1" operator="lessThanOrEqual">
      <formula>3000</formula>
    </cfRule>
    <cfRule type="cellIs" dxfId="2053" priority="554" stopIfTrue="1" operator="between">
      <formula>3000</formula>
      <formula>9000</formula>
    </cfRule>
    <cfRule type="cellIs" dxfId="2052" priority="555" stopIfTrue="1" operator="greaterThanOrEqual">
      <formula>9000</formula>
    </cfRule>
  </conditionalFormatting>
  <conditionalFormatting sqref="E230:H230">
    <cfRule type="cellIs" dxfId="2051" priority="550" stopIfTrue="1" operator="lessThanOrEqual">
      <formula>3000</formula>
    </cfRule>
    <cfRule type="cellIs" dxfId="2050" priority="551" stopIfTrue="1" operator="between">
      <formula>3000</formula>
      <formula>9000</formula>
    </cfRule>
    <cfRule type="cellIs" dxfId="2049" priority="552" stopIfTrue="1" operator="greaterThanOrEqual">
      <formula>9000</formula>
    </cfRule>
  </conditionalFormatting>
  <conditionalFormatting sqref="J230:M230">
    <cfRule type="cellIs" dxfId="2048" priority="547" stopIfTrue="1" operator="lessThanOrEqual">
      <formula>3000</formula>
    </cfRule>
    <cfRule type="cellIs" dxfId="2047" priority="548" stopIfTrue="1" operator="between">
      <formula>3000</formula>
      <formula>9000</formula>
    </cfRule>
    <cfRule type="cellIs" dxfId="2046" priority="549" stopIfTrue="1" operator="greaterThanOrEqual">
      <formula>9000</formula>
    </cfRule>
  </conditionalFormatting>
  <conditionalFormatting sqref="O230">
    <cfRule type="cellIs" dxfId="2045" priority="544" stopIfTrue="1" operator="lessThanOrEqual">
      <formula>3000</formula>
    </cfRule>
    <cfRule type="cellIs" dxfId="2044" priority="545" stopIfTrue="1" operator="between">
      <formula>3000</formula>
      <formula>9000</formula>
    </cfRule>
    <cfRule type="cellIs" dxfId="2043" priority="546" stopIfTrue="1" operator="greaterThanOrEqual">
      <formula>9000</formula>
    </cfRule>
  </conditionalFormatting>
  <conditionalFormatting sqref="P230:S230">
    <cfRule type="cellIs" dxfId="2042" priority="541" stopIfTrue="1" operator="lessThanOrEqual">
      <formula>3000</formula>
    </cfRule>
    <cfRule type="cellIs" dxfId="2041" priority="542" stopIfTrue="1" operator="between">
      <formula>3000</formula>
      <formula>9000</formula>
    </cfRule>
    <cfRule type="cellIs" dxfId="2040" priority="543" stopIfTrue="1" operator="greaterThanOrEqual">
      <formula>9000</formula>
    </cfRule>
  </conditionalFormatting>
  <conditionalFormatting sqref="E236:H236">
    <cfRule type="cellIs" dxfId="2039" priority="538" stopIfTrue="1" operator="lessThanOrEqual">
      <formula>3000</formula>
    </cfRule>
    <cfRule type="cellIs" dxfId="2038" priority="539" stopIfTrue="1" operator="between">
      <formula>3000</formula>
      <formula>9000</formula>
    </cfRule>
    <cfRule type="cellIs" dxfId="2037" priority="540" stopIfTrue="1" operator="greaterThanOrEqual">
      <formula>9000</formula>
    </cfRule>
  </conditionalFormatting>
  <conditionalFormatting sqref="J236:M236">
    <cfRule type="cellIs" dxfId="2036" priority="535" stopIfTrue="1" operator="lessThanOrEqual">
      <formula>3000</formula>
    </cfRule>
    <cfRule type="cellIs" dxfId="2035" priority="536" stopIfTrue="1" operator="between">
      <formula>3000</formula>
      <formula>9000</formula>
    </cfRule>
    <cfRule type="cellIs" dxfId="2034" priority="537" stopIfTrue="1" operator="greaterThanOrEqual">
      <formula>9000</formula>
    </cfRule>
  </conditionalFormatting>
  <conditionalFormatting sqref="O236">
    <cfRule type="cellIs" dxfId="2033" priority="532" stopIfTrue="1" operator="lessThanOrEqual">
      <formula>3000</formula>
    </cfRule>
    <cfRule type="cellIs" dxfId="2032" priority="533" stopIfTrue="1" operator="between">
      <formula>3000</formula>
      <formula>9000</formula>
    </cfRule>
    <cfRule type="cellIs" dxfId="2031" priority="534" stopIfTrue="1" operator="greaterThanOrEqual">
      <formula>9000</formula>
    </cfRule>
  </conditionalFormatting>
  <conditionalFormatting sqref="P236:S236">
    <cfRule type="cellIs" dxfId="2030" priority="529" stopIfTrue="1" operator="lessThanOrEqual">
      <formula>3000</formula>
    </cfRule>
    <cfRule type="cellIs" dxfId="2029" priority="530" stopIfTrue="1" operator="between">
      <formula>3000</formula>
      <formula>9000</formula>
    </cfRule>
    <cfRule type="cellIs" dxfId="2028" priority="531" stopIfTrue="1" operator="greaterThanOrEqual">
      <formula>9000</formula>
    </cfRule>
  </conditionalFormatting>
  <conditionalFormatting sqref="V242:Y242">
    <cfRule type="cellIs" dxfId="2027" priority="526" stopIfTrue="1" operator="lessThanOrEqual">
      <formula>3000</formula>
    </cfRule>
    <cfRule type="cellIs" dxfId="2026" priority="527" stopIfTrue="1" operator="between">
      <formula>3000</formula>
      <formula>9000</formula>
    </cfRule>
    <cfRule type="cellIs" dxfId="2025" priority="528" stopIfTrue="1" operator="greaterThanOrEqual">
      <formula>9000</formula>
    </cfRule>
  </conditionalFormatting>
  <conditionalFormatting sqref="AA242:AD242">
    <cfRule type="cellIs" dxfId="2024" priority="523" stopIfTrue="1" operator="lessThanOrEqual">
      <formula>3000</formula>
    </cfRule>
    <cfRule type="cellIs" dxfId="2023" priority="524" stopIfTrue="1" operator="between">
      <formula>3000</formula>
      <formula>9000</formula>
    </cfRule>
    <cfRule type="cellIs" dxfId="2022" priority="525" stopIfTrue="1" operator="greaterThanOrEqual">
      <formula>9000</formula>
    </cfRule>
  </conditionalFormatting>
  <conditionalFormatting sqref="AF242">
    <cfRule type="cellIs" dxfId="2021" priority="520" stopIfTrue="1" operator="lessThanOrEqual">
      <formula>3000</formula>
    </cfRule>
    <cfRule type="cellIs" dxfId="2020" priority="521" stopIfTrue="1" operator="between">
      <formula>3000</formula>
      <formula>9000</formula>
    </cfRule>
    <cfRule type="cellIs" dxfId="2019" priority="522" stopIfTrue="1" operator="greaterThanOrEqual">
      <formula>9000</formula>
    </cfRule>
  </conditionalFormatting>
  <conditionalFormatting sqref="AG242:AJ242">
    <cfRule type="cellIs" dxfId="2018" priority="517" stopIfTrue="1" operator="lessThanOrEqual">
      <formula>3000</formula>
    </cfRule>
    <cfRule type="cellIs" dxfId="2017" priority="518" stopIfTrue="1" operator="between">
      <formula>3000</formula>
      <formula>9000</formula>
    </cfRule>
    <cfRule type="cellIs" dxfId="2016" priority="519" stopIfTrue="1" operator="greaterThanOrEqual">
      <formula>9000</formula>
    </cfRule>
  </conditionalFormatting>
  <conditionalFormatting sqref="AF20">
    <cfRule type="cellIs" dxfId="2015" priority="484" stopIfTrue="1" operator="lessThanOrEqual">
      <formula>3000</formula>
    </cfRule>
    <cfRule type="cellIs" dxfId="2014" priority="485" stopIfTrue="1" operator="between">
      <formula>3000</formula>
      <formula>9000</formula>
    </cfRule>
    <cfRule type="cellIs" dxfId="2013" priority="486" stopIfTrue="1" operator="greaterThanOrEqual">
      <formula>9000</formula>
    </cfRule>
  </conditionalFormatting>
  <conditionalFormatting sqref="AA20:AD20">
    <cfRule type="cellIs" dxfId="2012" priority="487" stopIfTrue="1" operator="lessThanOrEqual">
      <formula>3000</formula>
    </cfRule>
    <cfRule type="cellIs" dxfId="2011" priority="488" stopIfTrue="1" operator="between">
      <formula>3000</formula>
      <formula>9000</formula>
    </cfRule>
    <cfRule type="cellIs" dxfId="2010" priority="489" stopIfTrue="1" operator="greaterThanOrEqual">
      <formula>9000</formula>
    </cfRule>
  </conditionalFormatting>
  <conditionalFormatting sqref="AF14">
    <cfRule type="cellIs" dxfId="2009" priority="496" stopIfTrue="1" operator="lessThanOrEqual">
      <formula>3000</formula>
    </cfRule>
    <cfRule type="cellIs" dxfId="2008" priority="497" stopIfTrue="1" operator="between">
      <formula>3000</formula>
      <formula>9000</formula>
    </cfRule>
    <cfRule type="cellIs" dxfId="2007" priority="498" stopIfTrue="1" operator="greaterThanOrEqual">
      <formula>9000</formula>
    </cfRule>
  </conditionalFormatting>
  <conditionalFormatting sqref="AG8:AJ8">
    <cfRule type="cellIs" dxfId="2006" priority="505" stopIfTrue="1" operator="lessThanOrEqual">
      <formula>3000</formula>
    </cfRule>
    <cfRule type="cellIs" dxfId="2005" priority="506" stopIfTrue="1" operator="between">
      <formula>3000</formula>
      <formula>9000</formula>
    </cfRule>
    <cfRule type="cellIs" dxfId="2004" priority="507" stopIfTrue="1" operator="greaterThanOrEqual">
      <formula>9000</formula>
    </cfRule>
  </conditionalFormatting>
  <conditionalFormatting sqref="V8:Y8">
    <cfRule type="cellIs" dxfId="2003" priority="514" stopIfTrue="1" operator="lessThanOrEqual">
      <formula>3000</formula>
    </cfRule>
    <cfRule type="cellIs" dxfId="2002" priority="515" stopIfTrue="1" operator="between">
      <formula>3000</formula>
      <formula>9000</formula>
    </cfRule>
    <cfRule type="cellIs" dxfId="2001" priority="516" stopIfTrue="1" operator="greaterThanOrEqual">
      <formula>9000</formula>
    </cfRule>
  </conditionalFormatting>
  <conditionalFormatting sqref="AG74:AJ74">
    <cfRule type="cellIs" dxfId="2000" priority="373" stopIfTrue="1" operator="lessThanOrEqual">
      <formula>3000</formula>
    </cfRule>
    <cfRule type="cellIs" dxfId="1999" priority="374" stopIfTrue="1" operator="between">
      <formula>3000</formula>
      <formula>9000</formula>
    </cfRule>
    <cfRule type="cellIs" dxfId="1998" priority="375" stopIfTrue="1" operator="greaterThanOrEqual">
      <formula>9000</formula>
    </cfRule>
  </conditionalFormatting>
  <conditionalFormatting sqref="AF74">
    <cfRule type="cellIs" dxfId="1997" priority="376" stopIfTrue="1" operator="lessThanOrEqual">
      <formula>3000</formula>
    </cfRule>
    <cfRule type="cellIs" dxfId="1996" priority="377" stopIfTrue="1" operator="between">
      <formula>3000</formula>
      <formula>9000</formula>
    </cfRule>
    <cfRule type="cellIs" dxfId="1995" priority="378" stopIfTrue="1" operator="greaterThanOrEqual">
      <formula>9000</formula>
    </cfRule>
  </conditionalFormatting>
  <conditionalFormatting sqref="AG68:AJ68">
    <cfRule type="cellIs" dxfId="1994" priority="385" stopIfTrue="1" operator="lessThanOrEqual">
      <formula>3000</formula>
    </cfRule>
    <cfRule type="cellIs" dxfId="1993" priority="386" stopIfTrue="1" operator="between">
      <formula>3000</formula>
      <formula>9000</formula>
    </cfRule>
    <cfRule type="cellIs" dxfId="1992" priority="387" stopIfTrue="1" operator="greaterThanOrEqual">
      <formula>9000</formula>
    </cfRule>
  </conditionalFormatting>
  <conditionalFormatting sqref="V68:Y68">
    <cfRule type="cellIs" dxfId="1991" priority="394" stopIfTrue="1" operator="lessThanOrEqual">
      <formula>3000</formula>
    </cfRule>
    <cfRule type="cellIs" dxfId="1990" priority="395" stopIfTrue="1" operator="between">
      <formula>3000</formula>
      <formula>9000</formula>
    </cfRule>
    <cfRule type="cellIs" dxfId="1989" priority="396" stopIfTrue="1" operator="greaterThanOrEqual">
      <formula>9000</formula>
    </cfRule>
  </conditionalFormatting>
  <conditionalFormatting sqref="AA62:AD62">
    <cfRule type="cellIs" dxfId="1988" priority="403" stopIfTrue="1" operator="lessThanOrEqual">
      <formula>3000</formula>
    </cfRule>
    <cfRule type="cellIs" dxfId="1987" priority="404" stopIfTrue="1" operator="between">
      <formula>3000</formula>
      <formula>9000</formula>
    </cfRule>
    <cfRule type="cellIs" dxfId="1986" priority="405" stopIfTrue="1" operator="greaterThanOrEqual">
      <formula>9000</formula>
    </cfRule>
  </conditionalFormatting>
  <conditionalFormatting sqref="AF56">
    <cfRule type="cellIs" dxfId="1985" priority="412" stopIfTrue="1" operator="lessThanOrEqual">
      <formula>3000</formula>
    </cfRule>
    <cfRule type="cellIs" dxfId="1984" priority="413" stopIfTrue="1" operator="between">
      <formula>3000</formula>
      <formula>9000</formula>
    </cfRule>
    <cfRule type="cellIs" dxfId="1983" priority="414" stopIfTrue="1" operator="greaterThanOrEqual">
      <formula>9000</formula>
    </cfRule>
  </conditionalFormatting>
  <conditionalFormatting sqref="AG50:AJ50">
    <cfRule type="cellIs" dxfId="1982" priority="421" stopIfTrue="1" operator="lessThanOrEqual">
      <formula>3000</formula>
    </cfRule>
    <cfRule type="cellIs" dxfId="1981" priority="422" stopIfTrue="1" operator="between">
      <formula>3000</formula>
      <formula>9000</formula>
    </cfRule>
    <cfRule type="cellIs" dxfId="1980" priority="423" stopIfTrue="1" operator="greaterThanOrEqual">
      <formula>9000</formula>
    </cfRule>
  </conditionalFormatting>
  <conditionalFormatting sqref="V50:Y50">
    <cfRule type="cellIs" dxfId="1979" priority="430" stopIfTrue="1" operator="lessThanOrEqual">
      <formula>3000</formula>
    </cfRule>
    <cfRule type="cellIs" dxfId="1978" priority="431" stopIfTrue="1" operator="between">
      <formula>3000</formula>
      <formula>9000</formula>
    </cfRule>
    <cfRule type="cellIs" dxfId="1977" priority="432" stopIfTrue="1" operator="greaterThanOrEqual">
      <formula>9000</formula>
    </cfRule>
  </conditionalFormatting>
  <conditionalFormatting sqref="AA44:AD44">
    <cfRule type="cellIs" dxfId="1976" priority="439" stopIfTrue="1" operator="lessThanOrEqual">
      <formula>3000</formula>
    </cfRule>
    <cfRule type="cellIs" dxfId="1975" priority="440" stopIfTrue="1" operator="between">
      <formula>3000</formula>
      <formula>9000</formula>
    </cfRule>
    <cfRule type="cellIs" dxfId="1974" priority="441" stopIfTrue="1" operator="greaterThanOrEqual">
      <formula>9000</formula>
    </cfRule>
  </conditionalFormatting>
  <conditionalFormatting sqref="AG38:AJ38">
    <cfRule type="cellIs" dxfId="1973" priority="445" stopIfTrue="1" operator="lessThanOrEqual">
      <formula>3000</formula>
    </cfRule>
    <cfRule type="cellIs" dxfId="1972" priority="446" stopIfTrue="1" operator="between">
      <formula>3000</formula>
      <formula>9000</formula>
    </cfRule>
    <cfRule type="cellIs" dxfId="1971" priority="447" stopIfTrue="1" operator="greaterThanOrEqual">
      <formula>9000</formula>
    </cfRule>
  </conditionalFormatting>
  <conditionalFormatting sqref="V38:Y38">
    <cfRule type="cellIs" dxfId="1970" priority="454" stopIfTrue="1" operator="lessThanOrEqual">
      <formula>3000</formula>
    </cfRule>
    <cfRule type="cellIs" dxfId="1969" priority="455" stopIfTrue="1" operator="between">
      <formula>3000</formula>
      <formula>9000</formula>
    </cfRule>
    <cfRule type="cellIs" dxfId="1968" priority="456" stopIfTrue="1" operator="greaterThanOrEqual">
      <formula>9000</formula>
    </cfRule>
  </conditionalFormatting>
  <conditionalFormatting sqref="AA32:AD32">
    <cfRule type="cellIs" dxfId="1967" priority="463" stopIfTrue="1" operator="lessThanOrEqual">
      <formula>3000</formula>
    </cfRule>
    <cfRule type="cellIs" dxfId="1966" priority="464" stopIfTrue="1" operator="between">
      <formula>3000</formula>
      <formula>9000</formula>
    </cfRule>
    <cfRule type="cellIs" dxfId="1965" priority="465" stopIfTrue="1" operator="greaterThanOrEqual">
      <formula>9000</formula>
    </cfRule>
  </conditionalFormatting>
  <conditionalFormatting sqref="AF26">
    <cfRule type="cellIs" dxfId="1964" priority="472" stopIfTrue="1" operator="lessThanOrEqual">
      <formula>3000</formula>
    </cfRule>
    <cfRule type="cellIs" dxfId="1963" priority="473" stopIfTrue="1" operator="between">
      <formula>3000</formula>
      <formula>9000</formula>
    </cfRule>
    <cfRule type="cellIs" dxfId="1962" priority="474" stopIfTrue="1" operator="greaterThanOrEqual">
      <formula>9000</formula>
    </cfRule>
  </conditionalFormatting>
  <conditionalFormatting sqref="AG20:AJ20">
    <cfRule type="cellIs" dxfId="1961" priority="481" stopIfTrue="1" operator="lessThanOrEqual">
      <formula>3000</formula>
    </cfRule>
    <cfRule type="cellIs" dxfId="1960" priority="482" stopIfTrue="1" operator="between">
      <formula>3000</formula>
      <formula>9000</formula>
    </cfRule>
    <cfRule type="cellIs" dxfId="1959" priority="483" stopIfTrue="1" operator="greaterThanOrEqual">
      <formula>9000</formula>
    </cfRule>
  </conditionalFormatting>
  <conditionalFormatting sqref="V20:Y20">
    <cfRule type="cellIs" dxfId="1958" priority="490" stopIfTrue="1" operator="lessThanOrEqual">
      <formula>3000</formula>
    </cfRule>
    <cfRule type="cellIs" dxfId="1957" priority="491" stopIfTrue="1" operator="between">
      <formula>3000</formula>
      <formula>9000</formula>
    </cfRule>
    <cfRule type="cellIs" dxfId="1956" priority="492" stopIfTrue="1" operator="greaterThanOrEqual">
      <formula>9000</formula>
    </cfRule>
  </conditionalFormatting>
  <conditionalFormatting sqref="AA14:AD14">
    <cfRule type="cellIs" dxfId="1955" priority="499" stopIfTrue="1" operator="lessThanOrEqual">
      <formula>3000</formula>
    </cfRule>
    <cfRule type="cellIs" dxfId="1954" priority="500" stopIfTrue="1" operator="between">
      <formula>3000</formula>
      <formula>9000</formula>
    </cfRule>
    <cfRule type="cellIs" dxfId="1953" priority="501" stopIfTrue="1" operator="greaterThanOrEqual">
      <formula>9000</formula>
    </cfRule>
  </conditionalFormatting>
  <conditionalFormatting sqref="AF8">
    <cfRule type="cellIs" dxfId="1952" priority="508" stopIfTrue="1" operator="lessThanOrEqual">
      <formula>3000</formula>
    </cfRule>
    <cfRule type="cellIs" dxfId="1951" priority="509" stopIfTrue="1" operator="between">
      <formula>3000</formula>
      <formula>9000</formula>
    </cfRule>
    <cfRule type="cellIs" dxfId="1950" priority="510" stopIfTrue="1" operator="greaterThanOrEqual">
      <formula>9000</formula>
    </cfRule>
  </conditionalFormatting>
  <conditionalFormatting sqref="AA128:AD128">
    <cfRule type="cellIs" dxfId="1949" priority="271" stopIfTrue="1" operator="lessThanOrEqual">
      <formula>3000</formula>
    </cfRule>
    <cfRule type="cellIs" dxfId="1948" priority="272" stopIfTrue="1" operator="between">
      <formula>3000</formula>
      <formula>9000</formula>
    </cfRule>
    <cfRule type="cellIs" dxfId="1947" priority="273" stopIfTrue="1" operator="greaterThanOrEqual">
      <formula>9000</formula>
    </cfRule>
  </conditionalFormatting>
  <conditionalFormatting sqref="V128:Y128">
    <cfRule type="cellIs" dxfId="1946" priority="274" stopIfTrue="1" operator="lessThanOrEqual">
      <formula>3000</formula>
    </cfRule>
    <cfRule type="cellIs" dxfId="1945" priority="275" stopIfTrue="1" operator="between">
      <formula>3000</formula>
      <formula>9000</formula>
    </cfRule>
    <cfRule type="cellIs" dxfId="1944" priority="276" stopIfTrue="1" operator="greaterThanOrEqual">
      <formula>9000</formula>
    </cfRule>
  </conditionalFormatting>
  <conditionalFormatting sqref="AA122:AD122">
    <cfRule type="cellIs" dxfId="1943" priority="283" stopIfTrue="1" operator="lessThanOrEqual">
      <formula>3000</formula>
    </cfRule>
    <cfRule type="cellIs" dxfId="1942" priority="284" stopIfTrue="1" operator="between">
      <formula>3000</formula>
      <formula>9000</formula>
    </cfRule>
    <cfRule type="cellIs" dxfId="1941" priority="285" stopIfTrue="1" operator="greaterThanOrEqual">
      <formula>9000</formula>
    </cfRule>
  </conditionalFormatting>
  <conditionalFormatting sqref="AA116:AD116">
    <cfRule type="cellIs" dxfId="1940" priority="295" stopIfTrue="1" operator="lessThanOrEqual">
      <formula>3000</formula>
    </cfRule>
    <cfRule type="cellIs" dxfId="1939" priority="296" stopIfTrue="1" operator="between">
      <formula>3000</formula>
      <formula>9000</formula>
    </cfRule>
    <cfRule type="cellIs" dxfId="1938" priority="297" stopIfTrue="1" operator="greaterThanOrEqual">
      <formula>9000</formula>
    </cfRule>
  </conditionalFormatting>
  <conditionalFormatting sqref="AF110">
    <cfRule type="cellIs" dxfId="1937" priority="304" stopIfTrue="1" operator="lessThanOrEqual">
      <formula>3000</formula>
    </cfRule>
    <cfRule type="cellIs" dxfId="1936" priority="305" stopIfTrue="1" operator="between">
      <formula>3000</formula>
      <formula>9000</formula>
    </cfRule>
    <cfRule type="cellIs" dxfId="1935" priority="306" stopIfTrue="1" operator="greaterThanOrEqual">
      <formula>9000</formula>
    </cfRule>
  </conditionalFormatting>
  <conditionalFormatting sqref="AG104:AJ104">
    <cfRule type="cellIs" dxfId="1934" priority="313" stopIfTrue="1" operator="lessThanOrEqual">
      <formula>3000</formula>
    </cfRule>
    <cfRule type="cellIs" dxfId="1933" priority="314" stopIfTrue="1" operator="between">
      <formula>3000</formula>
      <formula>9000</formula>
    </cfRule>
    <cfRule type="cellIs" dxfId="1932" priority="315" stopIfTrue="1" operator="greaterThanOrEqual">
      <formula>9000</formula>
    </cfRule>
  </conditionalFormatting>
  <conditionalFormatting sqref="V104:Y104">
    <cfRule type="cellIs" dxfId="1931" priority="322" stopIfTrue="1" operator="lessThanOrEqual">
      <formula>3000</formula>
    </cfRule>
    <cfRule type="cellIs" dxfId="1930" priority="323" stopIfTrue="1" operator="between">
      <formula>3000</formula>
      <formula>9000</formula>
    </cfRule>
    <cfRule type="cellIs" dxfId="1929" priority="324" stopIfTrue="1" operator="greaterThanOrEqual">
      <formula>9000</formula>
    </cfRule>
  </conditionalFormatting>
  <conditionalFormatting sqref="AA98:AD98">
    <cfRule type="cellIs" dxfId="1928" priority="331" stopIfTrue="1" operator="lessThanOrEqual">
      <formula>3000</formula>
    </cfRule>
    <cfRule type="cellIs" dxfId="1927" priority="332" stopIfTrue="1" operator="between">
      <formula>3000</formula>
      <formula>9000</formula>
    </cfRule>
    <cfRule type="cellIs" dxfId="1926" priority="333" stopIfTrue="1" operator="greaterThanOrEqual">
      <formula>9000</formula>
    </cfRule>
  </conditionalFormatting>
  <conditionalFormatting sqref="AF92">
    <cfRule type="cellIs" dxfId="1925" priority="340" stopIfTrue="1" operator="lessThanOrEqual">
      <formula>3000</formula>
    </cfRule>
    <cfRule type="cellIs" dxfId="1924" priority="341" stopIfTrue="1" operator="between">
      <formula>3000</formula>
      <formula>9000</formula>
    </cfRule>
    <cfRule type="cellIs" dxfId="1923" priority="342" stopIfTrue="1" operator="greaterThanOrEqual">
      <formula>9000</formula>
    </cfRule>
  </conditionalFormatting>
  <conditionalFormatting sqref="AG86:AJ86">
    <cfRule type="cellIs" dxfId="1922" priority="349" stopIfTrue="1" operator="lessThanOrEqual">
      <formula>3000</formula>
    </cfRule>
    <cfRule type="cellIs" dxfId="1921" priority="350" stopIfTrue="1" operator="between">
      <formula>3000</formula>
      <formula>9000</formula>
    </cfRule>
    <cfRule type="cellIs" dxfId="1920" priority="351" stopIfTrue="1" operator="greaterThanOrEqual">
      <formula>9000</formula>
    </cfRule>
  </conditionalFormatting>
  <conditionalFormatting sqref="V86:Y86">
    <cfRule type="cellIs" dxfId="1919" priority="358" stopIfTrue="1" operator="lessThanOrEqual">
      <formula>3000</formula>
    </cfRule>
    <cfRule type="cellIs" dxfId="1918" priority="359" stopIfTrue="1" operator="between">
      <formula>3000</formula>
      <formula>9000</formula>
    </cfRule>
    <cfRule type="cellIs" dxfId="1917" priority="360" stopIfTrue="1" operator="greaterThanOrEqual">
      <formula>9000</formula>
    </cfRule>
  </conditionalFormatting>
  <conditionalFormatting sqref="AA80:AD80">
    <cfRule type="cellIs" dxfId="1916" priority="367" stopIfTrue="1" operator="lessThanOrEqual">
      <formula>3000</formula>
    </cfRule>
    <cfRule type="cellIs" dxfId="1915" priority="368" stopIfTrue="1" operator="between">
      <formula>3000</formula>
      <formula>9000</formula>
    </cfRule>
    <cfRule type="cellIs" dxfId="1914" priority="369" stopIfTrue="1" operator="greaterThanOrEqual">
      <formula>9000</formula>
    </cfRule>
  </conditionalFormatting>
  <conditionalFormatting sqref="AF80">
    <cfRule type="cellIs" dxfId="1913" priority="364" stopIfTrue="1" operator="lessThanOrEqual">
      <formula>3000</formula>
    </cfRule>
    <cfRule type="cellIs" dxfId="1912" priority="365" stopIfTrue="1" operator="between">
      <formula>3000</formula>
      <formula>9000</formula>
    </cfRule>
    <cfRule type="cellIs" dxfId="1911" priority="366" stopIfTrue="1" operator="greaterThanOrEqual">
      <formula>9000</formula>
    </cfRule>
  </conditionalFormatting>
  <conditionalFormatting sqref="AG80:AJ80">
    <cfRule type="cellIs" dxfId="1910" priority="361" stopIfTrue="1" operator="lessThanOrEqual">
      <formula>3000</formula>
    </cfRule>
    <cfRule type="cellIs" dxfId="1909" priority="362" stopIfTrue="1" operator="between">
      <formula>3000</formula>
      <formula>9000</formula>
    </cfRule>
    <cfRule type="cellIs" dxfId="1908" priority="363" stopIfTrue="1" operator="greaterThanOrEqual">
      <formula>9000</formula>
    </cfRule>
  </conditionalFormatting>
  <conditionalFormatting sqref="V74:Y74">
    <cfRule type="cellIs" dxfId="1907" priority="382" stopIfTrue="1" operator="lessThanOrEqual">
      <formula>3000</formula>
    </cfRule>
    <cfRule type="cellIs" dxfId="1906" priority="383" stopIfTrue="1" operator="between">
      <formula>3000</formula>
      <formula>9000</formula>
    </cfRule>
    <cfRule type="cellIs" dxfId="1905" priority="384" stopIfTrue="1" operator="greaterThanOrEqual">
      <formula>9000</formula>
    </cfRule>
  </conditionalFormatting>
  <conditionalFormatting sqref="AA68:AD68">
    <cfRule type="cellIs" dxfId="1904" priority="391" stopIfTrue="1" operator="lessThanOrEqual">
      <formula>3000</formula>
    </cfRule>
    <cfRule type="cellIs" dxfId="1903" priority="392" stopIfTrue="1" operator="between">
      <formula>3000</formula>
      <formula>9000</formula>
    </cfRule>
    <cfRule type="cellIs" dxfId="1902" priority="393" stopIfTrue="1" operator="greaterThanOrEqual">
      <formula>9000</formula>
    </cfRule>
  </conditionalFormatting>
  <conditionalFormatting sqref="AF50">
    <cfRule type="cellIs" dxfId="1901" priority="424" stopIfTrue="1" operator="lessThanOrEqual">
      <formula>3000</formula>
    </cfRule>
    <cfRule type="cellIs" dxfId="1900" priority="425" stopIfTrue="1" operator="between">
      <formula>3000</formula>
      <formula>9000</formula>
    </cfRule>
    <cfRule type="cellIs" dxfId="1899" priority="426" stopIfTrue="1" operator="greaterThanOrEqual">
      <formula>9000</formula>
    </cfRule>
  </conditionalFormatting>
  <conditionalFormatting sqref="AG44:AJ44">
    <cfRule type="cellIs" dxfId="1898" priority="433" stopIfTrue="1" operator="lessThanOrEqual">
      <formula>3000</formula>
    </cfRule>
    <cfRule type="cellIs" dxfId="1897" priority="434" stopIfTrue="1" operator="between">
      <formula>3000</formula>
      <formula>9000</formula>
    </cfRule>
    <cfRule type="cellIs" dxfId="1896" priority="435" stopIfTrue="1" operator="greaterThanOrEqual">
      <formula>9000</formula>
    </cfRule>
  </conditionalFormatting>
  <conditionalFormatting sqref="V44:Y44">
    <cfRule type="cellIs" dxfId="1895" priority="442" stopIfTrue="1" operator="lessThanOrEqual">
      <formula>3000</formula>
    </cfRule>
    <cfRule type="cellIs" dxfId="1894" priority="443" stopIfTrue="1" operator="between">
      <formula>3000</formula>
      <formula>9000</formula>
    </cfRule>
    <cfRule type="cellIs" dxfId="1893" priority="444" stopIfTrue="1" operator="greaterThanOrEqual">
      <formula>9000</formula>
    </cfRule>
  </conditionalFormatting>
  <conditionalFormatting sqref="AA38:AD38">
    <cfRule type="cellIs" dxfId="1892" priority="451" stopIfTrue="1" operator="lessThanOrEqual">
      <formula>3000</formula>
    </cfRule>
    <cfRule type="cellIs" dxfId="1891" priority="452" stopIfTrue="1" operator="between">
      <formula>3000</formula>
      <formula>9000</formula>
    </cfRule>
    <cfRule type="cellIs" dxfId="1890" priority="453" stopIfTrue="1" operator="greaterThanOrEqual">
      <formula>9000</formula>
    </cfRule>
  </conditionalFormatting>
  <conditionalFormatting sqref="AF32">
    <cfRule type="cellIs" dxfId="1889" priority="460" stopIfTrue="1" operator="lessThanOrEqual">
      <formula>3000</formula>
    </cfRule>
    <cfRule type="cellIs" dxfId="1888" priority="461" stopIfTrue="1" operator="between">
      <formula>3000</formula>
      <formula>9000</formula>
    </cfRule>
    <cfRule type="cellIs" dxfId="1887" priority="462" stopIfTrue="1" operator="greaterThanOrEqual">
      <formula>9000</formula>
    </cfRule>
  </conditionalFormatting>
  <conditionalFormatting sqref="V80:Y80">
    <cfRule type="cellIs" dxfId="1886" priority="370" stopIfTrue="1" operator="lessThanOrEqual">
      <formula>3000</formula>
    </cfRule>
    <cfRule type="cellIs" dxfId="1885" priority="371" stopIfTrue="1" operator="between">
      <formula>3000</formula>
      <formula>9000</formula>
    </cfRule>
    <cfRule type="cellIs" dxfId="1884" priority="372" stopIfTrue="1" operator="greaterThanOrEqual">
      <formula>9000</formula>
    </cfRule>
  </conditionalFormatting>
  <conditionalFormatting sqref="AA50:AD50">
    <cfRule type="cellIs" dxfId="1883" priority="427" stopIfTrue="1" operator="lessThanOrEqual">
      <formula>3000</formula>
    </cfRule>
    <cfRule type="cellIs" dxfId="1882" priority="428" stopIfTrue="1" operator="between">
      <formula>3000</formula>
      <formula>9000</formula>
    </cfRule>
    <cfRule type="cellIs" dxfId="1881" priority="429" stopIfTrue="1" operator="greaterThanOrEqual">
      <formula>9000</formula>
    </cfRule>
  </conditionalFormatting>
  <conditionalFormatting sqref="AF38">
    <cfRule type="cellIs" dxfId="1880" priority="448" stopIfTrue="1" operator="lessThanOrEqual">
      <formula>3000</formula>
    </cfRule>
    <cfRule type="cellIs" dxfId="1879" priority="449" stopIfTrue="1" operator="between">
      <formula>3000</formula>
      <formula>9000</formula>
    </cfRule>
    <cfRule type="cellIs" dxfId="1878" priority="450" stopIfTrue="1" operator="greaterThanOrEqual">
      <formula>9000</formula>
    </cfRule>
  </conditionalFormatting>
  <conditionalFormatting sqref="AG32:AJ32">
    <cfRule type="cellIs" dxfId="1877" priority="457" stopIfTrue="1" operator="lessThanOrEqual">
      <formula>3000</formula>
    </cfRule>
    <cfRule type="cellIs" dxfId="1876" priority="458" stopIfTrue="1" operator="between">
      <formula>3000</formula>
      <formula>9000</formula>
    </cfRule>
    <cfRule type="cellIs" dxfId="1875" priority="459" stopIfTrue="1" operator="greaterThanOrEqual">
      <formula>9000</formula>
    </cfRule>
  </conditionalFormatting>
  <conditionalFormatting sqref="V32:Y32">
    <cfRule type="cellIs" dxfId="1874" priority="466" stopIfTrue="1" operator="lessThanOrEqual">
      <formula>3000</formula>
    </cfRule>
    <cfRule type="cellIs" dxfId="1873" priority="467" stopIfTrue="1" operator="between">
      <formula>3000</formula>
      <formula>9000</formula>
    </cfRule>
    <cfRule type="cellIs" dxfId="1872" priority="468" stopIfTrue="1" operator="greaterThanOrEqual">
      <formula>9000</formula>
    </cfRule>
  </conditionalFormatting>
  <conditionalFormatting sqref="AA26:AD26">
    <cfRule type="cellIs" dxfId="1871" priority="475" stopIfTrue="1" operator="lessThanOrEqual">
      <formula>3000</formula>
    </cfRule>
    <cfRule type="cellIs" dxfId="1870" priority="476" stopIfTrue="1" operator="between">
      <formula>3000</formula>
      <formula>9000</formula>
    </cfRule>
    <cfRule type="cellIs" dxfId="1869" priority="477" stopIfTrue="1" operator="greaterThanOrEqual">
      <formula>9000</formula>
    </cfRule>
  </conditionalFormatting>
  <conditionalFormatting sqref="AG14:AJ14">
    <cfRule type="cellIs" dxfId="1868" priority="493" stopIfTrue="1" operator="lessThanOrEqual">
      <formula>3000</formula>
    </cfRule>
    <cfRule type="cellIs" dxfId="1867" priority="494" stopIfTrue="1" operator="between">
      <formula>3000</formula>
      <formula>9000</formula>
    </cfRule>
    <cfRule type="cellIs" dxfId="1866" priority="495" stopIfTrue="1" operator="greaterThanOrEqual">
      <formula>9000</formula>
    </cfRule>
  </conditionalFormatting>
  <conditionalFormatting sqref="V14:Y14">
    <cfRule type="cellIs" dxfId="1865" priority="502" stopIfTrue="1" operator="lessThanOrEqual">
      <formula>3000</formula>
    </cfRule>
    <cfRule type="cellIs" dxfId="1864" priority="503" stopIfTrue="1" operator="between">
      <formula>3000</formula>
      <formula>9000</formula>
    </cfRule>
    <cfRule type="cellIs" dxfId="1863" priority="504" stopIfTrue="1" operator="greaterThanOrEqual">
      <formula>9000</formula>
    </cfRule>
  </conditionalFormatting>
  <conditionalFormatting sqref="AA8:AD8">
    <cfRule type="cellIs" dxfId="1862" priority="511" stopIfTrue="1" operator="lessThanOrEqual">
      <formula>3000</formula>
    </cfRule>
    <cfRule type="cellIs" dxfId="1861" priority="512" stopIfTrue="1" operator="between">
      <formula>3000</formula>
      <formula>9000</formula>
    </cfRule>
    <cfRule type="cellIs" dxfId="1860" priority="513" stopIfTrue="1" operator="greaterThanOrEqual">
      <formula>9000</formula>
    </cfRule>
  </conditionalFormatting>
  <conditionalFormatting sqref="V212:Y212">
    <cfRule type="cellIs" dxfId="1859" priority="106" stopIfTrue="1" operator="lessThanOrEqual">
      <formula>3000</formula>
    </cfRule>
    <cfRule type="cellIs" dxfId="1858" priority="107" stopIfTrue="1" operator="between">
      <formula>3000</formula>
      <formula>9000</formula>
    </cfRule>
    <cfRule type="cellIs" dxfId="1857" priority="108" stopIfTrue="1" operator="greaterThanOrEqual">
      <formula>9000</formula>
    </cfRule>
  </conditionalFormatting>
  <conditionalFormatting sqref="AA212:AD212">
    <cfRule type="cellIs" dxfId="1856" priority="103" stopIfTrue="1" operator="lessThanOrEqual">
      <formula>3000</formula>
    </cfRule>
    <cfRule type="cellIs" dxfId="1855" priority="104" stopIfTrue="1" operator="between">
      <formula>3000</formula>
      <formula>9000</formula>
    </cfRule>
    <cfRule type="cellIs" dxfId="1854" priority="105" stopIfTrue="1" operator="greaterThanOrEqual">
      <formula>9000</formula>
    </cfRule>
  </conditionalFormatting>
  <conditionalFormatting sqref="AF212">
    <cfRule type="cellIs" dxfId="1853" priority="100" stopIfTrue="1" operator="lessThanOrEqual">
      <formula>3000</formula>
    </cfRule>
    <cfRule type="cellIs" dxfId="1852" priority="101" stopIfTrue="1" operator="between">
      <formula>3000</formula>
      <formula>9000</formula>
    </cfRule>
    <cfRule type="cellIs" dxfId="1851" priority="102" stopIfTrue="1" operator="greaterThanOrEqual">
      <formula>9000</formula>
    </cfRule>
  </conditionalFormatting>
  <conditionalFormatting sqref="AG212:AJ212">
    <cfRule type="cellIs" dxfId="1850" priority="97" stopIfTrue="1" operator="lessThanOrEqual">
      <formula>3000</formula>
    </cfRule>
    <cfRule type="cellIs" dxfId="1849" priority="98" stopIfTrue="1" operator="between">
      <formula>3000</formula>
      <formula>9000</formula>
    </cfRule>
    <cfRule type="cellIs" dxfId="1848" priority="99" stopIfTrue="1" operator="greaterThanOrEqual">
      <formula>9000</formula>
    </cfRule>
  </conditionalFormatting>
  <conditionalFormatting sqref="V26:Y26">
    <cfRule type="cellIs" dxfId="1847" priority="478" stopIfTrue="1" operator="lessThanOrEqual">
      <formula>3000</formula>
    </cfRule>
    <cfRule type="cellIs" dxfId="1846" priority="479" stopIfTrue="1" operator="between">
      <formula>3000</formula>
      <formula>9000</formula>
    </cfRule>
    <cfRule type="cellIs" dxfId="1845" priority="480" stopIfTrue="1" operator="greaterThanOrEqual">
      <formula>9000</formula>
    </cfRule>
  </conditionalFormatting>
  <conditionalFormatting sqref="AG26:AJ26">
    <cfRule type="cellIs" dxfId="1844" priority="469" stopIfTrue="1" operator="lessThanOrEqual">
      <formula>3000</formula>
    </cfRule>
    <cfRule type="cellIs" dxfId="1843" priority="470" stopIfTrue="1" operator="between">
      <formula>3000</formula>
      <formula>9000</formula>
    </cfRule>
    <cfRule type="cellIs" dxfId="1842" priority="471" stopIfTrue="1" operator="greaterThanOrEqual">
      <formula>9000</formula>
    </cfRule>
  </conditionalFormatting>
  <conditionalFormatting sqref="AF44">
    <cfRule type="cellIs" dxfId="1841" priority="436" stopIfTrue="1" operator="lessThanOrEqual">
      <formula>3000</formula>
    </cfRule>
    <cfRule type="cellIs" dxfId="1840" priority="437" stopIfTrue="1" operator="between">
      <formula>3000</formula>
      <formula>9000</formula>
    </cfRule>
    <cfRule type="cellIs" dxfId="1839" priority="438" stopIfTrue="1" operator="greaterThanOrEqual">
      <formula>9000</formula>
    </cfRule>
  </conditionalFormatting>
  <conditionalFormatting sqref="V56:Y56">
    <cfRule type="cellIs" dxfId="1838" priority="418" stopIfTrue="1" operator="lessThanOrEqual">
      <formula>3000</formula>
    </cfRule>
    <cfRule type="cellIs" dxfId="1837" priority="419" stopIfTrue="1" operator="between">
      <formula>3000</formula>
      <formula>9000</formula>
    </cfRule>
    <cfRule type="cellIs" dxfId="1836" priority="420" stopIfTrue="1" operator="greaterThanOrEqual">
      <formula>9000</formula>
    </cfRule>
  </conditionalFormatting>
  <conditionalFormatting sqref="AA56:AD56">
    <cfRule type="cellIs" dxfId="1835" priority="415" stopIfTrue="1" operator="lessThanOrEqual">
      <formula>3000</formula>
    </cfRule>
    <cfRule type="cellIs" dxfId="1834" priority="416" stopIfTrue="1" operator="between">
      <formula>3000</formula>
      <formula>9000</formula>
    </cfRule>
    <cfRule type="cellIs" dxfId="1833" priority="417" stopIfTrue="1" operator="greaterThanOrEqual">
      <formula>9000</formula>
    </cfRule>
  </conditionalFormatting>
  <conditionalFormatting sqref="AG56:AJ56">
    <cfRule type="cellIs" dxfId="1832" priority="409" stopIfTrue="1" operator="lessThanOrEqual">
      <formula>3000</formula>
    </cfRule>
    <cfRule type="cellIs" dxfId="1831" priority="410" stopIfTrue="1" operator="between">
      <formula>3000</formula>
      <formula>9000</formula>
    </cfRule>
    <cfRule type="cellIs" dxfId="1830" priority="411" stopIfTrue="1" operator="greaterThanOrEqual">
      <formula>9000</formula>
    </cfRule>
  </conditionalFormatting>
  <conditionalFormatting sqref="AF62">
    <cfRule type="cellIs" dxfId="1829" priority="400" stopIfTrue="1" operator="lessThanOrEqual">
      <formula>3000</formula>
    </cfRule>
    <cfRule type="cellIs" dxfId="1828" priority="401" stopIfTrue="1" operator="between">
      <formula>3000</formula>
      <formula>9000</formula>
    </cfRule>
    <cfRule type="cellIs" dxfId="1827" priority="402" stopIfTrue="1" operator="greaterThanOrEqual">
      <formula>9000</formula>
    </cfRule>
  </conditionalFormatting>
  <conditionalFormatting sqref="V62:Y62">
    <cfRule type="cellIs" dxfId="1826" priority="406" stopIfTrue="1" operator="lessThanOrEqual">
      <formula>3000</formula>
    </cfRule>
    <cfRule type="cellIs" dxfId="1825" priority="407" stopIfTrue="1" operator="between">
      <formula>3000</formula>
      <formula>9000</formula>
    </cfRule>
    <cfRule type="cellIs" dxfId="1824" priority="408" stopIfTrue="1" operator="greaterThanOrEqual">
      <formula>9000</formula>
    </cfRule>
  </conditionalFormatting>
  <conditionalFormatting sqref="AG62:AJ62">
    <cfRule type="cellIs" dxfId="1823" priority="397" stopIfTrue="1" operator="lessThanOrEqual">
      <formula>3000</formula>
    </cfRule>
    <cfRule type="cellIs" dxfId="1822" priority="398" stopIfTrue="1" operator="between">
      <formula>3000</formula>
      <formula>9000</formula>
    </cfRule>
    <cfRule type="cellIs" dxfId="1821" priority="399" stopIfTrue="1" operator="greaterThanOrEqual">
      <formula>9000</formula>
    </cfRule>
  </conditionalFormatting>
  <conditionalFormatting sqref="AA74:AD74">
    <cfRule type="cellIs" dxfId="1820" priority="379" stopIfTrue="1" operator="lessThanOrEqual">
      <formula>3000</formula>
    </cfRule>
    <cfRule type="cellIs" dxfId="1819" priority="380" stopIfTrue="1" operator="between">
      <formula>3000</formula>
      <formula>9000</formula>
    </cfRule>
    <cfRule type="cellIs" dxfId="1818" priority="381" stopIfTrue="1" operator="greaterThanOrEqual">
      <formula>9000</formula>
    </cfRule>
  </conditionalFormatting>
  <conditionalFormatting sqref="AF68">
    <cfRule type="cellIs" dxfId="1817" priority="388" stopIfTrue="1" operator="lessThanOrEqual">
      <formula>3000</formula>
    </cfRule>
    <cfRule type="cellIs" dxfId="1816" priority="389" stopIfTrue="1" operator="between">
      <formula>3000</formula>
      <formula>9000</formula>
    </cfRule>
    <cfRule type="cellIs" dxfId="1815" priority="390" stopIfTrue="1" operator="greaterThanOrEqual">
      <formula>9000</formula>
    </cfRule>
  </conditionalFormatting>
  <conditionalFormatting sqref="AF86">
    <cfRule type="cellIs" dxfId="1814" priority="352" stopIfTrue="1" operator="lessThanOrEqual">
      <formula>3000</formula>
    </cfRule>
    <cfRule type="cellIs" dxfId="1813" priority="353" stopIfTrue="1" operator="between">
      <formula>3000</formula>
      <formula>9000</formula>
    </cfRule>
    <cfRule type="cellIs" dxfId="1812" priority="354" stopIfTrue="1" operator="greaterThanOrEqual">
      <formula>9000</formula>
    </cfRule>
  </conditionalFormatting>
  <conditionalFormatting sqref="AA86:AD86">
    <cfRule type="cellIs" dxfId="1811" priority="355" stopIfTrue="1" operator="lessThanOrEqual">
      <formula>3000</formula>
    </cfRule>
    <cfRule type="cellIs" dxfId="1810" priority="356" stopIfTrue="1" operator="between">
      <formula>3000</formula>
      <formula>9000</formula>
    </cfRule>
    <cfRule type="cellIs" dxfId="1809" priority="357" stopIfTrue="1" operator="greaterThanOrEqual">
      <formula>9000</formula>
    </cfRule>
  </conditionalFormatting>
  <conditionalFormatting sqref="V92:Y92">
    <cfRule type="cellIs" dxfId="1808" priority="346" stopIfTrue="1" operator="lessThanOrEqual">
      <formula>3000</formula>
    </cfRule>
    <cfRule type="cellIs" dxfId="1807" priority="347" stopIfTrue="1" operator="between">
      <formula>3000</formula>
      <formula>9000</formula>
    </cfRule>
    <cfRule type="cellIs" dxfId="1806" priority="348" stopIfTrue="1" operator="greaterThanOrEqual">
      <formula>9000</formula>
    </cfRule>
  </conditionalFormatting>
  <conditionalFormatting sqref="AA92:AD92">
    <cfRule type="cellIs" dxfId="1805" priority="343" stopIfTrue="1" operator="lessThanOrEqual">
      <formula>3000</formula>
    </cfRule>
    <cfRule type="cellIs" dxfId="1804" priority="344" stopIfTrue="1" operator="between">
      <formula>3000</formula>
      <formula>9000</formula>
    </cfRule>
    <cfRule type="cellIs" dxfId="1803" priority="345" stopIfTrue="1" operator="greaterThanOrEqual">
      <formula>9000</formula>
    </cfRule>
  </conditionalFormatting>
  <conditionalFormatting sqref="AG92:AJ92">
    <cfRule type="cellIs" dxfId="1802" priority="337" stopIfTrue="1" operator="lessThanOrEqual">
      <formula>3000</formula>
    </cfRule>
    <cfRule type="cellIs" dxfId="1801" priority="338" stopIfTrue="1" operator="between">
      <formula>3000</formula>
      <formula>9000</formula>
    </cfRule>
    <cfRule type="cellIs" dxfId="1800" priority="339" stopIfTrue="1" operator="greaterThanOrEqual">
      <formula>9000</formula>
    </cfRule>
  </conditionalFormatting>
  <conditionalFormatting sqref="V98:Y98">
    <cfRule type="cellIs" dxfId="1799" priority="334" stopIfTrue="1" operator="lessThanOrEqual">
      <formula>3000</formula>
    </cfRule>
    <cfRule type="cellIs" dxfId="1798" priority="335" stopIfTrue="1" operator="between">
      <formula>3000</formula>
      <formula>9000</formula>
    </cfRule>
    <cfRule type="cellIs" dxfId="1797" priority="336" stopIfTrue="1" operator="greaterThanOrEqual">
      <formula>9000</formula>
    </cfRule>
  </conditionalFormatting>
  <conditionalFormatting sqref="AF98">
    <cfRule type="cellIs" dxfId="1796" priority="328" stopIfTrue="1" operator="lessThanOrEqual">
      <formula>3000</formula>
    </cfRule>
    <cfRule type="cellIs" dxfId="1795" priority="329" stopIfTrue="1" operator="between">
      <formula>3000</formula>
      <formula>9000</formula>
    </cfRule>
    <cfRule type="cellIs" dxfId="1794" priority="330" stopIfTrue="1" operator="greaterThanOrEqual">
      <formula>9000</formula>
    </cfRule>
  </conditionalFormatting>
  <conditionalFormatting sqref="AG98:AJ98">
    <cfRule type="cellIs" dxfId="1793" priority="325" stopIfTrue="1" operator="lessThanOrEqual">
      <formula>3000</formula>
    </cfRule>
    <cfRule type="cellIs" dxfId="1792" priority="326" stopIfTrue="1" operator="between">
      <formula>3000</formula>
      <formula>9000</formula>
    </cfRule>
    <cfRule type="cellIs" dxfId="1791" priority="327" stopIfTrue="1" operator="greaterThanOrEqual">
      <formula>9000</formula>
    </cfRule>
  </conditionalFormatting>
  <conditionalFormatting sqref="AA104:AD104">
    <cfRule type="cellIs" dxfId="1790" priority="319" stopIfTrue="1" operator="lessThanOrEqual">
      <formula>3000</formula>
    </cfRule>
    <cfRule type="cellIs" dxfId="1789" priority="320" stopIfTrue="1" operator="between">
      <formula>3000</formula>
      <formula>9000</formula>
    </cfRule>
    <cfRule type="cellIs" dxfId="1788" priority="321" stopIfTrue="1" operator="greaterThanOrEqual">
      <formula>9000</formula>
    </cfRule>
  </conditionalFormatting>
  <conditionalFormatting sqref="AF104">
    <cfRule type="cellIs" dxfId="1787" priority="316" stopIfTrue="1" operator="lessThanOrEqual">
      <formula>3000</formula>
    </cfRule>
    <cfRule type="cellIs" dxfId="1786" priority="317" stopIfTrue="1" operator="between">
      <formula>3000</formula>
      <formula>9000</formula>
    </cfRule>
    <cfRule type="cellIs" dxfId="1785" priority="318" stopIfTrue="1" operator="greaterThanOrEqual">
      <formula>9000</formula>
    </cfRule>
  </conditionalFormatting>
  <conditionalFormatting sqref="V110:Y110">
    <cfRule type="cellIs" dxfId="1784" priority="310" stopIfTrue="1" operator="lessThanOrEqual">
      <formula>3000</formula>
    </cfRule>
    <cfRule type="cellIs" dxfId="1783" priority="311" stopIfTrue="1" operator="between">
      <formula>3000</formula>
      <formula>9000</formula>
    </cfRule>
    <cfRule type="cellIs" dxfId="1782" priority="312" stopIfTrue="1" operator="greaterThanOrEqual">
      <formula>9000</formula>
    </cfRule>
  </conditionalFormatting>
  <conditionalFormatting sqref="AA110:AD110">
    <cfRule type="cellIs" dxfId="1781" priority="307" stopIfTrue="1" operator="lessThanOrEqual">
      <formula>3000</formula>
    </cfRule>
    <cfRule type="cellIs" dxfId="1780" priority="308" stopIfTrue="1" operator="between">
      <formula>3000</formula>
      <formula>9000</formula>
    </cfRule>
    <cfRule type="cellIs" dxfId="1779" priority="309" stopIfTrue="1" operator="greaterThanOrEqual">
      <formula>9000</formula>
    </cfRule>
  </conditionalFormatting>
  <conditionalFormatting sqref="AG110:AJ110">
    <cfRule type="cellIs" dxfId="1778" priority="301" stopIfTrue="1" operator="lessThanOrEqual">
      <formula>3000</formula>
    </cfRule>
    <cfRule type="cellIs" dxfId="1777" priority="302" stopIfTrue="1" operator="between">
      <formula>3000</formula>
      <formula>9000</formula>
    </cfRule>
    <cfRule type="cellIs" dxfId="1776" priority="303" stopIfTrue="1" operator="greaterThanOrEqual">
      <formula>9000</formula>
    </cfRule>
  </conditionalFormatting>
  <conditionalFormatting sqref="V116:Y116">
    <cfRule type="cellIs" dxfId="1775" priority="298" stopIfTrue="1" operator="lessThanOrEqual">
      <formula>3000</formula>
    </cfRule>
    <cfRule type="cellIs" dxfId="1774" priority="299" stopIfTrue="1" operator="between">
      <formula>3000</formula>
      <formula>9000</formula>
    </cfRule>
    <cfRule type="cellIs" dxfId="1773" priority="300" stopIfTrue="1" operator="greaterThanOrEqual">
      <formula>9000</formula>
    </cfRule>
  </conditionalFormatting>
  <conditionalFormatting sqref="AF116">
    <cfRule type="cellIs" dxfId="1772" priority="292" stopIfTrue="1" operator="lessThanOrEqual">
      <formula>3000</formula>
    </cfRule>
    <cfRule type="cellIs" dxfId="1771" priority="293" stopIfTrue="1" operator="between">
      <formula>3000</formula>
      <formula>9000</formula>
    </cfRule>
    <cfRule type="cellIs" dxfId="1770" priority="294" stopIfTrue="1" operator="greaterThanOrEqual">
      <formula>9000</formula>
    </cfRule>
  </conditionalFormatting>
  <conditionalFormatting sqref="AG116:AJ116">
    <cfRule type="cellIs" dxfId="1769" priority="289" stopIfTrue="1" operator="lessThanOrEqual">
      <formula>3000</formula>
    </cfRule>
    <cfRule type="cellIs" dxfId="1768" priority="290" stopIfTrue="1" operator="between">
      <formula>3000</formula>
      <formula>9000</formula>
    </cfRule>
    <cfRule type="cellIs" dxfId="1767" priority="291" stopIfTrue="1" operator="greaterThanOrEqual">
      <formula>9000</formula>
    </cfRule>
  </conditionalFormatting>
  <conditionalFormatting sqref="V122:Y122">
    <cfRule type="cellIs" dxfId="1766" priority="286" stopIfTrue="1" operator="lessThanOrEqual">
      <formula>3000</formula>
    </cfRule>
    <cfRule type="cellIs" dxfId="1765" priority="287" stopIfTrue="1" operator="between">
      <formula>3000</formula>
      <formula>9000</formula>
    </cfRule>
    <cfRule type="cellIs" dxfId="1764" priority="288" stopIfTrue="1" operator="greaterThanOrEqual">
      <formula>9000</formula>
    </cfRule>
  </conditionalFormatting>
  <conditionalFormatting sqref="AF122">
    <cfRule type="cellIs" dxfId="1763" priority="280" stopIfTrue="1" operator="lessThanOrEqual">
      <formula>3000</formula>
    </cfRule>
    <cfRule type="cellIs" dxfId="1762" priority="281" stopIfTrue="1" operator="between">
      <formula>3000</formula>
      <formula>9000</formula>
    </cfRule>
    <cfRule type="cellIs" dxfId="1761" priority="282" stopIfTrue="1" operator="greaterThanOrEqual">
      <formula>9000</formula>
    </cfRule>
  </conditionalFormatting>
  <conditionalFormatting sqref="AG122:AJ122">
    <cfRule type="cellIs" dxfId="1760" priority="277" stopIfTrue="1" operator="lessThanOrEqual">
      <formula>3000</formula>
    </cfRule>
    <cfRule type="cellIs" dxfId="1759" priority="278" stopIfTrue="1" operator="between">
      <formula>3000</formula>
      <formula>9000</formula>
    </cfRule>
    <cfRule type="cellIs" dxfId="1758" priority="279" stopIfTrue="1" operator="greaterThanOrEqual">
      <formula>9000</formula>
    </cfRule>
  </conditionalFormatting>
  <conditionalFormatting sqref="AA134:AD134">
    <cfRule type="cellIs" dxfId="1757" priority="259" stopIfTrue="1" operator="lessThanOrEqual">
      <formula>3000</formula>
    </cfRule>
    <cfRule type="cellIs" dxfId="1756" priority="260" stopIfTrue="1" operator="between">
      <formula>3000</formula>
      <formula>9000</formula>
    </cfRule>
    <cfRule type="cellIs" dxfId="1755" priority="261" stopIfTrue="1" operator="greaterThanOrEqual">
      <formula>9000</formula>
    </cfRule>
  </conditionalFormatting>
  <conditionalFormatting sqref="AF128">
    <cfRule type="cellIs" dxfId="1754" priority="268" stopIfTrue="1" operator="lessThanOrEqual">
      <formula>3000</formula>
    </cfRule>
    <cfRule type="cellIs" dxfId="1753" priority="269" stopIfTrue="1" operator="between">
      <formula>3000</formula>
      <formula>9000</formula>
    </cfRule>
    <cfRule type="cellIs" dxfId="1752" priority="270" stopIfTrue="1" operator="greaterThanOrEqual">
      <formula>9000</formula>
    </cfRule>
  </conditionalFormatting>
  <conditionalFormatting sqref="V134:Y134">
    <cfRule type="cellIs" dxfId="1751" priority="262" stopIfTrue="1" operator="lessThanOrEqual">
      <formula>3000</formula>
    </cfRule>
    <cfRule type="cellIs" dxfId="1750" priority="263" stopIfTrue="1" operator="between">
      <formula>3000</formula>
      <formula>9000</formula>
    </cfRule>
    <cfRule type="cellIs" dxfId="1749" priority="264" stopIfTrue="1" operator="greaterThanOrEqual">
      <formula>9000</formula>
    </cfRule>
  </conditionalFormatting>
  <conditionalFormatting sqref="AG128:AJ128">
    <cfRule type="cellIs" dxfId="1748" priority="265" stopIfTrue="1" operator="lessThanOrEqual">
      <formula>3000</formula>
    </cfRule>
    <cfRule type="cellIs" dxfId="1747" priority="266" stopIfTrue="1" operator="between">
      <formula>3000</formula>
      <formula>9000</formula>
    </cfRule>
    <cfRule type="cellIs" dxfId="1746" priority="267" stopIfTrue="1" operator="greaterThanOrEqual">
      <formula>9000</formula>
    </cfRule>
  </conditionalFormatting>
  <conditionalFormatting sqref="V140:Y140">
    <cfRule type="cellIs" dxfId="1745" priority="250" stopIfTrue="1" operator="lessThanOrEqual">
      <formula>3000</formula>
    </cfRule>
    <cfRule type="cellIs" dxfId="1744" priority="251" stopIfTrue="1" operator="between">
      <formula>3000</formula>
      <formula>9000</formula>
    </cfRule>
    <cfRule type="cellIs" dxfId="1743" priority="252" stopIfTrue="1" operator="greaterThanOrEqual">
      <formula>9000</formula>
    </cfRule>
  </conditionalFormatting>
  <conditionalFormatting sqref="AA140:AD140">
    <cfRule type="cellIs" dxfId="1742" priority="247" stopIfTrue="1" operator="lessThanOrEqual">
      <formula>3000</formula>
    </cfRule>
    <cfRule type="cellIs" dxfId="1741" priority="248" stopIfTrue="1" operator="between">
      <formula>3000</formula>
      <formula>9000</formula>
    </cfRule>
    <cfRule type="cellIs" dxfId="1740" priority="249" stopIfTrue="1" operator="greaterThanOrEqual">
      <formula>9000</formula>
    </cfRule>
  </conditionalFormatting>
  <conditionalFormatting sqref="AF134">
    <cfRule type="cellIs" dxfId="1739" priority="256" stopIfTrue="1" operator="lessThanOrEqual">
      <formula>3000</formula>
    </cfRule>
    <cfRule type="cellIs" dxfId="1738" priority="257" stopIfTrue="1" operator="between">
      <formula>3000</formula>
      <formula>9000</formula>
    </cfRule>
    <cfRule type="cellIs" dxfId="1737" priority="258" stopIfTrue="1" operator="greaterThanOrEqual">
      <formula>9000</formula>
    </cfRule>
  </conditionalFormatting>
  <conditionalFormatting sqref="AG134:AJ134">
    <cfRule type="cellIs" dxfId="1736" priority="253" stopIfTrue="1" operator="lessThanOrEqual">
      <formula>3000</formula>
    </cfRule>
    <cfRule type="cellIs" dxfId="1735" priority="254" stopIfTrue="1" operator="between">
      <formula>3000</formula>
      <formula>9000</formula>
    </cfRule>
    <cfRule type="cellIs" dxfId="1734" priority="255" stopIfTrue="1" operator="greaterThanOrEqual">
      <formula>9000</formula>
    </cfRule>
  </conditionalFormatting>
  <conditionalFormatting sqref="AF140">
    <cfRule type="cellIs" dxfId="1733" priority="244" stopIfTrue="1" operator="lessThanOrEqual">
      <formula>3000</formula>
    </cfRule>
    <cfRule type="cellIs" dxfId="1732" priority="245" stopIfTrue="1" operator="between">
      <formula>3000</formula>
      <formula>9000</formula>
    </cfRule>
    <cfRule type="cellIs" dxfId="1731" priority="246" stopIfTrue="1" operator="greaterThanOrEqual">
      <formula>9000</formula>
    </cfRule>
  </conditionalFormatting>
  <conditionalFormatting sqref="AG140:AJ140">
    <cfRule type="cellIs" dxfId="1730" priority="241" stopIfTrue="1" operator="lessThanOrEqual">
      <formula>3000</formula>
    </cfRule>
    <cfRule type="cellIs" dxfId="1729" priority="242" stopIfTrue="1" operator="between">
      <formula>3000</formula>
      <formula>9000</formula>
    </cfRule>
    <cfRule type="cellIs" dxfId="1728" priority="243" stopIfTrue="1" operator="greaterThanOrEqual">
      <formula>9000</formula>
    </cfRule>
  </conditionalFormatting>
  <conditionalFormatting sqref="V146:Y146">
    <cfRule type="cellIs" dxfId="1727" priority="238" stopIfTrue="1" operator="lessThanOrEqual">
      <formula>3000</formula>
    </cfRule>
    <cfRule type="cellIs" dxfId="1726" priority="239" stopIfTrue="1" operator="between">
      <formula>3000</formula>
      <formula>9000</formula>
    </cfRule>
    <cfRule type="cellIs" dxfId="1725" priority="240" stopIfTrue="1" operator="greaterThanOrEqual">
      <formula>9000</formula>
    </cfRule>
  </conditionalFormatting>
  <conditionalFormatting sqref="AA146:AD146">
    <cfRule type="cellIs" dxfId="1724" priority="235" stopIfTrue="1" operator="lessThanOrEqual">
      <formula>3000</formula>
    </cfRule>
    <cfRule type="cellIs" dxfId="1723" priority="236" stopIfTrue="1" operator="between">
      <formula>3000</formula>
      <formula>9000</formula>
    </cfRule>
    <cfRule type="cellIs" dxfId="1722" priority="237" stopIfTrue="1" operator="greaterThanOrEqual">
      <formula>9000</formula>
    </cfRule>
  </conditionalFormatting>
  <conditionalFormatting sqref="AF146">
    <cfRule type="cellIs" dxfId="1721" priority="232" stopIfTrue="1" operator="lessThanOrEqual">
      <formula>3000</formula>
    </cfRule>
    <cfRule type="cellIs" dxfId="1720" priority="233" stopIfTrue="1" operator="between">
      <formula>3000</formula>
      <formula>9000</formula>
    </cfRule>
    <cfRule type="cellIs" dxfId="1719" priority="234" stopIfTrue="1" operator="greaterThanOrEqual">
      <formula>9000</formula>
    </cfRule>
  </conditionalFormatting>
  <conditionalFormatting sqref="AG146:AJ146">
    <cfRule type="cellIs" dxfId="1718" priority="229" stopIfTrue="1" operator="lessThanOrEqual">
      <formula>3000</formula>
    </cfRule>
    <cfRule type="cellIs" dxfId="1717" priority="230" stopIfTrue="1" operator="between">
      <formula>3000</formula>
      <formula>9000</formula>
    </cfRule>
    <cfRule type="cellIs" dxfId="1716" priority="231" stopIfTrue="1" operator="greaterThanOrEqual">
      <formula>9000</formula>
    </cfRule>
  </conditionalFormatting>
  <conditionalFormatting sqref="V152:Y152">
    <cfRule type="cellIs" dxfId="1715" priority="226" stopIfTrue="1" operator="lessThanOrEqual">
      <formula>3000</formula>
    </cfRule>
    <cfRule type="cellIs" dxfId="1714" priority="227" stopIfTrue="1" operator="between">
      <formula>3000</formula>
      <formula>9000</formula>
    </cfRule>
    <cfRule type="cellIs" dxfId="1713" priority="228" stopIfTrue="1" operator="greaterThanOrEqual">
      <formula>9000</formula>
    </cfRule>
  </conditionalFormatting>
  <conditionalFormatting sqref="AA152:AD152">
    <cfRule type="cellIs" dxfId="1712" priority="223" stopIfTrue="1" operator="lessThanOrEqual">
      <formula>3000</formula>
    </cfRule>
    <cfRule type="cellIs" dxfId="1711" priority="224" stopIfTrue="1" operator="between">
      <formula>3000</formula>
      <formula>9000</formula>
    </cfRule>
    <cfRule type="cellIs" dxfId="1710" priority="225" stopIfTrue="1" operator="greaterThanOrEqual">
      <formula>9000</formula>
    </cfRule>
  </conditionalFormatting>
  <conditionalFormatting sqref="AF152">
    <cfRule type="cellIs" dxfId="1709" priority="220" stopIfTrue="1" operator="lessThanOrEqual">
      <formula>3000</formula>
    </cfRule>
    <cfRule type="cellIs" dxfId="1708" priority="221" stopIfTrue="1" operator="between">
      <formula>3000</formula>
      <formula>9000</formula>
    </cfRule>
    <cfRule type="cellIs" dxfId="1707" priority="222" stopIfTrue="1" operator="greaterThanOrEqual">
      <formula>9000</formula>
    </cfRule>
  </conditionalFormatting>
  <conditionalFormatting sqref="AG152:AJ152">
    <cfRule type="cellIs" dxfId="1706" priority="217" stopIfTrue="1" operator="lessThanOrEqual">
      <formula>3000</formula>
    </cfRule>
    <cfRule type="cellIs" dxfId="1705" priority="218" stopIfTrue="1" operator="between">
      <formula>3000</formula>
      <formula>9000</formula>
    </cfRule>
    <cfRule type="cellIs" dxfId="1704" priority="219" stopIfTrue="1" operator="greaterThanOrEqual">
      <formula>9000</formula>
    </cfRule>
  </conditionalFormatting>
  <conditionalFormatting sqref="V158:Y158">
    <cfRule type="cellIs" dxfId="1703" priority="214" stopIfTrue="1" operator="lessThanOrEqual">
      <formula>3000</formula>
    </cfRule>
    <cfRule type="cellIs" dxfId="1702" priority="215" stopIfTrue="1" operator="between">
      <formula>3000</formula>
      <formula>9000</formula>
    </cfRule>
    <cfRule type="cellIs" dxfId="1701" priority="216" stopIfTrue="1" operator="greaterThanOrEqual">
      <formula>9000</formula>
    </cfRule>
  </conditionalFormatting>
  <conditionalFormatting sqref="AA158:AD158">
    <cfRule type="cellIs" dxfId="1700" priority="211" stopIfTrue="1" operator="lessThanOrEqual">
      <formula>3000</formula>
    </cfRule>
    <cfRule type="cellIs" dxfId="1699" priority="212" stopIfTrue="1" operator="between">
      <formula>3000</formula>
      <formula>9000</formula>
    </cfRule>
    <cfRule type="cellIs" dxfId="1698" priority="213" stopIfTrue="1" operator="greaterThanOrEqual">
      <formula>9000</formula>
    </cfRule>
  </conditionalFormatting>
  <conditionalFormatting sqref="AF158">
    <cfRule type="cellIs" dxfId="1697" priority="208" stopIfTrue="1" operator="lessThanOrEqual">
      <formula>3000</formula>
    </cfRule>
    <cfRule type="cellIs" dxfId="1696" priority="209" stopIfTrue="1" operator="between">
      <formula>3000</formula>
      <formula>9000</formula>
    </cfRule>
    <cfRule type="cellIs" dxfId="1695" priority="210" stopIfTrue="1" operator="greaterThanOrEqual">
      <formula>9000</formula>
    </cfRule>
  </conditionalFormatting>
  <conditionalFormatting sqref="AG158:AJ158">
    <cfRule type="cellIs" dxfId="1694" priority="205" stopIfTrue="1" operator="lessThanOrEqual">
      <formula>3000</formula>
    </cfRule>
    <cfRule type="cellIs" dxfId="1693" priority="206" stopIfTrue="1" operator="between">
      <formula>3000</formula>
      <formula>9000</formula>
    </cfRule>
    <cfRule type="cellIs" dxfId="1692" priority="207" stopIfTrue="1" operator="greaterThanOrEqual">
      <formula>9000</formula>
    </cfRule>
  </conditionalFormatting>
  <conditionalFormatting sqref="V164:Y164">
    <cfRule type="cellIs" dxfId="1691" priority="202" stopIfTrue="1" operator="lessThanOrEqual">
      <formula>3000</formula>
    </cfRule>
    <cfRule type="cellIs" dxfId="1690" priority="203" stopIfTrue="1" operator="between">
      <formula>3000</formula>
      <formula>9000</formula>
    </cfRule>
    <cfRule type="cellIs" dxfId="1689" priority="204" stopIfTrue="1" operator="greaterThanOrEqual">
      <formula>9000</formula>
    </cfRule>
  </conditionalFormatting>
  <conditionalFormatting sqref="AA164:AD164">
    <cfRule type="cellIs" dxfId="1688" priority="199" stopIfTrue="1" operator="lessThanOrEqual">
      <formula>3000</formula>
    </cfRule>
    <cfRule type="cellIs" dxfId="1687" priority="200" stopIfTrue="1" operator="between">
      <formula>3000</formula>
      <formula>9000</formula>
    </cfRule>
    <cfRule type="cellIs" dxfId="1686" priority="201" stopIfTrue="1" operator="greaterThanOrEqual">
      <formula>9000</formula>
    </cfRule>
  </conditionalFormatting>
  <conditionalFormatting sqref="AF164">
    <cfRule type="cellIs" dxfId="1685" priority="196" stopIfTrue="1" operator="lessThanOrEqual">
      <formula>3000</formula>
    </cfRule>
    <cfRule type="cellIs" dxfId="1684" priority="197" stopIfTrue="1" operator="between">
      <formula>3000</formula>
      <formula>9000</formula>
    </cfRule>
    <cfRule type="cellIs" dxfId="1683" priority="198" stopIfTrue="1" operator="greaterThanOrEqual">
      <formula>9000</formula>
    </cfRule>
  </conditionalFormatting>
  <conditionalFormatting sqref="AG164:AJ164">
    <cfRule type="cellIs" dxfId="1682" priority="193" stopIfTrue="1" operator="lessThanOrEqual">
      <formula>3000</formula>
    </cfRule>
    <cfRule type="cellIs" dxfId="1681" priority="194" stopIfTrue="1" operator="between">
      <formula>3000</formula>
      <formula>9000</formula>
    </cfRule>
    <cfRule type="cellIs" dxfId="1680" priority="195" stopIfTrue="1" operator="greaterThanOrEqual">
      <formula>9000</formula>
    </cfRule>
  </conditionalFormatting>
  <conditionalFormatting sqref="V170:Y170">
    <cfRule type="cellIs" dxfId="1679" priority="190" stopIfTrue="1" operator="lessThanOrEqual">
      <formula>3000</formula>
    </cfRule>
    <cfRule type="cellIs" dxfId="1678" priority="191" stopIfTrue="1" operator="between">
      <formula>3000</formula>
      <formula>9000</formula>
    </cfRule>
    <cfRule type="cellIs" dxfId="1677" priority="192" stopIfTrue="1" operator="greaterThanOrEqual">
      <formula>9000</formula>
    </cfRule>
  </conditionalFormatting>
  <conditionalFormatting sqref="AA170:AD170">
    <cfRule type="cellIs" dxfId="1676" priority="187" stopIfTrue="1" operator="lessThanOrEqual">
      <formula>3000</formula>
    </cfRule>
    <cfRule type="cellIs" dxfId="1675" priority="188" stopIfTrue="1" operator="between">
      <formula>3000</formula>
      <formula>9000</formula>
    </cfRule>
    <cfRule type="cellIs" dxfId="1674" priority="189" stopIfTrue="1" operator="greaterThanOrEqual">
      <formula>9000</formula>
    </cfRule>
  </conditionalFormatting>
  <conditionalFormatting sqref="AF170">
    <cfRule type="cellIs" dxfId="1673" priority="184" stopIfTrue="1" operator="lessThanOrEqual">
      <formula>3000</formula>
    </cfRule>
    <cfRule type="cellIs" dxfId="1672" priority="185" stopIfTrue="1" operator="between">
      <formula>3000</formula>
      <formula>9000</formula>
    </cfRule>
    <cfRule type="cellIs" dxfId="1671" priority="186" stopIfTrue="1" operator="greaterThanOrEqual">
      <formula>9000</formula>
    </cfRule>
  </conditionalFormatting>
  <conditionalFormatting sqref="AG170:AJ170">
    <cfRule type="cellIs" dxfId="1670" priority="181" stopIfTrue="1" operator="lessThanOrEqual">
      <formula>3000</formula>
    </cfRule>
    <cfRule type="cellIs" dxfId="1669" priority="182" stopIfTrue="1" operator="between">
      <formula>3000</formula>
      <formula>9000</formula>
    </cfRule>
    <cfRule type="cellIs" dxfId="1668" priority="183" stopIfTrue="1" operator="greaterThanOrEqual">
      <formula>9000</formula>
    </cfRule>
  </conditionalFormatting>
  <conditionalFormatting sqref="V176:Y176">
    <cfRule type="cellIs" dxfId="1667" priority="178" stopIfTrue="1" operator="lessThanOrEqual">
      <formula>3000</formula>
    </cfRule>
    <cfRule type="cellIs" dxfId="1666" priority="179" stopIfTrue="1" operator="between">
      <formula>3000</formula>
      <formula>9000</formula>
    </cfRule>
    <cfRule type="cellIs" dxfId="1665" priority="180" stopIfTrue="1" operator="greaterThanOrEqual">
      <formula>9000</formula>
    </cfRule>
  </conditionalFormatting>
  <conditionalFormatting sqref="AA176:AD176">
    <cfRule type="cellIs" dxfId="1664" priority="175" stopIfTrue="1" operator="lessThanOrEqual">
      <formula>3000</formula>
    </cfRule>
    <cfRule type="cellIs" dxfId="1663" priority="176" stopIfTrue="1" operator="between">
      <formula>3000</formula>
      <formula>9000</formula>
    </cfRule>
    <cfRule type="cellIs" dxfId="1662" priority="177" stopIfTrue="1" operator="greaterThanOrEqual">
      <formula>9000</formula>
    </cfRule>
  </conditionalFormatting>
  <conditionalFormatting sqref="AF176">
    <cfRule type="cellIs" dxfId="1661" priority="172" stopIfTrue="1" operator="lessThanOrEqual">
      <formula>3000</formula>
    </cfRule>
    <cfRule type="cellIs" dxfId="1660" priority="173" stopIfTrue="1" operator="between">
      <formula>3000</formula>
      <formula>9000</formula>
    </cfRule>
    <cfRule type="cellIs" dxfId="1659" priority="174" stopIfTrue="1" operator="greaterThanOrEqual">
      <formula>9000</formula>
    </cfRule>
  </conditionalFormatting>
  <conditionalFormatting sqref="AG176:AJ176">
    <cfRule type="cellIs" dxfId="1658" priority="169" stopIfTrue="1" operator="lessThanOrEqual">
      <formula>3000</formula>
    </cfRule>
    <cfRule type="cellIs" dxfId="1657" priority="170" stopIfTrue="1" operator="between">
      <formula>3000</formula>
      <formula>9000</formula>
    </cfRule>
    <cfRule type="cellIs" dxfId="1656" priority="171" stopIfTrue="1" operator="greaterThanOrEqual">
      <formula>9000</formula>
    </cfRule>
  </conditionalFormatting>
  <conditionalFormatting sqref="V182:Y182">
    <cfRule type="cellIs" dxfId="1655" priority="166" stopIfTrue="1" operator="lessThanOrEqual">
      <formula>3000</formula>
    </cfRule>
    <cfRule type="cellIs" dxfId="1654" priority="167" stopIfTrue="1" operator="between">
      <formula>3000</formula>
      <formula>9000</formula>
    </cfRule>
    <cfRule type="cellIs" dxfId="1653" priority="168" stopIfTrue="1" operator="greaterThanOrEqual">
      <formula>9000</formula>
    </cfRule>
  </conditionalFormatting>
  <conditionalFormatting sqref="AA182:AD182">
    <cfRule type="cellIs" dxfId="1652" priority="163" stopIfTrue="1" operator="lessThanOrEqual">
      <formula>3000</formula>
    </cfRule>
    <cfRule type="cellIs" dxfId="1651" priority="164" stopIfTrue="1" operator="between">
      <formula>3000</formula>
      <formula>9000</formula>
    </cfRule>
    <cfRule type="cellIs" dxfId="1650" priority="165" stopIfTrue="1" operator="greaterThanOrEqual">
      <formula>9000</formula>
    </cfRule>
  </conditionalFormatting>
  <conditionalFormatting sqref="AF182">
    <cfRule type="cellIs" dxfId="1649" priority="160" stopIfTrue="1" operator="lessThanOrEqual">
      <formula>3000</formula>
    </cfRule>
    <cfRule type="cellIs" dxfId="1648" priority="161" stopIfTrue="1" operator="between">
      <formula>3000</formula>
      <formula>9000</formula>
    </cfRule>
    <cfRule type="cellIs" dxfId="1647" priority="162" stopIfTrue="1" operator="greaterThanOrEqual">
      <formula>9000</formula>
    </cfRule>
  </conditionalFormatting>
  <conditionalFormatting sqref="AG182:AJ182">
    <cfRule type="cellIs" dxfId="1646" priority="157" stopIfTrue="1" operator="lessThanOrEqual">
      <formula>3000</formula>
    </cfRule>
    <cfRule type="cellIs" dxfId="1645" priority="158" stopIfTrue="1" operator="between">
      <formula>3000</formula>
      <formula>9000</formula>
    </cfRule>
    <cfRule type="cellIs" dxfId="1644" priority="159" stopIfTrue="1" operator="greaterThanOrEqual">
      <formula>9000</formula>
    </cfRule>
  </conditionalFormatting>
  <conditionalFormatting sqref="V188:Y188">
    <cfRule type="cellIs" dxfId="1643" priority="154" stopIfTrue="1" operator="lessThanOrEqual">
      <formula>3000</formula>
    </cfRule>
    <cfRule type="cellIs" dxfId="1642" priority="155" stopIfTrue="1" operator="between">
      <formula>3000</formula>
      <formula>9000</formula>
    </cfRule>
    <cfRule type="cellIs" dxfId="1641" priority="156" stopIfTrue="1" operator="greaterThanOrEqual">
      <formula>9000</formula>
    </cfRule>
  </conditionalFormatting>
  <conditionalFormatting sqref="AA188:AD188">
    <cfRule type="cellIs" dxfId="1640" priority="151" stopIfTrue="1" operator="lessThanOrEqual">
      <formula>3000</formula>
    </cfRule>
    <cfRule type="cellIs" dxfId="1639" priority="152" stopIfTrue="1" operator="between">
      <formula>3000</formula>
      <formula>9000</formula>
    </cfRule>
    <cfRule type="cellIs" dxfId="1638" priority="153" stopIfTrue="1" operator="greaterThanOrEqual">
      <formula>9000</formula>
    </cfRule>
  </conditionalFormatting>
  <conditionalFormatting sqref="AF188">
    <cfRule type="cellIs" dxfId="1637" priority="148" stopIfTrue="1" operator="lessThanOrEqual">
      <formula>3000</formula>
    </cfRule>
    <cfRule type="cellIs" dxfId="1636" priority="149" stopIfTrue="1" operator="between">
      <formula>3000</formula>
      <formula>9000</formula>
    </cfRule>
    <cfRule type="cellIs" dxfId="1635" priority="150" stopIfTrue="1" operator="greaterThanOrEqual">
      <formula>9000</formula>
    </cfRule>
  </conditionalFormatting>
  <conditionalFormatting sqref="AG188:AJ188">
    <cfRule type="cellIs" dxfId="1634" priority="145" stopIfTrue="1" operator="lessThanOrEqual">
      <formula>3000</formula>
    </cfRule>
    <cfRule type="cellIs" dxfId="1633" priority="146" stopIfTrue="1" operator="between">
      <formula>3000</formula>
      <formula>9000</formula>
    </cfRule>
    <cfRule type="cellIs" dxfId="1632" priority="147" stopIfTrue="1" operator="greaterThanOrEqual">
      <formula>9000</formula>
    </cfRule>
  </conditionalFormatting>
  <conditionalFormatting sqref="V194:Y194">
    <cfRule type="cellIs" dxfId="1631" priority="142" stopIfTrue="1" operator="lessThanOrEqual">
      <formula>3000</formula>
    </cfRule>
    <cfRule type="cellIs" dxfId="1630" priority="143" stopIfTrue="1" operator="between">
      <formula>3000</formula>
      <formula>9000</formula>
    </cfRule>
    <cfRule type="cellIs" dxfId="1629" priority="144" stopIfTrue="1" operator="greaterThanOrEqual">
      <formula>9000</formula>
    </cfRule>
  </conditionalFormatting>
  <conditionalFormatting sqref="AA194:AD194">
    <cfRule type="cellIs" dxfId="1628" priority="139" stopIfTrue="1" operator="lessThanOrEqual">
      <formula>3000</formula>
    </cfRule>
    <cfRule type="cellIs" dxfId="1627" priority="140" stopIfTrue="1" operator="between">
      <formula>3000</formula>
      <formula>9000</formula>
    </cfRule>
    <cfRule type="cellIs" dxfId="1626" priority="141" stopIfTrue="1" operator="greaterThanOrEqual">
      <formula>9000</formula>
    </cfRule>
  </conditionalFormatting>
  <conditionalFormatting sqref="AF194">
    <cfRule type="cellIs" dxfId="1625" priority="136" stopIfTrue="1" operator="lessThanOrEqual">
      <formula>3000</formula>
    </cfRule>
    <cfRule type="cellIs" dxfId="1624" priority="137" stopIfTrue="1" operator="between">
      <formula>3000</formula>
      <formula>9000</formula>
    </cfRule>
    <cfRule type="cellIs" dxfId="1623" priority="138" stopIfTrue="1" operator="greaterThanOrEqual">
      <formula>9000</formula>
    </cfRule>
  </conditionalFormatting>
  <conditionalFormatting sqref="AG194:AJ194">
    <cfRule type="cellIs" dxfId="1622" priority="133" stopIfTrue="1" operator="lessThanOrEqual">
      <formula>3000</formula>
    </cfRule>
    <cfRule type="cellIs" dxfId="1621" priority="134" stopIfTrue="1" operator="between">
      <formula>3000</formula>
      <formula>9000</formula>
    </cfRule>
    <cfRule type="cellIs" dxfId="1620" priority="135" stopIfTrue="1" operator="greaterThanOrEqual">
      <formula>9000</formula>
    </cfRule>
  </conditionalFormatting>
  <conditionalFormatting sqref="V200:Y200">
    <cfRule type="cellIs" dxfId="1619" priority="130" stopIfTrue="1" operator="lessThanOrEqual">
      <formula>3000</formula>
    </cfRule>
    <cfRule type="cellIs" dxfId="1618" priority="131" stopIfTrue="1" operator="between">
      <formula>3000</formula>
      <formula>9000</formula>
    </cfRule>
    <cfRule type="cellIs" dxfId="1617" priority="132" stopIfTrue="1" operator="greaterThanOrEqual">
      <formula>9000</formula>
    </cfRule>
  </conditionalFormatting>
  <conditionalFormatting sqref="AA200:AD200">
    <cfRule type="cellIs" dxfId="1616" priority="127" stopIfTrue="1" operator="lessThanOrEqual">
      <formula>3000</formula>
    </cfRule>
    <cfRule type="cellIs" dxfId="1615" priority="128" stopIfTrue="1" operator="between">
      <formula>3000</formula>
      <formula>9000</formula>
    </cfRule>
    <cfRule type="cellIs" dxfId="1614" priority="129" stopIfTrue="1" operator="greaterThanOrEqual">
      <formula>9000</formula>
    </cfRule>
  </conditionalFormatting>
  <conditionalFormatting sqref="AF200">
    <cfRule type="cellIs" dxfId="1613" priority="124" stopIfTrue="1" operator="lessThanOrEqual">
      <formula>3000</formula>
    </cfRule>
    <cfRule type="cellIs" dxfId="1612" priority="125" stopIfTrue="1" operator="between">
      <formula>3000</formula>
      <formula>9000</formula>
    </cfRule>
    <cfRule type="cellIs" dxfId="1611" priority="126" stopIfTrue="1" operator="greaterThanOrEqual">
      <formula>9000</formula>
    </cfRule>
  </conditionalFormatting>
  <conditionalFormatting sqref="AG200:AJ200">
    <cfRule type="cellIs" dxfId="1610" priority="121" stopIfTrue="1" operator="lessThanOrEqual">
      <formula>3000</formula>
    </cfRule>
    <cfRule type="cellIs" dxfId="1609" priority="122" stopIfTrue="1" operator="between">
      <formula>3000</formula>
      <formula>9000</formula>
    </cfRule>
    <cfRule type="cellIs" dxfId="1608" priority="123" stopIfTrue="1" operator="greaterThanOrEqual">
      <formula>9000</formula>
    </cfRule>
  </conditionalFormatting>
  <conditionalFormatting sqref="V206:Y206">
    <cfRule type="cellIs" dxfId="1607" priority="118" stopIfTrue="1" operator="lessThanOrEqual">
      <formula>3000</formula>
    </cfRule>
    <cfRule type="cellIs" dxfId="1606" priority="119" stopIfTrue="1" operator="between">
      <formula>3000</formula>
      <formula>9000</formula>
    </cfRule>
    <cfRule type="cellIs" dxfId="1605" priority="120" stopIfTrue="1" operator="greaterThanOrEqual">
      <formula>9000</formula>
    </cfRule>
  </conditionalFormatting>
  <conditionalFormatting sqref="AA206:AD206">
    <cfRule type="cellIs" dxfId="1604" priority="115" stopIfTrue="1" operator="lessThanOrEqual">
      <formula>3000</formula>
    </cfRule>
    <cfRule type="cellIs" dxfId="1603" priority="116" stopIfTrue="1" operator="between">
      <formula>3000</formula>
      <formula>9000</formula>
    </cfRule>
    <cfRule type="cellIs" dxfId="1602" priority="117" stopIfTrue="1" operator="greaterThanOrEqual">
      <formula>9000</formula>
    </cfRule>
  </conditionalFormatting>
  <conditionalFormatting sqref="AF206">
    <cfRule type="cellIs" dxfId="1601" priority="112" stopIfTrue="1" operator="lessThanOrEqual">
      <formula>3000</formula>
    </cfRule>
    <cfRule type="cellIs" dxfId="1600" priority="113" stopIfTrue="1" operator="between">
      <formula>3000</formula>
      <formula>9000</formula>
    </cfRule>
    <cfRule type="cellIs" dxfId="1599" priority="114" stopIfTrue="1" operator="greaterThanOrEqual">
      <formula>9000</formula>
    </cfRule>
  </conditionalFormatting>
  <conditionalFormatting sqref="AG206:AJ206">
    <cfRule type="cellIs" dxfId="1598" priority="109" stopIfTrue="1" operator="lessThanOrEqual">
      <formula>3000</formula>
    </cfRule>
    <cfRule type="cellIs" dxfId="1597" priority="110" stopIfTrue="1" operator="between">
      <formula>3000</formula>
      <formula>9000</formula>
    </cfRule>
    <cfRule type="cellIs" dxfId="1596" priority="111" stopIfTrue="1" operator="greaterThanOrEqual">
      <formula>9000</formula>
    </cfRule>
  </conditionalFormatting>
  <conditionalFormatting sqref="V218:Y218">
    <cfRule type="cellIs" dxfId="1595" priority="94" stopIfTrue="1" operator="lessThanOrEqual">
      <formula>3000</formula>
    </cfRule>
    <cfRule type="cellIs" dxfId="1594" priority="95" stopIfTrue="1" operator="between">
      <formula>3000</formula>
      <formula>9000</formula>
    </cfRule>
    <cfRule type="cellIs" dxfId="1593" priority="96" stopIfTrue="1" operator="greaterThanOrEqual">
      <formula>9000</formula>
    </cfRule>
  </conditionalFormatting>
  <conditionalFormatting sqref="AA218:AD218">
    <cfRule type="cellIs" dxfId="1592" priority="91" stopIfTrue="1" operator="lessThanOrEqual">
      <formula>3000</formula>
    </cfRule>
    <cfRule type="cellIs" dxfId="1591" priority="92" stopIfTrue="1" operator="between">
      <formula>3000</formula>
      <formula>9000</formula>
    </cfRule>
    <cfRule type="cellIs" dxfId="1590" priority="93" stopIfTrue="1" operator="greaterThanOrEqual">
      <formula>9000</formula>
    </cfRule>
  </conditionalFormatting>
  <conditionalFormatting sqref="AF218">
    <cfRule type="cellIs" dxfId="1589" priority="88" stopIfTrue="1" operator="lessThanOrEqual">
      <formula>3000</formula>
    </cfRule>
    <cfRule type="cellIs" dxfId="1588" priority="89" stopIfTrue="1" operator="between">
      <formula>3000</formula>
      <formula>9000</formula>
    </cfRule>
    <cfRule type="cellIs" dxfId="1587" priority="90" stopIfTrue="1" operator="greaterThanOrEqual">
      <formula>9000</formula>
    </cfRule>
  </conditionalFormatting>
  <conditionalFormatting sqref="AG218:AJ218">
    <cfRule type="cellIs" dxfId="1586" priority="85" stopIfTrue="1" operator="lessThanOrEqual">
      <formula>3000</formula>
    </cfRule>
    <cfRule type="cellIs" dxfId="1585" priority="86" stopIfTrue="1" operator="between">
      <formula>3000</formula>
      <formula>9000</formula>
    </cfRule>
    <cfRule type="cellIs" dxfId="1584" priority="87" stopIfTrue="1" operator="greaterThanOrEqual">
      <formula>9000</formula>
    </cfRule>
  </conditionalFormatting>
  <conditionalFormatting sqref="V224:Y224">
    <cfRule type="cellIs" dxfId="1583" priority="82" stopIfTrue="1" operator="lessThanOrEqual">
      <formula>3000</formula>
    </cfRule>
    <cfRule type="cellIs" dxfId="1582" priority="83" stopIfTrue="1" operator="between">
      <formula>3000</formula>
      <formula>9000</formula>
    </cfRule>
    <cfRule type="cellIs" dxfId="1581" priority="84" stopIfTrue="1" operator="greaterThanOrEqual">
      <formula>9000</formula>
    </cfRule>
  </conditionalFormatting>
  <conditionalFormatting sqref="AA224:AD224">
    <cfRule type="cellIs" dxfId="1580" priority="79" stopIfTrue="1" operator="lessThanOrEqual">
      <formula>3000</formula>
    </cfRule>
    <cfRule type="cellIs" dxfId="1579" priority="80" stopIfTrue="1" operator="between">
      <formula>3000</formula>
      <formula>9000</formula>
    </cfRule>
    <cfRule type="cellIs" dxfId="1578" priority="81" stopIfTrue="1" operator="greaterThanOrEqual">
      <formula>9000</formula>
    </cfRule>
  </conditionalFormatting>
  <conditionalFormatting sqref="AF224">
    <cfRule type="cellIs" dxfId="1577" priority="76" stopIfTrue="1" operator="lessThanOrEqual">
      <formula>3000</formula>
    </cfRule>
    <cfRule type="cellIs" dxfId="1576" priority="77" stopIfTrue="1" operator="between">
      <formula>3000</formula>
      <formula>9000</formula>
    </cfRule>
    <cfRule type="cellIs" dxfId="1575" priority="78" stopIfTrue="1" operator="greaterThanOrEqual">
      <formula>9000</formula>
    </cfRule>
  </conditionalFormatting>
  <conditionalFormatting sqref="AG224:AJ224">
    <cfRule type="cellIs" dxfId="1574" priority="73" stopIfTrue="1" operator="lessThanOrEqual">
      <formula>3000</formula>
    </cfRule>
    <cfRule type="cellIs" dxfId="1573" priority="74" stopIfTrue="1" operator="between">
      <formula>3000</formula>
      <formula>9000</formula>
    </cfRule>
    <cfRule type="cellIs" dxfId="1572" priority="75" stopIfTrue="1" operator="greaterThanOrEqual">
      <formula>9000</formula>
    </cfRule>
  </conditionalFormatting>
  <conditionalFormatting sqref="V230:Y230">
    <cfRule type="cellIs" dxfId="1571" priority="70" stopIfTrue="1" operator="lessThanOrEqual">
      <formula>3000</formula>
    </cfRule>
    <cfRule type="cellIs" dxfId="1570" priority="71" stopIfTrue="1" operator="between">
      <formula>3000</formula>
      <formula>9000</formula>
    </cfRule>
    <cfRule type="cellIs" dxfId="1569" priority="72" stopIfTrue="1" operator="greaterThanOrEqual">
      <formula>9000</formula>
    </cfRule>
  </conditionalFormatting>
  <conditionalFormatting sqref="AA230:AD230">
    <cfRule type="cellIs" dxfId="1568" priority="67" stopIfTrue="1" operator="lessThanOrEqual">
      <formula>3000</formula>
    </cfRule>
    <cfRule type="cellIs" dxfId="1567" priority="68" stopIfTrue="1" operator="between">
      <formula>3000</formula>
      <formula>9000</formula>
    </cfRule>
    <cfRule type="cellIs" dxfId="1566" priority="69" stopIfTrue="1" operator="greaterThanOrEqual">
      <formula>9000</formula>
    </cfRule>
  </conditionalFormatting>
  <conditionalFormatting sqref="AF230">
    <cfRule type="cellIs" dxfId="1565" priority="64" stopIfTrue="1" operator="lessThanOrEqual">
      <formula>3000</formula>
    </cfRule>
    <cfRule type="cellIs" dxfId="1564" priority="65" stopIfTrue="1" operator="between">
      <formula>3000</formula>
      <formula>9000</formula>
    </cfRule>
    <cfRule type="cellIs" dxfId="1563" priority="66" stopIfTrue="1" operator="greaterThanOrEqual">
      <formula>9000</formula>
    </cfRule>
  </conditionalFormatting>
  <conditionalFormatting sqref="AG230:AJ230">
    <cfRule type="cellIs" dxfId="1562" priority="61" stopIfTrue="1" operator="lessThanOrEqual">
      <formula>3000</formula>
    </cfRule>
    <cfRule type="cellIs" dxfId="1561" priority="62" stopIfTrue="1" operator="between">
      <formula>3000</formula>
      <formula>9000</formula>
    </cfRule>
    <cfRule type="cellIs" dxfId="1560" priority="63" stopIfTrue="1" operator="greaterThanOrEqual">
      <formula>9000</formula>
    </cfRule>
  </conditionalFormatting>
  <conditionalFormatting sqref="V236:Y236">
    <cfRule type="cellIs" dxfId="1559" priority="58" stopIfTrue="1" operator="lessThanOrEqual">
      <formula>3000</formula>
    </cfRule>
    <cfRule type="cellIs" dxfId="1558" priority="59" stopIfTrue="1" operator="between">
      <formula>3000</formula>
      <formula>9000</formula>
    </cfRule>
    <cfRule type="cellIs" dxfId="1557" priority="60" stopIfTrue="1" operator="greaterThanOrEqual">
      <formula>9000</formula>
    </cfRule>
  </conditionalFormatting>
  <conditionalFormatting sqref="AA236:AD236">
    <cfRule type="cellIs" dxfId="1556" priority="55" stopIfTrue="1" operator="lessThanOrEqual">
      <formula>3000</formula>
    </cfRule>
    <cfRule type="cellIs" dxfId="1555" priority="56" stopIfTrue="1" operator="between">
      <formula>3000</formula>
      <formula>9000</formula>
    </cfRule>
    <cfRule type="cellIs" dxfId="1554" priority="57" stopIfTrue="1" operator="greaterThanOrEqual">
      <formula>9000</formula>
    </cfRule>
  </conditionalFormatting>
  <conditionalFormatting sqref="AF236">
    <cfRule type="cellIs" dxfId="1553" priority="52" stopIfTrue="1" operator="lessThanOrEqual">
      <formula>3000</formula>
    </cfRule>
    <cfRule type="cellIs" dxfId="1552" priority="53" stopIfTrue="1" operator="between">
      <formula>3000</formula>
      <formula>9000</formula>
    </cfRule>
    <cfRule type="cellIs" dxfId="1551" priority="54" stopIfTrue="1" operator="greaterThanOrEqual">
      <formula>9000</formula>
    </cfRule>
  </conditionalFormatting>
  <conditionalFormatting sqref="AG236:AJ236">
    <cfRule type="cellIs" dxfId="1550" priority="49" stopIfTrue="1" operator="lessThanOrEqual">
      <formula>3000</formula>
    </cfRule>
    <cfRule type="cellIs" dxfId="1549" priority="50" stopIfTrue="1" operator="between">
      <formula>3000</formula>
      <formula>9000</formula>
    </cfRule>
    <cfRule type="cellIs" dxfId="1548" priority="51" stopIfTrue="1" operator="greaterThanOrEqual">
      <formula>9000</formula>
    </cfRule>
  </conditionalFormatting>
  <conditionalFormatting sqref="E254:H254">
    <cfRule type="cellIs" dxfId="1547" priority="46" stopIfTrue="1" operator="lessThanOrEqual">
      <formula>3000</formula>
    </cfRule>
    <cfRule type="cellIs" dxfId="1546" priority="47" stopIfTrue="1" operator="between">
      <formula>3000</formula>
      <formula>9000</formula>
    </cfRule>
    <cfRule type="cellIs" dxfId="1545" priority="48" stopIfTrue="1" operator="greaterThanOrEqual">
      <formula>9000</formula>
    </cfRule>
  </conditionalFormatting>
  <conditionalFormatting sqref="J254:M254">
    <cfRule type="cellIs" dxfId="1544" priority="43" stopIfTrue="1" operator="lessThanOrEqual">
      <formula>3000</formula>
    </cfRule>
    <cfRule type="cellIs" dxfId="1543" priority="44" stopIfTrue="1" operator="between">
      <formula>3000</formula>
      <formula>9000</formula>
    </cfRule>
    <cfRule type="cellIs" dxfId="1542" priority="45" stopIfTrue="1" operator="greaterThanOrEqual">
      <formula>9000</formula>
    </cfRule>
  </conditionalFormatting>
  <conditionalFormatting sqref="O254">
    <cfRule type="cellIs" dxfId="1541" priority="40" stopIfTrue="1" operator="lessThanOrEqual">
      <formula>3000</formula>
    </cfRule>
    <cfRule type="cellIs" dxfId="1540" priority="41" stopIfTrue="1" operator="between">
      <formula>3000</formula>
      <formula>9000</formula>
    </cfRule>
    <cfRule type="cellIs" dxfId="1539" priority="42" stopIfTrue="1" operator="greaterThanOrEqual">
      <formula>9000</formula>
    </cfRule>
  </conditionalFormatting>
  <conditionalFormatting sqref="P254:S254">
    <cfRule type="cellIs" dxfId="1538" priority="37" stopIfTrue="1" operator="lessThanOrEqual">
      <formula>3000</formula>
    </cfRule>
    <cfRule type="cellIs" dxfId="1537" priority="38" stopIfTrue="1" operator="between">
      <formula>3000</formula>
      <formula>9000</formula>
    </cfRule>
    <cfRule type="cellIs" dxfId="1536" priority="39" stopIfTrue="1" operator="greaterThanOrEqual">
      <formula>9000</formula>
    </cfRule>
  </conditionalFormatting>
  <conditionalFormatting sqref="E248:H248">
    <cfRule type="cellIs" dxfId="1535" priority="34" stopIfTrue="1" operator="lessThanOrEqual">
      <formula>3000</formula>
    </cfRule>
    <cfRule type="cellIs" dxfId="1534" priority="35" stopIfTrue="1" operator="between">
      <formula>3000</formula>
      <formula>9000</formula>
    </cfRule>
    <cfRule type="cellIs" dxfId="1533" priority="36" stopIfTrue="1" operator="greaterThanOrEqual">
      <formula>9000</formula>
    </cfRule>
  </conditionalFormatting>
  <conditionalFormatting sqref="J248:M248">
    <cfRule type="cellIs" dxfId="1532" priority="31" stopIfTrue="1" operator="lessThanOrEqual">
      <formula>3000</formula>
    </cfRule>
    <cfRule type="cellIs" dxfId="1531" priority="32" stopIfTrue="1" operator="between">
      <formula>3000</formula>
      <formula>9000</formula>
    </cfRule>
    <cfRule type="cellIs" dxfId="1530" priority="33" stopIfTrue="1" operator="greaterThanOrEqual">
      <formula>9000</formula>
    </cfRule>
  </conditionalFormatting>
  <conditionalFormatting sqref="O248">
    <cfRule type="cellIs" dxfId="1529" priority="28" stopIfTrue="1" operator="lessThanOrEqual">
      <formula>3000</formula>
    </cfRule>
    <cfRule type="cellIs" dxfId="1528" priority="29" stopIfTrue="1" operator="between">
      <formula>3000</formula>
      <formula>9000</formula>
    </cfRule>
    <cfRule type="cellIs" dxfId="1527" priority="30" stopIfTrue="1" operator="greaterThanOrEqual">
      <formula>9000</formula>
    </cfRule>
  </conditionalFormatting>
  <conditionalFormatting sqref="P248:S248">
    <cfRule type="cellIs" dxfId="1526" priority="25" stopIfTrue="1" operator="lessThanOrEqual">
      <formula>3000</formula>
    </cfRule>
    <cfRule type="cellIs" dxfId="1525" priority="26" stopIfTrue="1" operator="between">
      <formula>3000</formula>
      <formula>9000</formula>
    </cfRule>
    <cfRule type="cellIs" dxfId="1524" priority="27" stopIfTrue="1" operator="greaterThanOrEqual">
      <formula>9000</formula>
    </cfRule>
  </conditionalFormatting>
  <conditionalFormatting sqref="V254:Y254">
    <cfRule type="cellIs" dxfId="1523" priority="22" stopIfTrue="1" operator="lessThanOrEqual">
      <formula>3000</formula>
    </cfRule>
    <cfRule type="cellIs" dxfId="1522" priority="23" stopIfTrue="1" operator="between">
      <formula>3000</formula>
      <formula>9000</formula>
    </cfRule>
    <cfRule type="cellIs" dxfId="1521" priority="24" stopIfTrue="1" operator="greaterThanOrEqual">
      <formula>9000</formula>
    </cfRule>
  </conditionalFormatting>
  <conditionalFormatting sqref="AA254:AD254">
    <cfRule type="cellIs" dxfId="1520" priority="19" stopIfTrue="1" operator="lessThanOrEqual">
      <formula>3000</formula>
    </cfRule>
    <cfRule type="cellIs" dxfId="1519" priority="20" stopIfTrue="1" operator="between">
      <formula>3000</formula>
      <formula>9000</formula>
    </cfRule>
    <cfRule type="cellIs" dxfId="1518" priority="21" stopIfTrue="1" operator="greaterThanOrEqual">
      <formula>9000</formula>
    </cfRule>
  </conditionalFormatting>
  <conditionalFormatting sqref="AF254">
    <cfRule type="cellIs" dxfId="1517" priority="16" stopIfTrue="1" operator="lessThanOrEqual">
      <formula>3000</formula>
    </cfRule>
    <cfRule type="cellIs" dxfId="1516" priority="17" stopIfTrue="1" operator="between">
      <formula>3000</formula>
      <formula>9000</formula>
    </cfRule>
    <cfRule type="cellIs" dxfId="1515" priority="18" stopIfTrue="1" operator="greaterThanOrEqual">
      <formula>9000</formula>
    </cfRule>
  </conditionalFormatting>
  <conditionalFormatting sqref="AG254:AJ254">
    <cfRule type="cellIs" dxfId="1514" priority="13" stopIfTrue="1" operator="lessThanOrEqual">
      <formula>3000</formula>
    </cfRule>
    <cfRule type="cellIs" dxfId="1513" priority="14" stopIfTrue="1" operator="between">
      <formula>3000</formula>
      <formula>9000</formula>
    </cfRule>
    <cfRule type="cellIs" dxfId="1512" priority="15" stopIfTrue="1" operator="greaterThanOrEqual">
      <formula>9000</formula>
    </cfRule>
  </conditionalFormatting>
  <conditionalFormatting sqref="V248:Y248">
    <cfRule type="cellIs" dxfId="1511" priority="10" stopIfTrue="1" operator="lessThanOrEqual">
      <formula>3000</formula>
    </cfRule>
    <cfRule type="cellIs" dxfId="1510" priority="11" stopIfTrue="1" operator="between">
      <formula>3000</formula>
      <formula>9000</formula>
    </cfRule>
    <cfRule type="cellIs" dxfId="1509" priority="12" stopIfTrue="1" operator="greaterThanOrEqual">
      <formula>9000</formula>
    </cfRule>
  </conditionalFormatting>
  <conditionalFormatting sqref="AA248:AD248">
    <cfRule type="cellIs" dxfId="1508" priority="7" stopIfTrue="1" operator="lessThanOrEqual">
      <formula>3000</formula>
    </cfRule>
    <cfRule type="cellIs" dxfId="1507" priority="8" stopIfTrue="1" operator="between">
      <formula>3000</formula>
      <formula>9000</formula>
    </cfRule>
    <cfRule type="cellIs" dxfId="1506" priority="9" stopIfTrue="1" operator="greaterThanOrEqual">
      <formula>9000</formula>
    </cfRule>
  </conditionalFormatting>
  <conditionalFormatting sqref="AF248">
    <cfRule type="cellIs" dxfId="1505" priority="4" stopIfTrue="1" operator="lessThanOrEqual">
      <formula>3000</formula>
    </cfRule>
    <cfRule type="cellIs" dxfId="1504" priority="5" stopIfTrue="1" operator="between">
      <formula>3000</formula>
      <formula>9000</formula>
    </cfRule>
    <cfRule type="cellIs" dxfId="1503" priority="6" stopIfTrue="1" operator="greaterThanOrEqual">
      <formula>9000</formula>
    </cfRule>
  </conditionalFormatting>
  <conditionalFormatting sqref="AG248:AJ248">
    <cfRule type="cellIs" dxfId="1502" priority="1" stopIfTrue="1" operator="lessThanOrEqual">
      <formula>3000</formula>
    </cfRule>
    <cfRule type="cellIs" dxfId="1501" priority="2" stopIfTrue="1" operator="between">
      <formula>3000</formula>
      <formula>9000</formula>
    </cfRule>
    <cfRule type="cellIs" dxfId="1500" priority="3" stopIfTrue="1" operator="greaterThanOrEqual">
      <formula>9000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tabColor rgb="FF7030A0"/>
  </sheetPr>
  <dimension ref="A1:AO120"/>
  <sheetViews>
    <sheetView topLeftCell="A101" zoomScaleNormal="60" workbookViewId="0">
      <pane xSplit="1" topLeftCell="B1" activePane="topRight" state="frozen"/>
      <selection pane="topRight" activeCell="C124" sqref="C124"/>
    </sheetView>
  </sheetViews>
  <sheetFormatPr baseColWidth="10" defaultColWidth="9" defaultRowHeight="16"/>
  <cols>
    <col min="1" max="1" width="36.33203125" style="16" customWidth="1"/>
    <col min="2" max="2" width="12.6640625" style="52" bestFit="1" customWidth="1"/>
    <col min="3" max="3" width="13" style="52" customWidth="1"/>
    <col min="4" max="4" width="10.33203125" style="52" bestFit="1" customWidth="1"/>
    <col min="5" max="20" width="11.33203125" style="52" customWidth="1"/>
    <col min="21" max="21" width="11.33203125" style="53" customWidth="1"/>
    <col min="22" max="36" width="11.33203125" style="52" customWidth="1"/>
    <col min="37" max="37" width="12.33203125" style="52" bestFit="1" customWidth="1"/>
    <col min="38" max="38" width="12.33203125" style="53" bestFit="1" customWidth="1"/>
    <col min="39" max="39" width="5.33203125" style="52" bestFit="1" customWidth="1"/>
    <col min="40" max="41" width="14.33203125" style="17" bestFit="1" customWidth="1"/>
    <col min="42" max="245" width="9" style="52"/>
    <col min="246" max="246" width="20.33203125" style="52" customWidth="1"/>
    <col min="247" max="247" width="8.33203125" style="52" customWidth="1"/>
    <col min="248" max="248" width="10" style="52" customWidth="1"/>
    <col min="249" max="249" width="8.33203125" style="52" customWidth="1"/>
    <col min="250" max="252" width="9.33203125" style="52" bestFit="1" customWidth="1"/>
    <col min="253" max="253" width="8.33203125" style="52" bestFit="1" customWidth="1"/>
    <col min="254" max="254" width="8.33203125" style="52" customWidth="1"/>
    <col min="255" max="257" width="9.33203125" style="52" bestFit="1" customWidth="1"/>
    <col min="258" max="258" width="8.33203125" style="52" bestFit="1" customWidth="1"/>
    <col min="259" max="259" width="8.33203125" style="52" customWidth="1"/>
    <col min="260" max="262" width="9.33203125" style="52" bestFit="1" customWidth="1"/>
    <col min="263" max="263" width="8.33203125" style="52" bestFit="1" customWidth="1"/>
    <col min="264" max="265" width="8.33203125" style="52" customWidth="1"/>
    <col min="266" max="266" width="9" style="52" bestFit="1" customWidth="1"/>
    <col min="267" max="501" width="9" style="52"/>
    <col min="502" max="502" width="20.33203125" style="52" customWidth="1"/>
    <col min="503" max="503" width="8.33203125" style="52" customWidth="1"/>
    <col min="504" max="504" width="10" style="52" customWidth="1"/>
    <col min="505" max="505" width="8.33203125" style="52" customWidth="1"/>
    <col min="506" max="508" width="9.33203125" style="52" bestFit="1" customWidth="1"/>
    <col min="509" max="509" width="8.33203125" style="52" bestFit="1" customWidth="1"/>
    <col min="510" max="510" width="8.33203125" style="52" customWidth="1"/>
    <col min="511" max="513" width="9.33203125" style="52" bestFit="1" customWidth="1"/>
    <col min="514" max="514" width="8.33203125" style="52" bestFit="1" customWidth="1"/>
    <col min="515" max="515" width="8.33203125" style="52" customWidth="1"/>
    <col min="516" max="518" width="9.33203125" style="52" bestFit="1" customWidth="1"/>
    <col min="519" max="519" width="8.33203125" style="52" bestFit="1" customWidth="1"/>
    <col min="520" max="521" width="8.33203125" style="52" customWidth="1"/>
    <col min="522" max="522" width="9" style="52" bestFit="1" customWidth="1"/>
    <col min="523" max="757" width="9" style="52"/>
    <col min="758" max="758" width="20.33203125" style="52" customWidth="1"/>
    <col min="759" max="759" width="8.33203125" style="52" customWidth="1"/>
    <col min="760" max="760" width="10" style="52" customWidth="1"/>
    <col min="761" max="761" width="8.33203125" style="52" customWidth="1"/>
    <col min="762" max="764" width="9.33203125" style="52" bestFit="1" customWidth="1"/>
    <col min="765" max="765" width="8.33203125" style="52" bestFit="1" customWidth="1"/>
    <col min="766" max="766" width="8.33203125" style="52" customWidth="1"/>
    <col min="767" max="769" width="9.33203125" style="52" bestFit="1" customWidth="1"/>
    <col min="770" max="770" width="8.33203125" style="52" bestFit="1" customWidth="1"/>
    <col min="771" max="771" width="8.33203125" style="52" customWidth="1"/>
    <col min="772" max="774" width="9.33203125" style="52" bestFit="1" customWidth="1"/>
    <col min="775" max="775" width="8.33203125" style="52" bestFit="1" customWidth="1"/>
    <col min="776" max="777" width="8.33203125" style="52" customWidth="1"/>
    <col min="778" max="778" width="9" style="52" bestFit="1" customWidth="1"/>
    <col min="779" max="1013" width="9" style="52"/>
    <col min="1014" max="1014" width="20.33203125" style="52" customWidth="1"/>
    <col min="1015" max="1015" width="8.33203125" style="52" customWidth="1"/>
    <col min="1016" max="1016" width="10" style="52" customWidth="1"/>
    <col min="1017" max="1017" width="8.33203125" style="52" customWidth="1"/>
    <col min="1018" max="1020" width="9.33203125" style="52" bestFit="1" customWidth="1"/>
    <col min="1021" max="1021" width="8.33203125" style="52" bestFit="1" customWidth="1"/>
    <col min="1022" max="1022" width="8.33203125" style="52" customWidth="1"/>
    <col min="1023" max="1025" width="9.33203125" style="52" bestFit="1" customWidth="1"/>
    <col min="1026" max="1026" width="8.33203125" style="52" bestFit="1" customWidth="1"/>
    <col min="1027" max="1027" width="8.33203125" style="52" customWidth="1"/>
    <col min="1028" max="1030" width="9.33203125" style="52" bestFit="1" customWidth="1"/>
    <col min="1031" max="1031" width="8.33203125" style="52" bestFit="1" customWidth="1"/>
    <col min="1032" max="1033" width="8.33203125" style="52" customWidth="1"/>
    <col min="1034" max="1034" width="9" style="52" bestFit="1" customWidth="1"/>
    <col min="1035" max="1269" width="9" style="52"/>
    <col min="1270" max="1270" width="20.33203125" style="52" customWidth="1"/>
    <col min="1271" max="1271" width="8.33203125" style="52" customWidth="1"/>
    <col min="1272" max="1272" width="10" style="52" customWidth="1"/>
    <col min="1273" max="1273" width="8.33203125" style="52" customWidth="1"/>
    <col min="1274" max="1276" width="9.33203125" style="52" bestFit="1" customWidth="1"/>
    <col min="1277" max="1277" width="8.33203125" style="52" bestFit="1" customWidth="1"/>
    <col min="1278" max="1278" width="8.33203125" style="52" customWidth="1"/>
    <col min="1279" max="1281" width="9.33203125" style="52" bestFit="1" customWidth="1"/>
    <col min="1282" max="1282" width="8.33203125" style="52" bestFit="1" customWidth="1"/>
    <col min="1283" max="1283" width="8.33203125" style="52" customWidth="1"/>
    <col min="1284" max="1286" width="9.33203125" style="52" bestFit="1" customWidth="1"/>
    <col min="1287" max="1287" width="8.33203125" style="52" bestFit="1" customWidth="1"/>
    <col min="1288" max="1289" width="8.33203125" style="52" customWidth="1"/>
    <col min="1290" max="1290" width="9" style="52" bestFit="1" customWidth="1"/>
    <col min="1291" max="1525" width="9" style="52"/>
    <col min="1526" max="1526" width="20.33203125" style="52" customWidth="1"/>
    <col min="1527" max="1527" width="8.33203125" style="52" customWidth="1"/>
    <col min="1528" max="1528" width="10" style="52" customWidth="1"/>
    <col min="1529" max="1529" width="8.33203125" style="52" customWidth="1"/>
    <col min="1530" max="1532" width="9.33203125" style="52" bestFit="1" customWidth="1"/>
    <col min="1533" max="1533" width="8.33203125" style="52" bestFit="1" customWidth="1"/>
    <col min="1534" max="1534" width="8.33203125" style="52" customWidth="1"/>
    <col min="1535" max="1537" width="9.33203125" style="52" bestFit="1" customWidth="1"/>
    <col min="1538" max="1538" width="8.33203125" style="52" bestFit="1" customWidth="1"/>
    <col min="1539" max="1539" width="8.33203125" style="52" customWidth="1"/>
    <col min="1540" max="1542" width="9.33203125" style="52" bestFit="1" customWidth="1"/>
    <col min="1543" max="1543" width="8.33203125" style="52" bestFit="1" customWidth="1"/>
    <col min="1544" max="1545" width="8.33203125" style="52" customWidth="1"/>
    <col min="1546" max="1546" width="9" style="52" bestFit="1" customWidth="1"/>
    <col min="1547" max="1781" width="9" style="52"/>
    <col min="1782" max="1782" width="20.33203125" style="52" customWidth="1"/>
    <col min="1783" max="1783" width="8.33203125" style="52" customWidth="1"/>
    <col min="1784" max="1784" width="10" style="52" customWidth="1"/>
    <col min="1785" max="1785" width="8.33203125" style="52" customWidth="1"/>
    <col min="1786" max="1788" width="9.33203125" style="52" bestFit="1" customWidth="1"/>
    <col min="1789" max="1789" width="8.33203125" style="52" bestFit="1" customWidth="1"/>
    <col min="1790" max="1790" width="8.33203125" style="52" customWidth="1"/>
    <col min="1791" max="1793" width="9.33203125" style="52" bestFit="1" customWidth="1"/>
    <col min="1794" max="1794" width="8.33203125" style="52" bestFit="1" customWidth="1"/>
    <col min="1795" max="1795" width="8.33203125" style="52" customWidth="1"/>
    <col min="1796" max="1798" width="9.33203125" style="52" bestFit="1" customWidth="1"/>
    <col min="1799" max="1799" width="8.33203125" style="52" bestFit="1" customWidth="1"/>
    <col min="1800" max="1801" width="8.33203125" style="52" customWidth="1"/>
    <col min="1802" max="1802" width="9" style="52" bestFit="1" customWidth="1"/>
    <col min="1803" max="2037" width="9" style="52"/>
    <col min="2038" max="2038" width="20.33203125" style="52" customWidth="1"/>
    <col min="2039" max="2039" width="8.33203125" style="52" customWidth="1"/>
    <col min="2040" max="2040" width="10" style="52" customWidth="1"/>
    <col min="2041" max="2041" width="8.33203125" style="52" customWidth="1"/>
    <col min="2042" max="2044" width="9.33203125" style="52" bestFit="1" customWidth="1"/>
    <col min="2045" max="2045" width="8.33203125" style="52" bestFit="1" customWidth="1"/>
    <col min="2046" max="2046" width="8.33203125" style="52" customWidth="1"/>
    <col min="2047" max="2049" width="9.33203125" style="52" bestFit="1" customWidth="1"/>
    <col min="2050" max="2050" width="8.33203125" style="52" bestFit="1" customWidth="1"/>
    <col min="2051" max="2051" width="8.33203125" style="52" customWidth="1"/>
    <col min="2052" max="2054" width="9.33203125" style="52" bestFit="1" customWidth="1"/>
    <col min="2055" max="2055" width="8.33203125" style="52" bestFit="1" customWidth="1"/>
    <col min="2056" max="2057" width="8.33203125" style="52" customWidth="1"/>
    <col min="2058" max="2058" width="9" style="52" bestFit="1" customWidth="1"/>
    <col min="2059" max="2293" width="9" style="52"/>
    <col min="2294" max="2294" width="20.33203125" style="52" customWidth="1"/>
    <col min="2295" max="2295" width="8.33203125" style="52" customWidth="1"/>
    <col min="2296" max="2296" width="10" style="52" customWidth="1"/>
    <col min="2297" max="2297" width="8.33203125" style="52" customWidth="1"/>
    <col min="2298" max="2300" width="9.33203125" style="52" bestFit="1" customWidth="1"/>
    <col min="2301" max="2301" width="8.33203125" style="52" bestFit="1" customWidth="1"/>
    <col min="2302" max="2302" width="8.33203125" style="52" customWidth="1"/>
    <col min="2303" max="2305" width="9.33203125" style="52" bestFit="1" customWidth="1"/>
    <col min="2306" max="2306" width="8.33203125" style="52" bestFit="1" customWidth="1"/>
    <col min="2307" max="2307" width="8.33203125" style="52" customWidth="1"/>
    <col min="2308" max="2310" width="9.33203125" style="52" bestFit="1" customWidth="1"/>
    <col min="2311" max="2311" width="8.33203125" style="52" bestFit="1" customWidth="1"/>
    <col min="2312" max="2313" width="8.33203125" style="52" customWidth="1"/>
    <col min="2314" max="2314" width="9" style="52" bestFit="1" customWidth="1"/>
    <col min="2315" max="2549" width="9" style="52"/>
    <col min="2550" max="2550" width="20.33203125" style="52" customWidth="1"/>
    <col min="2551" max="2551" width="8.33203125" style="52" customWidth="1"/>
    <col min="2552" max="2552" width="10" style="52" customWidth="1"/>
    <col min="2553" max="2553" width="8.33203125" style="52" customWidth="1"/>
    <col min="2554" max="2556" width="9.33203125" style="52" bestFit="1" customWidth="1"/>
    <col min="2557" max="2557" width="8.33203125" style="52" bestFit="1" customWidth="1"/>
    <col min="2558" max="2558" width="8.33203125" style="52" customWidth="1"/>
    <col min="2559" max="2561" width="9.33203125" style="52" bestFit="1" customWidth="1"/>
    <col min="2562" max="2562" width="8.33203125" style="52" bestFit="1" customWidth="1"/>
    <col min="2563" max="2563" width="8.33203125" style="52" customWidth="1"/>
    <col min="2564" max="2566" width="9.33203125" style="52" bestFit="1" customWidth="1"/>
    <col min="2567" max="2567" width="8.33203125" style="52" bestFit="1" customWidth="1"/>
    <col min="2568" max="2569" width="8.33203125" style="52" customWidth="1"/>
    <col min="2570" max="2570" width="9" style="52" bestFit="1" customWidth="1"/>
    <col min="2571" max="2805" width="9" style="52"/>
    <col min="2806" max="2806" width="20.33203125" style="52" customWidth="1"/>
    <col min="2807" max="2807" width="8.33203125" style="52" customWidth="1"/>
    <col min="2808" max="2808" width="10" style="52" customWidth="1"/>
    <col min="2809" max="2809" width="8.33203125" style="52" customWidth="1"/>
    <col min="2810" max="2812" width="9.33203125" style="52" bestFit="1" customWidth="1"/>
    <col min="2813" max="2813" width="8.33203125" style="52" bestFit="1" customWidth="1"/>
    <col min="2814" max="2814" width="8.33203125" style="52" customWidth="1"/>
    <col min="2815" max="2817" width="9.33203125" style="52" bestFit="1" customWidth="1"/>
    <col min="2818" max="2818" width="8.33203125" style="52" bestFit="1" customWidth="1"/>
    <col min="2819" max="2819" width="8.33203125" style="52" customWidth="1"/>
    <col min="2820" max="2822" width="9.33203125" style="52" bestFit="1" customWidth="1"/>
    <col min="2823" max="2823" width="8.33203125" style="52" bestFit="1" customWidth="1"/>
    <col min="2824" max="2825" width="8.33203125" style="52" customWidth="1"/>
    <col min="2826" max="2826" width="9" style="52" bestFit="1" customWidth="1"/>
    <col min="2827" max="3061" width="9" style="52"/>
    <col min="3062" max="3062" width="20.33203125" style="52" customWidth="1"/>
    <col min="3063" max="3063" width="8.33203125" style="52" customWidth="1"/>
    <col min="3064" max="3064" width="10" style="52" customWidth="1"/>
    <col min="3065" max="3065" width="8.33203125" style="52" customWidth="1"/>
    <col min="3066" max="3068" width="9.33203125" style="52" bestFit="1" customWidth="1"/>
    <col min="3069" max="3069" width="8.33203125" style="52" bestFit="1" customWidth="1"/>
    <col min="3070" max="3070" width="8.33203125" style="52" customWidth="1"/>
    <col min="3071" max="3073" width="9.33203125" style="52" bestFit="1" customWidth="1"/>
    <col min="3074" max="3074" width="8.33203125" style="52" bestFit="1" customWidth="1"/>
    <col min="3075" max="3075" width="8.33203125" style="52" customWidth="1"/>
    <col min="3076" max="3078" width="9.33203125" style="52" bestFit="1" customWidth="1"/>
    <col min="3079" max="3079" width="8.33203125" style="52" bestFit="1" customWidth="1"/>
    <col min="3080" max="3081" width="8.33203125" style="52" customWidth="1"/>
    <col min="3082" max="3082" width="9" style="52" bestFit="1" customWidth="1"/>
    <col min="3083" max="3317" width="9" style="52"/>
    <col min="3318" max="3318" width="20.33203125" style="52" customWidth="1"/>
    <col min="3319" max="3319" width="8.33203125" style="52" customWidth="1"/>
    <col min="3320" max="3320" width="10" style="52" customWidth="1"/>
    <col min="3321" max="3321" width="8.33203125" style="52" customWidth="1"/>
    <col min="3322" max="3324" width="9.33203125" style="52" bestFit="1" customWidth="1"/>
    <col min="3325" max="3325" width="8.33203125" style="52" bestFit="1" customWidth="1"/>
    <col min="3326" max="3326" width="8.33203125" style="52" customWidth="1"/>
    <col min="3327" max="3329" width="9.33203125" style="52" bestFit="1" customWidth="1"/>
    <col min="3330" max="3330" width="8.33203125" style="52" bestFit="1" customWidth="1"/>
    <col min="3331" max="3331" width="8.33203125" style="52" customWidth="1"/>
    <col min="3332" max="3334" width="9.33203125" style="52" bestFit="1" customWidth="1"/>
    <col min="3335" max="3335" width="8.33203125" style="52" bestFit="1" customWidth="1"/>
    <col min="3336" max="3337" width="8.33203125" style="52" customWidth="1"/>
    <col min="3338" max="3338" width="9" style="52" bestFit="1" customWidth="1"/>
    <col min="3339" max="3573" width="9" style="52"/>
    <col min="3574" max="3574" width="20.33203125" style="52" customWidth="1"/>
    <col min="3575" max="3575" width="8.33203125" style="52" customWidth="1"/>
    <col min="3576" max="3576" width="10" style="52" customWidth="1"/>
    <col min="3577" max="3577" width="8.33203125" style="52" customWidth="1"/>
    <col min="3578" max="3580" width="9.33203125" style="52" bestFit="1" customWidth="1"/>
    <col min="3581" max="3581" width="8.33203125" style="52" bestFit="1" customWidth="1"/>
    <col min="3582" max="3582" width="8.33203125" style="52" customWidth="1"/>
    <col min="3583" max="3585" width="9.33203125" style="52" bestFit="1" customWidth="1"/>
    <col min="3586" max="3586" width="8.33203125" style="52" bestFit="1" customWidth="1"/>
    <col min="3587" max="3587" width="8.33203125" style="52" customWidth="1"/>
    <col min="3588" max="3590" width="9.33203125" style="52" bestFit="1" customWidth="1"/>
    <col min="3591" max="3591" width="8.33203125" style="52" bestFit="1" customWidth="1"/>
    <col min="3592" max="3593" width="8.33203125" style="52" customWidth="1"/>
    <col min="3594" max="3594" width="9" style="52" bestFit="1" customWidth="1"/>
    <col min="3595" max="3829" width="9" style="52"/>
    <col min="3830" max="3830" width="20.33203125" style="52" customWidth="1"/>
    <col min="3831" max="3831" width="8.33203125" style="52" customWidth="1"/>
    <col min="3832" max="3832" width="10" style="52" customWidth="1"/>
    <col min="3833" max="3833" width="8.33203125" style="52" customWidth="1"/>
    <col min="3834" max="3836" width="9.33203125" style="52" bestFit="1" customWidth="1"/>
    <col min="3837" max="3837" width="8.33203125" style="52" bestFit="1" customWidth="1"/>
    <col min="3838" max="3838" width="8.33203125" style="52" customWidth="1"/>
    <col min="3839" max="3841" width="9.33203125" style="52" bestFit="1" customWidth="1"/>
    <col min="3842" max="3842" width="8.33203125" style="52" bestFit="1" customWidth="1"/>
    <col min="3843" max="3843" width="8.33203125" style="52" customWidth="1"/>
    <col min="3844" max="3846" width="9.33203125" style="52" bestFit="1" customWidth="1"/>
    <col min="3847" max="3847" width="8.33203125" style="52" bestFit="1" customWidth="1"/>
    <col min="3848" max="3849" width="8.33203125" style="52" customWidth="1"/>
    <col min="3850" max="3850" width="9" style="52" bestFit="1" customWidth="1"/>
    <col min="3851" max="4085" width="9" style="52"/>
    <col min="4086" max="4086" width="20.33203125" style="52" customWidth="1"/>
    <col min="4087" max="4087" width="8.33203125" style="52" customWidth="1"/>
    <col min="4088" max="4088" width="10" style="52" customWidth="1"/>
    <col min="4089" max="4089" width="8.33203125" style="52" customWidth="1"/>
    <col min="4090" max="4092" width="9.33203125" style="52" bestFit="1" customWidth="1"/>
    <col min="4093" max="4093" width="8.33203125" style="52" bestFit="1" customWidth="1"/>
    <col min="4094" max="4094" width="8.33203125" style="52" customWidth="1"/>
    <col min="4095" max="4097" width="9.33203125" style="52" bestFit="1" customWidth="1"/>
    <col min="4098" max="4098" width="8.33203125" style="52" bestFit="1" customWidth="1"/>
    <col min="4099" max="4099" width="8.33203125" style="52" customWidth="1"/>
    <col min="4100" max="4102" width="9.33203125" style="52" bestFit="1" customWidth="1"/>
    <col min="4103" max="4103" width="8.33203125" style="52" bestFit="1" customWidth="1"/>
    <col min="4104" max="4105" width="8.33203125" style="52" customWidth="1"/>
    <col min="4106" max="4106" width="9" style="52" bestFit="1" customWidth="1"/>
    <col min="4107" max="4341" width="9" style="52"/>
    <col min="4342" max="4342" width="20.33203125" style="52" customWidth="1"/>
    <col min="4343" max="4343" width="8.33203125" style="52" customWidth="1"/>
    <col min="4344" max="4344" width="10" style="52" customWidth="1"/>
    <col min="4345" max="4345" width="8.33203125" style="52" customWidth="1"/>
    <col min="4346" max="4348" width="9.33203125" style="52" bestFit="1" customWidth="1"/>
    <col min="4349" max="4349" width="8.33203125" style="52" bestFit="1" customWidth="1"/>
    <col min="4350" max="4350" width="8.33203125" style="52" customWidth="1"/>
    <col min="4351" max="4353" width="9.33203125" style="52" bestFit="1" customWidth="1"/>
    <col min="4354" max="4354" width="8.33203125" style="52" bestFit="1" customWidth="1"/>
    <col min="4355" max="4355" width="8.33203125" style="52" customWidth="1"/>
    <col min="4356" max="4358" width="9.33203125" style="52" bestFit="1" customWidth="1"/>
    <col min="4359" max="4359" width="8.33203125" style="52" bestFit="1" customWidth="1"/>
    <col min="4360" max="4361" width="8.33203125" style="52" customWidth="1"/>
    <col min="4362" max="4362" width="9" style="52" bestFit="1" customWidth="1"/>
    <col min="4363" max="4597" width="9" style="52"/>
    <col min="4598" max="4598" width="20.33203125" style="52" customWidth="1"/>
    <col min="4599" max="4599" width="8.33203125" style="52" customWidth="1"/>
    <col min="4600" max="4600" width="10" style="52" customWidth="1"/>
    <col min="4601" max="4601" width="8.33203125" style="52" customWidth="1"/>
    <col min="4602" max="4604" width="9.33203125" style="52" bestFit="1" customWidth="1"/>
    <col min="4605" max="4605" width="8.33203125" style="52" bestFit="1" customWidth="1"/>
    <col min="4606" max="4606" width="8.33203125" style="52" customWidth="1"/>
    <col min="4607" max="4609" width="9.33203125" style="52" bestFit="1" customWidth="1"/>
    <col min="4610" max="4610" width="8.33203125" style="52" bestFit="1" customWidth="1"/>
    <col min="4611" max="4611" width="8.33203125" style="52" customWidth="1"/>
    <col min="4612" max="4614" width="9.33203125" style="52" bestFit="1" customWidth="1"/>
    <col min="4615" max="4615" width="8.33203125" style="52" bestFit="1" customWidth="1"/>
    <col min="4616" max="4617" width="8.33203125" style="52" customWidth="1"/>
    <col min="4618" max="4618" width="9" style="52" bestFit="1" customWidth="1"/>
    <col min="4619" max="4853" width="9" style="52"/>
    <col min="4854" max="4854" width="20.33203125" style="52" customWidth="1"/>
    <col min="4855" max="4855" width="8.33203125" style="52" customWidth="1"/>
    <col min="4856" max="4856" width="10" style="52" customWidth="1"/>
    <col min="4857" max="4857" width="8.33203125" style="52" customWidth="1"/>
    <col min="4858" max="4860" width="9.33203125" style="52" bestFit="1" customWidth="1"/>
    <col min="4861" max="4861" width="8.33203125" style="52" bestFit="1" customWidth="1"/>
    <col min="4862" max="4862" width="8.33203125" style="52" customWidth="1"/>
    <col min="4863" max="4865" width="9.33203125" style="52" bestFit="1" customWidth="1"/>
    <col min="4866" max="4866" width="8.33203125" style="52" bestFit="1" customWidth="1"/>
    <col min="4867" max="4867" width="8.33203125" style="52" customWidth="1"/>
    <col min="4868" max="4870" width="9.33203125" style="52" bestFit="1" customWidth="1"/>
    <col min="4871" max="4871" width="8.33203125" style="52" bestFit="1" customWidth="1"/>
    <col min="4872" max="4873" width="8.33203125" style="52" customWidth="1"/>
    <col min="4874" max="4874" width="9" style="52" bestFit="1" customWidth="1"/>
    <col min="4875" max="5109" width="9" style="52"/>
    <col min="5110" max="5110" width="20.33203125" style="52" customWidth="1"/>
    <col min="5111" max="5111" width="8.33203125" style="52" customWidth="1"/>
    <col min="5112" max="5112" width="10" style="52" customWidth="1"/>
    <col min="5113" max="5113" width="8.33203125" style="52" customWidth="1"/>
    <col min="5114" max="5116" width="9.33203125" style="52" bestFit="1" customWidth="1"/>
    <col min="5117" max="5117" width="8.33203125" style="52" bestFit="1" customWidth="1"/>
    <col min="5118" max="5118" width="8.33203125" style="52" customWidth="1"/>
    <col min="5119" max="5121" width="9.33203125" style="52" bestFit="1" customWidth="1"/>
    <col min="5122" max="5122" width="8.33203125" style="52" bestFit="1" customWidth="1"/>
    <col min="5123" max="5123" width="8.33203125" style="52" customWidth="1"/>
    <col min="5124" max="5126" width="9.33203125" style="52" bestFit="1" customWidth="1"/>
    <col min="5127" max="5127" width="8.33203125" style="52" bestFit="1" customWidth="1"/>
    <col min="5128" max="5129" width="8.33203125" style="52" customWidth="1"/>
    <col min="5130" max="5130" width="9" style="52" bestFit="1" customWidth="1"/>
    <col min="5131" max="5365" width="9" style="52"/>
    <col min="5366" max="5366" width="20.33203125" style="52" customWidth="1"/>
    <col min="5367" max="5367" width="8.33203125" style="52" customWidth="1"/>
    <col min="5368" max="5368" width="10" style="52" customWidth="1"/>
    <col min="5369" max="5369" width="8.33203125" style="52" customWidth="1"/>
    <col min="5370" max="5372" width="9.33203125" style="52" bestFit="1" customWidth="1"/>
    <col min="5373" max="5373" width="8.33203125" style="52" bestFit="1" customWidth="1"/>
    <col min="5374" max="5374" width="8.33203125" style="52" customWidth="1"/>
    <col min="5375" max="5377" width="9.33203125" style="52" bestFit="1" customWidth="1"/>
    <col min="5378" max="5378" width="8.33203125" style="52" bestFit="1" customWidth="1"/>
    <col min="5379" max="5379" width="8.33203125" style="52" customWidth="1"/>
    <col min="5380" max="5382" width="9.33203125" style="52" bestFit="1" customWidth="1"/>
    <col min="5383" max="5383" width="8.33203125" style="52" bestFit="1" customWidth="1"/>
    <col min="5384" max="5385" width="8.33203125" style="52" customWidth="1"/>
    <col min="5386" max="5386" width="9" style="52" bestFit="1" customWidth="1"/>
    <col min="5387" max="5621" width="9" style="52"/>
    <col min="5622" max="5622" width="20.33203125" style="52" customWidth="1"/>
    <col min="5623" max="5623" width="8.33203125" style="52" customWidth="1"/>
    <col min="5624" max="5624" width="10" style="52" customWidth="1"/>
    <col min="5625" max="5625" width="8.33203125" style="52" customWidth="1"/>
    <col min="5626" max="5628" width="9.33203125" style="52" bestFit="1" customWidth="1"/>
    <col min="5629" max="5629" width="8.33203125" style="52" bestFit="1" customWidth="1"/>
    <col min="5630" max="5630" width="8.33203125" style="52" customWidth="1"/>
    <col min="5631" max="5633" width="9.33203125" style="52" bestFit="1" customWidth="1"/>
    <col min="5634" max="5634" width="8.33203125" style="52" bestFit="1" customWidth="1"/>
    <col min="5635" max="5635" width="8.33203125" style="52" customWidth="1"/>
    <col min="5636" max="5638" width="9.33203125" style="52" bestFit="1" customWidth="1"/>
    <col min="5639" max="5639" width="8.33203125" style="52" bestFit="1" customWidth="1"/>
    <col min="5640" max="5641" width="8.33203125" style="52" customWidth="1"/>
    <col min="5642" max="5642" width="9" style="52" bestFit="1" customWidth="1"/>
    <col min="5643" max="5877" width="9" style="52"/>
    <col min="5878" max="5878" width="20.33203125" style="52" customWidth="1"/>
    <col min="5879" max="5879" width="8.33203125" style="52" customWidth="1"/>
    <col min="5880" max="5880" width="10" style="52" customWidth="1"/>
    <col min="5881" max="5881" width="8.33203125" style="52" customWidth="1"/>
    <col min="5882" max="5884" width="9.33203125" style="52" bestFit="1" customWidth="1"/>
    <col min="5885" max="5885" width="8.33203125" style="52" bestFit="1" customWidth="1"/>
    <col min="5886" max="5886" width="8.33203125" style="52" customWidth="1"/>
    <col min="5887" max="5889" width="9.33203125" style="52" bestFit="1" customWidth="1"/>
    <col min="5890" max="5890" width="8.33203125" style="52" bestFit="1" customWidth="1"/>
    <col min="5891" max="5891" width="8.33203125" style="52" customWidth="1"/>
    <col min="5892" max="5894" width="9.33203125" style="52" bestFit="1" customWidth="1"/>
    <col min="5895" max="5895" width="8.33203125" style="52" bestFit="1" customWidth="1"/>
    <col min="5896" max="5897" width="8.33203125" style="52" customWidth="1"/>
    <col min="5898" max="5898" width="9" style="52" bestFit="1" customWidth="1"/>
    <col min="5899" max="6133" width="9" style="52"/>
    <col min="6134" max="6134" width="20.33203125" style="52" customWidth="1"/>
    <col min="6135" max="6135" width="8.33203125" style="52" customWidth="1"/>
    <col min="6136" max="6136" width="10" style="52" customWidth="1"/>
    <col min="6137" max="6137" width="8.33203125" style="52" customWidth="1"/>
    <col min="6138" max="6140" width="9.33203125" style="52" bestFit="1" customWidth="1"/>
    <col min="6141" max="6141" width="8.33203125" style="52" bestFit="1" customWidth="1"/>
    <col min="6142" max="6142" width="8.33203125" style="52" customWidth="1"/>
    <col min="6143" max="6145" width="9.33203125" style="52" bestFit="1" customWidth="1"/>
    <col min="6146" max="6146" width="8.33203125" style="52" bestFit="1" customWidth="1"/>
    <col min="6147" max="6147" width="8.33203125" style="52" customWidth="1"/>
    <col min="6148" max="6150" width="9.33203125" style="52" bestFit="1" customWidth="1"/>
    <col min="6151" max="6151" width="8.33203125" style="52" bestFit="1" customWidth="1"/>
    <col min="6152" max="6153" width="8.33203125" style="52" customWidth="1"/>
    <col min="6154" max="6154" width="9" style="52" bestFit="1" customWidth="1"/>
    <col min="6155" max="6389" width="9" style="52"/>
    <col min="6390" max="6390" width="20.33203125" style="52" customWidth="1"/>
    <col min="6391" max="6391" width="8.33203125" style="52" customWidth="1"/>
    <col min="6392" max="6392" width="10" style="52" customWidth="1"/>
    <col min="6393" max="6393" width="8.33203125" style="52" customWidth="1"/>
    <col min="6394" max="6396" width="9.33203125" style="52" bestFit="1" customWidth="1"/>
    <col min="6397" max="6397" width="8.33203125" style="52" bestFit="1" customWidth="1"/>
    <col min="6398" max="6398" width="8.33203125" style="52" customWidth="1"/>
    <col min="6399" max="6401" width="9.33203125" style="52" bestFit="1" customWidth="1"/>
    <col min="6402" max="6402" width="8.33203125" style="52" bestFit="1" customWidth="1"/>
    <col min="6403" max="6403" width="8.33203125" style="52" customWidth="1"/>
    <col min="6404" max="6406" width="9.33203125" style="52" bestFit="1" customWidth="1"/>
    <col min="6407" max="6407" width="8.33203125" style="52" bestFit="1" customWidth="1"/>
    <col min="6408" max="6409" width="8.33203125" style="52" customWidth="1"/>
    <col min="6410" max="6410" width="9" style="52" bestFit="1" customWidth="1"/>
    <col min="6411" max="6645" width="9" style="52"/>
    <col min="6646" max="6646" width="20.33203125" style="52" customWidth="1"/>
    <col min="6647" max="6647" width="8.33203125" style="52" customWidth="1"/>
    <col min="6648" max="6648" width="10" style="52" customWidth="1"/>
    <col min="6649" max="6649" width="8.33203125" style="52" customWidth="1"/>
    <col min="6650" max="6652" width="9.33203125" style="52" bestFit="1" customWidth="1"/>
    <col min="6653" max="6653" width="8.33203125" style="52" bestFit="1" customWidth="1"/>
    <col min="6654" max="6654" width="8.33203125" style="52" customWidth="1"/>
    <col min="6655" max="6657" width="9.33203125" style="52" bestFit="1" customWidth="1"/>
    <col min="6658" max="6658" width="8.33203125" style="52" bestFit="1" customWidth="1"/>
    <col min="6659" max="6659" width="8.33203125" style="52" customWidth="1"/>
    <col min="6660" max="6662" width="9.33203125" style="52" bestFit="1" customWidth="1"/>
    <col min="6663" max="6663" width="8.33203125" style="52" bestFit="1" customWidth="1"/>
    <col min="6664" max="6665" width="8.33203125" style="52" customWidth="1"/>
    <col min="6666" max="6666" width="9" style="52" bestFit="1" customWidth="1"/>
    <col min="6667" max="6901" width="9" style="52"/>
    <col min="6902" max="6902" width="20.33203125" style="52" customWidth="1"/>
    <col min="6903" max="6903" width="8.33203125" style="52" customWidth="1"/>
    <col min="6904" max="6904" width="10" style="52" customWidth="1"/>
    <col min="6905" max="6905" width="8.33203125" style="52" customWidth="1"/>
    <col min="6906" max="6908" width="9.33203125" style="52" bestFit="1" customWidth="1"/>
    <col min="6909" max="6909" width="8.33203125" style="52" bestFit="1" customWidth="1"/>
    <col min="6910" max="6910" width="8.33203125" style="52" customWidth="1"/>
    <col min="6911" max="6913" width="9.33203125" style="52" bestFit="1" customWidth="1"/>
    <col min="6914" max="6914" width="8.33203125" style="52" bestFit="1" customWidth="1"/>
    <col min="6915" max="6915" width="8.33203125" style="52" customWidth="1"/>
    <col min="6916" max="6918" width="9.33203125" style="52" bestFit="1" customWidth="1"/>
    <col min="6919" max="6919" width="8.33203125" style="52" bestFit="1" customWidth="1"/>
    <col min="6920" max="6921" width="8.33203125" style="52" customWidth="1"/>
    <col min="6922" max="6922" width="9" style="52" bestFit="1" customWidth="1"/>
    <col min="6923" max="7157" width="9" style="52"/>
    <col min="7158" max="7158" width="20.33203125" style="52" customWidth="1"/>
    <col min="7159" max="7159" width="8.33203125" style="52" customWidth="1"/>
    <col min="7160" max="7160" width="10" style="52" customWidth="1"/>
    <col min="7161" max="7161" width="8.33203125" style="52" customWidth="1"/>
    <col min="7162" max="7164" width="9.33203125" style="52" bestFit="1" customWidth="1"/>
    <col min="7165" max="7165" width="8.33203125" style="52" bestFit="1" customWidth="1"/>
    <col min="7166" max="7166" width="8.33203125" style="52" customWidth="1"/>
    <col min="7167" max="7169" width="9.33203125" style="52" bestFit="1" customWidth="1"/>
    <col min="7170" max="7170" width="8.33203125" style="52" bestFit="1" customWidth="1"/>
    <col min="7171" max="7171" width="8.33203125" style="52" customWidth="1"/>
    <col min="7172" max="7174" width="9.33203125" style="52" bestFit="1" customWidth="1"/>
    <col min="7175" max="7175" width="8.33203125" style="52" bestFit="1" customWidth="1"/>
    <col min="7176" max="7177" width="8.33203125" style="52" customWidth="1"/>
    <col min="7178" max="7178" width="9" style="52" bestFit="1" customWidth="1"/>
    <col min="7179" max="7413" width="9" style="52"/>
    <col min="7414" max="7414" width="20.33203125" style="52" customWidth="1"/>
    <col min="7415" max="7415" width="8.33203125" style="52" customWidth="1"/>
    <col min="7416" max="7416" width="10" style="52" customWidth="1"/>
    <col min="7417" max="7417" width="8.33203125" style="52" customWidth="1"/>
    <col min="7418" max="7420" width="9.33203125" style="52" bestFit="1" customWidth="1"/>
    <col min="7421" max="7421" width="8.33203125" style="52" bestFit="1" customWidth="1"/>
    <col min="7422" max="7422" width="8.33203125" style="52" customWidth="1"/>
    <col min="7423" max="7425" width="9.33203125" style="52" bestFit="1" customWidth="1"/>
    <col min="7426" max="7426" width="8.33203125" style="52" bestFit="1" customWidth="1"/>
    <col min="7427" max="7427" width="8.33203125" style="52" customWidth="1"/>
    <col min="7428" max="7430" width="9.33203125" style="52" bestFit="1" customWidth="1"/>
    <col min="7431" max="7431" width="8.33203125" style="52" bestFit="1" customWidth="1"/>
    <col min="7432" max="7433" width="8.33203125" style="52" customWidth="1"/>
    <col min="7434" max="7434" width="9" style="52" bestFit="1" customWidth="1"/>
    <col min="7435" max="7669" width="9" style="52"/>
    <col min="7670" max="7670" width="20.33203125" style="52" customWidth="1"/>
    <col min="7671" max="7671" width="8.33203125" style="52" customWidth="1"/>
    <col min="7672" max="7672" width="10" style="52" customWidth="1"/>
    <col min="7673" max="7673" width="8.33203125" style="52" customWidth="1"/>
    <col min="7674" max="7676" width="9.33203125" style="52" bestFit="1" customWidth="1"/>
    <col min="7677" max="7677" width="8.33203125" style="52" bestFit="1" customWidth="1"/>
    <col min="7678" max="7678" width="8.33203125" style="52" customWidth="1"/>
    <col min="7679" max="7681" width="9.33203125" style="52" bestFit="1" customWidth="1"/>
    <col min="7682" max="7682" width="8.33203125" style="52" bestFit="1" customWidth="1"/>
    <col min="7683" max="7683" width="8.33203125" style="52" customWidth="1"/>
    <col min="7684" max="7686" width="9.33203125" style="52" bestFit="1" customWidth="1"/>
    <col min="7687" max="7687" width="8.33203125" style="52" bestFit="1" customWidth="1"/>
    <col min="7688" max="7689" width="8.33203125" style="52" customWidth="1"/>
    <col min="7690" max="7690" width="9" style="52" bestFit="1" customWidth="1"/>
    <col min="7691" max="7925" width="9" style="52"/>
    <col min="7926" max="7926" width="20.33203125" style="52" customWidth="1"/>
    <col min="7927" max="7927" width="8.33203125" style="52" customWidth="1"/>
    <col min="7928" max="7928" width="10" style="52" customWidth="1"/>
    <col min="7929" max="7929" width="8.33203125" style="52" customWidth="1"/>
    <col min="7930" max="7932" width="9.33203125" style="52" bestFit="1" customWidth="1"/>
    <col min="7933" max="7933" width="8.33203125" style="52" bestFit="1" customWidth="1"/>
    <col min="7934" max="7934" width="8.33203125" style="52" customWidth="1"/>
    <col min="7935" max="7937" width="9.33203125" style="52" bestFit="1" customWidth="1"/>
    <col min="7938" max="7938" width="8.33203125" style="52" bestFit="1" customWidth="1"/>
    <col min="7939" max="7939" width="8.33203125" style="52" customWidth="1"/>
    <col min="7940" max="7942" width="9.33203125" style="52" bestFit="1" customWidth="1"/>
    <col min="7943" max="7943" width="8.33203125" style="52" bestFit="1" customWidth="1"/>
    <col min="7944" max="7945" width="8.33203125" style="52" customWidth="1"/>
    <col min="7946" max="7946" width="9" style="52" bestFit="1" customWidth="1"/>
    <col min="7947" max="8181" width="9" style="52"/>
    <col min="8182" max="8182" width="20.33203125" style="52" customWidth="1"/>
    <col min="8183" max="8183" width="8.33203125" style="52" customWidth="1"/>
    <col min="8184" max="8184" width="10" style="52" customWidth="1"/>
    <col min="8185" max="8185" width="8.33203125" style="52" customWidth="1"/>
    <col min="8186" max="8188" width="9.33203125" style="52" bestFit="1" customWidth="1"/>
    <col min="8189" max="8189" width="8.33203125" style="52" bestFit="1" customWidth="1"/>
    <col min="8190" max="8190" width="8.33203125" style="52" customWidth="1"/>
    <col min="8191" max="8193" width="9.33203125" style="52" bestFit="1" customWidth="1"/>
    <col min="8194" max="8194" width="8.33203125" style="52" bestFit="1" customWidth="1"/>
    <col min="8195" max="8195" width="8.33203125" style="52" customWidth="1"/>
    <col min="8196" max="8198" width="9.33203125" style="52" bestFit="1" customWidth="1"/>
    <col min="8199" max="8199" width="8.33203125" style="52" bestFit="1" customWidth="1"/>
    <col min="8200" max="8201" width="8.33203125" style="52" customWidth="1"/>
    <col min="8202" max="8202" width="9" style="52" bestFit="1" customWidth="1"/>
    <col min="8203" max="8437" width="9" style="52"/>
    <col min="8438" max="8438" width="20.33203125" style="52" customWidth="1"/>
    <col min="8439" max="8439" width="8.33203125" style="52" customWidth="1"/>
    <col min="8440" max="8440" width="10" style="52" customWidth="1"/>
    <col min="8441" max="8441" width="8.33203125" style="52" customWidth="1"/>
    <col min="8442" max="8444" width="9.33203125" style="52" bestFit="1" customWidth="1"/>
    <col min="8445" max="8445" width="8.33203125" style="52" bestFit="1" customWidth="1"/>
    <col min="8446" max="8446" width="8.33203125" style="52" customWidth="1"/>
    <col min="8447" max="8449" width="9.33203125" style="52" bestFit="1" customWidth="1"/>
    <col min="8450" max="8450" width="8.33203125" style="52" bestFit="1" customWidth="1"/>
    <col min="8451" max="8451" width="8.33203125" style="52" customWidth="1"/>
    <col min="8452" max="8454" width="9.33203125" style="52" bestFit="1" customWidth="1"/>
    <col min="8455" max="8455" width="8.33203125" style="52" bestFit="1" customWidth="1"/>
    <col min="8456" max="8457" width="8.33203125" style="52" customWidth="1"/>
    <col min="8458" max="8458" width="9" style="52" bestFit="1" customWidth="1"/>
    <col min="8459" max="8693" width="9" style="52"/>
    <col min="8694" max="8694" width="20.33203125" style="52" customWidth="1"/>
    <col min="8695" max="8695" width="8.33203125" style="52" customWidth="1"/>
    <col min="8696" max="8696" width="10" style="52" customWidth="1"/>
    <col min="8697" max="8697" width="8.33203125" style="52" customWidth="1"/>
    <col min="8698" max="8700" width="9.33203125" style="52" bestFit="1" customWidth="1"/>
    <col min="8701" max="8701" width="8.33203125" style="52" bestFit="1" customWidth="1"/>
    <col min="8702" max="8702" width="8.33203125" style="52" customWidth="1"/>
    <col min="8703" max="8705" width="9.33203125" style="52" bestFit="1" customWidth="1"/>
    <col min="8706" max="8706" width="8.33203125" style="52" bestFit="1" customWidth="1"/>
    <col min="8707" max="8707" width="8.33203125" style="52" customWidth="1"/>
    <col min="8708" max="8710" width="9.33203125" style="52" bestFit="1" customWidth="1"/>
    <col min="8711" max="8711" width="8.33203125" style="52" bestFit="1" customWidth="1"/>
    <col min="8712" max="8713" width="8.33203125" style="52" customWidth="1"/>
    <col min="8714" max="8714" width="9" style="52" bestFit="1" customWidth="1"/>
    <col min="8715" max="8949" width="9" style="52"/>
    <col min="8950" max="8950" width="20.33203125" style="52" customWidth="1"/>
    <col min="8951" max="8951" width="8.33203125" style="52" customWidth="1"/>
    <col min="8952" max="8952" width="10" style="52" customWidth="1"/>
    <col min="8953" max="8953" width="8.33203125" style="52" customWidth="1"/>
    <col min="8954" max="8956" width="9.33203125" style="52" bestFit="1" customWidth="1"/>
    <col min="8957" max="8957" width="8.33203125" style="52" bestFit="1" customWidth="1"/>
    <col min="8958" max="8958" width="8.33203125" style="52" customWidth="1"/>
    <col min="8959" max="8961" width="9.33203125" style="52" bestFit="1" customWidth="1"/>
    <col min="8962" max="8962" width="8.33203125" style="52" bestFit="1" customWidth="1"/>
    <col min="8963" max="8963" width="8.33203125" style="52" customWidth="1"/>
    <col min="8964" max="8966" width="9.33203125" style="52" bestFit="1" customWidth="1"/>
    <col min="8967" max="8967" width="8.33203125" style="52" bestFit="1" customWidth="1"/>
    <col min="8968" max="8969" width="8.33203125" style="52" customWidth="1"/>
    <col min="8970" max="8970" width="9" style="52" bestFit="1" customWidth="1"/>
    <col min="8971" max="9205" width="9" style="52"/>
    <col min="9206" max="9206" width="20.33203125" style="52" customWidth="1"/>
    <col min="9207" max="9207" width="8.33203125" style="52" customWidth="1"/>
    <col min="9208" max="9208" width="10" style="52" customWidth="1"/>
    <col min="9209" max="9209" width="8.33203125" style="52" customWidth="1"/>
    <col min="9210" max="9212" width="9.33203125" style="52" bestFit="1" customWidth="1"/>
    <col min="9213" max="9213" width="8.33203125" style="52" bestFit="1" customWidth="1"/>
    <col min="9214" max="9214" width="8.33203125" style="52" customWidth="1"/>
    <col min="9215" max="9217" width="9.33203125" style="52" bestFit="1" customWidth="1"/>
    <col min="9218" max="9218" width="8.33203125" style="52" bestFit="1" customWidth="1"/>
    <col min="9219" max="9219" width="8.33203125" style="52" customWidth="1"/>
    <col min="9220" max="9222" width="9.33203125" style="52" bestFit="1" customWidth="1"/>
    <col min="9223" max="9223" width="8.33203125" style="52" bestFit="1" customWidth="1"/>
    <col min="9224" max="9225" width="8.33203125" style="52" customWidth="1"/>
    <col min="9226" max="9226" width="9" style="52" bestFit="1" customWidth="1"/>
    <col min="9227" max="9461" width="9" style="52"/>
    <col min="9462" max="9462" width="20.33203125" style="52" customWidth="1"/>
    <col min="9463" max="9463" width="8.33203125" style="52" customWidth="1"/>
    <col min="9464" max="9464" width="10" style="52" customWidth="1"/>
    <col min="9465" max="9465" width="8.33203125" style="52" customWidth="1"/>
    <col min="9466" max="9468" width="9.33203125" style="52" bestFit="1" customWidth="1"/>
    <col min="9469" max="9469" width="8.33203125" style="52" bestFit="1" customWidth="1"/>
    <col min="9470" max="9470" width="8.33203125" style="52" customWidth="1"/>
    <col min="9471" max="9473" width="9.33203125" style="52" bestFit="1" customWidth="1"/>
    <col min="9474" max="9474" width="8.33203125" style="52" bestFit="1" customWidth="1"/>
    <col min="9475" max="9475" width="8.33203125" style="52" customWidth="1"/>
    <col min="9476" max="9478" width="9.33203125" style="52" bestFit="1" customWidth="1"/>
    <col min="9479" max="9479" width="8.33203125" style="52" bestFit="1" customWidth="1"/>
    <col min="9480" max="9481" width="8.33203125" style="52" customWidth="1"/>
    <col min="9482" max="9482" width="9" style="52" bestFit="1" customWidth="1"/>
    <col min="9483" max="9717" width="9" style="52"/>
    <col min="9718" max="9718" width="20.33203125" style="52" customWidth="1"/>
    <col min="9719" max="9719" width="8.33203125" style="52" customWidth="1"/>
    <col min="9720" max="9720" width="10" style="52" customWidth="1"/>
    <col min="9721" max="9721" width="8.33203125" style="52" customWidth="1"/>
    <col min="9722" max="9724" width="9.33203125" style="52" bestFit="1" customWidth="1"/>
    <col min="9725" max="9725" width="8.33203125" style="52" bestFit="1" customWidth="1"/>
    <col min="9726" max="9726" width="8.33203125" style="52" customWidth="1"/>
    <col min="9727" max="9729" width="9.33203125" style="52" bestFit="1" customWidth="1"/>
    <col min="9730" max="9730" width="8.33203125" style="52" bestFit="1" customWidth="1"/>
    <col min="9731" max="9731" width="8.33203125" style="52" customWidth="1"/>
    <col min="9732" max="9734" width="9.33203125" style="52" bestFit="1" customWidth="1"/>
    <col min="9735" max="9735" width="8.33203125" style="52" bestFit="1" customWidth="1"/>
    <col min="9736" max="9737" width="8.33203125" style="52" customWidth="1"/>
    <col min="9738" max="9738" width="9" style="52" bestFit="1" customWidth="1"/>
    <col min="9739" max="9973" width="9" style="52"/>
    <col min="9974" max="9974" width="20.33203125" style="52" customWidth="1"/>
    <col min="9975" max="9975" width="8.33203125" style="52" customWidth="1"/>
    <col min="9976" max="9976" width="10" style="52" customWidth="1"/>
    <col min="9977" max="9977" width="8.33203125" style="52" customWidth="1"/>
    <col min="9978" max="9980" width="9.33203125" style="52" bestFit="1" customWidth="1"/>
    <col min="9981" max="9981" width="8.33203125" style="52" bestFit="1" customWidth="1"/>
    <col min="9982" max="9982" width="8.33203125" style="52" customWidth="1"/>
    <col min="9983" max="9985" width="9.33203125" style="52" bestFit="1" customWidth="1"/>
    <col min="9986" max="9986" width="8.33203125" style="52" bestFit="1" customWidth="1"/>
    <col min="9987" max="9987" width="8.33203125" style="52" customWidth="1"/>
    <col min="9988" max="9990" width="9.33203125" style="52" bestFit="1" customWidth="1"/>
    <col min="9991" max="9991" width="8.33203125" style="52" bestFit="1" customWidth="1"/>
    <col min="9992" max="9993" width="8.33203125" style="52" customWidth="1"/>
    <col min="9994" max="9994" width="9" style="52" bestFit="1" customWidth="1"/>
    <col min="9995" max="10229" width="9" style="52"/>
    <col min="10230" max="10230" width="20.33203125" style="52" customWidth="1"/>
    <col min="10231" max="10231" width="8.33203125" style="52" customWidth="1"/>
    <col min="10232" max="10232" width="10" style="52" customWidth="1"/>
    <col min="10233" max="10233" width="8.33203125" style="52" customWidth="1"/>
    <col min="10234" max="10236" width="9.33203125" style="52" bestFit="1" customWidth="1"/>
    <col min="10237" max="10237" width="8.33203125" style="52" bestFit="1" customWidth="1"/>
    <col min="10238" max="10238" width="8.33203125" style="52" customWidth="1"/>
    <col min="10239" max="10241" width="9.33203125" style="52" bestFit="1" customWidth="1"/>
    <col min="10242" max="10242" width="8.33203125" style="52" bestFit="1" customWidth="1"/>
    <col min="10243" max="10243" width="8.33203125" style="52" customWidth="1"/>
    <col min="10244" max="10246" width="9.33203125" style="52" bestFit="1" customWidth="1"/>
    <col min="10247" max="10247" width="8.33203125" style="52" bestFit="1" customWidth="1"/>
    <col min="10248" max="10249" width="8.33203125" style="52" customWidth="1"/>
    <col min="10250" max="10250" width="9" style="52" bestFit="1" customWidth="1"/>
    <col min="10251" max="10485" width="9" style="52"/>
    <col min="10486" max="10486" width="20.33203125" style="52" customWidth="1"/>
    <col min="10487" max="10487" width="8.33203125" style="52" customWidth="1"/>
    <col min="10488" max="10488" width="10" style="52" customWidth="1"/>
    <col min="10489" max="10489" width="8.33203125" style="52" customWidth="1"/>
    <col min="10490" max="10492" width="9.33203125" style="52" bestFit="1" customWidth="1"/>
    <col min="10493" max="10493" width="8.33203125" style="52" bestFit="1" customWidth="1"/>
    <col min="10494" max="10494" width="8.33203125" style="52" customWidth="1"/>
    <col min="10495" max="10497" width="9.33203125" style="52" bestFit="1" customWidth="1"/>
    <col min="10498" max="10498" width="8.33203125" style="52" bestFit="1" customWidth="1"/>
    <col min="10499" max="10499" width="8.33203125" style="52" customWidth="1"/>
    <col min="10500" max="10502" width="9.33203125" style="52" bestFit="1" customWidth="1"/>
    <col min="10503" max="10503" width="8.33203125" style="52" bestFit="1" customWidth="1"/>
    <col min="10504" max="10505" width="8.33203125" style="52" customWidth="1"/>
    <col min="10506" max="10506" width="9" style="52" bestFit="1" customWidth="1"/>
    <col min="10507" max="10741" width="9" style="52"/>
    <col min="10742" max="10742" width="20.33203125" style="52" customWidth="1"/>
    <col min="10743" max="10743" width="8.33203125" style="52" customWidth="1"/>
    <col min="10744" max="10744" width="10" style="52" customWidth="1"/>
    <col min="10745" max="10745" width="8.33203125" style="52" customWidth="1"/>
    <col min="10746" max="10748" width="9.33203125" style="52" bestFit="1" customWidth="1"/>
    <col min="10749" max="10749" width="8.33203125" style="52" bestFit="1" customWidth="1"/>
    <col min="10750" max="10750" width="8.33203125" style="52" customWidth="1"/>
    <col min="10751" max="10753" width="9.33203125" style="52" bestFit="1" customWidth="1"/>
    <col min="10754" max="10754" width="8.33203125" style="52" bestFit="1" customWidth="1"/>
    <col min="10755" max="10755" width="8.33203125" style="52" customWidth="1"/>
    <col min="10756" max="10758" width="9.33203125" style="52" bestFit="1" customWidth="1"/>
    <col min="10759" max="10759" width="8.33203125" style="52" bestFit="1" customWidth="1"/>
    <col min="10760" max="10761" width="8.33203125" style="52" customWidth="1"/>
    <col min="10762" max="10762" width="9" style="52" bestFit="1" customWidth="1"/>
    <col min="10763" max="10997" width="9" style="52"/>
    <col min="10998" max="10998" width="20.33203125" style="52" customWidth="1"/>
    <col min="10999" max="10999" width="8.33203125" style="52" customWidth="1"/>
    <col min="11000" max="11000" width="10" style="52" customWidth="1"/>
    <col min="11001" max="11001" width="8.33203125" style="52" customWidth="1"/>
    <col min="11002" max="11004" width="9.33203125" style="52" bestFit="1" customWidth="1"/>
    <col min="11005" max="11005" width="8.33203125" style="52" bestFit="1" customWidth="1"/>
    <col min="11006" max="11006" width="8.33203125" style="52" customWidth="1"/>
    <col min="11007" max="11009" width="9.33203125" style="52" bestFit="1" customWidth="1"/>
    <col min="11010" max="11010" width="8.33203125" style="52" bestFit="1" customWidth="1"/>
    <col min="11011" max="11011" width="8.33203125" style="52" customWidth="1"/>
    <col min="11012" max="11014" width="9.33203125" style="52" bestFit="1" customWidth="1"/>
    <col min="11015" max="11015" width="8.33203125" style="52" bestFit="1" customWidth="1"/>
    <col min="11016" max="11017" width="8.33203125" style="52" customWidth="1"/>
    <col min="11018" max="11018" width="9" style="52" bestFit="1" customWidth="1"/>
    <col min="11019" max="11253" width="9" style="52"/>
    <col min="11254" max="11254" width="20.33203125" style="52" customWidth="1"/>
    <col min="11255" max="11255" width="8.33203125" style="52" customWidth="1"/>
    <col min="11256" max="11256" width="10" style="52" customWidth="1"/>
    <col min="11257" max="11257" width="8.33203125" style="52" customWidth="1"/>
    <col min="11258" max="11260" width="9.33203125" style="52" bestFit="1" customWidth="1"/>
    <col min="11261" max="11261" width="8.33203125" style="52" bestFit="1" customWidth="1"/>
    <col min="11262" max="11262" width="8.33203125" style="52" customWidth="1"/>
    <col min="11263" max="11265" width="9.33203125" style="52" bestFit="1" customWidth="1"/>
    <col min="11266" max="11266" width="8.33203125" style="52" bestFit="1" customWidth="1"/>
    <col min="11267" max="11267" width="8.33203125" style="52" customWidth="1"/>
    <col min="11268" max="11270" width="9.33203125" style="52" bestFit="1" customWidth="1"/>
    <col min="11271" max="11271" width="8.33203125" style="52" bestFit="1" customWidth="1"/>
    <col min="11272" max="11273" width="8.33203125" style="52" customWidth="1"/>
    <col min="11274" max="11274" width="9" style="52" bestFit="1" customWidth="1"/>
    <col min="11275" max="11509" width="9" style="52"/>
    <col min="11510" max="11510" width="20.33203125" style="52" customWidth="1"/>
    <col min="11511" max="11511" width="8.33203125" style="52" customWidth="1"/>
    <col min="11512" max="11512" width="10" style="52" customWidth="1"/>
    <col min="11513" max="11513" width="8.33203125" style="52" customWidth="1"/>
    <col min="11514" max="11516" width="9.33203125" style="52" bestFit="1" customWidth="1"/>
    <col min="11517" max="11517" width="8.33203125" style="52" bestFit="1" customWidth="1"/>
    <col min="11518" max="11518" width="8.33203125" style="52" customWidth="1"/>
    <col min="11519" max="11521" width="9.33203125" style="52" bestFit="1" customWidth="1"/>
    <col min="11522" max="11522" width="8.33203125" style="52" bestFit="1" customWidth="1"/>
    <col min="11523" max="11523" width="8.33203125" style="52" customWidth="1"/>
    <col min="11524" max="11526" width="9.33203125" style="52" bestFit="1" customWidth="1"/>
    <col min="11527" max="11527" width="8.33203125" style="52" bestFit="1" customWidth="1"/>
    <col min="11528" max="11529" width="8.33203125" style="52" customWidth="1"/>
    <col min="11530" max="11530" width="9" style="52" bestFit="1" customWidth="1"/>
    <col min="11531" max="11765" width="9" style="52"/>
    <col min="11766" max="11766" width="20.33203125" style="52" customWidth="1"/>
    <col min="11767" max="11767" width="8.33203125" style="52" customWidth="1"/>
    <col min="11768" max="11768" width="10" style="52" customWidth="1"/>
    <col min="11769" max="11769" width="8.33203125" style="52" customWidth="1"/>
    <col min="11770" max="11772" width="9.33203125" style="52" bestFit="1" customWidth="1"/>
    <col min="11773" max="11773" width="8.33203125" style="52" bestFit="1" customWidth="1"/>
    <col min="11774" max="11774" width="8.33203125" style="52" customWidth="1"/>
    <col min="11775" max="11777" width="9.33203125" style="52" bestFit="1" customWidth="1"/>
    <col min="11778" max="11778" width="8.33203125" style="52" bestFit="1" customWidth="1"/>
    <col min="11779" max="11779" width="8.33203125" style="52" customWidth="1"/>
    <col min="11780" max="11782" width="9.33203125" style="52" bestFit="1" customWidth="1"/>
    <col min="11783" max="11783" width="8.33203125" style="52" bestFit="1" customWidth="1"/>
    <col min="11784" max="11785" width="8.33203125" style="52" customWidth="1"/>
    <col min="11786" max="11786" width="9" style="52" bestFit="1" customWidth="1"/>
    <col min="11787" max="12021" width="9" style="52"/>
    <col min="12022" max="12022" width="20.33203125" style="52" customWidth="1"/>
    <col min="12023" max="12023" width="8.33203125" style="52" customWidth="1"/>
    <col min="12024" max="12024" width="10" style="52" customWidth="1"/>
    <col min="12025" max="12025" width="8.33203125" style="52" customWidth="1"/>
    <col min="12026" max="12028" width="9.33203125" style="52" bestFit="1" customWidth="1"/>
    <col min="12029" max="12029" width="8.33203125" style="52" bestFit="1" customWidth="1"/>
    <col min="12030" max="12030" width="8.33203125" style="52" customWidth="1"/>
    <col min="12031" max="12033" width="9.33203125" style="52" bestFit="1" customWidth="1"/>
    <col min="12034" max="12034" width="8.33203125" style="52" bestFit="1" customWidth="1"/>
    <col min="12035" max="12035" width="8.33203125" style="52" customWidth="1"/>
    <col min="12036" max="12038" width="9.33203125" style="52" bestFit="1" customWidth="1"/>
    <col min="12039" max="12039" width="8.33203125" style="52" bestFit="1" customWidth="1"/>
    <col min="12040" max="12041" width="8.33203125" style="52" customWidth="1"/>
    <col min="12042" max="12042" width="9" style="52" bestFit="1" customWidth="1"/>
    <col min="12043" max="12277" width="9" style="52"/>
    <col min="12278" max="12278" width="20.33203125" style="52" customWidth="1"/>
    <col min="12279" max="12279" width="8.33203125" style="52" customWidth="1"/>
    <col min="12280" max="12280" width="10" style="52" customWidth="1"/>
    <col min="12281" max="12281" width="8.33203125" style="52" customWidth="1"/>
    <col min="12282" max="12284" width="9.33203125" style="52" bestFit="1" customWidth="1"/>
    <col min="12285" max="12285" width="8.33203125" style="52" bestFit="1" customWidth="1"/>
    <col min="12286" max="12286" width="8.33203125" style="52" customWidth="1"/>
    <col min="12287" max="12289" width="9.33203125" style="52" bestFit="1" customWidth="1"/>
    <col min="12290" max="12290" width="8.33203125" style="52" bestFit="1" customWidth="1"/>
    <col min="12291" max="12291" width="8.33203125" style="52" customWidth="1"/>
    <col min="12292" max="12294" width="9.33203125" style="52" bestFit="1" customWidth="1"/>
    <col min="12295" max="12295" width="8.33203125" style="52" bestFit="1" customWidth="1"/>
    <col min="12296" max="12297" width="8.33203125" style="52" customWidth="1"/>
    <col min="12298" max="12298" width="9" style="52" bestFit="1" customWidth="1"/>
    <col min="12299" max="12533" width="9" style="52"/>
    <col min="12534" max="12534" width="20.33203125" style="52" customWidth="1"/>
    <col min="12535" max="12535" width="8.33203125" style="52" customWidth="1"/>
    <col min="12536" max="12536" width="10" style="52" customWidth="1"/>
    <col min="12537" max="12537" width="8.33203125" style="52" customWidth="1"/>
    <col min="12538" max="12540" width="9.33203125" style="52" bestFit="1" customWidth="1"/>
    <col min="12541" max="12541" width="8.33203125" style="52" bestFit="1" customWidth="1"/>
    <col min="12542" max="12542" width="8.33203125" style="52" customWidth="1"/>
    <col min="12543" max="12545" width="9.33203125" style="52" bestFit="1" customWidth="1"/>
    <col min="12546" max="12546" width="8.33203125" style="52" bestFit="1" customWidth="1"/>
    <col min="12547" max="12547" width="8.33203125" style="52" customWidth="1"/>
    <col min="12548" max="12550" width="9.33203125" style="52" bestFit="1" customWidth="1"/>
    <col min="12551" max="12551" width="8.33203125" style="52" bestFit="1" customWidth="1"/>
    <col min="12552" max="12553" width="8.33203125" style="52" customWidth="1"/>
    <col min="12554" max="12554" width="9" style="52" bestFit="1" customWidth="1"/>
    <col min="12555" max="12789" width="9" style="52"/>
    <col min="12790" max="12790" width="20.33203125" style="52" customWidth="1"/>
    <col min="12791" max="12791" width="8.33203125" style="52" customWidth="1"/>
    <col min="12792" max="12792" width="10" style="52" customWidth="1"/>
    <col min="12793" max="12793" width="8.33203125" style="52" customWidth="1"/>
    <col min="12794" max="12796" width="9.33203125" style="52" bestFit="1" customWidth="1"/>
    <col min="12797" max="12797" width="8.33203125" style="52" bestFit="1" customWidth="1"/>
    <col min="12798" max="12798" width="8.33203125" style="52" customWidth="1"/>
    <col min="12799" max="12801" width="9.33203125" style="52" bestFit="1" customWidth="1"/>
    <col min="12802" max="12802" width="8.33203125" style="52" bestFit="1" customWidth="1"/>
    <col min="12803" max="12803" width="8.33203125" style="52" customWidth="1"/>
    <col min="12804" max="12806" width="9.33203125" style="52" bestFit="1" customWidth="1"/>
    <col min="12807" max="12807" width="8.33203125" style="52" bestFit="1" customWidth="1"/>
    <col min="12808" max="12809" width="8.33203125" style="52" customWidth="1"/>
    <col min="12810" max="12810" width="9" style="52" bestFit="1" customWidth="1"/>
    <col min="12811" max="13045" width="9" style="52"/>
    <col min="13046" max="13046" width="20.33203125" style="52" customWidth="1"/>
    <col min="13047" max="13047" width="8.33203125" style="52" customWidth="1"/>
    <col min="13048" max="13048" width="10" style="52" customWidth="1"/>
    <col min="13049" max="13049" width="8.33203125" style="52" customWidth="1"/>
    <col min="13050" max="13052" width="9.33203125" style="52" bestFit="1" customWidth="1"/>
    <col min="13053" max="13053" width="8.33203125" style="52" bestFit="1" customWidth="1"/>
    <col min="13054" max="13054" width="8.33203125" style="52" customWidth="1"/>
    <col min="13055" max="13057" width="9.33203125" style="52" bestFit="1" customWidth="1"/>
    <col min="13058" max="13058" width="8.33203125" style="52" bestFit="1" customWidth="1"/>
    <col min="13059" max="13059" width="8.33203125" style="52" customWidth="1"/>
    <col min="13060" max="13062" width="9.33203125" style="52" bestFit="1" customWidth="1"/>
    <col min="13063" max="13063" width="8.33203125" style="52" bestFit="1" customWidth="1"/>
    <col min="13064" max="13065" width="8.33203125" style="52" customWidth="1"/>
    <col min="13066" max="13066" width="9" style="52" bestFit="1" customWidth="1"/>
    <col min="13067" max="13301" width="9" style="52"/>
    <col min="13302" max="13302" width="20.33203125" style="52" customWidth="1"/>
    <col min="13303" max="13303" width="8.33203125" style="52" customWidth="1"/>
    <col min="13304" max="13304" width="10" style="52" customWidth="1"/>
    <col min="13305" max="13305" width="8.33203125" style="52" customWidth="1"/>
    <col min="13306" max="13308" width="9.33203125" style="52" bestFit="1" customWidth="1"/>
    <col min="13309" max="13309" width="8.33203125" style="52" bestFit="1" customWidth="1"/>
    <col min="13310" max="13310" width="8.33203125" style="52" customWidth="1"/>
    <col min="13311" max="13313" width="9.33203125" style="52" bestFit="1" customWidth="1"/>
    <col min="13314" max="13314" width="8.33203125" style="52" bestFit="1" customWidth="1"/>
    <col min="13315" max="13315" width="8.33203125" style="52" customWidth="1"/>
    <col min="13316" max="13318" width="9.33203125" style="52" bestFit="1" customWidth="1"/>
    <col min="13319" max="13319" width="8.33203125" style="52" bestFit="1" customWidth="1"/>
    <col min="13320" max="13321" width="8.33203125" style="52" customWidth="1"/>
    <col min="13322" max="13322" width="9" style="52" bestFit="1" customWidth="1"/>
    <col min="13323" max="13557" width="9" style="52"/>
    <col min="13558" max="13558" width="20.33203125" style="52" customWidth="1"/>
    <col min="13559" max="13559" width="8.33203125" style="52" customWidth="1"/>
    <col min="13560" max="13560" width="10" style="52" customWidth="1"/>
    <col min="13561" max="13561" width="8.33203125" style="52" customWidth="1"/>
    <col min="13562" max="13564" width="9.33203125" style="52" bestFit="1" customWidth="1"/>
    <col min="13565" max="13565" width="8.33203125" style="52" bestFit="1" customWidth="1"/>
    <col min="13566" max="13566" width="8.33203125" style="52" customWidth="1"/>
    <col min="13567" max="13569" width="9.33203125" style="52" bestFit="1" customWidth="1"/>
    <col min="13570" max="13570" width="8.33203125" style="52" bestFit="1" customWidth="1"/>
    <col min="13571" max="13571" width="8.33203125" style="52" customWidth="1"/>
    <col min="13572" max="13574" width="9.33203125" style="52" bestFit="1" customWidth="1"/>
    <col min="13575" max="13575" width="8.33203125" style="52" bestFit="1" customWidth="1"/>
    <col min="13576" max="13577" width="8.33203125" style="52" customWidth="1"/>
    <col min="13578" max="13578" width="9" style="52" bestFit="1" customWidth="1"/>
    <col min="13579" max="13813" width="9" style="52"/>
    <col min="13814" max="13814" width="20.33203125" style="52" customWidth="1"/>
    <col min="13815" max="13815" width="8.33203125" style="52" customWidth="1"/>
    <col min="13816" max="13816" width="10" style="52" customWidth="1"/>
    <col min="13817" max="13817" width="8.33203125" style="52" customWidth="1"/>
    <col min="13818" max="13820" width="9.33203125" style="52" bestFit="1" customWidth="1"/>
    <col min="13821" max="13821" width="8.33203125" style="52" bestFit="1" customWidth="1"/>
    <col min="13822" max="13822" width="8.33203125" style="52" customWidth="1"/>
    <col min="13823" max="13825" width="9.33203125" style="52" bestFit="1" customWidth="1"/>
    <col min="13826" max="13826" width="8.33203125" style="52" bestFit="1" customWidth="1"/>
    <col min="13827" max="13827" width="8.33203125" style="52" customWidth="1"/>
    <col min="13828" max="13830" width="9.33203125" style="52" bestFit="1" customWidth="1"/>
    <col min="13831" max="13831" width="8.33203125" style="52" bestFit="1" customWidth="1"/>
    <col min="13832" max="13833" width="8.33203125" style="52" customWidth="1"/>
    <col min="13834" max="13834" width="9" style="52" bestFit="1" customWidth="1"/>
    <col min="13835" max="14069" width="9" style="52"/>
    <col min="14070" max="14070" width="20.33203125" style="52" customWidth="1"/>
    <col min="14071" max="14071" width="8.33203125" style="52" customWidth="1"/>
    <col min="14072" max="14072" width="10" style="52" customWidth="1"/>
    <col min="14073" max="14073" width="8.33203125" style="52" customWidth="1"/>
    <col min="14074" max="14076" width="9.33203125" style="52" bestFit="1" customWidth="1"/>
    <col min="14077" max="14077" width="8.33203125" style="52" bestFit="1" customWidth="1"/>
    <col min="14078" max="14078" width="8.33203125" style="52" customWidth="1"/>
    <col min="14079" max="14081" width="9.33203125" style="52" bestFit="1" customWidth="1"/>
    <col min="14082" max="14082" width="8.33203125" style="52" bestFit="1" customWidth="1"/>
    <col min="14083" max="14083" width="8.33203125" style="52" customWidth="1"/>
    <col min="14084" max="14086" width="9.33203125" style="52" bestFit="1" customWidth="1"/>
    <col min="14087" max="14087" width="8.33203125" style="52" bestFit="1" customWidth="1"/>
    <col min="14088" max="14089" width="8.33203125" style="52" customWidth="1"/>
    <col min="14090" max="14090" width="9" style="52" bestFit="1" customWidth="1"/>
    <col min="14091" max="14325" width="9" style="52"/>
    <col min="14326" max="14326" width="20.33203125" style="52" customWidth="1"/>
    <col min="14327" max="14327" width="8.33203125" style="52" customWidth="1"/>
    <col min="14328" max="14328" width="10" style="52" customWidth="1"/>
    <col min="14329" max="14329" width="8.33203125" style="52" customWidth="1"/>
    <col min="14330" max="14332" width="9.33203125" style="52" bestFit="1" customWidth="1"/>
    <col min="14333" max="14333" width="8.33203125" style="52" bestFit="1" customWidth="1"/>
    <col min="14334" max="14334" width="8.33203125" style="52" customWidth="1"/>
    <col min="14335" max="14337" width="9.33203125" style="52" bestFit="1" customWidth="1"/>
    <col min="14338" max="14338" width="8.33203125" style="52" bestFit="1" customWidth="1"/>
    <col min="14339" max="14339" width="8.33203125" style="52" customWidth="1"/>
    <col min="14340" max="14342" width="9.33203125" style="52" bestFit="1" customWidth="1"/>
    <col min="14343" max="14343" width="8.33203125" style="52" bestFit="1" customWidth="1"/>
    <col min="14344" max="14345" width="8.33203125" style="52" customWidth="1"/>
    <col min="14346" max="14346" width="9" style="52" bestFit="1" customWidth="1"/>
    <col min="14347" max="14581" width="9" style="52"/>
    <col min="14582" max="14582" width="20.33203125" style="52" customWidth="1"/>
    <col min="14583" max="14583" width="8.33203125" style="52" customWidth="1"/>
    <col min="14584" max="14584" width="10" style="52" customWidth="1"/>
    <col min="14585" max="14585" width="8.33203125" style="52" customWidth="1"/>
    <col min="14586" max="14588" width="9.33203125" style="52" bestFit="1" customWidth="1"/>
    <col min="14589" max="14589" width="8.33203125" style="52" bestFit="1" customWidth="1"/>
    <col min="14590" max="14590" width="8.33203125" style="52" customWidth="1"/>
    <col min="14591" max="14593" width="9.33203125" style="52" bestFit="1" customWidth="1"/>
    <col min="14594" max="14594" width="8.33203125" style="52" bestFit="1" customWidth="1"/>
    <col min="14595" max="14595" width="8.33203125" style="52" customWidth="1"/>
    <col min="14596" max="14598" width="9.33203125" style="52" bestFit="1" customWidth="1"/>
    <col min="14599" max="14599" width="8.33203125" style="52" bestFit="1" customWidth="1"/>
    <col min="14600" max="14601" width="8.33203125" style="52" customWidth="1"/>
    <col min="14602" max="14602" width="9" style="52" bestFit="1" customWidth="1"/>
    <col min="14603" max="14837" width="9" style="52"/>
    <col min="14838" max="14838" width="20.33203125" style="52" customWidth="1"/>
    <col min="14839" max="14839" width="8.33203125" style="52" customWidth="1"/>
    <col min="14840" max="14840" width="10" style="52" customWidth="1"/>
    <col min="14841" max="14841" width="8.33203125" style="52" customWidth="1"/>
    <col min="14842" max="14844" width="9.33203125" style="52" bestFit="1" customWidth="1"/>
    <col min="14845" max="14845" width="8.33203125" style="52" bestFit="1" customWidth="1"/>
    <col min="14846" max="14846" width="8.33203125" style="52" customWidth="1"/>
    <col min="14847" max="14849" width="9.33203125" style="52" bestFit="1" customWidth="1"/>
    <col min="14850" max="14850" width="8.33203125" style="52" bestFit="1" customWidth="1"/>
    <col min="14851" max="14851" width="8.33203125" style="52" customWidth="1"/>
    <col min="14852" max="14854" width="9.33203125" style="52" bestFit="1" customWidth="1"/>
    <col min="14855" max="14855" width="8.33203125" style="52" bestFit="1" customWidth="1"/>
    <col min="14856" max="14857" width="8.33203125" style="52" customWidth="1"/>
    <col min="14858" max="14858" width="9" style="52" bestFit="1" customWidth="1"/>
    <col min="14859" max="15093" width="9" style="52"/>
    <col min="15094" max="15094" width="20.33203125" style="52" customWidth="1"/>
    <col min="15095" max="15095" width="8.33203125" style="52" customWidth="1"/>
    <col min="15096" max="15096" width="10" style="52" customWidth="1"/>
    <col min="15097" max="15097" width="8.33203125" style="52" customWidth="1"/>
    <col min="15098" max="15100" width="9.33203125" style="52" bestFit="1" customWidth="1"/>
    <col min="15101" max="15101" width="8.33203125" style="52" bestFit="1" customWidth="1"/>
    <col min="15102" max="15102" width="8.33203125" style="52" customWidth="1"/>
    <col min="15103" max="15105" width="9.33203125" style="52" bestFit="1" customWidth="1"/>
    <col min="15106" max="15106" width="8.33203125" style="52" bestFit="1" customWidth="1"/>
    <col min="15107" max="15107" width="8.33203125" style="52" customWidth="1"/>
    <col min="15108" max="15110" width="9.33203125" style="52" bestFit="1" customWidth="1"/>
    <col min="15111" max="15111" width="8.33203125" style="52" bestFit="1" customWidth="1"/>
    <col min="15112" max="15113" width="8.33203125" style="52" customWidth="1"/>
    <col min="15114" max="15114" width="9" style="52" bestFit="1" customWidth="1"/>
    <col min="15115" max="15349" width="9" style="52"/>
    <col min="15350" max="15350" width="20.33203125" style="52" customWidth="1"/>
    <col min="15351" max="15351" width="8.33203125" style="52" customWidth="1"/>
    <col min="15352" max="15352" width="10" style="52" customWidth="1"/>
    <col min="15353" max="15353" width="8.33203125" style="52" customWidth="1"/>
    <col min="15354" max="15356" width="9.33203125" style="52" bestFit="1" customWidth="1"/>
    <col min="15357" max="15357" width="8.33203125" style="52" bestFit="1" customWidth="1"/>
    <col min="15358" max="15358" width="8.33203125" style="52" customWidth="1"/>
    <col min="15359" max="15361" width="9.33203125" style="52" bestFit="1" customWidth="1"/>
    <col min="15362" max="15362" width="8.33203125" style="52" bestFit="1" customWidth="1"/>
    <col min="15363" max="15363" width="8.33203125" style="52" customWidth="1"/>
    <col min="15364" max="15366" width="9.33203125" style="52" bestFit="1" customWidth="1"/>
    <col min="15367" max="15367" width="8.33203125" style="52" bestFit="1" customWidth="1"/>
    <col min="15368" max="15369" width="8.33203125" style="52" customWidth="1"/>
    <col min="15370" max="15370" width="9" style="52" bestFit="1" customWidth="1"/>
    <col min="15371" max="15605" width="9" style="52"/>
    <col min="15606" max="15606" width="20.33203125" style="52" customWidth="1"/>
    <col min="15607" max="15607" width="8.33203125" style="52" customWidth="1"/>
    <col min="15608" max="15608" width="10" style="52" customWidth="1"/>
    <col min="15609" max="15609" width="8.33203125" style="52" customWidth="1"/>
    <col min="15610" max="15612" width="9.33203125" style="52" bestFit="1" customWidth="1"/>
    <col min="15613" max="15613" width="8.33203125" style="52" bestFit="1" customWidth="1"/>
    <col min="15614" max="15614" width="8.33203125" style="52" customWidth="1"/>
    <col min="15615" max="15617" width="9.33203125" style="52" bestFit="1" customWidth="1"/>
    <col min="15618" max="15618" width="8.33203125" style="52" bestFit="1" customWidth="1"/>
    <col min="15619" max="15619" width="8.33203125" style="52" customWidth="1"/>
    <col min="15620" max="15622" width="9.33203125" style="52" bestFit="1" customWidth="1"/>
    <col min="15623" max="15623" width="8.33203125" style="52" bestFit="1" customWidth="1"/>
    <col min="15624" max="15625" width="8.33203125" style="52" customWidth="1"/>
    <col min="15626" max="15626" width="9" style="52" bestFit="1" customWidth="1"/>
    <col min="15627" max="15861" width="9" style="52"/>
    <col min="15862" max="15862" width="20.33203125" style="52" customWidth="1"/>
    <col min="15863" max="15863" width="8.33203125" style="52" customWidth="1"/>
    <col min="15864" max="15864" width="10" style="52" customWidth="1"/>
    <col min="15865" max="15865" width="8.33203125" style="52" customWidth="1"/>
    <col min="15866" max="15868" width="9.33203125" style="52" bestFit="1" customWidth="1"/>
    <col min="15869" max="15869" width="8.33203125" style="52" bestFit="1" customWidth="1"/>
    <col min="15870" max="15870" width="8.33203125" style="52" customWidth="1"/>
    <col min="15871" max="15873" width="9.33203125" style="52" bestFit="1" customWidth="1"/>
    <col min="15874" max="15874" width="8.33203125" style="52" bestFit="1" customWidth="1"/>
    <col min="15875" max="15875" width="8.33203125" style="52" customWidth="1"/>
    <col min="15876" max="15878" width="9.33203125" style="52" bestFit="1" customWidth="1"/>
    <col min="15879" max="15879" width="8.33203125" style="52" bestFit="1" customWidth="1"/>
    <col min="15880" max="15881" width="8.33203125" style="52" customWidth="1"/>
    <col min="15882" max="15882" width="9" style="52" bestFit="1" customWidth="1"/>
    <col min="15883" max="16117" width="9" style="52"/>
    <col min="16118" max="16118" width="20.33203125" style="52" customWidth="1"/>
    <col min="16119" max="16119" width="8.33203125" style="52" customWidth="1"/>
    <col min="16120" max="16120" width="10" style="52" customWidth="1"/>
    <col min="16121" max="16121" width="8.33203125" style="52" customWidth="1"/>
    <col min="16122" max="16124" width="9.33203125" style="52" bestFit="1" customWidth="1"/>
    <col min="16125" max="16125" width="8.33203125" style="52" bestFit="1" customWidth="1"/>
    <col min="16126" max="16126" width="8.33203125" style="52" customWidth="1"/>
    <col min="16127" max="16129" width="9.33203125" style="52" bestFit="1" customWidth="1"/>
    <col min="16130" max="16130" width="8.33203125" style="52" bestFit="1" customWidth="1"/>
    <col min="16131" max="16131" width="8.33203125" style="52" customWidth="1"/>
    <col min="16132" max="16134" width="9.33203125" style="52" bestFit="1" customWidth="1"/>
    <col min="16135" max="16135" width="8.33203125" style="52" bestFit="1" customWidth="1"/>
    <col min="16136" max="16137" width="8.33203125" style="52" customWidth="1"/>
    <col min="16138" max="16138" width="9" style="52" bestFit="1" customWidth="1"/>
    <col min="16139" max="16384" width="9" style="52"/>
  </cols>
  <sheetData>
    <row r="1" spans="1:41" s="47" customFormat="1" ht="14.25" customHeight="1" thickBot="1">
      <c r="A1" s="185" t="s">
        <v>0</v>
      </c>
      <c r="B1" s="186"/>
      <c r="C1" s="38" t="s">
        <v>1</v>
      </c>
      <c r="D1" s="18" t="s">
        <v>111</v>
      </c>
      <c r="E1" s="172" t="s">
        <v>51</v>
      </c>
      <c r="F1" s="172"/>
      <c r="G1" s="172"/>
      <c r="H1" s="172"/>
      <c r="I1" s="45" t="s">
        <v>51</v>
      </c>
      <c r="J1" s="173" t="s">
        <v>44</v>
      </c>
      <c r="K1" s="173"/>
      <c r="L1" s="173"/>
      <c r="M1" s="173"/>
      <c r="N1" s="39" t="s">
        <v>44</v>
      </c>
      <c r="O1" s="173" t="s">
        <v>45</v>
      </c>
      <c r="P1" s="173"/>
      <c r="Q1" s="173"/>
      <c r="R1" s="173"/>
      <c r="S1" s="173"/>
      <c r="T1" s="39" t="s">
        <v>45</v>
      </c>
      <c r="U1" s="40" t="s">
        <v>46</v>
      </c>
      <c r="V1" s="172" t="s">
        <v>104</v>
      </c>
      <c r="W1" s="172"/>
      <c r="X1" s="172"/>
      <c r="Y1" s="172"/>
      <c r="Z1" s="45" t="s">
        <v>104</v>
      </c>
      <c r="AA1" s="173" t="s">
        <v>105</v>
      </c>
      <c r="AB1" s="173"/>
      <c r="AC1" s="173"/>
      <c r="AD1" s="173"/>
      <c r="AE1" s="39" t="s">
        <v>105</v>
      </c>
      <c r="AF1" s="173" t="s">
        <v>106</v>
      </c>
      <c r="AG1" s="173"/>
      <c r="AH1" s="173"/>
      <c r="AI1" s="173"/>
      <c r="AJ1" s="173"/>
      <c r="AK1" s="39" t="s">
        <v>106</v>
      </c>
      <c r="AL1" s="40" t="s">
        <v>107</v>
      </c>
      <c r="AN1" s="41" t="s">
        <v>46</v>
      </c>
      <c r="AO1" s="41" t="s">
        <v>107</v>
      </c>
    </row>
    <row r="2" spans="1:41" s="47" customFormat="1" ht="17" customHeight="1" thickBot="1">
      <c r="A2" s="174" t="s">
        <v>2</v>
      </c>
      <c r="B2" s="175"/>
      <c r="C2" s="38" t="s">
        <v>3</v>
      </c>
      <c r="D2" s="18" t="s">
        <v>4</v>
      </c>
      <c r="E2" s="42" t="s">
        <v>54</v>
      </c>
      <c r="F2" s="108">
        <v>44927</v>
      </c>
      <c r="G2" s="108">
        <v>44935</v>
      </c>
      <c r="H2" s="108">
        <v>44942</v>
      </c>
      <c r="I2" s="43" t="s">
        <v>55</v>
      </c>
      <c r="J2" s="108">
        <v>44949</v>
      </c>
      <c r="K2" s="108">
        <v>44956</v>
      </c>
      <c r="L2" s="108">
        <v>44963</v>
      </c>
      <c r="M2" s="108">
        <v>44970</v>
      </c>
      <c r="N2" s="39" t="s">
        <v>0</v>
      </c>
      <c r="O2" s="108">
        <v>44977</v>
      </c>
      <c r="P2" s="108">
        <v>44984</v>
      </c>
      <c r="Q2" s="108">
        <v>44991</v>
      </c>
      <c r="R2" s="108">
        <v>44998</v>
      </c>
      <c r="S2" s="108">
        <v>45005</v>
      </c>
      <c r="T2" s="39" t="s">
        <v>0</v>
      </c>
      <c r="U2" s="40" t="s">
        <v>0</v>
      </c>
      <c r="V2" s="108">
        <v>45012</v>
      </c>
      <c r="W2" s="108">
        <v>45019</v>
      </c>
      <c r="X2" s="108">
        <v>45026</v>
      </c>
      <c r="Y2" s="108">
        <v>45033</v>
      </c>
      <c r="Z2" s="109" t="s">
        <v>55</v>
      </c>
      <c r="AA2" s="108">
        <v>45040</v>
      </c>
      <c r="AB2" s="108">
        <v>45047</v>
      </c>
      <c r="AC2" s="108">
        <v>45054</v>
      </c>
      <c r="AD2" s="108">
        <v>45061</v>
      </c>
      <c r="AE2" s="108" t="s">
        <v>0</v>
      </c>
      <c r="AF2" s="108">
        <v>45068</v>
      </c>
      <c r="AG2" s="108">
        <v>45075</v>
      </c>
      <c r="AH2" s="108">
        <v>45082</v>
      </c>
      <c r="AI2" s="108">
        <v>45089</v>
      </c>
      <c r="AJ2" s="108">
        <v>45096</v>
      </c>
      <c r="AK2" s="39" t="s">
        <v>0</v>
      </c>
      <c r="AL2" s="40" t="s">
        <v>0</v>
      </c>
      <c r="AN2" s="44"/>
      <c r="AO2" s="44"/>
    </row>
    <row r="3" spans="1:41" s="29" customFormat="1">
      <c r="A3" s="196" t="s">
        <v>116</v>
      </c>
      <c r="B3" s="25" t="s">
        <v>5</v>
      </c>
      <c r="C3" s="26"/>
      <c r="D3" s="26"/>
      <c r="E3" s="27">
        <v>0</v>
      </c>
      <c r="F3" s="27">
        <v>0</v>
      </c>
      <c r="G3" s="27">
        <v>-171</v>
      </c>
      <c r="H3" s="27">
        <v>0</v>
      </c>
      <c r="I3" s="26">
        <v>-171</v>
      </c>
      <c r="J3" s="27">
        <v>0</v>
      </c>
      <c r="K3" s="27">
        <v>0</v>
      </c>
      <c r="L3" s="27">
        <v>0</v>
      </c>
      <c r="M3" s="27">
        <v>0</v>
      </c>
      <c r="N3" s="26">
        <v>0</v>
      </c>
      <c r="O3" s="27">
        <v>0</v>
      </c>
      <c r="P3" s="27">
        <v>0</v>
      </c>
      <c r="Q3" s="27">
        <v>0</v>
      </c>
      <c r="R3" s="27">
        <v>0</v>
      </c>
      <c r="S3" s="27">
        <v>0</v>
      </c>
      <c r="T3" s="26">
        <v>0</v>
      </c>
      <c r="U3" s="28">
        <v>-171</v>
      </c>
      <c r="V3" s="27">
        <v>0</v>
      </c>
      <c r="W3" s="27">
        <v>0</v>
      </c>
      <c r="X3" s="27">
        <v>0</v>
      </c>
      <c r="Y3" s="27">
        <v>0</v>
      </c>
      <c r="Z3" s="26">
        <v>0</v>
      </c>
      <c r="AA3" s="27">
        <v>0</v>
      </c>
      <c r="AB3" s="27">
        <v>0</v>
      </c>
      <c r="AC3" s="27">
        <v>0</v>
      </c>
      <c r="AD3" s="27">
        <v>0</v>
      </c>
      <c r="AE3" s="26">
        <v>0</v>
      </c>
      <c r="AF3" s="27">
        <v>0</v>
      </c>
      <c r="AG3" s="27">
        <v>0</v>
      </c>
      <c r="AH3" s="27">
        <v>0</v>
      </c>
      <c r="AI3" s="27">
        <v>0</v>
      </c>
      <c r="AJ3" s="27">
        <v>0</v>
      </c>
      <c r="AK3" s="26">
        <v>0</v>
      </c>
      <c r="AL3" s="28">
        <v>0</v>
      </c>
      <c r="AM3" s="29">
        <v>32</v>
      </c>
      <c r="AN3" s="131">
        <v>-5472</v>
      </c>
    </row>
    <row r="4" spans="1:41" s="29" customFormat="1">
      <c r="A4" s="197"/>
      <c r="B4" s="31" t="s">
        <v>6</v>
      </c>
      <c r="C4" s="26"/>
      <c r="D4" s="26"/>
      <c r="E4" s="27">
        <v>0</v>
      </c>
      <c r="F4" s="27">
        <v>0</v>
      </c>
      <c r="G4" s="27">
        <v>0</v>
      </c>
      <c r="H4" s="27">
        <v>0</v>
      </c>
      <c r="I4" s="26">
        <v>0</v>
      </c>
      <c r="J4" s="27">
        <v>0</v>
      </c>
      <c r="K4" s="27">
        <v>0</v>
      </c>
      <c r="L4" s="27">
        <v>0</v>
      </c>
      <c r="M4" s="27">
        <v>0</v>
      </c>
      <c r="N4" s="26">
        <v>0</v>
      </c>
      <c r="O4" s="27">
        <v>0</v>
      </c>
      <c r="P4" s="27">
        <v>0</v>
      </c>
      <c r="Q4" s="27">
        <v>0</v>
      </c>
      <c r="R4" s="27">
        <v>0</v>
      </c>
      <c r="S4" s="27">
        <v>0</v>
      </c>
      <c r="T4" s="26">
        <v>0</v>
      </c>
      <c r="U4" s="28">
        <v>0</v>
      </c>
      <c r="V4" s="27">
        <v>0</v>
      </c>
      <c r="W4" s="27">
        <v>0</v>
      </c>
      <c r="X4" s="27">
        <v>0</v>
      </c>
      <c r="Y4" s="27">
        <v>0</v>
      </c>
      <c r="Z4" s="26">
        <v>0</v>
      </c>
      <c r="AA4" s="27">
        <v>0</v>
      </c>
      <c r="AB4" s="27">
        <v>0</v>
      </c>
      <c r="AC4" s="27">
        <v>0</v>
      </c>
      <c r="AD4" s="27">
        <v>0</v>
      </c>
      <c r="AE4" s="26">
        <v>0</v>
      </c>
      <c r="AF4" s="27">
        <v>0</v>
      </c>
      <c r="AG4" s="27">
        <v>0</v>
      </c>
      <c r="AH4" s="27">
        <v>0</v>
      </c>
      <c r="AI4" s="27">
        <v>0</v>
      </c>
      <c r="AJ4" s="27">
        <v>0</v>
      </c>
      <c r="AK4" s="26">
        <v>0</v>
      </c>
      <c r="AL4" s="28">
        <v>0</v>
      </c>
      <c r="AN4" s="131">
        <v>0</v>
      </c>
    </row>
    <row r="5" spans="1:41" s="29" customFormat="1">
      <c r="A5" s="197"/>
      <c r="B5" s="31" t="s">
        <v>10</v>
      </c>
      <c r="C5" s="26">
        <v>0</v>
      </c>
      <c r="D5" s="26"/>
      <c r="E5" s="27"/>
      <c r="F5" s="27"/>
      <c r="G5" s="27"/>
      <c r="H5" s="27">
        <v>0</v>
      </c>
      <c r="I5" s="26">
        <v>0</v>
      </c>
      <c r="J5" s="27"/>
      <c r="K5" s="27"/>
      <c r="L5" s="27"/>
      <c r="M5" s="27"/>
      <c r="N5" s="26">
        <v>0</v>
      </c>
      <c r="O5" s="27"/>
      <c r="P5" s="27"/>
      <c r="Q5" s="27"/>
      <c r="R5" s="27"/>
      <c r="S5" s="27"/>
      <c r="T5" s="26">
        <v>0</v>
      </c>
      <c r="U5" s="28">
        <v>0</v>
      </c>
      <c r="V5" s="27"/>
      <c r="W5" s="27"/>
      <c r="X5" s="27"/>
      <c r="Y5" s="27"/>
      <c r="Z5" s="26">
        <v>0</v>
      </c>
      <c r="AA5" s="27"/>
      <c r="AB5" s="27"/>
      <c r="AC5" s="27"/>
      <c r="AD5" s="27"/>
      <c r="AE5" s="26">
        <v>0</v>
      </c>
      <c r="AF5" s="27"/>
      <c r="AG5" s="27"/>
      <c r="AH5" s="27"/>
      <c r="AI5" s="27"/>
      <c r="AJ5" s="27"/>
      <c r="AK5" s="26">
        <v>0</v>
      </c>
      <c r="AL5" s="28">
        <v>0</v>
      </c>
      <c r="AN5" s="131">
        <v>0</v>
      </c>
    </row>
    <row r="6" spans="1:41" s="29" customFormat="1">
      <c r="A6" s="197"/>
      <c r="B6" s="31" t="s">
        <v>115</v>
      </c>
      <c r="C6" s="26"/>
      <c r="D6" s="26"/>
      <c r="E6" s="27">
        <v>0</v>
      </c>
      <c r="F6" s="27">
        <v>0</v>
      </c>
      <c r="G6" s="27">
        <v>0</v>
      </c>
      <c r="H6" s="27">
        <v>0</v>
      </c>
      <c r="I6" s="26">
        <v>0</v>
      </c>
      <c r="J6" s="27">
        <v>0</v>
      </c>
      <c r="K6" s="27">
        <v>0</v>
      </c>
      <c r="L6" s="27">
        <v>0</v>
      </c>
      <c r="M6" s="27">
        <v>0</v>
      </c>
      <c r="N6" s="26">
        <v>0</v>
      </c>
      <c r="O6" s="27">
        <v>0</v>
      </c>
      <c r="P6" s="27">
        <v>0</v>
      </c>
      <c r="Q6" s="27">
        <v>0</v>
      </c>
      <c r="R6" s="27">
        <v>0</v>
      </c>
      <c r="S6" s="27">
        <v>0</v>
      </c>
      <c r="T6" s="26">
        <v>0</v>
      </c>
      <c r="U6" s="28">
        <v>0</v>
      </c>
      <c r="V6" s="27">
        <v>0</v>
      </c>
      <c r="W6" s="27">
        <v>0</v>
      </c>
      <c r="X6" s="27">
        <v>0</v>
      </c>
      <c r="Y6" s="27">
        <v>0</v>
      </c>
      <c r="Z6" s="26">
        <v>171</v>
      </c>
      <c r="AA6" s="27">
        <v>0</v>
      </c>
      <c r="AB6" s="27">
        <v>0</v>
      </c>
      <c r="AC6" s="27">
        <v>0</v>
      </c>
      <c r="AD6" s="27">
        <v>0</v>
      </c>
      <c r="AE6" s="26">
        <v>0</v>
      </c>
      <c r="AF6" s="27">
        <v>0</v>
      </c>
      <c r="AG6" s="27">
        <v>0</v>
      </c>
      <c r="AH6" s="27">
        <v>0</v>
      </c>
      <c r="AI6" s="27">
        <v>0</v>
      </c>
      <c r="AJ6" s="27">
        <v>0</v>
      </c>
      <c r="AK6" s="26">
        <v>0</v>
      </c>
      <c r="AL6" s="28">
        <v>171</v>
      </c>
      <c r="AN6" s="131">
        <v>0</v>
      </c>
    </row>
    <row r="7" spans="1:41" s="29" customFormat="1">
      <c r="A7" s="198"/>
      <c r="B7" s="33" t="s">
        <v>8</v>
      </c>
      <c r="C7" s="34">
        <v>171</v>
      </c>
      <c r="D7" s="35"/>
      <c r="E7" s="21">
        <v>0</v>
      </c>
      <c r="F7" s="21">
        <v>0</v>
      </c>
      <c r="G7" s="21">
        <v>171</v>
      </c>
      <c r="H7" s="21">
        <v>171</v>
      </c>
      <c r="I7" s="20">
        <v>171</v>
      </c>
      <c r="J7" s="21">
        <v>171</v>
      </c>
      <c r="K7" s="21">
        <v>171</v>
      </c>
      <c r="L7" s="21">
        <v>171</v>
      </c>
      <c r="M7" s="21">
        <v>171</v>
      </c>
      <c r="N7" s="20">
        <v>171</v>
      </c>
      <c r="O7" s="21">
        <v>171</v>
      </c>
      <c r="P7" s="21">
        <v>171</v>
      </c>
      <c r="Q7" s="21">
        <v>171</v>
      </c>
      <c r="R7" s="21">
        <v>171</v>
      </c>
      <c r="S7" s="21">
        <v>171</v>
      </c>
      <c r="T7" s="20">
        <v>171</v>
      </c>
      <c r="U7" s="22">
        <v>171</v>
      </c>
      <c r="V7" s="21">
        <v>0</v>
      </c>
      <c r="W7" s="21">
        <v>0</v>
      </c>
      <c r="X7" s="21">
        <v>0</v>
      </c>
      <c r="Y7" s="21">
        <v>0</v>
      </c>
      <c r="Z7" s="20">
        <v>171</v>
      </c>
      <c r="AA7" s="21">
        <v>171</v>
      </c>
      <c r="AB7" s="21">
        <v>171</v>
      </c>
      <c r="AC7" s="21">
        <v>171</v>
      </c>
      <c r="AD7" s="21">
        <v>171</v>
      </c>
      <c r="AE7" s="20">
        <v>171</v>
      </c>
      <c r="AF7" s="21">
        <v>171</v>
      </c>
      <c r="AG7" s="21">
        <v>171</v>
      </c>
      <c r="AH7" s="21">
        <v>171</v>
      </c>
      <c r="AI7" s="21">
        <v>171</v>
      </c>
      <c r="AJ7" s="21">
        <v>171</v>
      </c>
      <c r="AK7" s="20">
        <v>171</v>
      </c>
      <c r="AL7" s="22">
        <v>342</v>
      </c>
      <c r="AN7" s="131">
        <v>0</v>
      </c>
    </row>
    <row r="8" spans="1:41" s="29" customFormat="1" ht="17" thickBot="1">
      <c r="A8" s="36"/>
      <c r="B8" s="31" t="s">
        <v>9</v>
      </c>
      <c r="C8" s="26"/>
      <c r="D8" s="26"/>
      <c r="E8" s="132" t="e">
        <v>#DIV/0!</v>
      </c>
      <c r="F8" s="132" t="e">
        <v>#DIV/0!</v>
      </c>
      <c r="G8" s="132" t="e">
        <v>#DIV/0!</v>
      </c>
      <c r="H8" s="132" t="e">
        <v>#DIV/0!</v>
      </c>
      <c r="I8" s="23"/>
      <c r="J8" s="132" t="e">
        <v>#DIV/0!</v>
      </c>
      <c r="K8" s="132" t="e">
        <v>#DIV/0!</v>
      </c>
      <c r="L8" s="132" t="e">
        <v>#DIV/0!</v>
      </c>
      <c r="M8" s="132" t="e">
        <v>#DIV/0!</v>
      </c>
      <c r="N8" s="23"/>
      <c r="O8" s="132">
        <v>0</v>
      </c>
      <c r="P8" s="132">
        <v>0</v>
      </c>
      <c r="Q8" s="132">
        <v>0</v>
      </c>
      <c r="R8" s="132">
        <v>0</v>
      </c>
      <c r="S8" s="132">
        <v>0</v>
      </c>
      <c r="T8" s="23"/>
      <c r="U8" s="24"/>
      <c r="V8" s="132" t="e">
        <v>#DIV/0!</v>
      </c>
      <c r="W8" s="132" t="e">
        <v>#DIV/0!</v>
      </c>
      <c r="X8" s="132" t="e">
        <v>#DIV/0!</v>
      </c>
      <c r="Y8" s="132" t="e">
        <v>#DIV/0!</v>
      </c>
      <c r="Z8" s="23"/>
      <c r="AA8" s="132" t="e">
        <v>#DIV/0!</v>
      </c>
      <c r="AB8" s="132" t="e">
        <v>#DIV/0!</v>
      </c>
      <c r="AC8" s="132" t="e">
        <v>#DIV/0!</v>
      </c>
      <c r="AD8" s="132" t="e">
        <v>#DIV/0!</v>
      </c>
      <c r="AE8" s="23"/>
      <c r="AF8" s="132">
        <v>0</v>
      </c>
      <c r="AG8" s="132">
        <v>0</v>
      </c>
      <c r="AH8" s="132">
        <v>0</v>
      </c>
      <c r="AI8" s="132">
        <v>0</v>
      </c>
      <c r="AJ8" s="132">
        <v>0</v>
      </c>
      <c r="AK8" s="23"/>
      <c r="AL8" s="24"/>
      <c r="AN8" s="131">
        <v>0</v>
      </c>
    </row>
    <row r="9" spans="1:41" s="29" customFormat="1" ht="16.25" customHeight="1" thickBot="1">
      <c r="A9" s="190" t="s">
        <v>15</v>
      </c>
      <c r="B9" s="133" t="s">
        <v>5</v>
      </c>
      <c r="C9" s="20"/>
      <c r="D9" s="93"/>
      <c r="E9" s="134">
        <v>0</v>
      </c>
      <c r="F9" s="135">
        <v>15000</v>
      </c>
      <c r="G9" s="135">
        <v>14446</v>
      </c>
      <c r="H9" s="136">
        <v>2624</v>
      </c>
      <c r="I9" s="21">
        <v>32070</v>
      </c>
      <c r="J9" s="134">
        <v>42283</v>
      </c>
      <c r="K9" s="135">
        <v>9450</v>
      </c>
      <c r="L9" s="135">
        <v>15182</v>
      </c>
      <c r="M9" s="136">
        <v>11906</v>
      </c>
      <c r="N9" s="21">
        <v>78821</v>
      </c>
      <c r="O9" s="134">
        <v>35296</v>
      </c>
      <c r="P9" s="135">
        <v>38986</v>
      </c>
      <c r="Q9" s="135">
        <v>2117</v>
      </c>
      <c r="R9" s="135">
        <v>36381</v>
      </c>
      <c r="S9" s="136">
        <v>34064</v>
      </c>
      <c r="T9" s="137">
        <v>146844</v>
      </c>
      <c r="U9" s="138">
        <v>318482</v>
      </c>
      <c r="V9" s="134">
        <v>0</v>
      </c>
      <c r="W9" s="135">
        <v>700</v>
      </c>
      <c r="X9" s="135">
        <v>0</v>
      </c>
      <c r="Y9" s="136">
        <v>0</v>
      </c>
      <c r="Z9" s="21">
        <v>700</v>
      </c>
      <c r="AA9" s="134">
        <v>16000</v>
      </c>
      <c r="AB9" s="135">
        <v>0</v>
      </c>
      <c r="AC9" s="135">
        <v>0</v>
      </c>
      <c r="AD9" s="136">
        <v>3735</v>
      </c>
      <c r="AE9" s="21">
        <v>19735</v>
      </c>
      <c r="AF9" s="134">
        <v>0</v>
      </c>
      <c r="AG9" s="135">
        <v>0</v>
      </c>
      <c r="AH9" s="135">
        <v>0</v>
      </c>
      <c r="AI9" s="135">
        <v>0</v>
      </c>
      <c r="AJ9" s="136">
        <v>0</v>
      </c>
      <c r="AK9" s="137">
        <v>0</v>
      </c>
      <c r="AL9" s="22">
        <v>20435</v>
      </c>
      <c r="AM9" s="11">
        <v>32</v>
      </c>
      <c r="AN9" s="131">
        <v>10191424</v>
      </c>
      <c r="AO9" s="131">
        <v>653920</v>
      </c>
    </row>
    <row r="10" spans="1:41" s="139" customFormat="1" ht="16.25" customHeight="1" thickBot="1">
      <c r="A10" s="191"/>
      <c r="B10" s="133" t="s">
        <v>6</v>
      </c>
      <c r="C10" s="20"/>
      <c r="D10" s="93"/>
      <c r="E10" s="93">
        <v>0</v>
      </c>
      <c r="F10" s="21">
        <v>15000</v>
      </c>
      <c r="G10" s="21">
        <v>36000</v>
      </c>
      <c r="H10" s="137">
        <v>61000</v>
      </c>
      <c r="I10" s="26">
        <v>112000</v>
      </c>
      <c r="J10" s="93">
        <v>0</v>
      </c>
      <c r="K10" s="21">
        <v>20000</v>
      </c>
      <c r="L10" s="21">
        <v>20000</v>
      </c>
      <c r="M10" s="137">
        <v>40000</v>
      </c>
      <c r="N10" s="26">
        <v>80000</v>
      </c>
      <c r="O10" s="93">
        <v>20000</v>
      </c>
      <c r="P10" s="21">
        <v>20000</v>
      </c>
      <c r="Q10" s="21">
        <v>20000</v>
      </c>
      <c r="R10" s="21">
        <v>40000</v>
      </c>
      <c r="S10" s="137">
        <v>20000</v>
      </c>
      <c r="T10" s="26">
        <v>120000</v>
      </c>
      <c r="U10" s="138"/>
      <c r="V10" s="93">
        <v>20000</v>
      </c>
      <c r="W10" s="21">
        <v>0</v>
      </c>
      <c r="X10" s="21">
        <v>0</v>
      </c>
      <c r="Y10" s="137">
        <v>0</v>
      </c>
      <c r="Z10" s="26">
        <v>20000</v>
      </c>
      <c r="AA10" s="93">
        <v>0</v>
      </c>
      <c r="AB10" s="21">
        <v>0</v>
      </c>
      <c r="AC10" s="21">
        <v>0</v>
      </c>
      <c r="AD10" s="137">
        <v>0</v>
      </c>
      <c r="AE10" s="26">
        <v>0</v>
      </c>
      <c r="AF10" s="93">
        <v>0</v>
      </c>
      <c r="AG10" s="21">
        <v>0</v>
      </c>
      <c r="AH10" s="21">
        <v>0</v>
      </c>
      <c r="AI10" s="21">
        <v>0</v>
      </c>
      <c r="AJ10" s="137">
        <v>0</v>
      </c>
      <c r="AK10" s="26">
        <v>0</v>
      </c>
      <c r="AL10" s="22"/>
      <c r="AM10" s="11"/>
      <c r="AN10" s="131">
        <v>0</v>
      </c>
      <c r="AO10" s="131">
        <v>0</v>
      </c>
    </row>
    <row r="11" spans="1:41" s="29" customFormat="1" ht="15" customHeight="1">
      <c r="A11" s="191"/>
      <c r="B11" s="31" t="s">
        <v>10</v>
      </c>
      <c r="C11" s="20">
        <v>11625</v>
      </c>
      <c r="D11" s="93"/>
      <c r="E11" s="93"/>
      <c r="F11" s="21"/>
      <c r="G11" s="21"/>
      <c r="H11" s="137">
        <v>11625</v>
      </c>
      <c r="I11" s="26">
        <v>11625</v>
      </c>
      <c r="J11" s="93"/>
      <c r="K11" s="21"/>
      <c r="L11" s="21"/>
      <c r="M11" s="137"/>
      <c r="N11" s="26">
        <v>0</v>
      </c>
      <c r="O11" s="93"/>
      <c r="P11" s="21"/>
      <c r="Q11" s="21"/>
      <c r="R11" s="21"/>
      <c r="S11" s="137"/>
      <c r="T11" s="26">
        <v>0</v>
      </c>
      <c r="U11" s="138"/>
      <c r="V11" s="93"/>
      <c r="W11" s="21"/>
      <c r="X11" s="21"/>
      <c r="Y11" s="137"/>
      <c r="Z11" s="26">
        <v>0</v>
      </c>
      <c r="AA11" s="93"/>
      <c r="AB11" s="21"/>
      <c r="AC11" s="21"/>
      <c r="AD11" s="137"/>
      <c r="AE11" s="26">
        <v>0</v>
      </c>
      <c r="AF11" s="93"/>
      <c r="AG11" s="21"/>
      <c r="AH11" s="21"/>
      <c r="AI11" s="21"/>
      <c r="AJ11" s="137"/>
      <c r="AK11" s="26">
        <v>0</v>
      </c>
      <c r="AL11" s="28">
        <v>0</v>
      </c>
      <c r="AM11" s="11"/>
      <c r="AN11" s="131">
        <v>0</v>
      </c>
      <c r="AO11" s="131">
        <v>0</v>
      </c>
    </row>
    <row r="12" spans="1:41" s="29" customFormat="1" ht="15.75" customHeight="1">
      <c r="A12" s="191"/>
      <c r="B12" s="31" t="s">
        <v>7</v>
      </c>
      <c r="C12" s="20"/>
      <c r="D12" s="93"/>
      <c r="E12" s="93">
        <v>0</v>
      </c>
      <c r="F12" s="21">
        <v>15000</v>
      </c>
      <c r="G12" s="21">
        <v>36000</v>
      </c>
      <c r="H12" s="137">
        <v>72625</v>
      </c>
      <c r="I12" s="21">
        <v>123625</v>
      </c>
      <c r="J12" s="93">
        <v>0</v>
      </c>
      <c r="K12" s="21">
        <v>20000</v>
      </c>
      <c r="L12" s="21">
        <v>20000</v>
      </c>
      <c r="M12" s="137">
        <v>40000</v>
      </c>
      <c r="N12" s="21">
        <v>80000</v>
      </c>
      <c r="O12" s="93">
        <v>20000</v>
      </c>
      <c r="P12" s="21">
        <v>20000</v>
      </c>
      <c r="Q12" s="21">
        <v>20000</v>
      </c>
      <c r="R12" s="21">
        <v>40000</v>
      </c>
      <c r="S12" s="137">
        <v>20000</v>
      </c>
      <c r="T12" s="137">
        <v>120000</v>
      </c>
      <c r="U12" s="138">
        <v>384372</v>
      </c>
      <c r="V12" s="93">
        <v>20000</v>
      </c>
      <c r="W12" s="21">
        <v>0</v>
      </c>
      <c r="X12" s="21">
        <v>0</v>
      </c>
      <c r="Y12" s="137">
        <v>0</v>
      </c>
      <c r="Z12" s="21">
        <v>20000</v>
      </c>
      <c r="AA12" s="93">
        <v>0</v>
      </c>
      <c r="AB12" s="21">
        <v>0</v>
      </c>
      <c r="AC12" s="21">
        <v>0</v>
      </c>
      <c r="AD12" s="137">
        <v>0</v>
      </c>
      <c r="AE12" s="21">
        <v>0</v>
      </c>
      <c r="AF12" s="93">
        <v>0</v>
      </c>
      <c r="AG12" s="21">
        <v>0</v>
      </c>
      <c r="AH12" s="21">
        <v>0</v>
      </c>
      <c r="AI12" s="21">
        <v>0</v>
      </c>
      <c r="AJ12" s="137">
        <v>0</v>
      </c>
      <c r="AK12" s="137">
        <v>0</v>
      </c>
      <c r="AL12" s="22">
        <v>20000</v>
      </c>
      <c r="AM12" s="11"/>
      <c r="AN12" s="131">
        <v>0</v>
      </c>
      <c r="AO12" s="131">
        <v>0</v>
      </c>
    </row>
    <row r="13" spans="1:41" s="29" customFormat="1" ht="15.75" customHeight="1" thickBot="1">
      <c r="A13" s="192"/>
      <c r="B13" s="31" t="s">
        <v>8</v>
      </c>
      <c r="C13" s="140">
        <v>74963</v>
      </c>
      <c r="D13" s="141">
        <v>60747</v>
      </c>
      <c r="E13" s="142">
        <v>0</v>
      </c>
      <c r="F13" s="143">
        <v>0</v>
      </c>
      <c r="G13" s="143">
        <v>21554</v>
      </c>
      <c r="H13" s="144">
        <v>70001</v>
      </c>
      <c r="I13" s="21">
        <v>91555</v>
      </c>
      <c r="J13" s="142">
        <v>49272</v>
      </c>
      <c r="K13" s="143">
        <v>59822</v>
      </c>
      <c r="L13" s="143">
        <v>64640</v>
      </c>
      <c r="M13" s="144">
        <v>92734</v>
      </c>
      <c r="N13" s="21">
        <v>92734</v>
      </c>
      <c r="O13" s="142">
        <v>77438</v>
      </c>
      <c r="P13" s="143">
        <v>58452</v>
      </c>
      <c r="Q13" s="143">
        <v>76335</v>
      </c>
      <c r="R13" s="143">
        <v>79954</v>
      </c>
      <c r="S13" s="144">
        <v>65890</v>
      </c>
      <c r="T13" s="137">
        <v>65890</v>
      </c>
      <c r="U13" s="138">
        <v>65890</v>
      </c>
      <c r="V13" s="142">
        <v>85890</v>
      </c>
      <c r="W13" s="143">
        <v>85190</v>
      </c>
      <c r="X13" s="143">
        <v>85190</v>
      </c>
      <c r="Y13" s="143">
        <v>85190</v>
      </c>
      <c r="Z13" s="21">
        <v>85190</v>
      </c>
      <c r="AA13" s="142">
        <v>69190</v>
      </c>
      <c r="AB13" s="143">
        <v>69190</v>
      </c>
      <c r="AC13" s="143">
        <v>69190</v>
      </c>
      <c r="AD13" s="144">
        <v>65455</v>
      </c>
      <c r="AE13" s="21">
        <v>65455</v>
      </c>
      <c r="AF13" s="142">
        <v>65455</v>
      </c>
      <c r="AG13" s="143">
        <v>65455</v>
      </c>
      <c r="AH13" s="143">
        <v>65455</v>
      </c>
      <c r="AI13" s="143">
        <v>65455</v>
      </c>
      <c r="AJ13" s="144">
        <v>65455</v>
      </c>
      <c r="AK13" s="137">
        <v>65455</v>
      </c>
      <c r="AL13" s="22">
        <v>65455</v>
      </c>
      <c r="AM13" s="11"/>
      <c r="AN13" s="131">
        <v>0</v>
      </c>
      <c r="AO13" s="131">
        <v>0</v>
      </c>
    </row>
    <row r="14" spans="1:41" s="29" customFormat="1" ht="16.25" customHeight="1" thickBot="1">
      <c r="A14" s="145"/>
      <c r="B14" s="31" t="s">
        <v>9</v>
      </c>
      <c r="C14" s="20"/>
      <c r="D14" s="20"/>
      <c r="E14" s="146" t="e">
        <v>#REF!</v>
      </c>
      <c r="F14" s="146" t="e">
        <v>#REF!</v>
      </c>
      <c r="G14" s="146" t="e">
        <v>#REF!</v>
      </c>
      <c r="H14" s="146" t="e">
        <v>#REF!</v>
      </c>
      <c r="I14" s="23"/>
      <c r="J14" s="146">
        <v>13718.294957819417</v>
      </c>
      <c r="K14" s="146">
        <v>11802.702969320311</v>
      </c>
      <c r="L14" s="146">
        <v>14640.167600928598</v>
      </c>
      <c r="M14" s="146">
        <v>16445.114381982621</v>
      </c>
      <c r="N14" s="23"/>
      <c r="O14" s="146">
        <v>13884.247140244559</v>
      </c>
      <c r="P14" s="146" t="e">
        <v>#REF!</v>
      </c>
      <c r="Q14" s="146" t="e">
        <v>#REF!</v>
      </c>
      <c r="R14" s="146" t="e">
        <v>#REF!</v>
      </c>
      <c r="S14" s="146" t="e">
        <v>#REF!</v>
      </c>
      <c r="T14" s="23"/>
      <c r="U14" s="24"/>
      <c r="V14" s="146" t="e">
        <v>#REF!</v>
      </c>
      <c r="W14" s="146" t="e">
        <v>#REF!</v>
      </c>
      <c r="X14" s="146" t="e">
        <v>#REF!</v>
      </c>
      <c r="Y14" s="146" t="e">
        <v>#REF!</v>
      </c>
      <c r="Z14" s="23"/>
      <c r="AA14" s="146">
        <v>370495.31459170015</v>
      </c>
      <c r="AB14" s="146">
        <v>370495.31459170015</v>
      </c>
      <c r="AC14" s="146">
        <v>370495.31459170015</v>
      </c>
      <c r="AD14" s="146" t="e">
        <v>#DIV/0!</v>
      </c>
      <c r="AE14" s="23"/>
      <c r="AF14" s="146" t="e">
        <v>#DIV/0!</v>
      </c>
      <c r="AG14" s="146" t="e">
        <v>#REF!</v>
      </c>
      <c r="AH14" s="146" t="e">
        <v>#REF!</v>
      </c>
      <c r="AI14" s="146" t="e">
        <v>#REF!</v>
      </c>
      <c r="AJ14" s="146" t="e">
        <v>#REF!</v>
      </c>
      <c r="AK14" s="23"/>
      <c r="AL14" s="24"/>
      <c r="AM14" s="11"/>
      <c r="AN14" s="131">
        <v>0</v>
      </c>
      <c r="AO14" s="131">
        <v>0</v>
      </c>
    </row>
    <row r="15" spans="1:41" s="29" customFormat="1" ht="13.25" customHeight="1">
      <c r="A15" s="196" t="s">
        <v>117</v>
      </c>
      <c r="B15" s="31" t="s">
        <v>5</v>
      </c>
      <c r="C15" s="26"/>
      <c r="D15" s="26"/>
      <c r="E15" s="27">
        <v>0</v>
      </c>
      <c r="F15" s="27">
        <v>0</v>
      </c>
      <c r="G15" s="27">
        <v>-387</v>
      </c>
      <c r="H15" s="27">
        <v>0</v>
      </c>
      <c r="I15" s="26">
        <v>-387</v>
      </c>
      <c r="J15" s="27">
        <v>0</v>
      </c>
      <c r="K15" s="27">
        <v>0</v>
      </c>
      <c r="L15" s="27">
        <v>0</v>
      </c>
      <c r="M15" s="27">
        <v>0</v>
      </c>
      <c r="N15" s="26">
        <v>0</v>
      </c>
      <c r="O15" s="27">
        <v>0</v>
      </c>
      <c r="P15" s="27">
        <v>0</v>
      </c>
      <c r="Q15" s="27">
        <v>0</v>
      </c>
      <c r="R15" s="27">
        <v>0</v>
      </c>
      <c r="S15" s="27">
        <v>0</v>
      </c>
      <c r="T15" s="26">
        <v>0</v>
      </c>
      <c r="U15" s="28">
        <v>-387</v>
      </c>
      <c r="V15" s="27">
        <v>0</v>
      </c>
      <c r="W15" s="27">
        <v>0</v>
      </c>
      <c r="X15" s="27">
        <v>0</v>
      </c>
      <c r="Y15" s="27">
        <v>0</v>
      </c>
      <c r="Z15" s="26">
        <v>0</v>
      </c>
      <c r="AA15" s="27">
        <v>0</v>
      </c>
      <c r="AB15" s="27">
        <v>0</v>
      </c>
      <c r="AC15" s="27">
        <v>0</v>
      </c>
      <c r="AD15" s="27">
        <v>0</v>
      </c>
      <c r="AE15" s="26">
        <v>0</v>
      </c>
      <c r="AF15" s="27">
        <v>0</v>
      </c>
      <c r="AG15" s="27">
        <v>0</v>
      </c>
      <c r="AH15" s="27">
        <v>0</v>
      </c>
      <c r="AI15" s="27">
        <v>0</v>
      </c>
      <c r="AJ15" s="27">
        <v>0</v>
      </c>
      <c r="AK15" s="26">
        <v>0</v>
      </c>
      <c r="AL15" s="28">
        <v>0</v>
      </c>
      <c r="AM15" s="29">
        <v>64</v>
      </c>
      <c r="AN15" s="131">
        <v>-24768</v>
      </c>
    </row>
    <row r="16" spans="1:41" s="29" customFormat="1" ht="13.25" customHeight="1">
      <c r="A16" s="197"/>
      <c r="B16" s="31" t="s">
        <v>6</v>
      </c>
      <c r="C16" s="26"/>
      <c r="D16" s="26"/>
      <c r="E16" s="27">
        <v>0</v>
      </c>
      <c r="F16" s="27">
        <v>0</v>
      </c>
      <c r="G16" s="27">
        <v>0</v>
      </c>
      <c r="H16" s="27">
        <v>0</v>
      </c>
      <c r="I16" s="26">
        <v>0</v>
      </c>
      <c r="J16" s="27">
        <v>0</v>
      </c>
      <c r="K16" s="27">
        <v>0</v>
      </c>
      <c r="L16" s="27">
        <v>0</v>
      </c>
      <c r="M16" s="27">
        <v>0</v>
      </c>
      <c r="N16" s="26">
        <v>0</v>
      </c>
      <c r="O16" s="27">
        <v>0</v>
      </c>
      <c r="P16" s="27">
        <v>0</v>
      </c>
      <c r="Q16" s="27">
        <v>0</v>
      </c>
      <c r="R16" s="27">
        <v>0</v>
      </c>
      <c r="S16" s="27">
        <v>0</v>
      </c>
      <c r="T16" s="26">
        <v>0</v>
      </c>
      <c r="U16" s="28">
        <v>0</v>
      </c>
      <c r="V16" s="27">
        <v>0</v>
      </c>
      <c r="W16" s="27">
        <v>0</v>
      </c>
      <c r="X16" s="27">
        <v>0</v>
      </c>
      <c r="Y16" s="27">
        <v>0</v>
      </c>
      <c r="Z16" s="26">
        <v>0</v>
      </c>
      <c r="AA16" s="27">
        <v>0</v>
      </c>
      <c r="AB16" s="27">
        <v>0</v>
      </c>
      <c r="AC16" s="27">
        <v>0</v>
      </c>
      <c r="AD16" s="27">
        <v>0</v>
      </c>
      <c r="AE16" s="26">
        <v>0</v>
      </c>
      <c r="AF16" s="27">
        <v>0</v>
      </c>
      <c r="AG16" s="27">
        <v>0</v>
      </c>
      <c r="AH16" s="27">
        <v>0</v>
      </c>
      <c r="AI16" s="27">
        <v>0</v>
      </c>
      <c r="AJ16" s="27">
        <v>0</v>
      </c>
      <c r="AK16" s="26">
        <v>0</v>
      </c>
      <c r="AL16" s="28">
        <v>0</v>
      </c>
      <c r="AN16" s="131">
        <v>0</v>
      </c>
    </row>
    <row r="17" spans="1:41" s="29" customFormat="1">
      <c r="A17" s="197"/>
      <c r="B17" s="31" t="s">
        <v>10</v>
      </c>
      <c r="C17" s="26">
        <v>0</v>
      </c>
      <c r="D17" s="26"/>
      <c r="E17" s="27"/>
      <c r="F17" s="27"/>
      <c r="G17" s="27"/>
      <c r="H17" s="27">
        <v>0</v>
      </c>
      <c r="I17" s="26">
        <v>0</v>
      </c>
      <c r="J17" s="27"/>
      <c r="K17" s="27"/>
      <c r="L17" s="27"/>
      <c r="M17" s="27"/>
      <c r="N17" s="26">
        <v>0</v>
      </c>
      <c r="O17" s="27"/>
      <c r="P17" s="27"/>
      <c r="Q17" s="27"/>
      <c r="R17" s="27"/>
      <c r="S17" s="27"/>
      <c r="T17" s="26">
        <v>0</v>
      </c>
      <c r="U17" s="28">
        <v>0</v>
      </c>
      <c r="V17" s="27"/>
      <c r="W17" s="27"/>
      <c r="X17" s="27"/>
      <c r="Y17" s="27"/>
      <c r="Z17" s="26">
        <v>0</v>
      </c>
      <c r="AA17" s="27"/>
      <c r="AB17" s="27"/>
      <c r="AC17" s="27"/>
      <c r="AD17" s="27"/>
      <c r="AE17" s="26">
        <v>0</v>
      </c>
      <c r="AF17" s="27"/>
      <c r="AG17" s="27"/>
      <c r="AH17" s="27"/>
      <c r="AI17" s="27"/>
      <c r="AJ17" s="27"/>
      <c r="AK17" s="26">
        <v>0</v>
      </c>
      <c r="AL17" s="28">
        <v>0</v>
      </c>
      <c r="AN17" s="131">
        <v>0</v>
      </c>
    </row>
    <row r="18" spans="1:41" s="29" customFormat="1" ht="13.75" customHeight="1">
      <c r="A18" s="197"/>
      <c r="B18" s="31" t="s">
        <v>115</v>
      </c>
      <c r="C18" s="26"/>
      <c r="D18" s="26"/>
      <c r="E18" s="27">
        <v>0</v>
      </c>
      <c r="F18" s="27">
        <v>0</v>
      </c>
      <c r="G18" s="27">
        <v>0</v>
      </c>
      <c r="H18" s="27">
        <v>0</v>
      </c>
      <c r="I18" s="26">
        <v>0</v>
      </c>
      <c r="J18" s="27">
        <v>0</v>
      </c>
      <c r="K18" s="27">
        <v>0</v>
      </c>
      <c r="L18" s="27">
        <v>0</v>
      </c>
      <c r="M18" s="27">
        <v>0</v>
      </c>
      <c r="N18" s="26">
        <v>0</v>
      </c>
      <c r="O18" s="27">
        <v>0</v>
      </c>
      <c r="P18" s="27">
        <v>0</v>
      </c>
      <c r="Q18" s="27">
        <v>0</v>
      </c>
      <c r="R18" s="27">
        <v>0</v>
      </c>
      <c r="S18" s="27">
        <v>0</v>
      </c>
      <c r="T18" s="26">
        <v>0</v>
      </c>
      <c r="U18" s="28">
        <v>0</v>
      </c>
      <c r="V18" s="27">
        <v>0</v>
      </c>
      <c r="W18" s="27">
        <v>0</v>
      </c>
      <c r="X18" s="27">
        <v>0</v>
      </c>
      <c r="Y18" s="27">
        <v>0</v>
      </c>
      <c r="Z18" s="26">
        <v>0</v>
      </c>
      <c r="AA18" s="27">
        <v>0</v>
      </c>
      <c r="AB18" s="27">
        <v>0</v>
      </c>
      <c r="AC18" s="27">
        <v>0</v>
      </c>
      <c r="AD18" s="27">
        <v>0</v>
      </c>
      <c r="AE18" s="26">
        <v>0</v>
      </c>
      <c r="AF18" s="27">
        <v>0</v>
      </c>
      <c r="AG18" s="27">
        <v>0</v>
      </c>
      <c r="AH18" s="27">
        <v>0</v>
      </c>
      <c r="AI18" s="27">
        <v>0</v>
      </c>
      <c r="AJ18" s="27">
        <v>0</v>
      </c>
      <c r="AK18" s="26">
        <v>0</v>
      </c>
      <c r="AL18" s="28">
        <v>0</v>
      </c>
      <c r="AN18" s="131">
        <v>0</v>
      </c>
    </row>
    <row r="19" spans="1:41" s="29" customFormat="1" ht="13.75" customHeight="1">
      <c r="A19" s="198"/>
      <c r="B19" s="31" t="s">
        <v>8</v>
      </c>
      <c r="C19" s="34">
        <v>387</v>
      </c>
      <c r="D19" s="35"/>
      <c r="E19" s="21">
        <v>0</v>
      </c>
      <c r="F19" s="21">
        <v>0</v>
      </c>
      <c r="G19" s="21">
        <v>387</v>
      </c>
      <c r="H19" s="21">
        <v>387</v>
      </c>
      <c r="I19" s="20">
        <v>387</v>
      </c>
      <c r="J19" s="21">
        <v>387</v>
      </c>
      <c r="K19" s="21">
        <v>387</v>
      </c>
      <c r="L19" s="21">
        <v>387</v>
      </c>
      <c r="M19" s="21">
        <v>387</v>
      </c>
      <c r="N19" s="20">
        <v>387</v>
      </c>
      <c r="O19" s="21">
        <v>387</v>
      </c>
      <c r="P19" s="21">
        <v>387</v>
      </c>
      <c r="Q19" s="21">
        <v>387</v>
      </c>
      <c r="R19" s="21">
        <v>387</v>
      </c>
      <c r="S19" s="21">
        <v>387</v>
      </c>
      <c r="T19" s="20">
        <v>387</v>
      </c>
      <c r="U19" s="22">
        <v>387</v>
      </c>
      <c r="V19" s="21">
        <v>0</v>
      </c>
      <c r="W19" s="21">
        <v>0</v>
      </c>
      <c r="X19" s="21">
        <v>0</v>
      </c>
      <c r="Y19" s="21">
        <v>0</v>
      </c>
      <c r="Z19" s="20">
        <v>0</v>
      </c>
      <c r="AA19" s="21">
        <v>0</v>
      </c>
      <c r="AB19" s="21">
        <v>0</v>
      </c>
      <c r="AC19" s="21">
        <v>0</v>
      </c>
      <c r="AD19" s="21">
        <v>0</v>
      </c>
      <c r="AE19" s="20">
        <v>0</v>
      </c>
      <c r="AF19" s="21">
        <v>0</v>
      </c>
      <c r="AG19" s="21">
        <v>0</v>
      </c>
      <c r="AH19" s="21">
        <v>0</v>
      </c>
      <c r="AI19" s="21">
        <v>0</v>
      </c>
      <c r="AJ19" s="21">
        <v>0</v>
      </c>
      <c r="AK19" s="20">
        <v>0</v>
      </c>
      <c r="AL19" s="22">
        <v>387</v>
      </c>
      <c r="AN19" s="131">
        <v>0</v>
      </c>
    </row>
    <row r="20" spans="1:41" s="29" customFormat="1" ht="13.75" customHeight="1" thickBot="1">
      <c r="A20" s="36"/>
      <c r="B20" s="31" t="s">
        <v>9</v>
      </c>
      <c r="C20" s="26"/>
      <c r="D20" s="26"/>
      <c r="E20" s="132" t="e">
        <v>#DIV/0!</v>
      </c>
      <c r="F20" s="132" t="e">
        <v>#DIV/0!</v>
      </c>
      <c r="G20" s="132" t="e">
        <v>#DIV/0!</v>
      </c>
      <c r="H20" s="132" t="e">
        <v>#DIV/0!</v>
      </c>
      <c r="I20" s="23"/>
      <c r="J20" s="132" t="e">
        <v>#DIV/0!</v>
      </c>
      <c r="K20" s="132" t="e">
        <v>#DIV/0!</v>
      </c>
      <c r="L20" s="132" t="e">
        <v>#DIV/0!</v>
      </c>
      <c r="M20" s="132" t="e">
        <v>#DIV/0!</v>
      </c>
      <c r="N20" s="23"/>
      <c r="O20" s="132">
        <v>0</v>
      </c>
      <c r="P20" s="132">
        <v>0</v>
      </c>
      <c r="Q20" s="132">
        <v>0</v>
      </c>
      <c r="R20" s="132">
        <v>0</v>
      </c>
      <c r="S20" s="132">
        <v>0</v>
      </c>
      <c r="T20" s="23"/>
      <c r="U20" s="24"/>
      <c r="V20" s="132" t="e">
        <v>#DIV/0!</v>
      </c>
      <c r="W20" s="132" t="e">
        <v>#DIV/0!</v>
      </c>
      <c r="X20" s="132" t="e">
        <v>#DIV/0!</v>
      </c>
      <c r="Y20" s="132" t="e">
        <v>#DIV/0!</v>
      </c>
      <c r="Z20" s="23"/>
      <c r="AA20" s="132" t="e">
        <v>#DIV/0!</v>
      </c>
      <c r="AB20" s="132" t="e">
        <v>#DIV/0!</v>
      </c>
      <c r="AC20" s="132" t="e">
        <v>#DIV/0!</v>
      </c>
      <c r="AD20" s="132" t="e">
        <v>#DIV/0!</v>
      </c>
      <c r="AE20" s="23"/>
      <c r="AF20" s="132">
        <v>0</v>
      </c>
      <c r="AG20" s="132">
        <v>0</v>
      </c>
      <c r="AH20" s="132">
        <v>0</v>
      </c>
      <c r="AI20" s="132">
        <v>0</v>
      </c>
      <c r="AJ20" s="132">
        <v>0</v>
      </c>
      <c r="AK20" s="23"/>
      <c r="AL20" s="24"/>
      <c r="AN20" s="131">
        <v>0</v>
      </c>
    </row>
    <row r="21" spans="1:41" s="29" customFormat="1" ht="15.75" customHeight="1">
      <c r="A21" s="190" t="s">
        <v>16</v>
      </c>
      <c r="B21" s="31" t="s">
        <v>5</v>
      </c>
      <c r="C21" s="20"/>
      <c r="D21" s="93"/>
      <c r="E21" s="134">
        <v>0</v>
      </c>
      <c r="F21" s="135">
        <v>0</v>
      </c>
      <c r="G21" s="135">
        <v>-8858</v>
      </c>
      <c r="H21" s="136">
        <v>189</v>
      </c>
      <c r="I21" s="21">
        <v>-8669</v>
      </c>
      <c r="J21" s="134">
        <v>9409</v>
      </c>
      <c r="K21" s="135">
        <v>1115</v>
      </c>
      <c r="L21" s="135">
        <v>1536</v>
      </c>
      <c r="M21" s="136">
        <v>2374</v>
      </c>
      <c r="N21" s="21">
        <v>14434</v>
      </c>
      <c r="O21" s="134">
        <v>15594</v>
      </c>
      <c r="P21" s="135">
        <v>3778</v>
      </c>
      <c r="Q21" s="135">
        <v>5613</v>
      </c>
      <c r="R21" s="135">
        <v>6029</v>
      </c>
      <c r="S21" s="136">
        <v>11436</v>
      </c>
      <c r="T21" s="137">
        <v>42450</v>
      </c>
      <c r="U21" s="138">
        <v>154968</v>
      </c>
      <c r="V21" s="134">
        <v>0</v>
      </c>
      <c r="W21" s="135">
        <v>0</v>
      </c>
      <c r="X21" s="135">
        <v>0</v>
      </c>
      <c r="Y21" s="136">
        <v>0</v>
      </c>
      <c r="Z21" s="21">
        <v>0</v>
      </c>
      <c r="AA21" s="134">
        <v>0</v>
      </c>
      <c r="AB21" s="135">
        <v>0</v>
      </c>
      <c r="AC21" s="135">
        <v>0</v>
      </c>
      <c r="AD21" s="136">
        <v>0</v>
      </c>
      <c r="AE21" s="21">
        <v>0</v>
      </c>
      <c r="AF21" s="134">
        <v>0</v>
      </c>
      <c r="AG21" s="135">
        <v>0</v>
      </c>
      <c r="AH21" s="135">
        <v>0</v>
      </c>
      <c r="AI21" s="135">
        <v>0</v>
      </c>
      <c r="AJ21" s="136">
        <v>0</v>
      </c>
      <c r="AK21" s="137">
        <v>0</v>
      </c>
      <c r="AL21" s="22">
        <v>0</v>
      </c>
      <c r="AM21" s="11">
        <v>64</v>
      </c>
      <c r="AN21" s="131">
        <v>9917952</v>
      </c>
      <c r="AO21" s="131">
        <v>0</v>
      </c>
    </row>
    <row r="22" spans="1:41" s="139" customFormat="1" ht="15.75" customHeight="1">
      <c r="A22" s="191"/>
      <c r="B22" s="31" t="s">
        <v>6</v>
      </c>
      <c r="C22" s="20"/>
      <c r="D22" s="93"/>
      <c r="E22" s="93">
        <v>0</v>
      </c>
      <c r="F22" s="21">
        <v>0</v>
      </c>
      <c r="G22" s="21">
        <v>0</v>
      </c>
      <c r="H22" s="137">
        <v>0</v>
      </c>
      <c r="I22" s="26">
        <v>0</v>
      </c>
      <c r="J22" s="93">
        <v>10000</v>
      </c>
      <c r="K22" s="21">
        <v>20000</v>
      </c>
      <c r="L22" s="21">
        <v>10000</v>
      </c>
      <c r="M22" s="137">
        <v>25000</v>
      </c>
      <c r="N22" s="26">
        <v>65000</v>
      </c>
      <c r="O22" s="93">
        <v>10000</v>
      </c>
      <c r="P22" s="21">
        <v>20000</v>
      </c>
      <c r="Q22" s="21">
        <v>10000</v>
      </c>
      <c r="R22" s="21">
        <v>10000</v>
      </c>
      <c r="S22" s="137">
        <v>25000</v>
      </c>
      <c r="T22" s="26">
        <v>75000</v>
      </c>
      <c r="U22" s="138"/>
      <c r="V22" s="93">
        <v>10000</v>
      </c>
      <c r="W22" s="21">
        <v>0</v>
      </c>
      <c r="X22" s="21">
        <v>0</v>
      </c>
      <c r="Y22" s="137">
        <v>0</v>
      </c>
      <c r="Z22" s="26">
        <v>10000</v>
      </c>
      <c r="AA22" s="93">
        <v>0</v>
      </c>
      <c r="AB22" s="21">
        <v>0</v>
      </c>
      <c r="AC22" s="21">
        <v>0</v>
      </c>
      <c r="AD22" s="137">
        <v>0</v>
      </c>
      <c r="AE22" s="26">
        <v>0</v>
      </c>
      <c r="AF22" s="93">
        <v>0</v>
      </c>
      <c r="AG22" s="21">
        <v>0</v>
      </c>
      <c r="AH22" s="21">
        <v>0</v>
      </c>
      <c r="AI22" s="21">
        <v>0</v>
      </c>
      <c r="AJ22" s="137">
        <v>0</v>
      </c>
      <c r="AK22" s="26">
        <v>0</v>
      </c>
      <c r="AL22" s="22"/>
      <c r="AM22" s="11"/>
      <c r="AN22" s="131">
        <v>0</v>
      </c>
      <c r="AO22" s="131">
        <v>0</v>
      </c>
    </row>
    <row r="23" spans="1:41" s="29" customFormat="1" ht="11.5" customHeight="1">
      <c r="A23" s="191"/>
      <c r="B23" s="31" t="s">
        <v>10</v>
      </c>
      <c r="C23" s="20">
        <v>30375</v>
      </c>
      <c r="D23" s="93"/>
      <c r="E23" s="93"/>
      <c r="F23" s="21"/>
      <c r="G23" s="21"/>
      <c r="H23" s="137">
        <v>30375</v>
      </c>
      <c r="I23" s="26">
        <v>30375</v>
      </c>
      <c r="J23" s="93"/>
      <c r="K23" s="21"/>
      <c r="L23" s="21"/>
      <c r="M23" s="137"/>
      <c r="N23" s="26">
        <v>0</v>
      </c>
      <c r="O23" s="93"/>
      <c r="P23" s="21"/>
      <c r="Q23" s="21"/>
      <c r="R23" s="21"/>
      <c r="S23" s="137"/>
      <c r="T23" s="26">
        <v>0</v>
      </c>
      <c r="U23" s="138"/>
      <c r="V23" s="93"/>
      <c r="W23" s="21"/>
      <c r="X23" s="21"/>
      <c r="Y23" s="137"/>
      <c r="Z23" s="26">
        <v>0</v>
      </c>
      <c r="AA23" s="93"/>
      <c r="AB23" s="21"/>
      <c r="AC23" s="21"/>
      <c r="AD23" s="137"/>
      <c r="AE23" s="26">
        <v>0</v>
      </c>
      <c r="AF23" s="93"/>
      <c r="AG23" s="21"/>
      <c r="AH23" s="21"/>
      <c r="AI23" s="21"/>
      <c r="AJ23" s="137"/>
      <c r="AK23" s="26">
        <v>0</v>
      </c>
      <c r="AL23" s="28">
        <v>0</v>
      </c>
      <c r="AM23" s="11"/>
      <c r="AN23" s="131">
        <v>0</v>
      </c>
      <c r="AO23" s="131">
        <v>0</v>
      </c>
    </row>
    <row r="24" spans="1:41" s="29" customFormat="1" ht="15.75" customHeight="1">
      <c r="A24" s="191"/>
      <c r="B24" s="31" t="s">
        <v>7</v>
      </c>
      <c r="C24" s="20"/>
      <c r="D24" s="93"/>
      <c r="E24" s="93">
        <v>0</v>
      </c>
      <c r="F24" s="21">
        <v>0</v>
      </c>
      <c r="G24" s="21">
        <v>0</v>
      </c>
      <c r="H24" s="137">
        <v>30375</v>
      </c>
      <c r="I24" s="21">
        <v>30375</v>
      </c>
      <c r="J24" s="93">
        <v>10000</v>
      </c>
      <c r="K24" s="21">
        <v>20000</v>
      </c>
      <c r="L24" s="21">
        <v>10000</v>
      </c>
      <c r="M24" s="137">
        <v>25000</v>
      </c>
      <c r="N24" s="21">
        <v>65000</v>
      </c>
      <c r="O24" s="93">
        <v>10000</v>
      </c>
      <c r="P24" s="21">
        <v>20000</v>
      </c>
      <c r="Q24" s="21">
        <v>10000</v>
      </c>
      <c r="R24" s="21">
        <v>10000</v>
      </c>
      <c r="S24" s="137">
        <v>25000</v>
      </c>
      <c r="T24" s="137">
        <v>75000</v>
      </c>
      <c r="U24" s="138">
        <v>277128</v>
      </c>
      <c r="V24" s="93">
        <v>10000</v>
      </c>
      <c r="W24" s="21">
        <v>0</v>
      </c>
      <c r="X24" s="21">
        <v>0</v>
      </c>
      <c r="Y24" s="137">
        <v>0</v>
      </c>
      <c r="Z24" s="21">
        <v>10000</v>
      </c>
      <c r="AA24" s="93">
        <v>0</v>
      </c>
      <c r="AB24" s="21">
        <v>0</v>
      </c>
      <c r="AC24" s="21">
        <v>0</v>
      </c>
      <c r="AD24" s="137">
        <v>0</v>
      </c>
      <c r="AE24" s="21">
        <v>0</v>
      </c>
      <c r="AF24" s="93">
        <v>0</v>
      </c>
      <c r="AG24" s="21">
        <v>0</v>
      </c>
      <c r="AH24" s="21">
        <v>0</v>
      </c>
      <c r="AI24" s="21">
        <v>0</v>
      </c>
      <c r="AJ24" s="137">
        <v>0</v>
      </c>
      <c r="AK24" s="137">
        <v>0</v>
      </c>
      <c r="AL24" s="22">
        <v>10000</v>
      </c>
      <c r="AM24" s="11"/>
      <c r="AN24" s="131">
        <v>0</v>
      </c>
      <c r="AO24" s="131">
        <v>0</v>
      </c>
    </row>
    <row r="25" spans="1:41" s="29" customFormat="1" ht="15.75" customHeight="1" thickBot="1">
      <c r="A25" s="192"/>
      <c r="B25" s="31" t="s">
        <v>8</v>
      </c>
      <c r="C25" s="140">
        <v>117861</v>
      </c>
      <c r="D25" s="141">
        <v>106753</v>
      </c>
      <c r="E25" s="142">
        <v>0</v>
      </c>
      <c r="F25" s="143">
        <v>0</v>
      </c>
      <c r="G25" s="143">
        <v>8858</v>
      </c>
      <c r="H25" s="144">
        <v>39044</v>
      </c>
      <c r="I25" s="21">
        <v>39044</v>
      </c>
      <c r="J25" s="142">
        <v>39635</v>
      </c>
      <c r="K25" s="143">
        <v>58520</v>
      </c>
      <c r="L25" s="143">
        <v>66984</v>
      </c>
      <c r="M25" s="144">
        <v>89610</v>
      </c>
      <c r="N25" s="21">
        <v>89610</v>
      </c>
      <c r="O25" s="142">
        <v>84016</v>
      </c>
      <c r="P25" s="143">
        <v>100238</v>
      </c>
      <c r="Q25" s="143">
        <v>104625</v>
      </c>
      <c r="R25" s="143">
        <v>108596</v>
      </c>
      <c r="S25" s="144">
        <v>122160</v>
      </c>
      <c r="T25" s="137">
        <v>122160</v>
      </c>
      <c r="U25" s="138">
        <v>122160</v>
      </c>
      <c r="V25" s="142">
        <v>132160</v>
      </c>
      <c r="W25" s="143">
        <v>132160</v>
      </c>
      <c r="X25" s="143">
        <v>132160</v>
      </c>
      <c r="Y25" s="143">
        <v>132160</v>
      </c>
      <c r="Z25" s="21">
        <v>132160</v>
      </c>
      <c r="AA25" s="142">
        <v>132160</v>
      </c>
      <c r="AB25" s="143">
        <v>132160</v>
      </c>
      <c r="AC25" s="143">
        <v>132160</v>
      </c>
      <c r="AD25" s="144">
        <v>132160</v>
      </c>
      <c r="AE25" s="21">
        <v>132160</v>
      </c>
      <c r="AF25" s="142">
        <v>132160</v>
      </c>
      <c r="AG25" s="143">
        <v>132160</v>
      </c>
      <c r="AH25" s="143">
        <v>132160</v>
      </c>
      <c r="AI25" s="143">
        <v>132160</v>
      </c>
      <c r="AJ25" s="144">
        <v>132160</v>
      </c>
      <c r="AK25" s="137">
        <v>132160</v>
      </c>
      <c r="AL25" s="22">
        <v>132160</v>
      </c>
      <c r="AM25" s="11"/>
      <c r="AN25" s="131">
        <v>0</v>
      </c>
      <c r="AO25" s="131">
        <v>0</v>
      </c>
    </row>
    <row r="26" spans="1:41" s="29" customFormat="1" ht="16.25" customHeight="1" thickBot="1">
      <c r="A26" s="133"/>
      <c r="B26" s="31" t="s">
        <v>9</v>
      </c>
      <c r="C26" s="20"/>
      <c r="D26" s="20"/>
      <c r="E26" s="132" t="e">
        <v>#REF!</v>
      </c>
      <c r="F26" s="132" t="e">
        <v>#REF!</v>
      </c>
      <c r="G26" s="132" t="e">
        <v>#REF!</v>
      </c>
      <c r="H26" s="132" t="e">
        <v>#REF!</v>
      </c>
      <c r="I26" s="23"/>
      <c r="J26" s="132">
        <v>38445.123429846259</v>
      </c>
      <c r="K26" s="132">
        <v>50270.595309681303</v>
      </c>
      <c r="L26" s="132">
        <v>48966.701999342076</v>
      </c>
      <c r="M26" s="132">
        <v>57786.80595859934</v>
      </c>
      <c r="N26" s="23"/>
      <c r="O26" s="132">
        <v>62567.768841227291</v>
      </c>
      <c r="P26" s="132" t="e">
        <v>#REF!</v>
      </c>
      <c r="Q26" s="132" t="e">
        <v>#REF!</v>
      </c>
      <c r="R26" s="132" t="e">
        <v>#REF!</v>
      </c>
      <c r="S26" s="132" t="e">
        <v>#REF!</v>
      </c>
      <c r="T26" s="23"/>
      <c r="U26" s="24"/>
      <c r="V26" s="132" t="e">
        <v>#REF!</v>
      </c>
      <c r="W26" s="132" t="e">
        <v>#REF!</v>
      </c>
      <c r="X26" s="132" t="e">
        <v>#REF!</v>
      </c>
      <c r="Y26" s="132" t="e">
        <v>#REF!</v>
      </c>
      <c r="Z26" s="23"/>
      <c r="AA26" s="132" t="e">
        <v>#DIV/0!</v>
      </c>
      <c r="AB26" s="132" t="e">
        <v>#DIV/0!</v>
      </c>
      <c r="AC26" s="132" t="e">
        <v>#DIV/0!</v>
      </c>
      <c r="AD26" s="132" t="e">
        <v>#DIV/0!</v>
      </c>
      <c r="AE26" s="23"/>
      <c r="AF26" s="132" t="e">
        <v>#DIV/0!</v>
      </c>
      <c r="AG26" s="132" t="e">
        <v>#REF!</v>
      </c>
      <c r="AH26" s="132" t="e">
        <v>#REF!</v>
      </c>
      <c r="AI26" s="132" t="e">
        <v>#REF!</v>
      </c>
      <c r="AJ26" s="132" t="e">
        <v>#REF!</v>
      </c>
      <c r="AK26" s="23"/>
      <c r="AL26" s="24"/>
      <c r="AM26" s="11"/>
      <c r="AN26" s="131">
        <v>0</v>
      </c>
      <c r="AO26" s="131">
        <v>0</v>
      </c>
    </row>
    <row r="27" spans="1:41" s="29" customFormat="1" ht="15.75" customHeight="1" thickBot="1">
      <c r="A27" s="190" t="s">
        <v>22</v>
      </c>
      <c r="B27" s="31" t="s">
        <v>5</v>
      </c>
      <c r="C27" s="20"/>
      <c r="D27" s="20"/>
      <c r="E27" s="135">
        <v>0</v>
      </c>
      <c r="F27" s="21">
        <v>1178</v>
      </c>
      <c r="G27" s="135">
        <v>16806</v>
      </c>
      <c r="H27" s="135">
        <v>324</v>
      </c>
      <c r="I27" s="20">
        <v>18308</v>
      </c>
      <c r="J27" s="135">
        <v>11540</v>
      </c>
      <c r="K27" s="21">
        <v>454</v>
      </c>
      <c r="L27" s="135">
        <v>1266</v>
      </c>
      <c r="M27" s="21">
        <v>180</v>
      </c>
      <c r="N27" s="20">
        <v>13440</v>
      </c>
      <c r="O27" s="21">
        <v>20793</v>
      </c>
      <c r="P27" s="21">
        <v>6968</v>
      </c>
      <c r="Q27" s="135">
        <v>1301</v>
      </c>
      <c r="R27" s="135">
        <v>7913</v>
      </c>
      <c r="S27" s="135">
        <v>3625</v>
      </c>
      <c r="T27" s="20">
        <v>40600</v>
      </c>
      <c r="U27" s="22">
        <v>75007</v>
      </c>
      <c r="V27" s="135">
        <v>0</v>
      </c>
      <c r="W27" s="135">
        <v>15</v>
      </c>
      <c r="X27" s="135">
        <v>0</v>
      </c>
      <c r="Y27" s="135">
        <v>0</v>
      </c>
      <c r="Z27" s="20">
        <v>15</v>
      </c>
      <c r="AA27" s="135">
        <v>0</v>
      </c>
      <c r="AB27" s="21">
        <v>58</v>
      </c>
      <c r="AC27" s="135">
        <v>0</v>
      </c>
      <c r="AD27" s="21">
        <v>26</v>
      </c>
      <c r="AE27" s="20">
        <v>84</v>
      </c>
      <c r="AF27" s="21">
        <v>0</v>
      </c>
      <c r="AG27" s="21">
        <v>0</v>
      </c>
      <c r="AH27" s="135">
        <v>0</v>
      </c>
      <c r="AI27" s="135">
        <v>0</v>
      </c>
      <c r="AJ27" s="135">
        <v>0</v>
      </c>
      <c r="AK27" s="20">
        <v>0</v>
      </c>
      <c r="AL27" s="22">
        <v>99</v>
      </c>
      <c r="AM27" s="11">
        <v>64</v>
      </c>
      <c r="AN27" s="131">
        <v>4800448</v>
      </c>
      <c r="AO27" s="131">
        <v>6336</v>
      </c>
    </row>
    <row r="28" spans="1:41" s="29" customFormat="1" ht="15.75" customHeight="1">
      <c r="A28" s="191"/>
      <c r="B28" s="31" t="s">
        <v>6</v>
      </c>
      <c r="C28" s="20"/>
      <c r="D28" s="20"/>
      <c r="E28" s="21">
        <v>0</v>
      </c>
      <c r="F28" s="21">
        <v>1178</v>
      </c>
      <c r="G28" s="21">
        <v>0</v>
      </c>
      <c r="H28" s="135">
        <v>0</v>
      </c>
      <c r="I28" s="26">
        <v>1178</v>
      </c>
      <c r="J28" s="21">
        <v>15000</v>
      </c>
      <c r="K28" s="21">
        <v>0</v>
      </c>
      <c r="L28" s="21">
        <v>0</v>
      </c>
      <c r="M28" s="21">
        <v>0</v>
      </c>
      <c r="N28" s="26">
        <v>15000</v>
      </c>
      <c r="O28" s="21">
        <v>0</v>
      </c>
      <c r="P28" s="21">
        <v>0</v>
      </c>
      <c r="Q28" s="21">
        <v>0</v>
      </c>
      <c r="R28" s="21">
        <v>0</v>
      </c>
      <c r="S28" s="21">
        <v>0</v>
      </c>
      <c r="T28" s="26">
        <v>0</v>
      </c>
      <c r="U28" s="22"/>
      <c r="V28" s="21">
        <v>0</v>
      </c>
      <c r="W28" s="21">
        <v>0</v>
      </c>
      <c r="X28" s="21">
        <v>0</v>
      </c>
      <c r="Y28" s="135">
        <v>0</v>
      </c>
      <c r="Z28" s="26">
        <v>0</v>
      </c>
      <c r="AA28" s="21">
        <v>0</v>
      </c>
      <c r="AB28" s="21">
        <v>0</v>
      </c>
      <c r="AC28" s="21">
        <v>0</v>
      </c>
      <c r="AD28" s="21">
        <v>0</v>
      </c>
      <c r="AE28" s="26">
        <v>0</v>
      </c>
      <c r="AF28" s="21">
        <v>0</v>
      </c>
      <c r="AG28" s="21">
        <v>0</v>
      </c>
      <c r="AH28" s="21">
        <v>0</v>
      </c>
      <c r="AI28" s="21">
        <v>0</v>
      </c>
      <c r="AJ28" s="21">
        <v>0</v>
      </c>
      <c r="AK28" s="26">
        <v>0</v>
      </c>
      <c r="AL28" s="22"/>
      <c r="AM28" s="11"/>
      <c r="AN28" s="131">
        <v>0</v>
      </c>
      <c r="AO28" s="131">
        <v>0</v>
      </c>
    </row>
    <row r="29" spans="1:41" s="29" customFormat="1" ht="15" customHeight="1">
      <c r="A29" s="191"/>
      <c r="B29" s="31" t="s">
        <v>10</v>
      </c>
      <c r="C29" s="20">
        <v>8822</v>
      </c>
      <c r="D29" s="20"/>
      <c r="E29" s="20"/>
      <c r="F29" s="20"/>
      <c r="G29" s="20"/>
      <c r="H29" s="20">
        <v>8822</v>
      </c>
      <c r="I29" s="26">
        <v>8822</v>
      </c>
      <c r="J29" s="20"/>
      <c r="K29" s="20"/>
      <c r="L29" s="20"/>
      <c r="M29" s="20"/>
      <c r="N29" s="26">
        <v>0</v>
      </c>
      <c r="O29" s="20"/>
      <c r="P29" s="20"/>
      <c r="Q29" s="20"/>
      <c r="R29" s="20"/>
      <c r="S29" s="20"/>
      <c r="T29" s="26">
        <v>0</v>
      </c>
      <c r="U29" s="22"/>
      <c r="V29" s="20"/>
      <c r="W29" s="20"/>
      <c r="X29" s="20"/>
      <c r="Y29" s="20"/>
      <c r="Z29" s="26">
        <v>0</v>
      </c>
      <c r="AA29" s="20"/>
      <c r="AB29" s="20"/>
      <c r="AC29" s="20"/>
      <c r="AD29" s="20"/>
      <c r="AE29" s="26">
        <v>0</v>
      </c>
      <c r="AF29" s="20"/>
      <c r="AG29" s="20"/>
      <c r="AH29" s="20"/>
      <c r="AI29" s="20"/>
      <c r="AJ29" s="20"/>
      <c r="AK29" s="26">
        <v>0</v>
      </c>
      <c r="AL29" s="28">
        <v>0</v>
      </c>
      <c r="AM29" s="11"/>
      <c r="AN29" s="131">
        <v>0</v>
      </c>
      <c r="AO29" s="131">
        <v>0</v>
      </c>
    </row>
    <row r="30" spans="1:41" s="29" customFormat="1" ht="15.75" customHeight="1">
      <c r="A30" s="191"/>
      <c r="B30" s="31" t="s">
        <v>7</v>
      </c>
      <c r="C30" s="20"/>
      <c r="D30" s="20"/>
      <c r="E30" s="21">
        <v>0</v>
      </c>
      <c r="F30" s="21">
        <v>1178</v>
      </c>
      <c r="G30" s="21">
        <v>0</v>
      </c>
      <c r="H30" s="21">
        <v>8822</v>
      </c>
      <c r="I30" s="20">
        <v>10000</v>
      </c>
      <c r="J30" s="21">
        <v>15000</v>
      </c>
      <c r="K30" s="21">
        <v>0</v>
      </c>
      <c r="L30" s="21">
        <v>0</v>
      </c>
      <c r="M30" s="21">
        <v>0</v>
      </c>
      <c r="N30" s="20">
        <v>15000</v>
      </c>
      <c r="O30" s="21">
        <v>0</v>
      </c>
      <c r="P30" s="21">
        <v>0</v>
      </c>
      <c r="Q30" s="21">
        <v>0</v>
      </c>
      <c r="R30" s="21">
        <v>0</v>
      </c>
      <c r="S30" s="21">
        <v>0</v>
      </c>
      <c r="T30" s="20">
        <v>0</v>
      </c>
      <c r="U30" s="22">
        <v>27659</v>
      </c>
      <c r="V30" s="21">
        <v>0</v>
      </c>
      <c r="W30" s="21">
        <v>0</v>
      </c>
      <c r="X30" s="21">
        <v>0</v>
      </c>
      <c r="Y30" s="21">
        <v>0</v>
      </c>
      <c r="Z30" s="20">
        <v>0</v>
      </c>
      <c r="AA30" s="21">
        <v>0</v>
      </c>
      <c r="AB30" s="21">
        <v>0</v>
      </c>
      <c r="AC30" s="21">
        <v>0</v>
      </c>
      <c r="AD30" s="21">
        <v>0</v>
      </c>
      <c r="AE30" s="20">
        <v>0</v>
      </c>
      <c r="AF30" s="21">
        <v>0</v>
      </c>
      <c r="AG30" s="21">
        <v>0</v>
      </c>
      <c r="AH30" s="21">
        <v>0</v>
      </c>
      <c r="AI30" s="21">
        <v>0</v>
      </c>
      <c r="AJ30" s="21">
        <v>0</v>
      </c>
      <c r="AK30" s="20">
        <v>0</v>
      </c>
      <c r="AL30" s="22">
        <v>0</v>
      </c>
      <c r="AM30" s="11"/>
      <c r="AN30" s="131">
        <v>0</v>
      </c>
      <c r="AO30" s="131">
        <v>0</v>
      </c>
    </row>
    <row r="31" spans="1:41" s="29" customFormat="1" ht="15.75" customHeight="1" thickBot="1">
      <c r="A31" s="192"/>
      <c r="B31" s="31" t="s">
        <v>8</v>
      </c>
      <c r="C31" s="140">
        <v>9599</v>
      </c>
      <c r="D31" s="35">
        <v>2659</v>
      </c>
      <c r="E31" s="21">
        <v>0</v>
      </c>
      <c r="F31" s="21">
        <v>0</v>
      </c>
      <c r="G31" s="21">
        <v>-16806</v>
      </c>
      <c r="H31" s="21">
        <v>-8308</v>
      </c>
      <c r="I31" s="20">
        <v>-8308</v>
      </c>
      <c r="J31" s="21">
        <v>-4848</v>
      </c>
      <c r="K31" s="21">
        <v>-5302</v>
      </c>
      <c r="L31" s="21">
        <v>-6568</v>
      </c>
      <c r="M31" s="21">
        <v>-6748</v>
      </c>
      <c r="N31" s="20">
        <v>-6748</v>
      </c>
      <c r="O31" s="21">
        <v>-27541</v>
      </c>
      <c r="P31" s="21">
        <v>-34509</v>
      </c>
      <c r="Q31" s="21">
        <v>-35810</v>
      </c>
      <c r="R31" s="21">
        <v>-43723</v>
      </c>
      <c r="S31" s="21">
        <v>-47348</v>
      </c>
      <c r="T31" s="20">
        <v>-47348</v>
      </c>
      <c r="U31" s="22">
        <v>-47348</v>
      </c>
      <c r="V31" s="21">
        <v>-47348</v>
      </c>
      <c r="W31" s="21">
        <v>-47363</v>
      </c>
      <c r="X31" s="21">
        <v>-47363</v>
      </c>
      <c r="Y31" s="21">
        <v>-47363</v>
      </c>
      <c r="Z31" s="20">
        <v>-47363</v>
      </c>
      <c r="AA31" s="21">
        <v>-47363</v>
      </c>
      <c r="AB31" s="21">
        <v>-47421</v>
      </c>
      <c r="AC31" s="21">
        <v>-47421</v>
      </c>
      <c r="AD31" s="21">
        <v>-47447</v>
      </c>
      <c r="AE31" s="20">
        <v>-47447</v>
      </c>
      <c r="AF31" s="21">
        <v>-47447</v>
      </c>
      <c r="AG31" s="21">
        <v>-47447</v>
      </c>
      <c r="AH31" s="21">
        <v>-47447</v>
      </c>
      <c r="AI31" s="21">
        <v>-47447</v>
      </c>
      <c r="AJ31" s="21">
        <v>-47447</v>
      </c>
      <c r="AK31" s="20">
        <v>-47447</v>
      </c>
      <c r="AL31" s="22">
        <v>-47447</v>
      </c>
      <c r="AM31" s="11"/>
      <c r="AN31" s="131">
        <v>0</v>
      </c>
      <c r="AO31" s="131">
        <v>0</v>
      </c>
    </row>
    <row r="32" spans="1:41" s="29" customFormat="1" ht="16.25" customHeight="1" thickBot="1">
      <c r="A32" s="133"/>
      <c r="B32" s="31" t="s">
        <v>9</v>
      </c>
      <c r="C32" s="20"/>
      <c r="D32" s="20"/>
      <c r="E32" s="132" t="e">
        <v>#REF!</v>
      </c>
      <c r="F32" s="132" t="e">
        <v>#REF!</v>
      </c>
      <c r="G32" s="132" t="e">
        <v>#REF!</v>
      </c>
      <c r="H32" s="132" t="e">
        <v>#REF!</v>
      </c>
      <c r="I32" s="23"/>
      <c r="J32" s="132">
        <v>-4272.6832062750627</v>
      </c>
      <c r="K32" s="132">
        <v>-3630.6364912520971</v>
      </c>
      <c r="L32" s="132" t="s">
        <v>118</v>
      </c>
      <c r="M32" s="132">
        <v>-3650.0338066260988</v>
      </c>
      <c r="N32" s="23"/>
      <c r="O32" s="132">
        <v>-27809.360327157065</v>
      </c>
      <c r="P32" s="132" t="e">
        <v>#REF!</v>
      </c>
      <c r="Q32" s="132" t="e">
        <v>#REF!</v>
      </c>
      <c r="R32" s="132" t="e">
        <v>#REF!</v>
      </c>
      <c r="S32" s="132" t="e">
        <v>#REF!</v>
      </c>
      <c r="T32" s="23"/>
      <c r="U32" s="24"/>
      <c r="V32" s="132" t="e">
        <v>#REF!</v>
      </c>
      <c r="W32" s="132" t="e">
        <v>#REF!</v>
      </c>
      <c r="X32" s="132" t="e">
        <v>#REF!</v>
      </c>
      <c r="Y32" s="132" t="e">
        <v>#REF!</v>
      </c>
      <c r="Z32" s="23"/>
      <c r="AA32" s="132">
        <v>-11276904.761904761</v>
      </c>
      <c r="AB32" s="132">
        <v>-36477692.307692304</v>
      </c>
      <c r="AC32" s="132">
        <v>-36477692.307692304</v>
      </c>
      <c r="AD32" s="132" t="e">
        <v>#DIV/0!</v>
      </c>
      <c r="AE32" s="23"/>
      <c r="AF32" s="132" t="e">
        <v>#DIV/0!</v>
      </c>
      <c r="AG32" s="132" t="e">
        <v>#REF!</v>
      </c>
      <c r="AH32" s="132" t="e">
        <v>#REF!</v>
      </c>
      <c r="AI32" s="132" t="e">
        <v>#REF!</v>
      </c>
      <c r="AJ32" s="132" t="e">
        <v>#REF!</v>
      </c>
      <c r="AK32" s="23"/>
      <c r="AL32" s="24"/>
      <c r="AM32" s="11"/>
      <c r="AN32" s="131">
        <v>0</v>
      </c>
      <c r="AO32" s="131">
        <v>0</v>
      </c>
    </row>
    <row r="33" spans="1:41" s="29" customFormat="1" ht="15.75" customHeight="1" thickBot="1">
      <c r="A33" s="190" t="s">
        <v>25</v>
      </c>
      <c r="B33" s="31" t="s">
        <v>5</v>
      </c>
      <c r="C33" s="20"/>
      <c r="D33" s="20"/>
      <c r="E33" s="135">
        <v>30025</v>
      </c>
      <c r="F33" s="135">
        <v>36750</v>
      </c>
      <c r="G33" s="135">
        <v>-32711</v>
      </c>
      <c r="H33" s="135">
        <v>5065</v>
      </c>
      <c r="I33" s="20">
        <v>39129</v>
      </c>
      <c r="J33" s="135">
        <v>38451</v>
      </c>
      <c r="K33" s="21">
        <v>52957</v>
      </c>
      <c r="L33" s="135">
        <v>20676</v>
      </c>
      <c r="M33" s="21">
        <v>22977</v>
      </c>
      <c r="N33" s="20">
        <v>135061</v>
      </c>
      <c r="O33" s="21">
        <v>37557</v>
      </c>
      <c r="P33" s="21">
        <v>45371</v>
      </c>
      <c r="Q33" s="135">
        <v>15152</v>
      </c>
      <c r="R33" s="135">
        <v>59083</v>
      </c>
      <c r="S33" s="135">
        <v>22923</v>
      </c>
      <c r="T33" s="20">
        <v>180086</v>
      </c>
      <c r="U33" s="22">
        <v>435330</v>
      </c>
      <c r="V33" s="135">
        <v>401</v>
      </c>
      <c r="W33" s="135">
        <v>2214</v>
      </c>
      <c r="X33" s="135">
        <v>0</v>
      </c>
      <c r="Y33" s="135">
        <v>0</v>
      </c>
      <c r="Z33" s="20">
        <v>2615</v>
      </c>
      <c r="AA33" s="135">
        <v>0</v>
      </c>
      <c r="AB33" s="21">
        <v>1941</v>
      </c>
      <c r="AC33" s="135">
        <v>0</v>
      </c>
      <c r="AD33" s="21">
        <v>873</v>
      </c>
      <c r="AE33" s="20">
        <v>2814</v>
      </c>
      <c r="AF33" s="21">
        <v>0</v>
      </c>
      <c r="AG33" s="21">
        <v>0</v>
      </c>
      <c r="AH33" s="135">
        <v>0</v>
      </c>
      <c r="AI33" s="135">
        <v>0</v>
      </c>
      <c r="AJ33" s="135">
        <v>0</v>
      </c>
      <c r="AK33" s="20">
        <v>0</v>
      </c>
      <c r="AL33" s="22">
        <v>5429</v>
      </c>
      <c r="AM33" s="11">
        <v>64</v>
      </c>
      <c r="AN33" s="131">
        <v>27861120</v>
      </c>
      <c r="AO33" s="131">
        <v>347456</v>
      </c>
    </row>
    <row r="34" spans="1:41" s="29" customFormat="1" ht="15.75" customHeight="1">
      <c r="A34" s="191"/>
      <c r="B34" s="31" t="s">
        <v>6</v>
      </c>
      <c r="C34" s="20"/>
      <c r="D34" s="20"/>
      <c r="E34" s="21">
        <v>30025</v>
      </c>
      <c r="F34" s="21">
        <v>36750</v>
      </c>
      <c r="G34" s="21">
        <v>27166</v>
      </c>
      <c r="H34" s="135">
        <v>99034</v>
      </c>
      <c r="I34" s="26">
        <v>192975</v>
      </c>
      <c r="J34" s="21">
        <v>0</v>
      </c>
      <c r="K34" s="21">
        <v>20000</v>
      </c>
      <c r="L34" s="21">
        <v>30000</v>
      </c>
      <c r="M34" s="21">
        <v>55000</v>
      </c>
      <c r="N34" s="26">
        <v>105000</v>
      </c>
      <c r="O34" s="21">
        <v>45000</v>
      </c>
      <c r="P34" s="21">
        <v>0</v>
      </c>
      <c r="Q34" s="21">
        <v>20000</v>
      </c>
      <c r="R34" s="21">
        <v>30000</v>
      </c>
      <c r="S34" s="21">
        <v>55000</v>
      </c>
      <c r="T34" s="26">
        <v>150000</v>
      </c>
      <c r="U34" s="22"/>
      <c r="V34" s="21">
        <v>45000</v>
      </c>
      <c r="W34" s="21">
        <v>0</v>
      </c>
      <c r="X34" s="21">
        <v>0</v>
      </c>
      <c r="Y34" s="135">
        <v>0</v>
      </c>
      <c r="Z34" s="26">
        <v>45000</v>
      </c>
      <c r="AA34" s="21">
        <v>0</v>
      </c>
      <c r="AB34" s="21">
        <v>0</v>
      </c>
      <c r="AC34" s="21">
        <v>0</v>
      </c>
      <c r="AD34" s="21">
        <v>0</v>
      </c>
      <c r="AE34" s="26">
        <v>0</v>
      </c>
      <c r="AF34" s="21">
        <v>0</v>
      </c>
      <c r="AG34" s="21">
        <v>0</v>
      </c>
      <c r="AH34" s="21">
        <v>0</v>
      </c>
      <c r="AI34" s="21">
        <v>0</v>
      </c>
      <c r="AJ34" s="21">
        <v>0</v>
      </c>
      <c r="AK34" s="26">
        <v>0</v>
      </c>
      <c r="AL34" s="22"/>
      <c r="AM34" s="11"/>
      <c r="AN34" s="131">
        <v>0</v>
      </c>
      <c r="AO34" s="131">
        <v>0</v>
      </c>
    </row>
    <row r="35" spans="1:41" s="29" customFormat="1" ht="15" customHeight="1">
      <c r="A35" s="191"/>
      <c r="B35" s="31" t="s">
        <v>10</v>
      </c>
      <c r="C35" s="20">
        <v>11250</v>
      </c>
      <c r="D35" s="20"/>
      <c r="E35" s="20"/>
      <c r="F35" s="20"/>
      <c r="G35" s="20"/>
      <c r="H35" s="20">
        <v>11250</v>
      </c>
      <c r="I35" s="26">
        <v>11250</v>
      </c>
      <c r="J35" s="20"/>
      <c r="K35" s="20"/>
      <c r="L35" s="20"/>
      <c r="M35" s="20"/>
      <c r="N35" s="26">
        <v>0</v>
      </c>
      <c r="O35" s="20"/>
      <c r="P35" s="20"/>
      <c r="Q35" s="20"/>
      <c r="R35" s="20"/>
      <c r="S35" s="20"/>
      <c r="T35" s="26">
        <v>0</v>
      </c>
      <c r="U35" s="22"/>
      <c r="V35" s="20"/>
      <c r="W35" s="20"/>
      <c r="X35" s="20"/>
      <c r="Y35" s="20"/>
      <c r="Z35" s="26">
        <v>0</v>
      </c>
      <c r="AA35" s="20"/>
      <c r="AB35" s="20"/>
      <c r="AC35" s="20"/>
      <c r="AD35" s="20"/>
      <c r="AE35" s="26">
        <v>0</v>
      </c>
      <c r="AF35" s="20"/>
      <c r="AG35" s="20"/>
      <c r="AH35" s="20"/>
      <c r="AI35" s="20"/>
      <c r="AJ35" s="20"/>
      <c r="AK35" s="26">
        <v>0</v>
      </c>
      <c r="AL35" s="28">
        <v>0</v>
      </c>
      <c r="AM35" s="11"/>
      <c r="AN35" s="131">
        <v>0</v>
      </c>
      <c r="AO35" s="131">
        <v>0</v>
      </c>
    </row>
    <row r="36" spans="1:41" s="29" customFormat="1" ht="15.75" customHeight="1">
      <c r="A36" s="191"/>
      <c r="B36" s="31" t="s">
        <v>7</v>
      </c>
      <c r="C36" s="20"/>
      <c r="D36" s="20"/>
      <c r="E36" s="21">
        <v>30025</v>
      </c>
      <c r="F36" s="21">
        <v>36750</v>
      </c>
      <c r="G36" s="21">
        <v>27166</v>
      </c>
      <c r="H36" s="21">
        <v>110284</v>
      </c>
      <c r="I36" s="20">
        <v>204225</v>
      </c>
      <c r="J36" s="21">
        <v>0</v>
      </c>
      <c r="K36" s="21">
        <v>20000</v>
      </c>
      <c r="L36" s="21">
        <v>30000</v>
      </c>
      <c r="M36" s="21">
        <v>55000</v>
      </c>
      <c r="N36" s="20">
        <v>105000</v>
      </c>
      <c r="O36" s="21">
        <v>45000</v>
      </c>
      <c r="P36" s="21">
        <v>0</v>
      </c>
      <c r="Q36" s="21">
        <v>20000</v>
      </c>
      <c r="R36" s="21">
        <v>30000</v>
      </c>
      <c r="S36" s="21">
        <v>55000</v>
      </c>
      <c r="T36" s="20">
        <v>150000</v>
      </c>
      <c r="U36" s="22">
        <v>540279</v>
      </c>
      <c r="V36" s="21">
        <v>45000</v>
      </c>
      <c r="W36" s="21">
        <v>0</v>
      </c>
      <c r="X36" s="21">
        <v>0</v>
      </c>
      <c r="Y36" s="21">
        <v>0</v>
      </c>
      <c r="Z36" s="20">
        <v>45000</v>
      </c>
      <c r="AA36" s="21">
        <v>0</v>
      </c>
      <c r="AB36" s="21">
        <v>0</v>
      </c>
      <c r="AC36" s="21">
        <v>0</v>
      </c>
      <c r="AD36" s="21">
        <v>0</v>
      </c>
      <c r="AE36" s="20">
        <v>0</v>
      </c>
      <c r="AF36" s="21">
        <v>0</v>
      </c>
      <c r="AG36" s="21">
        <v>0</v>
      </c>
      <c r="AH36" s="21">
        <v>0</v>
      </c>
      <c r="AI36" s="21">
        <v>0</v>
      </c>
      <c r="AJ36" s="21">
        <v>0</v>
      </c>
      <c r="AK36" s="20">
        <v>0</v>
      </c>
      <c r="AL36" s="22">
        <v>45000</v>
      </c>
      <c r="AM36" s="11"/>
      <c r="AN36" s="131">
        <v>0</v>
      </c>
      <c r="AO36" s="131">
        <v>0</v>
      </c>
    </row>
    <row r="37" spans="1:41" s="29" customFormat="1" ht="15.75" customHeight="1" thickBot="1">
      <c r="A37" s="192"/>
      <c r="B37" s="31" t="s">
        <v>8</v>
      </c>
      <c r="C37" s="20">
        <v>100168</v>
      </c>
      <c r="D37" s="35">
        <v>81054</v>
      </c>
      <c r="E37" s="21">
        <v>0</v>
      </c>
      <c r="F37" s="21">
        <v>0</v>
      </c>
      <c r="G37" s="21">
        <v>59877</v>
      </c>
      <c r="H37" s="21">
        <v>165096</v>
      </c>
      <c r="I37" s="20">
        <v>165096</v>
      </c>
      <c r="J37" s="21">
        <v>126645</v>
      </c>
      <c r="K37" s="21">
        <v>93688</v>
      </c>
      <c r="L37" s="21">
        <v>103012</v>
      </c>
      <c r="M37" s="21">
        <v>135035</v>
      </c>
      <c r="N37" s="20">
        <v>135035</v>
      </c>
      <c r="O37" s="21">
        <v>142478</v>
      </c>
      <c r="P37" s="21">
        <v>97107</v>
      </c>
      <c r="Q37" s="21">
        <v>101955</v>
      </c>
      <c r="R37" s="21">
        <v>72872</v>
      </c>
      <c r="S37" s="21">
        <v>104949</v>
      </c>
      <c r="T37" s="20">
        <v>104949</v>
      </c>
      <c r="U37" s="22">
        <v>104949</v>
      </c>
      <c r="V37" s="21">
        <v>149548</v>
      </c>
      <c r="W37" s="21">
        <v>147334</v>
      </c>
      <c r="X37" s="21">
        <v>147334</v>
      </c>
      <c r="Y37" s="21">
        <v>147334</v>
      </c>
      <c r="Z37" s="20">
        <v>147334</v>
      </c>
      <c r="AA37" s="21">
        <v>147334</v>
      </c>
      <c r="AB37" s="21">
        <v>145393</v>
      </c>
      <c r="AC37" s="21">
        <v>145393</v>
      </c>
      <c r="AD37" s="21">
        <v>144520</v>
      </c>
      <c r="AE37" s="20">
        <v>144520</v>
      </c>
      <c r="AF37" s="21">
        <v>144520</v>
      </c>
      <c r="AG37" s="21">
        <v>144520</v>
      </c>
      <c r="AH37" s="21">
        <v>144520</v>
      </c>
      <c r="AI37" s="21">
        <v>144520</v>
      </c>
      <c r="AJ37" s="21">
        <v>144520</v>
      </c>
      <c r="AK37" s="20">
        <v>144520</v>
      </c>
      <c r="AL37" s="22">
        <v>144520</v>
      </c>
      <c r="AM37" s="11"/>
      <c r="AN37" s="131">
        <v>0</v>
      </c>
      <c r="AO37" s="131">
        <v>0</v>
      </c>
    </row>
    <row r="38" spans="1:41" s="29" customFormat="1" ht="13.25" customHeight="1">
      <c r="A38" s="36"/>
      <c r="B38" s="31" t="s">
        <v>9</v>
      </c>
      <c r="C38" s="26"/>
      <c r="D38" s="26"/>
      <c r="E38" s="132">
        <v>0</v>
      </c>
      <c r="F38" s="132">
        <v>0</v>
      </c>
      <c r="G38" s="132">
        <v>0</v>
      </c>
      <c r="H38" s="132">
        <v>-9431.7167509669744</v>
      </c>
      <c r="I38" s="23"/>
      <c r="J38" s="132">
        <v>-46480.755590398323</v>
      </c>
      <c r="K38" s="132">
        <v>-34683.167395552249</v>
      </c>
      <c r="L38" s="132">
        <v>-36323.576470588239</v>
      </c>
      <c r="M38" s="132">
        <v>-18351.468394046362</v>
      </c>
      <c r="N38" s="23"/>
      <c r="O38" s="132">
        <v>-25977.342361497282</v>
      </c>
      <c r="P38" s="132">
        <v>-6328.4006776551632</v>
      </c>
      <c r="Q38" s="132">
        <v>-5415.4467090273974</v>
      </c>
      <c r="R38" s="132">
        <v>-6412.528585429598</v>
      </c>
      <c r="S38" s="132">
        <v>654.55529238810834</v>
      </c>
      <c r="T38" s="23"/>
      <c r="U38" s="24"/>
      <c r="V38" s="132">
        <v>0</v>
      </c>
      <c r="W38" s="132">
        <v>0</v>
      </c>
      <c r="X38" s="132">
        <v>0</v>
      </c>
      <c r="Y38" s="132">
        <v>-9431.7167509669744</v>
      </c>
      <c r="Z38" s="23"/>
      <c r="AA38" s="132">
        <v>-46480.755590398323</v>
      </c>
      <c r="AB38" s="132">
        <v>-34683.167395552249</v>
      </c>
      <c r="AC38" s="132">
        <v>-36323.576470588239</v>
      </c>
      <c r="AD38" s="132">
        <v>-18351.468394046362</v>
      </c>
      <c r="AE38" s="23"/>
      <c r="AF38" s="132">
        <v>-25977.342361497282</v>
      </c>
      <c r="AG38" s="132">
        <v>-6328.4006776551632</v>
      </c>
      <c r="AH38" s="132">
        <v>-5415.4467090273974</v>
      </c>
      <c r="AI38" s="132">
        <v>-6412.528585429598</v>
      </c>
      <c r="AJ38" s="132">
        <v>654.55529238810834</v>
      </c>
      <c r="AK38" s="23"/>
      <c r="AL38" s="24"/>
    </row>
    <row r="39" spans="1:41" s="29" customFormat="1" ht="13.25" customHeight="1">
      <c r="A39" s="202" t="s">
        <v>119</v>
      </c>
      <c r="B39" s="31" t="s">
        <v>5</v>
      </c>
      <c r="C39" s="26"/>
      <c r="D39" s="26"/>
      <c r="E39" s="27">
        <v>0</v>
      </c>
      <c r="F39" s="27">
        <v>0</v>
      </c>
      <c r="G39" s="27">
        <v>-181</v>
      </c>
      <c r="H39" s="27">
        <v>0</v>
      </c>
      <c r="I39" s="26">
        <v>-181</v>
      </c>
      <c r="J39" s="27">
        <v>0</v>
      </c>
      <c r="K39" s="27">
        <v>0</v>
      </c>
      <c r="L39" s="27">
        <v>0</v>
      </c>
      <c r="M39" s="27">
        <v>0</v>
      </c>
      <c r="N39" s="26">
        <v>0</v>
      </c>
      <c r="O39" s="27">
        <v>0</v>
      </c>
      <c r="P39" s="27">
        <v>0</v>
      </c>
      <c r="Q39" s="27">
        <v>0</v>
      </c>
      <c r="R39" s="27">
        <v>0</v>
      </c>
      <c r="S39" s="27">
        <v>0</v>
      </c>
      <c r="T39" s="26">
        <v>0</v>
      </c>
      <c r="U39" s="28">
        <v>-181</v>
      </c>
      <c r="V39" s="27">
        <v>0</v>
      </c>
      <c r="W39" s="27">
        <v>0</v>
      </c>
      <c r="X39" s="27">
        <v>0</v>
      </c>
      <c r="Y39" s="27">
        <v>0</v>
      </c>
      <c r="Z39" s="26">
        <v>0</v>
      </c>
      <c r="AA39" s="27">
        <v>0</v>
      </c>
      <c r="AB39" s="27">
        <v>0</v>
      </c>
      <c r="AC39" s="27">
        <v>0</v>
      </c>
      <c r="AD39" s="27">
        <v>0</v>
      </c>
      <c r="AE39" s="26">
        <v>0</v>
      </c>
      <c r="AF39" s="27">
        <v>0</v>
      </c>
      <c r="AG39" s="27">
        <v>0</v>
      </c>
      <c r="AH39" s="27">
        <v>0</v>
      </c>
      <c r="AI39" s="27">
        <v>0</v>
      </c>
      <c r="AJ39" s="27">
        <v>0</v>
      </c>
      <c r="AK39" s="26">
        <v>0</v>
      </c>
      <c r="AL39" s="28">
        <v>0</v>
      </c>
      <c r="AM39" s="29">
        <v>128</v>
      </c>
      <c r="AN39" s="131">
        <v>-23168</v>
      </c>
    </row>
    <row r="40" spans="1:41" s="29" customFormat="1" ht="13.25" customHeight="1">
      <c r="A40" s="197"/>
      <c r="B40" s="31" t="s">
        <v>6</v>
      </c>
      <c r="C40" s="26"/>
      <c r="D40" s="26"/>
      <c r="E40" s="27">
        <v>0</v>
      </c>
      <c r="F40" s="27">
        <v>0</v>
      </c>
      <c r="G40" s="27">
        <v>0</v>
      </c>
      <c r="H40" s="27">
        <v>0</v>
      </c>
      <c r="I40" s="26">
        <v>0</v>
      </c>
      <c r="J40" s="27">
        <v>0</v>
      </c>
      <c r="K40" s="27">
        <v>0</v>
      </c>
      <c r="L40" s="27">
        <v>0</v>
      </c>
      <c r="M40" s="27">
        <v>0</v>
      </c>
      <c r="N40" s="26">
        <v>0</v>
      </c>
      <c r="O40" s="27">
        <v>0</v>
      </c>
      <c r="P40" s="27">
        <v>0</v>
      </c>
      <c r="Q40" s="27">
        <v>0</v>
      </c>
      <c r="R40" s="27">
        <v>0</v>
      </c>
      <c r="S40" s="27">
        <v>0</v>
      </c>
      <c r="T40" s="26">
        <v>0</v>
      </c>
      <c r="U40" s="28">
        <v>0</v>
      </c>
      <c r="V40" s="27">
        <v>0</v>
      </c>
      <c r="W40" s="27">
        <v>0</v>
      </c>
      <c r="X40" s="27">
        <v>0</v>
      </c>
      <c r="Y40" s="27">
        <v>0</v>
      </c>
      <c r="Z40" s="26">
        <v>0</v>
      </c>
      <c r="AA40" s="27">
        <v>0</v>
      </c>
      <c r="AB40" s="27">
        <v>0</v>
      </c>
      <c r="AC40" s="27">
        <v>0</v>
      </c>
      <c r="AD40" s="27">
        <v>0</v>
      </c>
      <c r="AE40" s="26">
        <v>0</v>
      </c>
      <c r="AF40" s="27">
        <v>0</v>
      </c>
      <c r="AG40" s="27">
        <v>0</v>
      </c>
      <c r="AH40" s="27">
        <v>0</v>
      </c>
      <c r="AI40" s="27">
        <v>0</v>
      </c>
      <c r="AJ40" s="27">
        <v>0</v>
      </c>
      <c r="AK40" s="26">
        <v>0</v>
      </c>
      <c r="AL40" s="28">
        <v>0</v>
      </c>
      <c r="AN40" s="131">
        <v>0</v>
      </c>
    </row>
    <row r="41" spans="1:41" s="29" customFormat="1">
      <c r="A41" s="197"/>
      <c r="B41" s="31" t="s">
        <v>10</v>
      </c>
      <c r="C41" s="26">
        <v>0</v>
      </c>
      <c r="D41" s="26"/>
      <c r="E41" s="27"/>
      <c r="F41" s="27"/>
      <c r="G41" s="27"/>
      <c r="H41" s="27">
        <v>0</v>
      </c>
      <c r="I41" s="26">
        <v>0</v>
      </c>
      <c r="J41" s="27"/>
      <c r="K41" s="27"/>
      <c r="L41" s="27"/>
      <c r="M41" s="27"/>
      <c r="N41" s="26">
        <v>0</v>
      </c>
      <c r="O41" s="27"/>
      <c r="P41" s="27"/>
      <c r="Q41" s="27"/>
      <c r="R41" s="27"/>
      <c r="S41" s="27"/>
      <c r="T41" s="26">
        <v>0</v>
      </c>
      <c r="U41" s="28">
        <v>0</v>
      </c>
      <c r="V41" s="27"/>
      <c r="W41" s="27"/>
      <c r="X41" s="27"/>
      <c r="Y41" s="27"/>
      <c r="Z41" s="26">
        <v>0</v>
      </c>
      <c r="AA41" s="27"/>
      <c r="AB41" s="27"/>
      <c r="AC41" s="27"/>
      <c r="AD41" s="27"/>
      <c r="AE41" s="26">
        <v>0</v>
      </c>
      <c r="AF41" s="27"/>
      <c r="AG41" s="27"/>
      <c r="AH41" s="27"/>
      <c r="AI41" s="27"/>
      <c r="AJ41" s="27"/>
      <c r="AK41" s="26">
        <v>0</v>
      </c>
      <c r="AL41" s="28">
        <v>0</v>
      </c>
      <c r="AN41" s="131">
        <v>0</v>
      </c>
    </row>
    <row r="42" spans="1:41" s="29" customFormat="1" ht="13.75" customHeight="1">
      <c r="A42" s="197"/>
      <c r="B42" s="31" t="s">
        <v>115</v>
      </c>
      <c r="C42" s="26"/>
      <c r="D42" s="26"/>
      <c r="E42" s="27">
        <v>0</v>
      </c>
      <c r="F42" s="27">
        <v>0</v>
      </c>
      <c r="G42" s="27">
        <v>0</v>
      </c>
      <c r="H42" s="27">
        <v>0</v>
      </c>
      <c r="I42" s="26">
        <v>0</v>
      </c>
      <c r="J42" s="27">
        <v>0</v>
      </c>
      <c r="K42" s="27">
        <v>0</v>
      </c>
      <c r="L42" s="27">
        <v>0</v>
      </c>
      <c r="M42" s="27">
        <v>0</v>
      </c>
      <c r="N42" s="26">
        <v>0</v>
      </c>
      <c r="O42" s="27">
        <v>0</v>
      </c>
      <c r="P42" s="27">
        <v>0</v>
      </c>
      <c r="Q42" s="27">
        <v>0</v>
      </c>
      <c r="R42" s="27">
        <v>0</v>
      </c>
      <c r="S42" s="27">
        <v>0</v>
      </c>
      <c r="T42" s="26">
        <v>0</v>
      </c>
      <c r="U42" s="28">
        <v>0</v>
      </c>
      <c r="V42" s="27">
        <v>0</v>
      </c>
      <c r="W42" s="27">
        <v>0</v>
      </c>
      <c r="X42" s="27">
        <v>0</v>
      </c>
      <c r="Y42" s="27">
        <v>0</v>
      </c>
      <c r="Z42" s="26">
        <v>0</v>
      </c>
      <c r="AA42" s="27">
        <v>0</v>
      </c>
      <c r="AB42" s="27">
        <v>0</v>
      </c>
      <c r="AC42" s="27">
        <v>0</v>
      </c>
      <c r="AD42" s="27">
        <v>0</v>
      </c>
      <c r="AE42" s="26">
        <v>0</v>
      </c>
      <c r="AF42" s="27">
        <v>0</v>
      </c>
      <c r="AG42" s="27">
        <v>0</v>
      </c>
      <c r="AH42" s="27">
        <v>0</v>
      </c>
      <c r="AI42" s="27">
        <v>0</v>
      </c>
      <c r="AJ42" s="27">
        <v>0</v>
      </c>
      <c r="AK42" s="26">
        <v>0</v>
      </c>
      <c r="AL42" s="28">
        <v>0</v>
      </c>
      <c r="AN42" s="131">
        <v>0</v>
      </c>
    </row>
    <row r="43" spans="1:41" s="29" customFormat="1" ht="13.75" customHeight="1">
      <c r="A43" s="198"/>
      <c r="B43" s="31" t="s">
        <v>8</v>
      </c>
      <c r="C43" s="34">
        <v>181</v>
      </c>
      <c r="D43" s="35"/>
      <c r="E43" s="21">
        <v>0</v>
      </c>
      <c r="F43" s="21">
        <v>0</v>
      </c>
      <c r="G43" s="21">
        <v>181</v>
      </c>
      <c r="H43" s="21">
        <v>181</v>
      </c>
      <c r="I43" s="20">
        <v>181</v>
      </c>
      <c r="J43" s="21">
        <v>181</v>
      </c>
      <c r="K43" s="21">
        <v>181</v>
      </c>
      <c r="L43" s="21">
        <v>181</v>
      </c>
      <c r="M43" s="21">
        <v>181</v>
      </c>
      <c r="N43" s="20">
        <v>181</v>
      </c>
      <c r="O43" s="21">
        <v>181</v>
      </c>
      <c r="P43" s="21">
        <v>181</v>
      </c>
      <c r="Q43" s="21">
        <v>181</v>
      </c>
      <c r="R43" s="21">
        <v>181</v>
      </c>
      <c r="S43" s="21">
        <v>181</v>
      </c>
      <c r="T43" s="20">
        <v>181</v>
      </c>
      <c r="U43" s="22">
        <v>181</v>
      </c>
      <c r="V43" s="21">
        <v>0</v>
      </c>
      <c r="W43" s="21">
        <v>0</v>
      </c>
      <c r="X43" s="21">
        <v>0</v>
      </c>
      <c r="Y43" s="21">
        <v>0</v>
      </c>
      <c r="Z43" s="20">
        <v>0</v>
      </c>
      <c r="AA43" s="21">
        <v>0</v>
      </c>
      <c r="AB43" s="21">
        <v>0</v>
      </c>
      <c r="AC43" s="21">
        <v>0</v>
      </c>
      <c r="AD43" s="21">
        <v>0</v>
      </c>
      <c r="AE43" s="20">
        <v>0</v>
      </c>
      <c r="AF43" s="21">
        <v>0</v>
      </c>
      <c r="AG43" s="21">
        <v>0</v>
      </c>
      <c r="AH43" s="21">
        <v>0</v>
      </c>
      <c r="AI43" s="21">
        <v>0</v>
      </c>
      <c r="AJ43" s="21">
        <v>0</v>
      </c>
      <c r="AK43" s="20">
        <v>0</v>
      </c>
      <c r="AL43" s="22">
        <v>181</v>
      </c>
      <c r="AN43" s="131">
        <v>0</v>
      </c>
    </row>
    <row r="44" spans="1:41" s="29" customFormat="1" ht="13.75" customHeight="1" thickBot="1">
      <c r="A44" s="36"/>
      <c r="B44" s="31" t="s">
        <v>9</v>
      </c>
      <c r="C44" s="26"/>
      <c r="D44" s="26"/>
      <c r="E44" s="132" t="e">
        <v>#DIV/0!</v>
      </c>
      <c r="F44" s="132" t="e">
        <v>#DIV/0!</v>
      </c>
      <c r="G44" s="132" t="e">
        <v>#DIV/0!</v>
      </c>
      <c r="H44" s="132" t="e">
        <v>#DIV/0!</v>
      </c>
      <c r="I44" s="23"/>
      <c r="J44" s="132" t="e">
        <v>#DIV/0!</v>
      </c>
      <c r="K44" s="132" t="e">
        <v>#DIV/0!</v>
      </c>
      <c r="L44" s="132" t="e">
        <v>#DIV/0!</v>
      </c>
      <c r="M44" s="132" t="e">
        <v>#DIV/0!</v>
      </c>
      <c r="N44" s="23"/>
      <c r="O44" s="132">
        <v>0</v>
      </c>
      <c r="P44" s="132">
        <v>0</v>
      </c>
      <c r="Q44" s="132">
        <v>0</v>
      </c>
      <c r="R44" s="132">
        <v>0</v>
      </c>
      <c r="S44" s="132">
        <v>0</v>
      </c>
      <c r="T44" s="23"/>
      <c r="U44" s="24"/>
      <c r="V44" s="132" t="e">
        <v>#DIV/0!</v>
      </c>
      <c r="W44" s="132" t="e">
        <v>#DIV/0!</v>
      </c>
      <c r="X44" s="132" t="e">
        <v>#DIV/0!</v>
      </c>
      <c r="Y44" s="132" t="e">
        <v>#DIV/0!</v>
      </c>
      <c r="Z44" s="23"/>
      <c r="AA44" s="132" t="e">
        <v>#DIV/0!</v>
      </c>
      <c r="AB44" s="132" t="e">
        <v>#DIV/0!</v>
      </c>
      <c r="AC44" s="132" t="e">
        <v>#DIV/0!</v>
      </c>
      <c r="AD44" s="132" t="e">
        <v>#DIV/0!</v>
      </c>
      <c r="AE44" s="23"/>
      <c r="AF44" s="132">
        <v>0</v>
      </c>
      <c r="AG44" s="132">
        <v>0</v>
      </c>
      <c r="AH44" s="132">
        <v>0</v>
      </c>
      <c r="AI44" s="132">
        <v>0</v>
      </c>
      <c r="AJ44" s="132">
        <v>0</v>
      </c>
      <c r="AK44" s="23"/>
      <c r="AL44" s="24"/>
      <c r="AN44" s="131">
        <v>0</v>
      </c>
    </row>
    <row r="45" spans="1:41" s="29" customFormat="1" ht="15.75" customHeight="1" thickBot="1">
      <c r="A45" s="190" t="s">
        <v>17</v>
      </c>
      <c r="B45" s="31" t="s">
        <v>5</v>
      </c>
      <c r="C45" s="20"/>
      <c r="D45" s="20"/>
      <c r="E45" s="21">
        <v>0</v>
      </c>
      <c r="F45" s="135">
        <v>0</v>
      </c>
      <c r="G45" s="135">
        <v>-139</v>
      </c>
      <c r="H45" s="135">
        <v>0</v>
      </c>
      <c r="I45" s="20">
        <v>-139</v>
      </c>
      <c r="J45" s="135">
        <v>0</v>
      </c>
      <c r="K45" s="21">
        <v>0</v>
      </c>
      <c r="L45" s="21">
        <v>0</v>
      </c>
      <c r="M45" s="21">
        <v>0</v>
      </c>
      <c r="N45" s="20">
        <v>0</v>
      </c>
      <c r="O45" s="21">
        <v>0</v>
      </c>
      <c r="P45" s="135">
        <v>0</v>
      </c>
      <c r="Q45" s="135">
        <v>0</v>
      </c>
      <c r="R45" s="135">
        <v>0</v>
      </c>
      <c r="S45" s="135">
        <v>0</v>
      </c>
      <c r="T45" s="20">
        <v>0</v>
      </c>
      <c r="U45" s="22">
        <v>314</v>
      </c>
      <c r="V45" s="21">
        <v>0</v>
      </c>
      <c r="W45" s="135">
        <v>0</v>
      </c>
      <c r="X45" s="135">
        <v>0</v>
      </c>
      <c r="Y45" s="135">
        <v>0</v>
      </c>
      <c r="Z45" s="20">
        <v>0</v>
      </c>
      <c r="AA45" s="135">
        <v>0</v>
      </c>
      <c r="AB45" s="21">
        <v>0</v>
      </c>
      <c r="AC45" s="21">
        <v>0</v>
      </c>
      <c r="AD45" s="21">
        <v>0</v>
      </c>
      <c r="AE45" s="20">
        <v>0</v>
      </c>
      <c r="AF45" s="21">
        <v>0</v>
      </c>
      <c r="AG45" s="135">
        <v>0</v>
      </c>
      <c r="AH45" s="135">
        <v>0</v>
      </c>
      <c r="AI45" s="135">
        <v>0</v>
      </c>
      <c r="AJ45" s="135">
        <v>0</v>
      </c>
      <c r="AK45" s="20">
        <v>0</v>
      </c>
      <c r="AL45" s="22">
        <v>0</v>
      </c>
      <c r="AM45" s="11">
        <v>128</v>
      </c>
      <c r="AN45" s="131">
        <v>40192</v>
      </c>
      <c r="AO45" s="131">
        <v>0</v>
      </c>
    </row>
    <row r="46" spans="1:41" s="29" customFormat="1" ht="15.75" customHeight="1">
      <c r="A46" s="191"/>
      <c r="B46" s="31" t="s">
        <v>6</v>
      </c>
      <c r="C46" s="20"/>
      <c r="D46" s="20"/>
      <c r="E46" s="21">
        <v>0</v>
      </c>
      <c r="F46" s="135">
        <v>0</v>
      </c>
      <c r="G46" s="21">
        <v>0</v>
      </c>
      <c r="H46" s="135">
        <v>0</v>
      </c>
      <c r="I46" s="26">
        <v>0</v>
      </c>
      <c r="J46" s="21">
        <v>0</v>
      </c>
      <c r="K46" s="21">
        <v>0</v>
      </c>
      <c r="L46" s="21">
        <v>0</v>
      </c>
      <c r="M46" s="21">
        <v>0</v>
      </c>
      <c r="N46" s="26">
        <v>0</v>
      </c>
      <c r="O46" s="21">
        <v>0</v>
      </c>
      <c r="P46" s="21">
        <v>0</v>
      </c>
      <c r="Q46" s="21">
        <v>0</v>
      </c>
      <c r="R46" s="21">
        <v>0</v>
      </c>
      <c r="S46" s="21">
        <v>0</v>
      </c>
      <c r="T46" s="26">
        <v>0</v>
      </c>
      <c r="U46" s="22"/>
      <c r="V46" s="21">
        <v>0</v>
      </c>
      <c r="W46" s="135">
        <v>0</v>
      </c>
      <c r="X46" s="21">
        <v>0</v>
      </c>
      <c r="Y46" s="135">
        <v>0</v>
      </c>
      <c r="Z46" s="26">
        <v>0</v>
      </c>
      <c r="AA46" s="21">
        <v>0</v>
      </c>
      <c r="AB46" s="21">
        <v>0</v>
      </c>
      <c r="AC46" s="21">
        <v>0</v>
      </c>
      <c r="AD46" s="21">
        <v>0</v>
      </c>
      <c r="AE46" s="26">
        <v>0</v>
      </c>
      <c r="AF46" s="21">
        <v>0</v>
      </c>
      <c r="AG46" s="21">
        <v>0</v>
      </c>
      <c r="AH46" s="21">
        <v>0</v>
      </c>
      <c r="AI46" s="21">
        <v>0</v>
      </c>
      <c r="AJ46" s="21">
        <v>0</v>
      </c>
      <c r="AK46" s="26">
        <v>0</v>
      </c>
      <c r="AL46" s="22"/>
      <c r="AM46" s="11"/>
      <c r="AN46" s="131">
        <v>0</v>
      </c>
      <c r="AO46" s="131">
        <v>0</v>
      </c>
    </row>
    <row r="47" spans="1:41" s="29" customFormat="1" ht="15" customHeight="1">
      <c r="A47" s="191"/>
      <c r="B47" s="31" t="s">
        <v>10</v>
      </c>
      <c r="C47" s="20">
        <v>0</v>
      </c>
      <c r="D47" s="20"/>
      <c r="E47" s="20"/>
      <c r="F47" s="20"/>
      <c r="G47" s="20"/>
      <c r="H47" s="20">
        <v>0</v>
      </c>
      <c r="I47" s="26">
        <v>0</v>
      </c>
      <c r="J47" s="20"/>
      <c r="K47" s="20"/>
      <c r="L47" s="20"/>
      <c r="M47" s="20"/>
      <c r="N47" s="26">
        <v>0</v>
      </c>
      <c r="O47" s="20"/>
      <c r="P47" s="20"/>
      <c r="Q47" s="20"/>
      <c r="R47" s="20"/>
      <c r="S47" s="20"/>
      <c r="T47" s="26">
        <v>0</v>
      </c>
      <c r="U47" s="22"/>
      <c r="V47" s="20"/>
      <c r="W47" s="20"/>
      <c r="X47" s="20"/>
      <c r="Y47" s="20"/>
      <c r="Z47" s="26">
        <v>0</v>
      </c>
      <c r="AA47" s="20"/>
      <c r="AB47" s="20"/>
      <c r="AC47" s="20"/>
      <c r="AD47" s="20"/>
      <c r="AE47" s="26">
        <v>0</v>
      </c>
      <c r="AF47" s="20"/>
      <c r="AG47" s="20"/>
      <c r="AH47" s="20"/>
      <c r="AI47" s="20"/>
      <c r="AJ47" s="20"/>
      <c r="AK47" s="26">
        <v>0</v>
      </c>
      <c r="AL47" s="28">
        <v>0</v>
      </c>
      <c r="AM47" s="11"/>
      <c r="AN47" s="131">
        <v>0</v>
      </c>
      <c r="AO47" s="131">
        <v>0</v>
      </c>
    </row>
    <row r="48" spans="1:41" s="29" customFormat="1" ht="15.75" customHeight="1">
      <c r="A48" s="191"/>
      <c r="B48" s="31" t="s">
        <v>7</v>
      </c>
      <c r="C48" s="20"/>
      <c r="D48" s="20"/>
      <c r="E48" s="21">
        <v>0</v>
      </c>
      <c r="F48" s="21">
        <v>0</v>
      </c>
      <c r="G48" s="21">
        <v>0</v>
      </c>
      <c r="H48" s="21">
        <v>0</v>
      </c>
      <c r="I48" s="20">
        <v>0</v>
      </c>
      <c r="J48" s="21">
        <v>0</v>
      </c>
      <c r="K48" s="21">
        <v>0</v>
      </c>
      <c r="L48" s="21">
        <v>0</v>
      </c>
      <c r="M48" s="21">
        <v>0</v>
      </c>
      <c r="N48" s="20">
        <v>0</v>
      </c>
      <c r="O48" s="21">
        <v>0</v>
      </c>
      <c r="P48" s="21">
        <v>0</v>
      </c>
      <c r="Q48" s="21">
        <v>0</v>
      </c>
      <c r="R48" s="21">
        <v>0</v>
      </c>
      <c r="S48" s="21">
        <v>0</v>
      </c>
      <c r="T48" s="20">
        <v>0</v>
      </c>
      <c r="U48" s="22">
        <v>453</v>
      </c>
      <c r="V48" s="21">
        <v>0</v>
      </c>
      <c r="W48" s="21">
        <v>0</v>
      </c>
      <c r="X48" s="21">
        <v>0</v>
      </c>
      <c r="Y48" s="21">
        <v>0</v>
      </c>
      <c r="Z48" s="20">
        <v>0</v>
      </c>
      <c r="AA48" s="21">
        <v>0</v>
      </c>
      <c r="AB48" s="21">
        <v>0</v>
      </c>
      <c r="AC48" s="21">
        <v>0</v>
      </c>
      <c r="AD48" s="21">
        <v>0</v>
      </c>
      <c r="AE48" s="20">
        <v>0</v>
      </c>
      <c r="AF48" s="21">
        <v>0</v>
      </c>
      <c r="AG48" s="21">
        <v>0</v>
      </c>
      <c r="AH48" s="21">
        <v>0</v>
      </c>
      <c r="AI48" s="21">
        <v>0</v>
      </c>
      <c r="AJ48" s="21">
        <v>0</v>
      </c>
      <c r="AK48" s="20">
        <v>0</v>
      </c>
      <c r="AL48" s="22">
        <v>0</v>
      </c>
      <c r="AM48" s="11"/>
      <c r="AN48" s="131">
        <v>0</v>
      </c>
      <c r="AO48" s="131">
        <v>0</v>
      </c>
    </row>
    <row r="49" spans="1:41" s="29" customFormat="1" ht="15.75" customHeight="1" thickBot="1">
      <c r="A49" s="192"/>
      <c r="B49" s="31" t="s">
        <v>8</v>
      </c>
      <c r="C49" s="140">
        <v>139</v>
      </c>
      <c r="D49" s="35">
        <v>453</v>
      </c>
      <c r="E49" s="21">
        <v>0</v>
      </c>
      <c r="F49" s="21">
        <v>0</v>
      </c>
      <c r="G49" s="21">
        <v>139</v>
      </c>
      <c r="H49" s="21">
        <v>139</v>
      </c>
      <c r="I49" s="20">
        <v>139</v>
      </c>
      <c r="J49" s="21">
        <v>139</v>
      </c>
      <c r="K49" s="21">
        <v>139</v>
      </c>
      <c r="L49" s="21">
        <v>139</v>
      </c>
      <c r="M49" s="21">
        <v>139</v>
      </c>
      <c r="N49" s="20">
        <v>139</v>
      </c>
      <c r="O49" s="21">
        <v>139</v>
      </c>
      <c r="P49" s="21">
        <v>139</v>
      </c>
      <c r="Q49" s="21">
        <v>139</v>
      </c>
      <c r="R49" s="21">
        <v>139</v>
      </c>
      <c r="S49" s="21">
        <v>139</v>
      </c>
      <c r="T49" s="20">
        <v>139</v>
      </c>
      <c r="U49" s="22">
        <v>139</v>
      </c>
      <c r="V49" s="21">
        <v>139</v>
      </c>
      <c r="W49" s="21">
        <v>139</v>
      </c>
      <c r="X49" s="21">
        <v>139</v>
      </c>
      <c r="Y49" s="21">
        <v>139</v>
      </c>
      <c r="Z49" s="20">
        <v>139</v>
      </c>
      <c r="AA49" s="21">
        <v>139</v>
      </c>
      <c r="AB49" s="21">
        <v>139</v>
      </c>
      <c r="AC49" s="21">
        <v>139</v>
      </c>
      <c r="AD49" s="21">
        <v>139</v>
      </c>
      <c r="AE49" s="20">
        <v>139</v>
      </c>
      <c r="AF49" s="21">
        <v>139</v>
      </c>
      <c r="AG49" s="21">
        <v>139</v>
      </c>
      <c r="AH49" s="21">
        <v>139</v>
      </c>
      <c r="AI49" s="21">
        <v>139</v>
      </c>
      <c r="AJ49" s="21">
        <v>139</v>
      </c>
      <c r="AK49" s="20">
        <v>139</v>
      </c>
      <c r="AL49" s="22">
        <v>139</v>
      </c>
      <c r="AM49" s="11"/>
      <c r="AN49" s="131">
        <v>0</v>
      </c>
      <c r="AO49" s="131">
        <v>0</v>
      </c>
    </row>
    <row r="50" spans="1:41" s="29" customFormat="1" ht="16.25" customHeight="1" thickBot="1">
      <c r="A50" s="133"/>
      <c r="B50" s="31" t="s">
        <v>9</v>
      </c>
      <c r="C50" s="20"/>
      <c r="D50" s="20"/>
      <c r="E50" s="132" t="e">
        <v>#REF!</v>
      </c>
      <c r="F50" s="132" t="e">
        <v>#REF!</v>
      </c>
      <c r="G50" s="132" t="e">
        <v>#REF!</v>
      </c>
      <c r="H50" s="132" t="e">
        <v>#REF!</v>
      </c>
      <c r="I50" s="23"/>
      <c r="J50" s="132" t="e">
        <v>#DIV/0!</v>
      </c>
      <c r="K50" s="132" t="e">
        <v>#DIV/0!</v>
      </c>
      <c r="L50" s="132" t="e">
        <v>#DIV/0!</v>
      </c>
      <c r="M50" s="132" t="e">
        <v>#DIV/0!</v>
      </c>
      <c r="N50" s="23"/>
      <c r="O50" s="132" t="e">
        <v>#DIV/0!</v>
      </c>
      <c r="P50" s="132" t="e">
        <v>#REF!</v>
      </c>
      <c r="Q50" s="132" t="e">
        <v>#REF!</v>
      </c>
      <c r="R50" s="132" t="e">
        <v>#REF!</v>
      </c>
      <c r="S50" s="132" t="e">
        <v>#REF!</v>
      </c>
      <c r="T50" s="23"/>
      <c r="U50" s="24"/>
      <c r="V50" s="132" t="e">
        <v>#REF!</v>
      </c>
      <c r="W50" s="132" t="e">
        <v>#REF!</v>
      </c>
      <c r="X50" s="132" t="e">
        <v>#REF!</v>
      </c>
      <c r="Y50" s="132" t="e">
        <v>#REF!</v>
      </c>
      <c r="Z50" s="23"/>
      <c r="AA50" s="132" t="e">
        <v>#DIV/0!</v>
      </c>
      <c r="AB50" s="132" t="e">
        <v>#DIV/0!</v>
      </c>
      <c r="AC50" s="132" t="e">
        <v>#DIV/0!</v>
      </c>
      <c r="AD50" s="132" t="e">
        <v>#DIV/0!</v>
      </c>
      <c r="AE50" s="23"/>
      <c r="AF50" s="132" t="e">
        <v>#DIV/0!</v>
      </c>
      <c r="AG50" s="132" t="e">
        <v>#REF!</v>
      </c>
      <c r="AH50" s="132" t="e">
        <v>#REF!</v>
      </c>
      <c r="AI50" s="132" t="e">
        <v>#REF!</v>
      </c>
      <c r="AJ50" s="132" t="e">
        <v>#REF!</v>
      </c>
      <c r="AK50" s="23"/>
      <c r="AL50" s="24"/>
      <c r="AM50" s="11"/>
      <c r="AN50" s="131">
        <v>0</v>
      </c>
      <c r="AO50" s="131">
        <v>0</v>
      </c>
    </row>
    <row r="51" spans="1:41" s="29" customFormat="1" ht="15.75" customHeight="1" thickBot="1">
      <c r="A51" s="190" t="s">
        <v>23</v>
      </c>
      <c r="B51" s="31" t="s">
        <v>5</v>
      </c>
      <c r="C51" s="20"/>
      <c r="D51" s="20"/>
      <c r="E51" s="21">
        <v>0</v>
      </c>
      <c r="F51" s="135">
        <v>0</v>
      </c>
      <c r="G51" s="135">
        <v>783</v>
      </c>
      <c r="H51" s="135">
        <v>0</v>
      </c>
      <c r="I51" s="20">
        <v>783</v>
      </c>
      <c r="J51" s="135">
        <v>959</v>
      </c>
      <c r="K51" s="21">
        <v>0</v>
      </c>
      <c r="L51" s="135">
        <v>0</v>
      </c>
      <c r="M51" s="21">
        <v>0</v>
      </c>
      <c r="N51" s="20">
        <v>959</v>
      </c>
      <c r="O51" s="21">
        <v>4306</v>
      </c>
      <c r="P51" s="135">
        <v>0</v>
      </c>
      <c r="Q51" s="135">
        <v>0</v>
      </c>
      <c r="R51" s="135">
        <v>0</v>
      </c>
      <c r="S51" s="135">
        <v>0</v>
      </c>
      <c r="T51" s="20">
        <v>4306</v>
      </c>
      <c r="U51" s="22">
        <v>7013</v>
      </c>
      <c r="V51" s="21">
        <v>0</v>
      </c>
      <c r="W51" s="135">
        <v>0</v>
      </c>
      <c r="X51" s="135">
        <v>0</v>
      </c>
      <c r="Y51" s="135">
        <v>0</v>
      </c>
      <c r="Z51" s="20">
        <v>0</v>
      </c>
      <c r="AA51" s="135">
        <v>0</v>
      </c>
      <c r="AB51" s="21">
        <v>0</v>
      </c>
      <c r="AC51" s="135">
        <v>0</v>
      </c>
      <c r="AD51" s="21">
        <v>0</v>
      </c>
      <c r="AE51" s="20">
        <v>0</v>
      </c>
      <c r="AF51" s="21">
        <v>0</v>
      </c>
      <c r="AG51" s="135">
        <v>0</v>
      </c>
      <c r="AH51" s="135">
        <v>0</v>
      </c>
      <c r="AI51" s="135">
        <v>0</v>
      </c>
      <c r="AJ51" s="135">
        <v>0</v>
      </c>
      <c r="AK51" s="20">
        <v>0</v>
      </c>
      <c r="AL51" s="22">
        <v>0</v>
      </c>
      <c r="AM51" s="11">
        <v>128</v>
      </c>
      <c r="AN51" s="131">
        <v>897664</v>
      </c>
      <c r="AO51" s="131">
        <v>0</v>
      </c>
    </row>
    <row r="52" spans="1:41" s="29" customFormat="1" ht="15.75" customHeight="1">
      <c r="A52" s="191"/>
      <c r="B52" s="31" t="s">
        <v>6</v>
      </c>
      <c r="C52" s="20"/>
      <c r="D52" s="20"/>
      <c r="E52" s="21">
        <v>0</v>
      </c>
      <c r="F52" s="135">
        <v>0</v>
      </c>
      <c r="G52" s="21">
        <v>60</v>
      </c>
      <c r="H52" s="135">
        <v>0</v>
      </c>
      <c r="I52" s="26">
        <v>60</v>
      </c>
      <c r="J52" s="21">
        <v>0</v>
      </c>
      <c r="K52" s="21">
        <v>0</v>
      </c>
      <c r="L52" s="135">
        <v>0</v>
      </c>
      <c r="M52" s="21">
        <v>0</v>
      </c>
      <c r="N52" s="26">
        <v>0</v>
      </c>
      <c r="O52" s="21">
        <v>0</v>
      </c>
      <c r="P52" s="135">
        <v>0</v>
      </c>
      <c r="Q52" s="21">
        <v>0</v>
      </c>
      <c r="R52" s="135">
        <v>0</v>
      </c>
      <c r="S52" s="21">
        <v>0</v>
      </c>
      <c r="T52" s="26">
        <v>0</v>
      </c>
      <c r="U52" s="22"/>
      <c r="V52" s="21">
        <v>0</v>
      </c>
      <c r="W52" s="135">
        <v>0</v>
      </c>
      <c r="X52" s="21">
        <v>0</v>
      </c>
      <c r="Y52" s="135">
        <v>0</v>
      </c>
      <c r="Z52" s="26">
        <v>0</v>
      </c>
      <c r="AA52" s="21">
        <v>0</v>
      </c>
      <c r="AB52" s="21">
        <v>0</v>
      </c>
      <c r="AC52" s="135">
        <v>0</v>
      </c>
      <c r="AD52" s="21">
        <v>0</v>
      </c>
      <c r="AE52" s="26">
        <v>0</v>
      </c>
      <c r="AF52" s="21">
        <v>0</v>
      </c>
      <c r="AG52" s="135">
        <v>0</v>
      </c>
      <c r="AH52" s="21">
        <v>0</v>
      </c>
      <c r="AI52" s="135">
        <v>0</v>
      </c>
      <c r="AJ52" s="21">
        <v>0</v>
      </c>
      <c r="AK52" s="26">
        <v>0</v>
      </c>
      <c r="AL52" s="22"/>
      <c r="AM52" s="11"/>
      <c r="AN52" s="131">
        <v>0</v>
      </c>
      <c r="AO52" s="131">
        <v>0</v>
      </c>
    </row>
    <row r="53" spans="1:41" s="29" customFormat="1" ht="15" customHeight="1">
      <c r="A53" s="191"/>
      <c r="B53" s="31" t="s">
        <v>10</v>
      </c>
      <c r="C53" s="20">
        <v>0</v>
      </c>
      <c r="D53" s="20"/>
      <c r="E53" s="20"/>
      <c r="F53" s="20"/>
      <c r="G53" s="20"/>
      <c r="H53" s="20">
        <v>0</v>
      </c>
      <c r="I53" s="26">
        <v>0</v>
      </c>
      <c r="J53" s="20"/>
      <c r="K53" s="20"/>
      <c r="L53" s="20"/>
      <c r="M53" s="20"/>
      <c r="N53" s="26">
        <v>0</v>
      </c>
      <c r="O53" s="20"/>
      <c r="P53" s="20"/>
      <c r="Q53" s="20"/>
      <c r="R53" s="20"/>
      <c r="S53" s="20"/>
      <c r="T53" s="26">
        <v>0</v>
      </c>
      <c r="U53" s="22"/>
      <c r="V53" s="20"/>
      <c r="W53" s="20"/>
      <c r="X53" s="20"/>
      <c r="Y53" s="20"/>
      <c r="Z53" s="26">
        <v>0</v>
      </c>
      <c r="AA53" s="20"/>
      <c r="AB53" s="20"/>
      <c r="AC53" s="20"/>
      <c r="AD53" s="20"/>
      <c r="AE53" s="26">
        <v>0</v>
      </c>
      <c r="AF53" s="20"/>
      <c r="AG53" s="20"/>
      <c r="AH53" s="20"/>
      <c r="AI53" s="20"/>
      <c r="AJ53" s="20"/>
      <c r="AK53" s="26">
        <v>0</v>
      </c>
      <c r="AL53" s="28">
        <v>0</v>
      </c>
      <c r="AM53" s="11"/>
      <c r="AN53" s="131">
        <v>0</v>
      </c>
      <c r="AO53" s="131">
        <v>0</v>
      </c>
    </row>
    <row r="54" spans="1:41" s="29" customFormat="1" ht="15.75" customHeight="1">
      <c r="A54" s="191"/>
      <c r="B54" s="31" t="s">
        <v>7</v>
      </c>
      <c r="C54" s="20"/>
      <c r="D54" s="20"/>
      <c r="E54" s="21">
        <v>0</v>
      </c>
      <c r="F54" s="21">
        <v>0</v>
      </c>
      <c r="G54" s="21">
        <v>60</v>
      </c>
      <c r="H54" s="21">
        <v>0</v>
      </c>
      <c r="I54" s="20">
        <v>60</v>
      </c>
      <c r="J54" s="21">
        <v>0</v>
      </c>
      <c r="K54" s="21">
        <v>0</v>
      </c>
      <c r="L54" s="21">
        <v>0</v>
      </c>
      <c r="M54" s="21">
        <v>0</v>
      </c>
      <c r="N54" s="20">
        <v>0</v>
      </c>
      <c r="O54" s="21">
        <v>0</v>
      </c>
      <c r="P54" s="21">
        <v>0</v>
      </c>
      <c r="Q54" s="21">
        <v>0</v>
      </c>
      <c r="R54" s="21">
        <v>0</v>
      </c>
      <c r="S54" s="21">
        <v>0</v>
      </c>
      <c r="T54" s="20">
        <v>0</v>
      </c>
      <c r="U54" s="22">
        <v>1025</v>
      </c>
      <c r="V54" s="21">
        <v>0</v>
      </c>
      <c r="W54" s="21">
        <v>0</v>
      </c>
      <c r="X54" s="21">
        <v>0</v>
      </c>
      <c r="Y54" s="21">
        <v>0</v>
      </c>
      <c r="Z54" s="20">
        <v>0</v>
      </c>
      <c r="AA54" s="21">
        <v>0</v>
      </c>
      <c r="AB54" s="21">
        <v>0</v>
      </c>
      <c r="AC54" s="21">
        <v>0</v>
      </c>
      <c r="AD54" s="21">
        <v>0</v>
      </c>
      <c r="AE54" s="20">
        <v>0</v>
      </c>
      <c r="AF54" s="21">
        <v>0</v>
      </c>
      <c r="AG54" s="21">
        <v>0</v>
      </c>
      <c r="AH54" s="21">
        <v>0</v>
      </c>
      <c r="AI54" s="21">
        <v>0</v>
      </c>
      <c r="AJ54" s="21">
        <v>0</v>
      </c>
      <c r="AK54" s="20">
        <v>0</v>
      </c>
      <c r="AL54" s="22">
        <v>0</v>
      </c>
      <c r="AM54" s="11"/>
      <c r="AN54" s="131">
        <v>0</v>
      </c>
      <c r="AO54" s="131">
        <v>0</v>
      </c>
    </row>
    <row r="55" spans="1:41" s="29" customFormat="1" ht="15.75" customHeight="1" thickBot="1">
      <c r="A55" s="192"/>
      <c r="B55" s="31" t="s">
        <v>8</v>
      </c>
      <c r="C55" s="140">
        <v>20</v>
      </c>
      <c r="D55" s="35">
        <v>965</v>
      </c>
      <c r="E55" s="21">
        <v>0</v>
      </c>
      <c r="F55" s="21">
        <v>0</v>
      </c>
      <c r="G55" s="21">
        <v>-723</v>
      </c>
      <c r="H55" s="21">
        <v>-723</v>
      </c>
      <c r="I55" s="20">
        <v>-723</v>
      </c>
      <c r="J55" s="21">
        <v>-1682</v>
      </c>
      <c r="K55" s="21">
        <v>-1682</v>
      </c>
      <c r="L55" s="21">
        <v>-1682</v>
      </c>
      <c r="M55" s="21">
        <v>-1682</v>
      </c>
      <c r="N55" s="20">
        <v>-1682</v>
      </c>
      <c r="O55" s="21">
        <v>-5988</v>
      </c>
      <c r="P55" s="21">
        <v>-5988</v>
      </c>
      <c r="Q55" s="21">
        <v>-5988</v>
      </c>
      <c r="R55" s="21">
        <v>-5988</v>
      </c>
      <c r="S55" s="21">
        <v>-5988</v>
      </c>
      <c r="T55" s="20">
        <v>-5988</v>
      </c>
      <c r="U55" s="22">
        <v>-5988</v>
      </c>
      <c r="V55" s="21">
        <v>-5988</v>
      </c>
      <c r="W55" s="21">
        <v>-5988</v>
      </c>
      <c r="X55" s="21">
        <v>-5988</v>
      </c>
      <c r="Y55" s="21">
        <v>-5988</v>
      </c>
      <c r="Z55" s="20">
        <v>-5988</v>
      </c>
      <c r="AA55" s="21">
        <v>-5988</v>
      </c>
      <c r="AB55" s="21">
        <v>-5988</v>
      </c>
      <c r="AC55" s="21">
        <v>-5988</v>
      </c>
      <c r="AD55" s="21">
        <v>-5988</v>
      </c>
      <c r="AE55" s="20">
        <v>-5988</v>
      </c>
      <c r="AF55" s="21">
        <v>-5988</v>
      </c>
      <c r="AG55" s="21">
        <v>-5988</v>
      </c>
      <c r="AH55" s="21">
        <v>-5988</v>
      </c>
      <c r="AI55" s="21">
        <v>-5988</v>
      </c>
      <c r="AJ55" s="21">
        <v>-5988</v>
      </c>
      <c r="AK55" s="20">
        <v>-5988</v>
      </c>
      <c r="AL55" s="22">
        <v>-5988</v>
      </c>
      <c r="AM55" s="11"/>
      <c r="AN55" s="131">
        <v>0</v>
      </c>
      <c r="AO55" s="131">
        <v>0</v>
      </c>
    </row>
    <row r="56" spans="1:41" s="29" customFormat="1" ht="16.25" customHeight="1" thickBot="1">
      <c r="A56" s="133"/>
      <c r="B56" s="31" t="s">
        <v>9</v>
      </c>
      <c r="C56" s="20"/>
      <c r="D56" s="20"/>
      <c r="E56" s="132" t="e">
        <v>#REF!</v>
      </c>
      <c r="F56" s="132" t="e">
        <v>#REF!</v>
      </c>
      <c r="G56" s="132" t="e">
        <v>#REF!</v>
      </c>
      <c r="H56" s="132" t="e">
        <v>#REF!</v>
      </c>
      <c r="I56" s="23"/>
      <c r="J56" s="132">
        <v>-7812.3548536925218</v>
      </c>
      <c r="K56" s="132">
        <v>-7812.3548536925218</v>
      </c>
      <c r="L56" s="132">
        <v>-7812.3548536925218</v>
      </c>
      <c r="M56" s="132">
        <v>-7812.3548536925218</v>
      </c>
      <c r="N56" s="23"/>
      <c r="O56" s="132" t="e">
        <v>#DIV/0!</v>
      </c>
      <c r="P56" s="132" t="e">
        <v>#REF!</v>
      </c>
      <c r="Q56" s="132" t="e">
        <v>#REF!</v>
      </c>
      <c r="R56" s="132" t="e">
        <v>#REF!</v>
      </c>
      <c r="S56" s="132" t="e">
        <v>#REF!</v>
      </c>
      <c r="T56" s="23"/>
      <c r="U56" s="24"/>
      <c r="V56" s="132" t="e">
        <v>#REF!</v>
      </c>
      <c r="W56" s="132" t="e">
        <v>#REF!</v>
      </c>
      <c r="X56" s="132" t="e">
        <v>#REF!</v>
      </c>
      <c r="Y56" s="132" t="e">
        <v>#REF!</v>
      </c>
      <c r="Z56" s="23"/>
      <c r="AA56" s="132" t="e">
        <v>#DIV/0!</v>
      </c>
      <c r="AB56" s="132" t="e">
        <v>#DIV/0!</v>
      </c>
      <c r="AC56" s="132" t="e">
        <v>#DIV/0!</v>
      </c>
      <c r="AD56" s="132" t="e">
        <v>#DIV/0!</v>
      </c>
      <c r="AE56" s="23"/>
      <c r="AF56" s="132" t="e">
        <v>#DIV/0!</v>
      </c>
      <c r="AG56" s="132" t="e">
        <v>#REF!</v>
      </c>
      <c r="AH56" s="132" t="e">
        <v>#REF!</v>
      </c>
      <c r="AI56" s="132" t="e">
        <v>#REF!</v>
      </c>
      <c r="AJ56" s="132" t="e">
        <v>#REF!</v>
      </c>
      <c r="AK56" s="23"/>
      <c r="AL56" s="24"/>
      <c r="AM56" s="11"/>
      <c r="AN56" s="131">
        <v>0</v>
      </c>
      <c r="AO56" s="131">
        <v>0</v>
      </c>
    </row>
    <row r="57" spans="1:41" s="29" customFormat="1" ht="15.75" customHeight="1" thickBot="1">
      <c r="A57" s="190" t="s">
        <v>26</v>
      </c>
      <c r="B57" s="31" t="s">
        <v>5</v>
      </c>
      <c r="C57" s="20"/>
      <c r="D57" s="20"/>
      <c r="E57" s="21">
        <v>0</v>
      </c>
      <c r="F57" s="135">
        <v>2625</v>
      </c>
      <c r="G57" s="135">
        <v>-5262</v>
      </c>
      <c r="H57" s="135">
        <v>2</v>
      </c>
      <c r="I57" s="20">
        <v>-2635</v>
      </c>
      <c r="J57" s="135">
        <v>1152</v>
      </c>
      <c r="K57" s="21">
        <v>13</v>
      </c>
      <c r="L57" s="135">
        <v>1363</v>
      </c>
      <c r="M57" s="21">
        <v>336</v>
      </c>
      <c r="N57" s="20">
        <v>2864</v>
      </c>
      <c r="O57" s="21">
        <v>2854</v>
      </c>
      <c r="P57" s="135">
        <v>0</v>
      </c>
      <c r="Q57" s="135">
        <v>0</v>
      </c>
      <c r="R57" s="135">
        <v>4921</v>
      </c>
      <c r="S57" s="135">
        <v>0</v>
      </c>
      <c r="T57" s="20">
        <v>7775</v>
      </c>
      <c r="U57" s="22">
        <v>14602</v>
      </c>
      <c r="V57" s="21">
        <v>1000</v>
      </c>
      <c r="W57" s="135">
        <v>0</v>
      </c>
      <c r="X57" s="135">
        <v>0</v>
      </c>
      <c r="Y57" s="135">
        <v>0</v>
      </c>
      <c r="Z57" s="20">
        <v>1000</v>
      </c>
      <c r="AA57" s="135">
        <v>0</v>
      </c>
      <c r="AB57" s="21">
        <v>0</v>
      </c>
      <c r="AC57" s="135">
        <v>0</v>
      </c>
      <c r="AD57" s="21">
        <v>0</v>
      </c>
      <c r="AE57" s="20">
        <v>0</v>
      </c>
      <c r="AF57" s="21">
        <v>0</v>
      </c>
      <c r="AG57" s="135">
        <v>0</v>
      </c>
      <c r="AH57" s="135">
        <v>0</v>
      </c>
      <c r="AI57" s="135">
        <v>0</v>
      </c>
      <c r="AJ57" s="135">
        <v>0</v>
      </c>
      <c r="AK57" s="20">
        <v>0</v>
      </c>
      <c r="AL57" s="22">
        <v>1000</v>
      </c>
      <c r="AM57" s="11">
        <v>128</v>
      </c>
      <c r="AN57" s="131">
        <v>1869056</v>
      </c>
      <c r="AO57" s="131">
        <v>128000</v>
      </c>
    </row>
    <row r="58" spans="1:41" s="29" customFormat="1" ht="15.75" customHeight="1">
      <c r="A58" s="191"/>
      <c r="B58" s="31" t="s">
        <v>6</v>
      </c>
      <c r="C58" s="20"/>
      <c r="D58" s="20"/>
      <c r="E58" s="21">
        <v>0</v>
      </c>
      <c r="F58" s="135">
        <v>2625</v>
      </c>
      <c r="G58" s="21">
        <v>0</v>
      </c>
      <c r="H58" s="135">
        <v>3000</v>
      </c>
      <c r="I58" s="26">
        <v>5625</v>
      </c>
      <c r="J58" s="21">
        <v>0</v>
      </c>
      <c r="K58" s="21">
        <v>2000</v>
      </c>
      <c r="L58" s="135">
        <v>2000</v>
      </c>
      <c r="M58" s="21">
        <v>2000</v>
      </c>
      <c r="N58" s="26">
        <v>6000</v>
      </c>
      <c r="O58" s="21">
        <v>0</v>
      </c>
      <c r="P58" s="135">
        <v>0</v>
      </c>
      <c r="Q58" s="21">
        <v>2000</v>
      </c>
      <c r="R58" s="21">
        <v>2000</v>
      </c>
      <c r="S58" s="21">
        <v>2000</v>
      </c>
      <c r="T58" s="26">
        <v>6000</v>
      </c>
      <c r="U58" s="22"/>
      <c r="V58" s="21">
        <v>0</v>
      </c>
      <c r="W58" s="135">
        <v>0</v>
      </c>
      <c r="X58" s="21">
        <v>0</v>
      </c>
      <c r="Y58" s="135">
        <v>0</v>
      </c>
      <c r="Z58" s="26">
        <v>0</v>
      </c>
      <c r="AA58" s="21">
        <v>0</v>
      </c>
      <c r="AB58" s="21">
        <v>0</v>
      </c>
      <c r="AC58" s="135">
        <v>0</v>
      </c>
      <c r="AD58" s="21">
        <v>0</v>
      </c>
      <c r="AE58" s="26">
        <v>0</v>
      </c>
      <c r="AF58" s="21">
        <v>0</v>
      </c>
      <c r="AG58" s="135">
        <v>0</v>
      </c>
      <c r="AH58" s="21">
        <v>0</v>
      </c>
      <c r="AI58" s="21">
        <v>0</v>
      </c>
      <c r="AJ58" s="21">
        <v>0</v>
      </c>
      <c r="AK58" s="26">
        <v>0</v>
      </c>
      <c r="AL58" s="22"/>
      <c r="AM58" s="11"/>
      <c r="AN58" s="131">
        <v>0</v>
      </c>
      <c r="AO58" s="131">
        <v>0</v>
      </c>
    </row>
    <row r="59" spans="1:41" s="29" customFormat="1" ht="15" customHeight="1">
      <c r="A59" s="191"/>
      <c r="B59" s="31" t="s">
        <v>10</v>
      </c>
      <c r="C59" s="20">
        <v>2250</v>
      </c>
      <c r="D59" s="20"/>
      <c r="E59" s="20"/>
      <c r="F59" s="20"/>
      <c r="G59" s="20"/>
      <c r="H59" s="20">
        <v>2250</v>
      </c>
      <c r="I59" s="26">
        <v>2250</v>
      </c>
      <c r="J59" s="20"/>
      <c r="K59" s="20"/>
      <c r="L59" s="20"/>
      <c r="M59" s="20"/>
      <c r="N59" s="26">
        <v>0</v>
      </c>
      <c r="O59" s="20"/>
      <c r="P59" s="20"/>
      <c r="Q59" s="20"/>
      <c r="R59" s="20"/>
      <c r="S59" s="20"/>
      <c r="T59" s="26">
        <v>0</v>
      </c>
      <c r="U59" s="22"/>
      <c r="V59" s="20"/>
      <c r="W59" s="20"/>
      <c r="X59" s="20"/>
      <c r="Y59" s="20"/>
      <c r="Z59" s="26">
        <v>0</v>
      </c>
      <c r="AA59" s="20"/>
      <c r="AB59" s="20"/>
      <c r="AC59" s="20"/>
      <c r="AD59" s="20"/>
      <c r="AE59" s="26">
        <v>0</v>
      </c>
      <c r="AF59" s="20"/>
      <c r="AG59" s="20"/>
      <c r="AH59" s="20"/>
      <c r="AI59" s="20"/>
      <c r="AJ59" s="20"/>
      <c r="AK59" s="26">
        <v>0</v>
      </c>
      <c r="AL59" s="28">
        <v>0</v>
      </c>
      <c r="AM59" s="11"/>
      <c r="AN59" s="131">
        <v>0</v>
      </c>
      <c r="AO59" s="131">
        <v>0</v>
      </c>
    </row>
    <row r="60" spans="1:41" s="29" customFormat="1" ht="15.75" customHeight="1">
      <c r="A60" s="191"/>
      <c r="B60" s="31" t="s">
        <v>7</v>
      </c>
      <c r="C60" s="20"/>
      <c r="D60" s="20"/>
      <c r="E60" s="21">
        <v>0</v>
      </c>
      <c r="F60" s="21">
        <v>2625</v>
      </c>
      <c r="G60" s="21">
        <v>0</v>
      </c>
      <c r="H60" s="21">
        <v>5250</v>
      </c>
      <c r="I60" s="20">
        <v>7875</v>
      </c>
      <c r="J60" s="21">
        <v>0</v>
      </c>
      <c r="K60" s="21">
        <v>2000</v>
      </c>
      <c r="L60" s="21">
        <v>2000</v>
      </c>
      <c r="M60" s="21">
        <v>2000</v>
      </c>
      <c r="N60" s="20">
        <v>6000</v>
      </c>
      <c r="O60" s="21">
        <v>0</v>
      </c>
      <c r="P60" s="21">
        <v>0</v>
      </c>
      <c r="Q60" s="21">
        <v>2000</v>
      </c>
      <c r="R60" s="21">
        <v>2000</v>
      </c>
      <c r="S60" s="21">
        <v>2000</v>
      </c>
      <c r="T60" s="20">
        <v>6000</v>
      </c>
      <c r="U60" s="22">
        <v>26473</v>
      </c>
      <c r="V60" s="21">
        <v>0</v>
      </c>
      <c r="W60" s="21">
        <v>0</v>
      </c>
      <c r="X60" s="21">
        <v>0</v>
      </c>
      <c r="Y60" s="21">
        <v>0</v>
      </c>
      <c r="Z60" s="20">
        <v>0</v>
      </c>
      <c r="AA60" s="21">
        <v>0</v>
      </c>
      <c r="AB60" s="21">
        <v>0</v>
      </c>
      <c r="AC60" s="21">
        <v>0</v>
      </c>
      <c r="AD60" s="21">
        <v>0</v>
      </c>
      <c r="AE60" s="20">
        <v>0</v>
      </c>
      <c r="AF60" s="21">
        <v>0</v>
      </c>
      <c r="AG60" s="21">
        <v>0</v>
      </c>
      <c r="AH60" s="21">
        <v>0</v>
      </c>
      <c r="AI60" s="21">
        <v>0</v>
      </c>
      <c r="AJ60" s="21">
        <v>0</v>
      </c>
      <c r="AK60" s="20">
        <v>0</v>
      </c>
      <c r="AL60" s="22">
        <v>0</v>
      </c>
      <c r="AM60" s="11"/>
      <c r="AN60" s="131">
        <v>0</v>
      </c>
      <c r="AO60" s="131">
        <v>0</v>
      </c>
    </row>
    <row r="61" spans="1:41" s="29" customFormat="1" ht="15.75" customHeight="1" thickBot="1">
      <c r="A61" s="192"/>
      <c r="B61" s="31" t="s">
        <v>8</v>
      </c>
      <c r="C61" s="140">
        <v>9350</v>
      </c>
      <c r="D61" s="35">
        <v>6598</v>
      </c>
      <c r="E61" s="21">
        <v>0</v>
      </c>
      <c r="F61" s="21">
        <v>0</v>
      </c>
      <c r="G61" s="21">
        <v>5262</v>
      </c>
      <c r="H61" s="21">
        <v>10510</v>
      </c>
      <c r="I61" s="20">
        <v>10510</v>
      </c>
      <c r="J61" s="21">
        <v>9358</v>
      </c>
      <c r="K61" s="21">
        <v>11345</v>
      </c>
      <c r="L61" s="21">
        <v>11982</v>
      </c>
      <c r="M61" s="21">
        <v>13646</v>
      </c>
      <c r="N61" s="20">
        <v>13646</v>
      </c>
      <c r="O61" s="21">
        <v>10792</v>
      </c>
      <c r="P61" s="21">
        <v>10792</v>
      </c>
      <c r="Q61" s="21">
        <v>12792</v>
      </c>
      <c r="R61" s="21">
        <v>9871</v>
      </c>
      <c r="S61" s="21">
        <v>11871</v>
      </c>
      <c r="T61" s="20">
        <v>11871</v>
      </c>
      <c r="U61" s="22">
        <v>11871</v>
      </c>
      <c r="V61" s="21">
        <v>10871</v>
      </c>
      <c r="W61" s="21">
        <v>10871</v>
      </c>
      <c r="X61" s="21">
        <v>10871</v>
      </c>
      <c r="Y61" s="21">
        <v>10871</v>
      </c>
      <c r="Z61" s="20">
        <v>10871</v>
      </c>
      <c r="AA61" s="21">
        <v>10871</v>
      </c>
      <c r="AB61" s="21">
        <v>10871</v>
      </c>
      <c r="AC61" s="21">
        <v>10871</v>
      </c>
      <c r="AD61" s="21">
        <v>10871</v>
      </c>
      <c r="AE61" s="20">
        <v>10871</v>
      </c>
      <c r="AF61" s="21">
        <v>10871</v>
      </c>
      <c r="AG61" s="21">
        <v>10871</v>
      </c>
      <c r="AH61" s="21">
        <v>10871</v>
      </c>
      <c r="AI61" s="21">
        <v>10871</v>
      </c>
      <c r="AJ61" s="21">
        <v>10871</v>
      </c>
      <c r="AK61" s="20">
        <v>10871</v>
      </c>
      <c r="AL61" s="22">
        <v>10871</v>
      </c>
      <c r="AM61" s="11"/>
      <c r="AN61" s="131">
        <v>0</v>
      </c>
      <c r="AO61" s="131">
        <v>0</v>
      </c>
    </row>
    <row r="62" spans="1:41" s="29" customFormat="1" ht="16.25" customHeight="1" thickBot="1">
      <c r="A62" s="145"/>
      <c r="B62" s="31" t="s">
        <v>9</v>
      </c>
      <c r="C62" s="20"/>
      <c r="D62" s="20"/>
      <c r="E62" s="132" t="e">
        <v>#REF!</v>
      </c>
      <c r="F62" s="132" t="e">
        <v>#REF!</v>
      </c>
      <c r="G62" s="132" t="e">
        <v>#REF!</v>
      </c>
      <c r="H62" s="132" t="e">
        <v>#REF!</v>
      </c>
      <c r="I62" s="23"/>
      <c r="J62" s="132">
        <v>40989.925536574679</v>
      </c>
      <c r="K62" s="132">
        <v>49835.273446079504</v>
      </c>
      <c r="L62" s="132">
        <v>75122.257053291527</v>
      </c>
      <c r="M62" s="132">
        <v>35102.250803858522</v>
      </c>
      <c r="N62" s="23"/>
      <c r="O62" s="132">
        <v>43861.003861003861</v>
      </c>
      <c r="P62" s="132" t="e">
        <v>#REF!</v>
      </c>
      <c r="Q62" s="132" t="e">
        <v>#REF!</v>
      </c>
      <c r="R62" s="132" t="e">
        <v>#REF!</v>
      </c>
      <c r="S62" s="132" t="e">
        <v>#REF!</v>
      </c>
      <c r="T62" s="23"/>
      <c r="U62" s="24"/>
      <c r="V62" s="132" t="e">
        <v>#REF!</v>
      </c>
      <c r="W62" s="132" t="e">
        <v>#REF!</v>
      </c>
      <c r="X62" s="132" t="e">
        <v>#REF!</v>
      </c>
      <c r="Y62" s="132" t="e">
        <v>#REF!</v>
      </c>
      <c r="Z62" s="23"/>
      <c r="AA62" s="132" t="e">
        <v>#DIV/0!</v>
      </c>
      <c r="AB62" s="132" t="e">
        <v>#DIV/0!</v>
      </c>
      <c r="AC62" s="132" t="e">
        <v>#DIV/0!</v>
      </c>
      <c r="AD62" s="132" t="e">
        <v>#DIV/0!</v>
      </c>
      <c r="AE62" s="23"/>
      <c r="AF62" s="132" t="e">
        <v>#DIV/0!</v>
      </c>
      <c r="AG62" s="132" t="e">
        <v>#REF!</v>
      </c>
      <c r="AH62" s="132" t="e">
        <v>#REF!</v>
      </c>
      <c r="AI62" s="132" t="e">
        <v>#REF!</v>
      </c>
      <c r="AJ62" s="132" t="e">
        <v>#REF!</v>
      </c>
      <c r="AK62" s="23"/>
      <c r="AL62" s="24"/>
      <c r="AM62" s="11"/>
      <c r="AN62" s="131">
        <v>0</v>
      </c>
      <c r="AO62" s="131">
        <v>0</v>
      </c>
    </row>
    <row r="63" spans="1:41" s="29" customFormat="1" ht="13.25" customHeight="1">
      <c r="A63" s="196" t="s">
        <v>120</v>
      </c>
      <c r="B63" s="31" t="s">
        <v>5</v>
      </c>
      <c r="C63" s="26"/>
      <c r="D63" s="26"/>
      <c r="E63" s="27"/>
      <c r="F63" s="27"/>
      <c r="G63" s="27"/>
      <c r="H63" s="27"/>
      <c r="I63" s="26">
        <v>0</v>
      </c>
      <c r="J63" s="27"/>
      <c r="K63" s="27"/>
      <c r="L63" s="27"/>
      <c r="M63" s="27"/>
      <c r="N63" s="26">
        <v>0</v>
      </c>
      <c r="O63" s="27"/>
      <c r="P63" s="27"/>
      <c r="Q63" s="27"/>
      <c r="R63" s="27"/>
      <c r="S63" s="27"/>
      <c r="T63" s="26">
        <v>0</v>
      </c>
      <c r="U63" s="28">
        <v>0</v>
      </c>
      <c r="V63" s="27"/>
      <c r="W63" s="27"/>
      <c r="X63" s="27"/>
      <c r="Y63" s="27"/>
      <c r="Z63" s="26">
        <v>0</v>
      </c>
      <c r="AA63" s="27"/>
      <c r="AB63" s="27"/>
      <c r="AC63" s="27"/>
      <c r="AD63" s="27"/>
      <c r="AE63" s="26">
        <v>0</v>
      </c>
      <c r="AF63" s="27"/>
      <c r="AG63" s="27"/>
      <c r="AH63" s="27"/>
      <c r="AI63" s="27"/>
      <c r="AJ63" s="27"/>
      <c r="AK63" s="26">
        <v>0</v>
      </c>
      <c r="AL63" s="28">
        <v>0</v>
      </c>
    </row>
    <row r="64" spans="1:41" s="29" customFormat="1" ht="13.25" customHeight="1">
      <c r="A64" s="197"/>
      <c r="B64" s="31" t="s">
        <v>6</v>
      </c>
      <c r="C64" s="26"/>
      <c r="D64" s="26"/>
      <c r="E64" s="27"/>
      <c r="F64" s="27"/>
      <c r="G64" s="27"/>
      <c r="H64" s="27"/>
      <c r="I64" s="21">
        <v>0</v>
      </c>
      <c r="J64" s="27"/>
      <c r="K64" s="27"/>
      <c r="L64" s="27"/>
      <c r="M64" s="27"/>
      <c r="N64" s="21">
        <v>0</v>
      </c>
      <c r="O64" s="27"/>
      <c r="P64" s="27"/>
      <c r="Q64" s="27"/>
      <c r="R64" s="27"/>
      <c r="S64" s="27"/>
      <c r="T64" s="26">
        <v>0</v>
      </c>
      <c r="U64" s="28">
        <v>0</v>
      </c>
      <c r="V64" s="27"/>
      <c r="W64" s="27"/>
      <c r="X64" s="27"/>
      <c r="Y64" s="27"/>
      <c r="Z64" s="26">
        <v>0</v>
      </c>
      <c r="AA64" s="27"/>
      <c r="AB64" s="27"/>
      <c r="AC64" s="27"/>
      <c r="AD64" s="27"/>
      <c r="AE64" s="26">
        <v>0</v>
      </c>
      <c r="AF64" s="27"/>
      <c r="AG64" s="27"/>
      <c r="AH64" s="27"/>
      <c r="AI64" s="27"/>
      <c r="AJ64" s="27"/>
      <c r="AK64" s="26">
        <v>0</v>
      </c>
      <c r="AL64" s="28">
        <v>0</v>
      </c>
    </row>
    <row r="65" spans="1:41" s="29" customFormat="1" ht="13">
      <c r="A65" s="197"/>
      <c r="B65" s="31" t="s">
        <v>10</v>
      </c>
      <c r="C65" s="26"/>
      <c r="D65" s="26"/>
      <c r="E65" s="27"/>
      <c r="F65" s="27"/>
      <c r="G65" s="27"/>
      <c r="H65" s="27">
        <v>0</v>
      </c>
      <c r="I65" s="26">
        <v>0</v>
      </c>
      <c r="J65" s="27"/>
      <c r="K65" s="27"/>
      <c r="L65" s="27"/>
      <c r="M65" s="27"/>
      <c r="N65" s="26">
        <v>0</v>
      </c>
      <c r="O65" s="27"/>
      <c r="P65" s="27"/>
      <c r="Q65" s="27"/>
      <c r="R65" s="27"/>
      <c r="S65" s="27"/>
      <c r="T65" s="26">
        <v>0</v>
      </c>
      <c r="U65" s="28">
        <v>0</v>
      </c>
      <c r="V65" s="27"/>
      <c r="W65" s="27"/>
      <c r="X65" s="27"/>
      <c r="Y65" s="27"/>
      <c r="Z65" s="26">
        <v>0</v>
      </c>
      <c r="AA65" s="27"/>
      <c r="AB65" s="27"/>
      <c r="AC65" s="27"/>
      <c r="AD65" s="27"/>
      <c r="AE65" s="26">
        <v>0</v>
      </c>
      <c r="AF65" s="27"/>
      <c r="AG65" s="27"/>
      <c r="AH65" s="27"/>
      <c r="AI65" s="27"/>
      <c r="AJ65" s="27"/>
      <c r="AK65" s="26">
        <v>0</v>
      </c>
      <c r="AL65" s="28">
        <v>0</v>
      </c>
    </row>
    <row r="66" spans="1:41" s="29" customFormat="1" ht="13.75" customHeight="1">
      <c r="A66" s="197"/>
      <c r="B66" s="31" t="s">
        <v>115</v>
      </c>
      <c r="C66" s="26"/>
      <c r="D66" s="26"/>
      <c r="E66" s="27">
        <v>0</v>
      </c>
      <c r="F66" s="27">
        <v>0</v>
      </c>
      <c r="G66" s="27">
        <v>0</v>
      </c>
      <c r="H66" s="27">
        <v>0</v>
      </c>
      <c r="I66" s="26">
        <v>0</v>
      </c>
      <c r="J66" s="27">
        <v>0</v>
      </c>
      <c r="K66" s="27">
        <v>0</v>
      </c>
      <c r="L66" s="27">
        <v>0</v>
      </c>
      <c r="M66" s="27">
        <v>0</v>
      </c>
      <c r="N66" s="26">
        <v>0</v>
      </c>
      <c r="O66" s="27">
        <v>0</v>
      </c>
      <c r="P66" s="27">
        <v>0</v>
      </c>
      <c r="Q66" s="27">
        <v>0</v>
      </c>
      <c r="R66" s="27">
        <v>0</v>
      </c>
      <c r="S66" s="27">
        <v>0</v>
      </c>
      <c r="T66" s="26">
        <v>0</v>
      </c>
      <c r="U66" s="28">
        <v>0</v>
      </c>
      <c r="V66" s="27">
        <v>0</v>
      </c>
      <c r="W66" s="27">
        <v>0</v>
      </c>
      <c r="X66" s="27">
        <v>0</v>
      </c>
      <c r="Y66" s="27">
        <v>0</v>
      </c>
      <c r="Z66" s="26">
        <v>0</v>
      </c>
      <c r="AA66" s="27">
        <v>0</v>
      </c>
      <c r="AB66" s="27">
        <v>0</v>
      </c>
      <c r="AC66" s="27">
        <v>0</v>
      </c>
      <c r="AD66" s="27">
        <v>0</v>
      </c>
      <c r="AE66" s="26">
        <v>0</v>
      </c>
      <c r="AF66" s="27">
        <v>0</v>
      </c>
      <c r="AG66" s="27">
        <v>0</v>
      </c>
      <c r="AH66" s="27">
        <v>0</v>
      </c>
      <c r="AI66" s="27">
        <v>0</v>
      </c>
      <c r="AJ66" s="27">
        <v>0</v>
      </c>
      <c r="AK66" s="26">
        <v>0</v>
      </c>
      <c r="AL66" s="28">
        <v>0</v>
      </c>
    </row>
    <row r="67" spans="1:41" s="29" customFormat="1" ht="13.75" customHeight="1">
      <c r="A67" s="198"/>
      <c r="B67" s="31" t="s">
        <v>8</v>
      </c>
      <c r="C67" s="34"/>
      <c r="D67" s="35"/>
      <c r="E67" s="21">
        <v>0</v>
      </c>
      <c r="F67" s="21">
        <v>0</v>
      </c>
      <c r="G67" s="21">
        <v>0</v>
      </c>
      <c r="H67" s="21">
        <v>0</v>
      </c>
      <c r="I67" s="20">
        <v>0</v>
      </c>
      <c r="J67" s="21">
        <v>0</v>
      </c>
      <c r="K67" s="21">
        <v>0</v>
      </c>
      <c r="L67" s="21">
        <v>0</v>
      </c>
      <c r="M67" s="21">
        <v>0</v>
      </c>
      <c r="N67" s="20">
        <v>0</v>
      </c>
      <c r="O67" s="21">
        <v>0</v>
      </c>
      <c r="P67" s="21">
        <v>0</v>
      </c>
      <c r="Q67" s="21">
        <v>0</v>
      </c>
      <c r="R67" s="21">
        <v>0</v>
      </c>
      <c r="S67" s="21">
        <v>0</v>
      </c>
      <c r="T67" s="20">
        <v>0</v>
      </c>
      <c r="U67" s="22">
        <v>0</v>
      </c>
      <c r="V67" s="21">
        <v>0</v>
      </c>
      <c r="W67" s="21">
        <v>0</v>
      </c>
      <c r="X67" s="21">
        <v>0</v>
      </c>
      <c r="Y67" s="21">
        <v>0</v>
      </c>
      <c r="Z67" s="20">
        <v>0</v>
      </c>
      <c r="AA67" s="21">
        <v>0</v>
      </c>
      <c r="AB67" s="21">
        <v>0</v>
      </c>
      <c r="AC67" s="21">
        <v>0</v>
      </c>
      <c r="AD67" s="21">
        <v>0</v>
      </c>
      <c r="AE67" s="20">
        <v>0</v>
      </c>
      <c r="AF67" s="21">
        <v>0</v>
      </c>
      <c r="AG67" s="21">
        <v>0</v>
      </c>
      <c r="AH67" s="21">
        <v>0</v>
      </c>
      <c r="AI67" s="21">
        <v>0</v>
      </c>
      <c r="AJ67" s="21">
        <v>0</v>
      </c>
      <c r="AK67" s="20">
        <v>0</v>
      </c>
      <c r="AL67" s="22">
        <v>0</v>
      </c>
    </row>
    <row r="68" spans="1:41" s="29" customFormat="1" ht="13.75" customHeight="1" thickBot="1">
      <c r="A68" s="36"/>
      <c r="B68" s="31" t="s">
        <v>9</v>
      </c>
      <c r="C68" s="26"/>
      <c r="D68" s="26"/>
      <c r="E68" s="132" t="e">
        <v>#DIV/0!</v>
      </c>
      <c r="F68" s="132" t="e">
        <v>#DIV/0!</v>
      </c>
      <c r="G68" s="132" t="e">
        <v>#DIV/0!</v>
      </c>
      <c r="H68" s="132" t="e">
        <v>#DIV/0!</v>
      </c>
      <c r="I68" s="23"/>
      <c r="J68" s="132" t="e">
        <v>#DIV/0!</v>
      </c>
      <c r="K68" s="132" t="e">
        <v>#DIV/0!</v>
      </c>
      <c r="L68" s="132" t="e">
        <v>#DIV/0!</v>
      </c>
      <c r="M68" s="132" t="e">
        <v>#DIV/0!</v>
      </c>
      <c r="N68" s="23"/>
      <c r="O68" s="132">
        <v>0</v>
      </c>
      <c r="P68" s="132">
        <v>0</v>
      </c>
      <c r="Q68" s="132">
        <v>0</v>
      </c>
      <c r="R68" s="132">
        <v>0</v>
      </c>
      <c r="S68" s="132">
        <v>0</v>
      </c>
      <c r="T68" s="23"/>
      <c r="U68" s="24"/>
      <c r="V68" s="132" t="e">
        <v>#DIV/0!</v>
      </c>
      <c r="W68" s="132" t="e">
        <v>#DIV/0!</v>
      </c>
      <c r="X68" s="132" t="e">
        <v>#DIV/0!</v>
      </c>
      <c r="Y68" s="132" t="e">
        <v>#DIV/0!</v>
      </c>
      <c r="Z68" s="23"/>
      <c r="AA68" s="132" t="e">
        <v>#DIV/0!</v>
      </c>
      <c r="AB68" s="132" t="e">
        <v>#DIV/0!</v>
      </c>
      <c r="AC68" s="132" t="e">
        <v>#DIV/0!</v>
      </c>
      <c r="AD68" s="132" t="e">
        <v>#DIV/0!</v>
      </c>
      <c r="AE68" s="23"/>
      <c r="AF68" s="132">
        <v>0</v>
      </c>
      <c r="AG68" s="132">
        <v>0</v>
      </c>
      <c r="AH68" s="132">
        <v>0</v>
      </c>
      <c r="AI68" s="132">
        <v>0</v>
      </c>
      <c r="AJ68" s="132">
        <v>0</v>
      </c>
      <c r="AK68" s="23"/>
      <c r="AL68" s="24"/>
    </row>
    <row r="69" spans="1:41" s="29" customFormat="1" ht="15.75" customHeight="1" thickBot="1">
      <c r="A69" s="190" t="s">
        <v>121</v>
      </c>
      <c r="B69" s="31" t="s">
        <v>5</v>
      </c>
      <c r="C69" s="20"/>
      <c r="D69" s="20"/>
      <c r="E69" s="135">
        <v>0</v>
      </c>
      <c r="F69" s="135">
        <v>0</v>
      </c>
      <c r="G69" s="21">
        <v>-150</v>
      </c>
      <c r="H69" s="135">
        <v>0</v>
      </c>
      <c r="I69" s="20">
        <v>-150</v>
      </c>
      <c r="J69" s="135">
        <v>0</v>
      </c>
      <c r="K69" s="21">
        <v>0</v>
      </c>
      <c r="L69" s="135">
        <v>0</v>
      </c>
      <c r="M69" s="21">
        <v>0</v>
      </c>
      <c r="N69" s="20">
        <v>0</v>
      </c>
      <c r="O69" s="21">
        <v>0</v>
      </c>
      <c r="P69" s="135">
        <v>0</v>
      </c>
      <c r="Q69" s="135">
        <v>0</v>
      </c>
      <c r="R69" s="135">
        <v>0</v>
      </c>
      <c r="S69" s="135">
        <v>0</v>
      </c>
      <c r="T69" s="20">
        <v>0</v>
      </c>
      <c r="U69" s="22">
        <v>0</v>
      </c>
      <c r="V69" s="135">
        <v>0</v>
      </c>
      <c r="W69" s="135">
        <v>0</v>
      </c>
      <c r="X69" s="21">
        <v>0</v>
      </c>
      <c r="Y69" s="135">
        <v>0</v>
      </c>
      <c r="Z69" s="20">
        <v>0</v>
      </c>
      <c r="AA69" s="135">
        <v>0</v>
      </c>
      <c r="AB69" s="21">
        <v>0</v>
      </c>
      <c r="AC69" s="135">
        <v>0</v>
      </c>
      <c r="AD69" s="21">
        <v>0</v>
      </c>
      <c r="AE69" s="20">
        <v>0</v>
      </c>
      <c r="AF69" s="21">
        <v>0</v>
      </c>
      <c r="AG69" s="135">
        <v>0</v>
      </c>
      <c r="AH69" s="135">
        <v>0</v>
      </c>
      <c r="AI69" s="135">
        <v>0</v>
      </c>
      <c r="AJ69" s="135">
        <v>0</v>
      </c>
      <c r="AK69" s="20">
        <v>0</v>
      </c>
      <c r="AL69" s="22">
        <v>0</v>
      </c>
      <c r="AM69" s="11">
        <v>256</v>
      </c>
      <c r="AN69" s="131">
        <v>0</v>
      </c>
      <c r="AO69" s="131">
        <v>0</v>
      </c>
    </row>
    <row r="70" spans="1:41" s="29" customFormat="1" ht="15.75" customHeight="1">
      <c r="A70" s="191"/>
      <c r="B70" s="31" t="s">
        <v>6</v>
      </c>
      <c r="C70" s="20"/>
      <c r="D70" s="20"/>
      <c r="E70" s="135">
        <v>0</v>
      </c>
      <c r="F70" s="21">
        <v>0</v>
      </c>
      <c r="G70" s="21">
        <v>0</v>
      </c>
      <c r="H70" s="135">
        <v>0</v>
      </c>
      <c r="I70" s="26">
        <v>0</v>
      </c>
      <c r="J70" s="21">
        <v>0</v>
      </c>
      <c r="K70" s="21">
        <v>0</v>
      </c>
      <c r="L70" s="135">
        <v>0</v>
      </c>
      <c r="M70" s="21">
        <v>0</v>
      </c>
      <c r="N70" s="26">
        <v>0</v>
      </c>
      <c r="O70" s="21">
        <v>0</v>
      </c>
      <c r="P70" s="21">
        <v>0</v>
      </c>
      <c r="Q70" s="21">
        <v>0</v>
      </c>
      <c r="R70" s="21">
        <v>0</v>
      </c>
      <c r="S70" s="21">
        <v>0</v>
      </c>
      <c r="T70" s="26">
        <v>0</v>
      </c>
      <c r="U70" s="22"/>
      <c r="V70" s="135">
        <v>0</v>
      </c>
      <c r="W70" s="21">
        <v>0</v>
      </c>
      <c r="X70" s="21">
        <v>0</v>
      </c>
      <c r="Y70" s="135">
        <v>0</v>
      </c>
      <c r="Z70" s="26">
        <v>0</v>
      </c>
      <c r="AA70" s="21">
        <v>0</v>
      </c>
      <c r="AB70" s="21">
        <v>0</v>
      </c>
      <c r="AC70" s="135">
        <v>0</v>
      </c>
      <c r="AD70" s="21">
        <v>0</v>
      </c>
      <c r="AE70" s="26">
        <v>0</v>
      </c>
      <c r="AF70" s="21">
        <v>0</v>
      </c>
      <c r="AG70" s="21">
        <v>0</v>
      </c>
      <c r="AH70" s="21">
        <v>0</v>
      </c>
      <c r="AI70" s="21">
        <v>0</v>
      </c>
      <c r="AJ70" s="21">
        <v>0</v>
      </c>
      <c r="AK70" s="26">
        <v>0</v>
      </c>
      <c r="AL70" s="22"/>
      <c r="AM70" s="11"/>
      <c r="AN70" s="131">
        <v>0</v>
      </c>
      <c r="AO70" s="131">
        <v>0</v>
      </c>
    </row>
    <row r="71" spans="1:41" s="29" customFormat="1" ht="15" customHeight="1">
      <c r="A71" s="191"/>
      <c r="B71" s="31" t="s">
        <v>10</v>
      </c>
      <c r="C71" s="20">
        <v>0</v>
      </c>
      <c r="D71" s="20"/>
      <c r="E71" s="20"/>
      <c r="F71" s="21"/>
      <c r="G71" s="20"/>
      <c r="H71" s="20">
        <v>0</v>
      </c>
      <c r="I71" s="26">
        <v>0</v>
      </c>
      <c r="J71" s="20"/>
      <c r="K71" s="20"/>
      <c r="L71" s="21"/>
      <c r="M71" s="20"/>
      <c r="N71" s="26">
        <v>0</v>
      </c>
      <c r="O71" s="21"/>
      <c r="P71" s="21"/>
      <c r="Q71" s="20"/>
      <c r="R71" s="21"/>
      <c r="S71" s="21"/>
      <c r="T71" s="26">
        <v>0</v>
      </c>
      <c r="U71" s="22"/>
      <c r="V71" s="20"/>
      <c r="W71" s="21"/>
      <c r="X71" s="20"/>
      <c r="Y71" s="20"/>
      <c r="Z71" s="26">
        <v>0</v>
      </c>
      <c r="AA71" s="20"/>
      <c r="AB71" s="20"/>
      <c r="AC71" s="21"/>
      <c r="AD71" s="20"/>
      <c r="AE71" s="26">
        <v>0</v>
      </c>
      <c r="AF71" s="21"/>
      <c r="AG71" s="21"/>
      <c r="AH71" s="20"/>
      <c r="AI71" s="21"/>
      <c r="AJ71" s="21"/>
      <c r="AK71" s="26">
        <v>0</v>
      </c>
      <c r="AL71" s="28">
        <v>0</v>
      </c>
      <c r="AM71" s="11"/>
      <c r="AN71" s="131">
        <v>0</v>
      </c>
      <c r="AO71" s="131">
        <v>0</v>
      </c>
    </row>
    <row r="72" spans="1:41" s="29" customFormat="1" ht="15.75" customHeight="1">
      <c r="A72" s="191"/>
      <c r="B72" s="31" t="s">
        <v>7</v>
      </c>
      <c r="C72" s="20"/>
      <c r="D72" s="20"/>
      <c r="E72" s="21">
        <v>0</v>
      </c>
      <c r="F72" s="21">
        <v>0</v>
      </c>
      <c r="G72" s="21">
        <v>0</v>
      </c>
      <c r="H72" s="21">
        <v>0</v>
      </c>
      <c r="I72" s="20">
        <v>0</v>
      </c>
      <c r="J72" s="21">
        <v>0</v>
      </c>
      <c r="K72" s="21">
        <v>0</v>
      </c>
      <c r="L72" s="21">
        <v>0</v>
      </c>
      <c r="M72" s="21">
        <v>0</v>
      </c>
      <c r="N72" s="20">
        <v>0</v>
      </c>
      <c r="O72" s="21">
        <v>0</v>
      </c>
      <c r="P72" s="21">
        <v>0</v>
      </c>
      <c r="Q72" s="21">
        <v>0</v>
      </c>
      <c r="R72" s="21">
        <v>0</v>
      </c>
      <c r="S72" s="21">
        <v>0</v>
      </c>
      <c r="T72" s="20">
        <v>0</v>
      </c>
      <c r="U72" s="22">
        <v>150</v>
      </c>
      <c r="V72" s="21">
        <v>0</v>
      </c>
      <c r="W72" s="21">
        <v>0</v>
      </c>
      <c r="X72" s="21">
        <v>0</v>
      </c>
      <c r="Y72" s="21">
        <v>0</v>
      </c>
      <c r="Z72" s="20">
        <v>0</v>
      </c>
      <c r="AA72" s="21">
        <v>0</v>
      </c>
      <c r="AB72" s="21">
        <v>0</v>
      </c>
      <c r="AC72" s="21">
        <v>0</v>
      </c>
      <c r="AD72" s="21">
        <v>0</v>
      </c>
      <c r="AE72" s="20">
        <v>0</v>
      </c>
      <c r="AF72" s="21">
        <v>0</v>
      </c>
      <c r="AG72" s="21">
        <v>0</v>
      </c>
      <c r="AH72" s="21">
        <v>0</v>
      </c>
      <c r="AI72" s="21">
        <v>0</v>
      </c>
      <c r="AJ72" s="21">
        <v>0</v>
      </c>
      <c r="AK72" s="20">
        <v>0</v>
      </c>
      <c r="AL72" s="22">
        <v>0</v>
      </c>
      <c r="AM72" s="11"/>
      <c r="AN72" s="131">
        <v>0</v>
      </c>
      <c r="AO72" s="131">
        <v>0</v>
      </c>
    </row>
    <row r="73" spans="1:41" s="29" customFormat="1" ht="15.75" customHeight="1" thickBot="1">
      <c r="A73" s="192"/>
      <c r="B73" s="31" t="s">
        <v>8</v>
      </c>
      <c r="C73" s="140">
        <v>150</v>
      </c>
      <c r="D73" s="35">
        <v>150</v>
      </c>
      <c r="E73" s="21">
        <v>0</v>
      </c>
      <c r="F73" s="21">
        <v>0</v>
      </c>
      <c r="G73" s="21">
        <v>150</v>
      </c>
      <c r="H73" s="21">
        <v>150</v>
      </c>
      <c r="I73" s="20">
        <v>150</v>
      </c>
      <c r="J73" s="21">
        <v>150</v>
      </c>
      <c r="K73" s="21">
        <v>150</v>
      </c>
      <c r="L73" s="21">
        <v>150</v>
      </c>
      <c r="M73" s="21">
        <v>150</v>
      </c>
      <c r="N73" s="20">
        <v>150</v>
      </c>
      <c r="O73" s="21">
        <v>150</v>
      </c>
      <c r="P73" s="21">
        <v>150</v>
      </c>
      <c r="Q73" s="21">
        <v>150</v>
      </c>
      <c r="R73" s="21">
        <v>150</v>
      </c>
      <c r="S73" s="21">
        <v>150</v>
      </c>
      <c r="T73" s="20">
        <v>150</v>
      </c>
      <c r="U73" s="22">
        <v>150</v>
      </c>
      <c r="V73" s="21">
        <v>150</v>
      </c>
      <c r="W73" s="21">
        <v>150</v>
      </c>
      <c r="X73" s="21">
        <v>150</v>
      </c>
      <c r="Y73" s="21">
        <v>150</v>
      </c>
      <c r="Z73" s="20">
        <v>150</v>
      </c>
      <c r="AA73" s="21">
        <v>150</v>
      </c>
      <c r="AB73" s="21">
        <v>150</v>
      </c>
      <c r="AC73" s="21">
        <v>150</v>
      </c>
      <c r="AD73" s="21">
        <v>150</v>
      </c>
      <c r="AE73" s="20">
        <v>150</v>
      </c>
      <c r="AF73" s="21">
        <v>150</v>
      </c>
      <c r="AG73" s="21">
        <v>150</v>
      </c>
      <c r="AH73" s="21">
        <v>150</v>
      </c>
      <c r="AI73" s="21">
        <v>150</v>
      </c>
      <c r="AJ73" s="21">
        <v>150</v>
      </c>
      <c r="AK73" s="20">
        <v>150</v>
      </c>
      <c r="AL73" s="22">
        <v>150</v>
      </c>
      <c r="AM73" s="11"/>
      <c r="AN73" s="131">
        <v>0</v>
      </c>
      <c r="AO73" s="131">
        <v>0</v>
      </c>
    </row>
    <row r="74" spans="1:41" s="29" customFormat="1" ht="13.75" customHeight="1" thickBot="1">
      <c r="A74" s="36"/>
      <c r="B74" s="31" t="s">
        <v>9</v>
      </c>
      <c r="C74" s="26"/>
      <c r="D74" s="26"/>
      <c r="E74" s="132" t="e">
        <v>#DIV/0!</v>
      </c>
      <c r="F74" s="132" t="e">
        <v>#DIV/0!</v>
      </c>
      <c r="G74" s="132" t="e">
        <v>#DIV/0!</v>
      </c>
      <c r="H74" s="132" t="e">
        <v>#DIV/0!</v>
      </c>
      <c r="I74" s="23"/>
      <c r="J74" s="132" t="e">
        <v>#DIV/0!</v>
      </c>
      <c r="K74" s="132" t="e">
        <v>#DIV/0!</v>
      </c>
      <c r="L74" s="132" t="e">
        <v>#DIV/0!</v>
      </c>
      <c r="M74" s="132" t="e">
        <v>#DIV/0!</v>
      </c>
      <c r="N74" s="23"/>
      <c r="O74" s="132">
        <v>0</v>
      </c>
      <c r="P74" s="132">
        <v>0</v>
      </c>
      <c r="Q74" s="132">
        <v>0</v>
      </c>
      <c r="R74" s="132">
        <v>0</v>
      </c>
      <c r="S74" s="132">
        <v>0</v>
      </c>
      <c r="T74" s="23"/>
      <c r="U74" s="24"/>
      <c r="V74" s="132" t="e">
        <v>#DIV/0!</v>
      </c>
      <c r="W74" s="132" t="e">
        <v>#DIV/0!</v>
      </c>
      <c r="X74" s="132" t="e">
        <v>#DIV/0!</v>
      </c>
      <c r="Y74" s="132" t="e">
        <v>#DIV/0!</v>
      </c>
      <c r="Z74" s="23"/>
      <c r="AA74" s="132" t="e">
        <v>#DIV/0!</v>
      </c>
      <c r="AB74" s="132" t="e">
        <v>#DIV/0!</v>
      </c>
      <c r="AC74" s="132" t="e">
        <v>#DIV/0!</v>
      </c>
      <c r="AD74" s="132" t="e">
        <v>#DIV/0!</v>
      </c>
      <c r="AE74" s="23"/>
      <c r="AF74" s="132">
        <v>0</v>
      </c>
      <c r="AG74" s="132">
        <v>0</v>
      </c>
      <c r="AH74" s="132">
        <v>0</v>
      </c>
      <c r="AI74" s="132">
        <v>0</v>
      </c>
      <c r="AJ74" s="132">
        <v>0</v>
      </c>
      <c r="AK74" s="23"/>
      <c r="AL74" s="24"/>
    </row>
    <row r="75" spans="1:41" s="29" customFormat="1" ht="15.75" customHeight="1">
      <c r="A75" s="190" t="s">
        <v>27</v>
      </c>
      <c r="B75" s="31" t="s">
        <v>5</v>
      </c>
      <c r="C75" s="20"/>
      <c r="D75" s="20"/>
      <c r="E75" s="21">
        <v>0</v>
      </c>
      <c r="F75" s="135">
        <v>63200</v>
      </c>
      <c r="G75" s="21">
        <v>107998</v>
      </c>
      <c r="H75" s="21">
        <v>942</v>
      </c>
      <c r="I75" s="20">
        <v>172140</v>
      </c>
      <c r="J75" s="135">
        <v>27470</v>
      </c>
      <c r="K75" s="21">
        <v>10293</v>
      </c>
      <c r="L75" s="135">
        <v>2491</v>
      </c>
      <c r="M75" s="21">
        <v>2800</v>
      </c>
      <c r="N75" s="20">
        <v>43054</v>
      </c>
      <c r="O75" s="21">
        <v>766</v>
      </c>
      <c r="P75" s="135">
        <v>3048</v>
      </c>
      <c r="Q75" s="135">
        <v>807</v>
      </c>
      <c r="R75" s="135">
        <v>9693</v>
      </c>
      <c r="S75" s="135">
        <v>1600</v>
      </c>
      <c r="T75" s="20">
        <v>15914</v>
      </c>
      <c r="U75" s="22">
        <v>331271</v>
      </c>
      <c r="V75" s="21">
        <v>0</v>
      </c>
      <c r="W75" s="135">
        <v>0</v>
      </c>
      <c r="X75" s="21">
        <v>0</v>
      </c>
      <c r="Y75" s="21">
        <v>0</v>
      </c>
      <c r="Z75" s="20">
        <v>0</v>
      </c>
      <c r="AA75" s="135">
        <v>0</v>
      </c>
      <c r="AB75" s="21">
        <v>0</v>
      </c>
      <c r="AC75" s="135">
        <v>0</v>
      </c>
      <c r="AD75" s="21">
        <v>0</v>
      </c>
      <c r="AE75" s="20">
        <v>0</v>
      </c>
      <c r="AF75" s="21">
        <v>0</v>
      </c>
      <c r="AG75" s="135">
        <v>0</v>
      </c>
      <c r="AH75" s="135">
        <v>0</v>
      </c>
      <c r="AI75" s="135">
        <v>0</v>
      </c>
      <c r="AJ75" s="135">
        <v>0</v>
      </c>
      <c r="AK75" s="20">
        <v>0</v>
      </c>
      <c r="AL75" s="22">
        <v>0</v>
      </c>
      <c r="AM75" s="11">
        <v>64</v>
      </c>
      <c r="AN75" s="131">
        <v>21201344</v>
      </c>
      <c r="AO75" s="131">
        <v>0</v>
      </c>
    </row>
    <row r="76" spans="1:41" s="29" customFormat="1" ht="15.75" customHeight="1">
      <c r="A76" s="191"/>
      <c r="B76" s="31" t="s">
        <v>6</v>
      </c>
      <c r="C76" s="20"/>
      <c r="D76" s="20"/>
      <c r="E76" s="21">
        <v>0</v>
      </c>
      <c r="F76" s="21">
        <v>63200</v>
      </c>
      <c r="G76" s="21">
        <v>69875</v>
      </c>
      <c r="H76" s="21">
        <v>25125</v>
      </c>
      <c r="I76" s="26">
        <v>158200</v>
      </c>
      <c r="J76" s="21">
        <v>0</v>
      </c>
      <c r="K76" s="21">
        <v>0</v>
      </c>
      <c r="L76" s="21">
        <v>10000</v>
      </c>
      <c r="M76" s="21">
        <v>30000</v>
      </c>
      <c r="N76" s="26">
        <v>40000</v>
      </c>
      <c r="O76" s="21">
        <v>0</v>
      </c>
      <c r="P76" s="21">
        <v>0</v>
      </c>
      <c r="Q76" s="21">
        <v>0</v>
      </c>
      <c r="R76" s="21">
        <v>10000</v>
      </c>
      <c r="S76" s="21">
        <v>30000</v>
      </c>
      <c r="T76" s="26">
        <v>40000</v>
      </c>
      <c r="U76" s="22"/>
      <c r="V76" s="21">
        <v>0</v>
      </c>
      <c r="W76" s="21">
        <v>0</v>
      </c>
      <c r="X76" s="21">
        <v>0</v>
      </c>
      <c r="Y76" s="21">
        <v>0</v>
      </c>
      <c r="Z76" s="26">
        <v>0</v>
      </c>
      <c r="AA76" s="21">
        <v>0</v>
      </c>
      <c r="AB76" s="21">
        <v>0</v>
      </c>
      <c r="AC76" s="21">
        <v>0</v>
      </c>
      <c r="AD76" s="21">
        <v>0</v>
      </c>
      <c r="AE76" s="26">
        <v>0</v>
      </c>
      <c r="AF76" s="21">
        <v>0</v>
      </c>
      <c r="AG76" s="21">
        <v>0</v>
      </c>
      <c r="AH76" s="21">
        <v>0</v>
      </c>
      <c r="AI76" s="21">
        <v>0</v>
      </c>
      <c r="AJ76" s="21">
        <v>0</v>
      </c>
      <c r="AK76" s="26">
        <v>0</v>
      </c>
      <c r="AL76" s="22"/>
      <c r="AM76" s="11"/>
      <c r="AN76" s="131">
        <v>0</v>
      </c>
      <c r="AO76" s="131">
        <v>0</v>
      </c>
    </row>
    <row r="77" spans="1:41" s="29" customFormat="1" ht="15" customHeight="1">
      <c r="A77" s="191"/>
      <c r="B77" s="31" t="s">
        <v>10</v>
      </c>
      <c r="C77" s="20">
        <v>15000</v>
      </c>
      <c r="D77" s="20"/>
      <c r="E77" s="20"/>
      <c r="F77" s="20"/>
      <c r="G77" s="20"/>
      <c r="H77" s="20">
        <v>15000</v>
      </c>
      <c r="I77" s="26">
        <v>15000</v>
      </c>
      <c r="J77" s="20"/>
      <c r="K77" s="20"/>
      <c r="L77" s="20"/>
      <c r="M77" s="20"/>
      <c r="N77" s="26">
        <v>0</v>
      </c>
      <c r="O77" s="20"/>
      <c r="P77" s="20"/>
      <c r="Q77" s="20"/>
      <c r="R77" s="20"/>
      <c r="S77" s="20"/>
      <c r="T77" s="26">
        <v>0</v>
      </c>
      <c r="U77" s="22"/>
      <c r="V77" s="20"/>
      <c r="W77" s="20"/>
      <c r="X77" s="20"/>
      <c r="Y77" s="20"/>
      <c r="Z77" s="26">
        <v>0</v>
      </c>
      <c r="AA77" s="20"/>
      <c r="AB77" s="20"/>
      <c r="AC77" s="20"/>
      <c r="AD77" s="20"/>
      <c r="AE77" s="26">
        <v>0</v>
      </c>
      <c r="AF77" s="20"/>
      <c r="AG77" s="20"/>
      <c r="AH77" s="20"/>
      <c r="AI77" s="20"/>
      <c r="AJ77" s="20"/>
      <c r="AK77" s="26">
        <v>0</v>
      </c>
      <c r="AL77" s="28">
        <v>0</v>
      </c>
      <c r="AM77" s="11"/>
      <c r="AN77" s="131">
        <v>0</v>
      </c>
      <c r="AO77" s="131">
        <v>0</v>
      </c>
    </row>
    <row r="78" spans="1:41" s="29" customFormat="1" ht="15.75" customHeight="1">
      <c r="A78" s="191"/>
      <c r="B78" s="31" t="s">
        <v>7</v>
      </c>
      <c r="C78" s="20"/>
      <c r="D78" s="20"/>
      <c r="E78" s="21">
        <v>0</v>
      </c>
      <c r="F78" s="21">
        <v>63200</v>
      </c>
      <c r="G78" s="21">
        <v>107998</v>
      </c>
      <c r="H78" s="21">
        <v>40125</v>
      </c>
      <c r="I78" s="20">
        <v>211323</v>
      </c>
      <c r="J78" s="21">
        <v>0</v>
      </c>
      <c r="K78" s="21">
        <v>0</v>
      </c>
      <c r="L78" s="21">
        <v>10000</v>
      </c>
      <c r="M78" s="21">
        <v>30000</v>
      </c>
      <c r="N78" s="20">
        <v>40000</v>
      </c>
      <c r="O78" s="21">
        <v>0</v>
      </c>
      <c r="P78" s="21">
        <v>0</v>
      </c>
      <c r="Q78" s="21">
        <v>0</v>
      </c>
      <c r="R78" s="21">
        <v>10000</v>
      </c>
      <c r="S78" s="21">
        <v>30000</v>
      </c>
      <c r="T78" s="20">
        <v>40000</v>
      </c>
      <c r="U78" s="22">
        <v>391486</v>
      </c>
      <c r="V78" s="21">
        <v>0</v>
      </c>
      <c r="W78" s="21">
        <v>0</v>
      </c>
      <c r="X78" s="21">
        <v>0</v>
      </c>
      <c r="Y78" s="21">
        <v>0</v>
      </c>
      <c r="Z78" s="20">
        <v>0</v>
      </c>
      <c r="AA78" s="21">
        <v>0</v>
      </c>
      <c r="AB78" s="21">
        <v>0</v>
      </c>
      <c r="AC78" s="21">
        <v>0</v>
      </c>
      <c r="AD78" s="21">
        <v>0</v>
      </c>
      <c r="AE78" s="20">
        <v>0</v>
      </c>
      <c r="AF78" s="21">
        <v>0</v>
      </c>
      <c r="AG78" s="21">
        <v>0</v>
      </c>
      <c r="AH78" s="21">
        <v>0</v>
      </c>
      <c r="AI78" s="21">
        <v>0</v>
      </c>
      <c r="AJ78" s="21">
        <v>0</v>
      </c>
      <c r="AK78" s="20">
        <v>0</v>
      </c>
      <c r="AL78" s="22">
        <v>0</v>
      </c>
      <c r="AM78" s="11"/>
      <c r="AN78" s="131">
        <v>0</v>
      </c>
      <c r="AO78" s="131">
        <v>0</v>
      </c>
    </row>
    <row r="79" spans="1:41" s="29" customFormat="1" ht="15.75" customHeight="1" thickBot="1">
      <c r="A79" s="192"/>
      <c r="B79" s="31" t="s">
        <v>8</v>
      </c>
      <c r="C79" s="140">
        <v>106723</v>
      </c>
      <c r="D79" s="35">
        <v>100163</v>
      </c>
      <c r="E79" s="21">
        <v>0</v>
      </c>
      <c r="F79" s="21">
        <v>0</v>
      </c>
      <c r="G79" s="21">
        <v>0</v>
      </c>
      <c r="H79" s="21">
        <v>39183</v>
      </c>
      <c r="I79" s="20">
        <v>39183</v>
      </c>
      <c r="J79" s="21">
        <v>11713</v>
      </c>
      <c r="K79" s="21">
        <v>1420</v>
      </c>
      <c r="L79" s="21">
        <v>8929</v>
      </c>
      <c r="M79" s="21">
        <v>36129</v>
      </c>
      <c r="N79" s="20">
        <v>36129</v>
      </c>
      <c r="O79" s="21">
        <v>35363</v>
      </c>
      <c r="P79" s="21">
        <v>32315</v>
      </c>
      <c r="Q79" s="21">
        <v>31508</v>
      </c>
      <c r="R79" s="21">
        <v>31815</v>
      </c>
      <c r="S79" s="21">
        <v>60215</v>
      </c>
      <c r="T79" s="20">
        <v>60215</v>
      </c>
      <c r="U79" s="22">
        <v>60215</v>
      </c>
      <c r="V79" s="21">
        <v>60215</v>
      </c>
      <c r="W79" s="21">
        <v>60215</v>
      </c>
      <c r="X79" s="21">
        <v>60215</v>
      </c>
      <c r="Y79" s="21">
        <v>60215</v>
      </c>
      <c r="Z79" s="20">
        <v>60215</v>
      </c>
      <c r="AA79" s="21">
        <v>60215</v>
      </c>
      <c r="AB79" s="21">
        <v>60215</v>
      </c>
      <c r="AC79" s="21">
        <v>60215</v>
      </c>
      <c r="AD79" s="21">
        <v>60215</v>
      </c>
      <c r="AE79" s="20">
        <v>60215</v>
      </c>
      <c r="AF79" s="21">
        <v>60215</v>
      </c>
      <c r="AG79" s="21">
        <v>60215</v>
      </c>
      <c r="AH79" s="21">
        <v>60215</v>
      </c>
      <c r="AI79" s="21">
        <v>60215</v>
      </c>
      <c r="AJ79" s="21">
        <v>60215</v>
      </c>
      <c r="AK79" s="20">
        <v>60215</v>
      </c>
      <c r="AL79" s="22">
        <v>60215</v>
      </c>
      <c r="AM79" s="11"/>
      <c r="AN79" s="131">
        <v>0</v>
      </c>
      <c r="AO79" s="131">
        <v>0</v>
      </c>
    </row>
    <row r="80" spans="1:41" s="29" customFormat="1" ht="16.25" customHeight="1" thickBot="1">
      <c r="A80" s="133"/>
      <c r="B80" s="31" t="s">
        <v>9</v>
      </c>
      <c r="C80" s="20"/>
      <c r="D80" s="20"/>
      <c r="E80" s="132" t="e">
        <v>#REF!</v>
      </c>
      <c r="F80" s="132" t="e">
        <v>#REF!</v>
      </c>
      <c r="G80" s="132" t="e">
        <v>#REF!</v>
      </c>
      <c r="H80" s="132" t="e">
        <v>#REF!</v>
      </c>
      <c r="I80" s="23"/>
      <c r="J80" s="132">
        <v>14327.828746177371</v>
      </c>
      <c r="K80" s="132">
        <v>3119.1652937946183</v>
      </c>
      <c r="L80" s="132">
        <v>24064.142298881554</v>
      </c>
      <c r="M80" s="132">
        <v>50480.64831633366</v>
      </c>
      <c r="N80" s="23"/>
      <c r="O80" s="132">
        <v>46689.992078162133</v>
      </c>
      <c r="P80" s="132" t="e">
        <v>#REF!</v>
      </c>
      <c r="Q80" s="132" t="e">
        <v>#REF!</v>
      </c>
      <c r="R80" s="132" t="e">
        <v>#REF!</v>
      </c>
      <c r="S80" s="132" t="e">
        <v>#REF!</v>
      </c>
      <c r="T80" s="23"/>
      <c r="U80" s="24"/>
      <c r="V80" s="132" t="e">
        <v>#REF!</v>
      </c>
      <c r="W80" s="132" t="e">
        <v>#REF!</v>
      </c>
      <c r="X80" s="132" t="e">
        <v>#REF!</v>
      </c>
      <c r="Y80" s="132" t="e">
        <v>#REF!</v>
      </c>
      <c r="Z80" s="23"/>
      <c r="AA80" s="132" t="e">
        <v>#DIV/0!</v>
      </c>
      <c r="AB80" s="132" t="e">
        <v>#DIV/0!</v>
      </c>
      <c r="AC80" s="132" t="e">
        <v>#DIV/0!</v>
      </c>
      <c r="AD80" s="132" t="e">
        <v>#DIV/0!</v>
      </c>
      <c r="AE80" s="23"/>
      <c r="AF80" s="132" t="e">
        <v>#DIV/0!</v>
      </c>
      <c r="AG80" s="132" t="e">
        <v>#REF!</v>
      </c>
      <c r="AH80" s="132" t="e">
        <v>#REF!</v>
      </c>
      <c r="AI80" s="132" t="e">
        <v>#REF!</v>
      </c>
      <c r="AJ80" s="132" t="e">
        <v>#REF!</v>
      </c>
      <c r="AK80" s="23"/>
      <c r="AL80" s="24"/>
      <c r="AM80" s="11"/>
      <c r="AN80" s="131">
        <v>0</v>
      </c>
      <c r="AO80" s="131">
        <v>0</v>
      </c>
    </row>
    <row r="81" spans="1:41" s="29" customFormat="1" ht="15.75" customHeight="1">
      <c r="A81" s="190" t="s">
        <v>28</v>
      </c>
      <c r="B81" s="31" t="s">
        <v>5</v>
      </c>
      <c r="C81" s="20"/>
      <c r="D81" s="20"/>
      <c r="E81" s="27"/>
      <c r="F81" s="27">
        <v>9125</v>
      </c>
      <c r="G81" s="27">
        <v>-7568</v>
      </c>
      <c r="H81" s="27">
        <v>813</v>
      </c>
      <c r="I81" s="20">
        <v>2370</v>
      </c>
      <c r="J81" s="27">
        <v>4651</v>
      </c>
      <c r="K81" s="27">
        <v>218</v>
      </c>
      <c r="L81" s="135">
        <v>1319</v>
      </c>
      <c r="M81" s="21">
        <v>295</v>
      </c>
      <c r="N81" s="20">
        <v>6483</v>
      </c>
      <c r="O81" s="21">
        <v>140</v>
      </c>
      <c r="P81" s="135">
        <v>291</v>
      </c>
      <c r="Q81" s="135">
        <v>344</v>
      </c>
      <c r="R81" s="135">
        <v>1343</v>
      </c>
      <c r="S81" s="135">
        <v>0</v>
      </c>
      <c r="T81" s="20">
        <v>2118</v>
      </c>
      <c r="U81" s="22">
        <v>22495</v>
      </c>
      <c r="V81" s="21">
        <v>0</v>
      </c>
      <c r="W81" s="135">
        <v>0</v>
      </c>
      <c r="X81" s="135">
        <v>0</v>
      </c>
      <c r="Y81" s="21">
        <v>0</v>
      </c>
      <c r="Z81" s="20">
        <v>0</v>
      </c>
      <c r="AA81" s="135">
        <v>0</v>
      </c>
      <c r="AB81" s="21">
        <v>0</v>
      </c>
      <c r="AC81" s="135">
        <v>0</v>
      </c>
      <c r="AD81" s="21">
        <v>0</v>
      </c>
      <c r="AE81" s="20">
        <v>0</v>
      </c>
      <c r="AF81" s="21">
        <v>0</v>
      </c>
      <c r="AG81" s="135">
        <v>0</v>
      </c>
      <c r="AH81" s="135">
        <v>0</v>
      </c>
      <c r="AI81" s="135">
        <v>0</v>
      </c>
      <c r="AJ81" s="135">
        <v>0</v>
      </c>
      <c r="AK81" s="20">
        <v>0</v>
      </c>
      <c r="AL81" s="22">
        <v>0</v>
      </c>
      <c r="AM81" s="11">
        <v>128</v>
      </c>
      <c r="AN81" s="131">
        <v>2879360</v>
      </c>
      <c r="AO81" s="131">
        <v>0</v>
      </c>
    </row>
    <row r="82" spans="1:41" s="29" customFormat="1" ht="15.75" customHeight="1">
      <c r="A82" s="191"/>
      <c r="B82" s="31" t="s">
        <v>6</v>
      </c>
      <c r="C82" s="20"/>
      <c r="D82" s="20"/>
      <c r="E82" s="27"/>
      <c r="F82" s="27">
        <v>9125</v>
      </c>
      <c r="G82" s="27">
        <v>0</v>
      </c>
      <c r="H82" s="27">
        <v>1500</v>
      </c>
      <c r="I82" s="21">
        <v>10625</v>
      </c>
      <c r="J82" s="27">
        <v>0</v>
      </c>
      <c r="K82" s="27">
        <v>1000</v>
      </c>
      <c r="L82" s="21">
        <v>1000</v>
      </c>
      <c r="M82" s="21">
        <v>2000</v>
      </c>
      <c r="N82" s="21">
        <v>4000</v>
      </c>
      <c r="O82" s="21">
        <v>1000</v>
      </c>
      <c r="P82" s="21">
        <v>2000</v>
      </c>
      <c r="Q82" s="21">
        <v>2000</v>
      </c>
      <c r="R82" s="21">
        <v>3000</v>
      </c>
      <c r="S82" s="21">
        <v>3000</v>
      </c>
      <c r="T82" s="26">
        <v>11000</v>
      </c>
      <c r="U82" s="22"/>
      <c r="V82" s="21">
        <v>4000</v>
      </c>
      <c r="W82" s="21">
        <v>0</v>
      </c>
      <c r="X82" s="21">
        <v>0</v>
      </c>
      <c r="Y82" s="21">
        <v>0</v>
      </c>
      <c r="Z82" s="26">
        <v>4000</v>
      </c>
      <c r="AA82" s="21">
        <v>0</v>
      </c>
      <c r="AB82" s="21">
        <v>0</v>
      </c>
      <c r="AC82" s="21">
        <v>0</v>
      </c>
      <c r="AD82" s="21">
        <v>0</v>
      </c>
      <c r="AE82" s="26">
        <v>0</v>
      </c>
      <c r="AF82" s="21">
        <v>0</v>
      </c>
      <c r="AG82" s="21">
        <v>0</v>
      </c>
      <c r="AH82" s="21">
        <v>0</v>
      </c>
      <c r="AI82" s="21">
        <v>0</v>
      </c>
      <c r="AJ82" s="21">
        <v>0</v>
      </c>
      <c r="AK82" s="26">
        <v>0</v>
      </c>
      <c r="AL82" s="22"/>
      <c r="AM82" s="11"/>
      <c r="AN82" s="131">
        <v>0</v>
      </c>
      <c r="AO82" s="131">
        <v>0</v>
      </c>
    </row>
    <row r="83" spans="1:41" s="29" customFormat="1" ht="15" customHeight="1">
      <c r="A83" s="191"/>
      <c r="B83" s="31" t="s">
        <v>10</v>
      </c>
      <c r="C83" s="20">
        <v>1875</v>
      </c>
      <c r="D83" s="20"/>
      <c r="E83" s="20"/>
      <c r="F83" s="20"/>
      <c r="G83" s="20"/>
      <c r="H83" s="20">
        <v>1875</v>
      </c>
      <c r="I83" s="26">
        <v>1875</v>
      </c>
      <c r="J83" s="20"/>
      <c r="K83" s="20"/>
      <c r="L83" s="20"/>
      <c r="M83" s="20"/>
      <c r="N83" s="26">
        <v>0</v>
      </c>
      <c r="O83" s="20"/>
      <c r="P83" s="20"/>
      <c r="Q83" s="20"/>
      <c r="R83" s="20"/>
      <c r="S83" s="20"/>
      <c r="T83" s="26">
        <v>0</v>
      </c>
      <c r="U83" s="22"/>
      <c r="V83" s="20"/>
      <c r="W83" s="20"/>
      <c r="X83" s="20"/>
      <c r="Y83" s="20"/>
      <c r="Z83" s="26">
        <v>0</v>
      </c>
      <c r="AA83" s="20"/>
      <c r="AB83" s="20"/>
      <c r="AC83" s="20"/>
      <c r="AD83" s="20"/>
      <c r="AE83" s="26">
        <v>0</v>
      </c>
      <c r="AF83" s="20"/>
      <c r="AG83" s="20"/>
      <c r="AH83" s="20"/>
      <c r="AI83" s="20"/>
      <c r="AJ83" s="20"/>
      <c r="AK83" s="26">
        <v>0</v>
      </c>
      <c r="AL83" s="28">
        <v>0</v>
      </c>
      <c r="AM83" s="11"/>
      <c r="AN83" s="131">
        <v>0</v>
      </c>
      <c r="AO83" s="131">
        <v>0</v>
      </c>
    </row>
    <row r="84" spans="1:41" s="29" customFormat="1" ht="15.75" customHeight="1">
      <c r="A84" s="191"/>
      <c r="B84" s="31" t="s">
        <v>7</v>
      </c>
      <c r="C84" s="20"/>
      <c r="D84" s="20"/>
      <c r="E84" s="21">
        <v>0</v>
      </c>
      <c r="F84" s="21">
        <v>9125</v>
      </c>
      <c r="G84" s="21">
        <v>0</v>
      </c>
      <c r="H84" s="21">
        <v>3375</v>
      </c>
      <c r="I84" s="20">
        <v>12500</v>
      </c>
      <c r="J84" s="21">
        <v>0</v>
      </c>
      <c r="K84" s="21">
        <v>1000</v>
      </c>
      <c r="L84" s="21">
        <v>1000</v>
      </c>
      <c r="M84" s="21">
        <v>2000</v>
      </c>
      <c r="N84" s="20">
        <v>4000</v>
      </c>
      <c r="O84" s="21">
        <v>1000</v>
      </c>
      <c r="P84" s="21">
        <v>2000</v>
      </c>
      <c r="Q84" s="21">
        <v>2000</v>
      </c>
      <c r="R84" s="21">
        <v>3000</v>
      </c>
      <c r="S84" s="21">
        <v>3000</v>
      </c>
      <c r="T84" s="20">
        <v>11000</v>
      </c>
      <c r="U84" s="22">
        <v>39024</v>
      </c>
      <c r="V84" s="21">
        <v>4000</v>
      </c>
      <c r="W84" s="21">
        <v>0</v>
      </c>
      <c r="X84" s="21">
        <v>0</v>
      </c>
      <c r="Y84" s="21">
        <v>0</v>
      </c>
      <c r="Z84" s="20">
        <v>4000</v>
      </c>
      <c r="AA84" s="21">
        <v>0</v>
      </c>
      <c r="AB84" s="21">
        <v>0</v>
      </c>
      <c r="AC84" s="21">
        <v>0</v>
      </c>
      <c r="AD84" s="21">
        <v>0</v>
      </c>
      <c r="AE84" s="20">
        <v>0</v>
      </c>
      <c r="AF84" s="21">
        <v>0</v>
      </c>
      <c r="AG84" s="21">
        <v>0</v>
      </c>
      <c r="AH84" s="21">
        <v>0</v>
      </c>
      <c r="AI84" s="21">
        <v>0</v>
      </c>
      <c r="AJ84" s="21">
        <v>0</v>
      </c>
      <c r="AK84" s="20">
        <v>0</v>
      </c>
      <c r="AL84" s="22">
        <v>4000</v>
      </c>
      <c r="AM84" s="11"/>
      <c r="AN84" s="131">
        <v>0</v>
      </c>
      <c r="AO84" s="131">
        <v>0</v>
      </c>
    </row>
    <row r="85" spans="1:41" s="29" customFormat="1" ht="15.75" customHeight="1" thickBot="1">
      <c r="A85" s="192"/>
      <c r="B85" s="31" t="s">
        <v>8</v>
      </c>
      <c r="C85" s="140">
        <v>18772</v>
      </c>
      <c r="D85" s="35">
        <v>11524</v>
      </c>
      <c r="E85" s="21">
        <v>0</v>
      </c>
      <c r="F85" s="21">
        <v>0</v>
      </c>
      <c r="G85" s="21">
        <v>7568</v>
      </c>
      <c r="H85" s="21">
        <v>10130</v>
      </c>
      <c r="I85" s="20">
        <v>10130</v>
      </c>
      <c r="J85" s="21">
        <v>5479</v>
      </c>
      <c r="K85" s="21">
        <v>6261</v>
      </c>
      <c r="L85" s="21">
        <v>5942</v>
      </c>
      <c r="M85" s="21">
        <v>7647</v>
      </c>
      <c r="N85" s="20">
        <v>7647</v>
      </c>
      <c r="O85" s="21">
        <v>8507</v>
      </c>
      <c r="P85" s="21">
        <v>10216</v>
      </c>
      <c r="Q85" s="21">
        <v>11872</v>
      </c>
      <c r="R85" s="21">
        <v>13529</v>
      </c>
      <c r="S85" s="21">
        <v>16529</v>
      </c>
      <c r="T85" s="20">
        <v>16529</v>
      </c>
      <c r="U85" s="22">
        <v>16529</v>
      </c>
      <c r="V85" s="21">
        <v>20529</v>
      </c>
      <c r="W85" s="21">
        <v>20529</v>
      </c>
      <c r="X85" s="21">
        <v>20529</v>
      </c>
      <c r="Y85" s="21">
        <v>20529</v>
      </c>
      <c r="Z85" s="20">
        <v>20529</v>
      </c>
      <c r="AA85" s="21">
        <v>20529</v>
      </c>
      <c r="AB85" s="21">
        <v>20529</v>
      </c>
      <c r="AC85" s="21">
        <v>20529</v>
      </c>
      <c r="AD85" s="21">
        <v>20529</v>
      </c>
      <c r="AE85" s="20">
        <v>20529</v>
      </c>
      <c r="AF85" s="21">
        <v>20529</v>
      </c>
      <c r="AG85" s="21">
        <v>20529</v>
      </c>
      <c r="AH85" s="21">
        <v>20529</v>
      </c>
      <c r="AI85" s="21">
        <v>20529</v>
      </c>
      <c r="AJ85" s="21">
        <v>20529</v>
      </c>
      <c r="AK85" s="20">
        <v>20529</v>
      </c>
      <c r="AL85" s="22">
        <v>20529</v>
      </c>
      <c r="AM85" s="11"/>
      <c r="AN85" s="131">
        <v>0</v>
      </c>
      <c r="AO85" s="131">
        <v>0</v>
      </c>
    </row>
    <row r="86" spans="1:41" s="29" customFormat="1" ht="13.75" customHeight="1" thickBot="1">
      <c r="A86" s="36"/>
      <c r="B86" s="31" t="s">
        <v>9</v>
      </c>
      <c r="C86" s="26"/>
      <c r="D86" s="26"/>
      <c r="E86" s="132">
        <v>0</v>
      </c>
      <c r="F86" s="132">
        <v>0</v>
      </c>
      <c r="G86" s="132">
        <v>0</v>
      </c>
      <c r="H86" s="132">
        <v>1348.9089706854752</v>
      </c>
      <c r="I86" s="23"/>
      <c r="J86" s="132">
        <v>-12046.854244656442</v>
      </c>
      <c r="K86" s="132">
        <v>-27401.929260450161</v>
      </c>
      <c r="L86" s="132">
        <v>-25715.183904432568</v>
      </c>
      <c r="M86" s="132"/>
      <c r="N86" s="23"/>
      <c r="O86" s="132"/>
      <c r="P86" s="132"/>
      <c r="Q86" s="132">
        <v>9.5266027261060113</v>
      </c>
      <c r="R86" s="132">
        <v>-112.18591285752471</v>
      </c>
      <c r="S86" s="132"/>
      <c r="T86" s="23"/>
      <c r="U86" s="24"/>
      <c r="V86" s="132">
        <v>0</v>
      </c>
      <c r="W86" s="132">
        <v>0</v>
      </c>
      <c r="X86" s="132">
        <v>0</v>
      </c>
      <c r="Y86" s="132">
        <v>1348.9089706854752</v>
      </c>
      <c r="Z86" s="23"/>
      <c r="AA86" s="132">
        <v>-12046.854244656442</v>
      </c>
      <c r="AB86" s="132">
        <v>-27401.929260450161</v>
      </c>
      <c r="AC86" s="132">
        <v>-25715.183904432568</v>
      </c>
      <c r="AD86" s="132"/>
      <c r="AE86" s="23"/>
      <c r="AF86" s="132"/>
      <c r="AG86" s="132"/>
      <c r="AH86" s="132">
        <v>9.5266027261060113</v>
      </c>
      <c r="AI86" s="132">
        <v>-112.18591285752471</v>
      </c>
      <c r="AJ86" s="132"/>
      <c r="AK86" s="23"/>
      <c r="AL86" s="24"/>
    </row>
    <row r="87" spans="1:41" s="29" customFormat="1" ht="15.75" customHeight="1" thickBot="1">
      <c r="A87" s="190" t="s">
        <v>122</v>
      </c>
      <c r="B87" s="31" t="s">
        <v>5</v>
      </c>
      <c r="C87" s="20"/>
      <c r="D87" s="20"/>
      <c r="E87" s="27"/>
      <c r="F87" s="27"/>
      <c r="G87" s="27"/>
      <c r="H87" s="27"/>
      <c r="I87" s="20">
        <v>0</v>
      </c>
      <c r="J87" s="27"/>
      <c r="K87" s="27"/>
      <c r="L87" s="27"/>
      <c r="M87" s="27"/>
      <c r="N87" s="20">
        <v>0</v>
      </c>
      <c r="O87" s="21"/>
      <c r="P87" s="135"/>
      <c r="Q87" s="135"/>
      <c r="R87" s="135"/>
      <c r="S87" s="135"/>
      <c r="T87" s="20">
        <v>0</v>
      </c>
      <c r="U87" s="22">
        <v>0</v>
      </c>
      <c r="V87" s="135"/>
      <c r="W87" s="135"/>
      <c r="X87" s="21"/>
      <c r="Y87" s="135"/>
      <c r="Z87" s="20">
        <v>0</v>
      </c>
      <c r="AA87" s="135"/>
      <c r="AB87" s="21"/>
      <c r="AC87" s="135"/>
      <c r="AD87" s="21"/>
      <c r="AE87" s="20">
        <v>0</v>
      </c>
      <c r="AF87" s="21"/>
      <c r="AG87" s="135"/>
      <c r="AH87" s="135"/>
      <c r="AI87" s="135"/>
      <c r="AJ87" s="135"/>
      <c r="AK87" s="20">
        <v>0</v>
      </c>
      <c r="AL87" s="22">
        <v>0</v>
      </c>
      <c r="AM87" s="11">
        <v>128</v>
      </c>
      <c r="AN87" s="131">
        <v>0</v>
      </c>
      <c r="AO87" s="131">
        <v>0</v>
      </c>
    </row>
    <row r="88" spans="1:41" s="29" customFormat="1" ht="15.75" customHeight="1">
      <c r="A88" s="191"/>
      <c r="B88" s="31" t="s">
        <v>6</v>
      </c>
      <c r="C88" s="20"/>
      <c r="D88" s="20"/>
      <c r="E88" s="27"/>
      <c r="F88" s="27"/>
      <c r="G88" s="27"/>
      <c r="H88" s="27"/>
      <c r="I88" s="21">
        <v>0</v>
      </c>
      <c r="J88" s="27"/>
      <c r="K88" s="27"/>
      <c r="L88" s="27"/>
      <c r="M88" s="27"/>
      <c r="N88" s="21">
        <v>0</v>
      </c>
      <c r="O88" s="21"/>
      <c r="P88" s="21"/>
      <c r="Q88" s="21"/>
      <c r="R88" s="21"/>
      <c r="S88" s="21"/>
      <c r="T88" s="26">
        <v>0</v>
      </c>
      <c r="U88" s="22"/>
      <c r="V88" s="135"/>
      <c r="W88" s="21"/>
      <c r="X88" s="21"/>
      <c r="Y88" s="135"/>
      <c r="Z88" s="26">
        <v>0</v>
      </c>
      <c r="AA88" s="21"/>
      <c r="AB88" s="21"/>
      <c r="AC88" s="135"/>
      <c r="AD88" s="21"/>
      <c r="AE88" s="26">
        <v>0</v>
      </c>
      <c r="AF88" s="21"/>
      <c r="AG88" s="21"/>
      <c r="AH88" s="21"/>
      <c r="AI88" s="21"/>
      <c r="AJ88" s="21"/>
      <c r="AK88" s="26">
        <v>0</v>
      </c>
      <c r="AL88" s="22"/>
      <c r="AM88" s="11"/>
      <c r="AN88" s="131">
        <v>0</v>
      </c>
      <c r="AO88" s="131">
        <v>0</v>
      </c>
    </row>
    <row r="89" spans="1:41" s="29" customFormat="1" ht="15" customHeight="1">
      <c r="A89" s="191"/>
      <c r="B89" s="31" t="s">
        <v>10</v>
      </c>
      <c r="C89" s="20"/>
      <c r="D89" s="20"/>
      <c r="E89" s="20"/>
      <c r="F89" s="21"/>
      <c r="G89" s="20"/>
      <c r="H89" s="20"/>
      <c r="I89" s="26">
        <v>0</v>
      </c>
      <c r="J89" s="20"/>
      <c r="K89" s="20"/>
      <c r="L89" s="21"/>
      <c r="M89" s="20"/>
      <c r="N89" s="26">
        <v>0</v>
      </c>
      <c r="O89" s="21"/>
      <c r="P89" s="21"/>
      <c r="Q89" s="20"/>
      <c r="R89" s="21"/>
      <c r="S89" s="21"/>
      <c r="T89" s="26">
        <v>0</v>
      </c>
      <c r="U89" s="22"/>
      <c r="V89" s="20"/>
      <c r="W89" s="21"/>
      <c r="X89" s="20"/>
      <c r="Y89" s="20"/>
      <c r="Z89" s="26">
        <v>0</v>
      </c>
      <c r="AA89" s="20"/>
      <c r="AB89" s="20"/>
      <c r="AC89" s="21"/>
      <c r="AD89" s="20"/>
      <c r="AE89" s="26">
        <v>0</v>
      </c>
      <c r="AF89" s="21"/>
      <c r="AG89" s="21"/>
      <c r="AH89" s="20"/>
      <c r="AI89" s="21"/>
      <c r="AJ89" s="21"/>
      <c r="AK89" s="26">
        <v>0</v>
      </c>
      <c r="AL89" s="28">
        <v>0</v>
      </c>
      <c r="AM89" s="11"/>
      <c r="AN89" s="131">
        <v>0</v>
      </c>
      <c r="AO89" s="131">
        <v>0</v>
      </c>
    </row>
    <row r="90" spans="1:41" s="29" customFormat="1" ht="15.75" customHeight="1">
      <c r="A90" s="191"/>
      <c r="B90" s="31" t="s">
        <v>7</v>
      </c>
      <c r="C90" s="20"/>
      <c r="D90" s="20"/>
      <c r="E90" s="21">
        <v>0</v>
      </c>
      <c r="F90" s="21">
        <v>0</v>
      </c>
      <c r="G90" s="21">
        <v>0</v>
      </c>
      <c r="H90" s="21">
        <v>0</v>
      </c>
      <c r="I90" s="20">
        <v>0</v>
      </c>
      <c r="J90" s="21">
        <v>0</v>
      </c>
      <c r="K90" s="21">
        <v>0</v>
      </c>
      <c r="L90" s="21">
        <v>0</v>
      </c>
      <c r="M90" s="21">
        <v>0</v>
      </c>
      <c r="N90" s="20">
        <v>0</v>
      </c>
      <c r="O90" s="21">
        <v>0</v>
      </c>
      <c r="P90" s="21">
        <v>0</v>
      </c>
      <c r="Q90" s="21">
        <v>0</v>
      </c>
      <c r="R90" s="21">
        <v>0</v>
      </c>
      <c r="S90" s="21">
        <v>0</v>
      </c>
      <c r="T90" s="20">
        <v>0</v>
      </c>
      <c r="U90" s="22">
        <v>0</v>
      </c>
      <c r="V90" s="21">
        <v>0</v>
      </c>
      <c r="W90" s="21">
        <v>0</v>
      </c>
      <c r="X90" s="21">
        <v>0</v>
      </c>
      <c r="Y90" s="21">
        <v>0</v>
      </c>
      <c r="Z90" s="20">
        <v>0</v>
      </c>
      <c r="AA90" s="21">
        <v>0</v>
      </c>
      <c r="AB90" s="21">
        <v>0</v>
      </c>
      <c r="AC90" s="21">
        <v>0</v>
      </c>
      <c r="AD90" s="21">
        <v>0</v>
      </c>
      <c r="AE90" s="20">
        <v>0</v>
      </c>
      <c r="AF90" s="21">
        <v>0</v>
      </c>
      <c r="AG90" s="21">
        <v>0</v>
      </c>
      <c r="AH90" s="21">
        <v>0</v>
      </c>
      <c r="AI90" s="21">
        <v>0</v>
      </c>
      <c r="AJ90" s="21">
        <v>0</v>
      </c>
      <c r="AK90" s="20">
        <v>0</v>
      </c>
      <c r="AL90" s="22">
        <v>0</v>
      </c>
      <c r="AM90" s="11"/>
      <c r="AN90" s="131">
        <v>0</v>
      </c>
      <c r="AO90" s="131">
        <v>0</v>
      </c>
    </row>
    <row r="91" spans="1:41" s="29" customFormat="1" ht="15.75" customHeight="1" thickBot="1">
      <c r="A91" s="192"/>
      <c r="B91" s="31" t="s">
        <v>8</v>
      </c>
      <c r="C91" s="140"/>
      <c r="D91" s="35"/>
      <c r="E91" s="21">
        <v>0</v>
      </c>
      <c r="F91" s="21">
        <v>0</v>
      </c>
      <c r="G91" s="21">
        <v>0</v>
      </c>
      <c r="H91" s="21">
        <v>0</v>
      </c>
      <c r="I91" s="20">
        <v>0</v>
      </c>
      <c r="J91" s="21">
        <v>0</v>
      </c>
      <c r="K91" s="21">
        <v>0</v>
      </c>
      <c r="L91" s="21">
        <v>0</v>
      </c>
      <c r="M91" s="21">
        <v>0</v>
      </c>
      <c r="N91" s="20">
        <v>0</v>
      </c>
      <c r="O91" s="21">
        <v>0</v>
      </c>
      <c r="P91" s="21">
        <v>0</v>
      </c>
      <c r="Q91" s="21">
        <v>0</v>
      </c>
      <c r="R91" s="21">
        <v>0</v>
      </c>
      <c r="S91" s="21">
        <v>0</v>
      </c>
      <c r="T91" s="20">
        <v>0</v>
      </c>
      <c r="U91" s="22">
        <v>0</v>
      </c>
      <c r="V91" s="21">
        <v>0</v>
      </c>
      <c r="W91" s="21">
        <v>0</v>
      </c>
      <c r="X91" s="21">
        <v>0</v>
      </c>
      <c r="Y91" s="21">
        <v>0</v>
      </c>
      <c r="Z91" s="20">
        <v>0</v>
      </c>
      <c r="AA91" s="21">
        <v>0</v>
      </c>
      <c r="AB91" s="21">
        <v>0</v>
      </c>
      <c r="AC91" s="21">
        <v>0</v>
      </c>
      <c r="AD91" s="21">
        <v>0</v>
      </c>
      <c r="AE91" s="20">
        <v>0</v>
      </c>
      <c r="AF91" s="21">
        <v>0</v>
      </c>
      <c r="AG91" s="21">
        <v>0</v>
      </c>
      <c r="AH91" s="21">
        <v>0</v>
      </c>
      <c r="AI91" s="21">
        <v>0</v>
      </c>
      <c r="AJ91" s="21">
        <v>0</v>
      </c>
      <c r="AK91" s="20">
        <v>0</v>
      </c>
      <c r="AL91" s="22">
        <v>0</v>
      </c>
      <c r="AM91" s="11"/>
      <c r="AN91" s="131">
        <v>0</v>
      </c>
      <c r="AO91" s="131">
        <v>0</v>
      </c>
    </row>
    <row r="92" spans="1:41" s="29" customFormat="1" ht="16.25" customHeight="1" thickBot="1">
      <c r="A92" s="133"/>
      <c r="B92" s="31" t="s">
        <v>9</v>
      </c>
      <c r="C92" s="20"/>
      <c r="D92" s="20"/>
      <c r="E92" s="132" t="e">
        <v>#REF!</v>
      </c>
      <c r="F92" s="132" t="e">
        <v>#REF!</v>
      </c>
      <c r="G92" s="132" t="e">
        <v>#REF!</v>
      </c>
      <c r="H92" s="132" t="e">
        <v>#REF!</v>
      </c>
      <c r="I92" s="23"/>
      <c r="J92" s="132" t="e">
        <v>#DIV/0!</v>
      </c>
      <c r="K92" s="132" t="e">
        <v>#DIV/0!</v>
      </c>
      <c r="L92" s="132" t="e">
        <v>#DIV/0!</v>
      </c>
      <c r="M92" s="132" t="e">
        <v>#DIV/0!</v>
      </c>
      <c r="N92" s="23"/>
      <c r="O92" s="132" t="e">
        <v>#DIV/0!</v>
      </c>
      <c r="P92" s="132" t="e">
        <v>#REF!</v>
      </c>
      <c r="Q92" s="132" t="e">
        <v>#REF!</v>
      </c>
      <c r="R92" s="132" t="e">
        <v>#REF!</v>
      </c>
      <c r="S92" s="132" t="e">
        <v>#REF!</v>
      </c>
      <c r="T92" s="23"/>
      <c r="U92" s="24"/>
      <c r="V92" s="132" t="e">
        <v>#REF!</v>
      </c>
      <c r="W92" s="132" t="e">
        <v>#REF!</v>
      </c>
      <c r="X92" s="132" t="e">
        <v>#REF!</v>
      </c>
      <c r="Y92" s="132" t="e">
        <v>#REF!</v>
      </c>
      <c r="Z92" s="23"/>
      <c r="AA92" s="132" t="e">
        <v>#DIV/0!</v>
      </c>
      <c r="AB92" s="132" t="e">
        <v>#DIV/0!</v>
      </c>
      <c r="AC92" s="132" t="e">
        <v>#DIV/0!</v>
      </c>
      <c r="AD92" s="132" t="e">
        <v>#DIV/0!</v>
      </c>
      <c r="AE92" s="23"/>
      <c r="AF92" s="132" t="e">
        <v>#DIV/0!</v>
      </c>
      <c r="AG92" s="132" t="e">
        <v>#REF!</v>
      </c>
      <c r="AH92" s="132" t="e">
        <v>#REF!</v>
      </c>
      <c r="AI92" s="132" t="e">
        <v>#REF!</v>
      </c>
      <c r="AJ92" s="132" t="e">
        <v>#REF!</v>
      </c>
      <c r="AK92" s="23"/>
      <c r="AL92" s="24"/>
      <c r="AM92" s="11"/>
      <c r="AN92" s="131">
        <v>0</v>
      </c>
      <c r="AO92" s="131">
        <v>0</v>
      </c>
    </row>
    <row r="93" spans="1:41" s="29" customFormat="1" ht="15.75" customHeight="1" thickBot="1">
      <c r="A93" s="190" t="s">
        <v>47</v>
      </c>
      <c r="B93" s="31" t="s">
        <v>5</v>
      </c>
      <c r="C93" s="20"/>
      <c r="D93" s="20"/>
      <c r="E93" s="135">
        <v>47</v>
      </c>
      <c r="F93" s="135">
        <v>0</v>
      </c>
      <c r="G93" s="21">
        <v>-472</v>
      </c>
      <c r="H93" s="135">
        <v>0</v>
      </c>
      <c r="I93" s="20">
        <v>-425</v>
      </c>
      <c r="J93" s="135">
        <v>124590</v>
      </c>
      <c r="K93" s="21">
        <v>114518</v>
      </c>
      <c r="L93" s="135">
        <v>5004</v>
      </c>
      <c r="M93" s="21">
        <v>4282</v>
      </c>
      <c r="N93" s="20">
        <v>248394</v>
      </c>
      <c r="O93" s="21">
        <v>498686</v>
      </c>
      <c r="P93" s="135">
        <v>23169</v>
      </c>
      <c r="Q93" s="135">
        <v>421</v>
      </c>
      <c r="R93" s="135">
        <v>51148</v>
      </c>
      <c r="S93" s="135">
        <v>91300</v>
      </c>
      <c r="T93" s="20">
        <v>664724</v>
      </c>
      <c r="U93" s="22">
        <v>918922</v>
      </c>
      <c r="V93" s="135">
        <v>347703</v>
      </c>
      <c r="W93" s="135">
        <v>80</v>
      </c>
      <c r="X93" s="21">
        <v>0</v>
      </c>
      <c r="Y93" s="135">
        <v>21465</v>
      </c>
      <c r="Z93" s="20">
        <v>369248</v>
      </c>
      <c r="AA93" s="135">
        <v>4800</v>
      </c>
      <c r="AB93" s="21">
        <v>0</v>
      </c>
      <c r="AC93" s="135">
        <v>0</v>
      </c>
      <c r="AD93" s="21">
        <v>0</v>
      </c>
      <c r="AE93" s="20">
        <v>4800</v>
      </c>
      <c r="AF93" s="21">
        <v>0</v>
      </c>
      <c r="AG93" s="135">
        <v>0</v>
      </c>
      <c r="AH93" s="135">
        <v>0</v>
      </c>
      <c r="AI93" s="135">
        <v>0</v>
      </c>
      <c r="AJ93" s="135">
        <v>0</v>
      </c>
      <c r="AK93" s="20">
        <v>0</v>
      </c>
      <c r="AL93" s="22">
        <v>374048</v>
      </c>
      <c r="AM93" s="11">
        <v>64</v>
      </c>
      <c r="AN93" s="131">
        <v>58811008</v>
      </c>
      <c r="AO93" s="131">
        <v>23939072</v>
      </c>
    </row>
    <row r="94" spans="1:41" s="29" customFormat="1" ht="15.75" customHeight="1">
      <c r="A94" s="191"/>
      <c r="B94" s="31" t="s">
        <v>6</v>
      </c>
      <c r="C94" s="20"/>
      <c r="D94" s="20"/>
      <c r="E94" s="135">
        <v>47</v>
      </c>
      <c r="F94" s="21">
        <v>0</v>
      </c>
      <c r="G94" s="21">
        <v>0</v>
      </c>
      <c r="H94" s="135">
        <v>0</v>
      </c>
      <c r="I94" s="26">
        <v>47</v>
      </c>
      <c r="J94" s="21">
        <v>0</v>
      </c>
      <c r="K94" s="21">
        <v>20000</v>
      </c>
      <c r="L94" s="135">
        <v>85000</v>
      </c>
      <c r="M94" s="21">
        <v>165000</v>
      </c>
      <c r="N94" s="26">
        <v>270000</v>
      </c>
      <c r="O94" s="21">
        <v>0</v>
      </c>
      <c r="P94" s="21">
        <v>30000</v>
      </c>
      <c r="Q94" s="21">
        <v>50000</v>
      </c>
      <c r="R94" s="21">
        <v>50000</v>
      </c>
      <c r="S94" s="21">
        <v>450000</v>
      </c>
      <c r="T94" s="26">
        <v>580000</v>
      </c>
      <c r="U94" s="22"/>
      <c r="V94" s="135">
        <v>0</v>
      </c>
      <c r="W94" s="21">
        <v>0</v>
      </c>
      <c r="X94" s="21">
        <v>0</v>
      </c>
      <c r="Y94" s="135">
        <v>150000</v>
      </c>
      <c r="Z94" s="26">
        <v>150000</v>
      </c>
      <c r="AA94" s="21">
        <v>0</v>
      </c>
      <c r="AB94" s="21">
        <v>0</v>
      </c>
      <c r="AC94" s="135">
        <v>0</v>
      </c>
      <c r="AD94" s="21">
        <v>0</v>
      </c>
      <c r="AE94" s="26">
        <v>0</v>
      </c>
      <c r="AF94" s="21">
        <v>0</v>
      </c>
      <c r="AG94" s="21">
        <v>0</v>
      </c>
      <c r="AH94" s="21">
        <v>0</v>
      </c>
      <c r="AI94" s="21">
        <v>0</v>
      </c>
      <c r="AJ94" s="21">
        <v>0</v>
      </c>
      <c r="AK94" s="26">
        <v>0</v>
      </c>
      <c r="AL94" s="22"/>
      <c r="AM94" s="11"/>
      <c r="AN94" s="131">
        <v>0</v>
      </c>
      <c r="AO94" s="131">
        <v>0</v>
      </c>
    </row>
    <row r="95" spans="1:41" s="29" customFormat="1" ht="15" customHeight="1">
      <c r="A95" s="191"/>
      <c r="B95" s="31" t="s">
        <v>10</v>
      </c>
      <c r="C95" s="20">
        <v>57000</v>
      </c>
      <c r="D95" s="20"/>
      <c r="E95" s="20"/>
      <c r="F95" s="21"/>
      <c r="G95" s="20"/>
      <c r="H95" s="20">
        <v>57000</v>
      </c>
      <c r="I95" s="26">
        <v>57000</v>
      </c>
      <c r="J95" s="20"/>
      <c r="K95" s="20"/>
      <c r="L95" s="20"/>
      <c r="M95" s="20"/>
      <c r="N95" s="26">
        <v>0</v>
      </c>
      <c r="O95" s="20"/>
      <c r="P95" s="21"/>
      <c r="Q95" s="20"/>
      <c r="R95" s="20"/>
      <c r="S95" s="20"/>
      <c r="T95" s="26">
        <v>0</v>
      </c>
      <c r="U95" s="22"/>
      <c r="V95" s="20"/>
      <c r="W95" s="21"/>
      <c r="X95" s="20"/>
      <c r="Y95" s="20"/>
      <c r="Z95" s="26">
        <v>0</v>
      </c>
      <c r="AA95" s="20"/>
      <c r="AB95" s="20"/>
      <c r="AC95" s="20"/>
      <c r="AD95" s="20"/>
      <c r="AE95" s="26">
        <v>0</v>
      </c>
      <c r="AF95" s="20"/>
      <c r="AG95" s="21"/>
      <c r="AH95" s="20"/>
      <c r="AI95" s="20"/>
      <c r="AJ95" s="20"/>
      <c r="AK95" s="26">
        <v>0</v>
      </c>
      <c r="AL95" s="28">
        <v>0</v>
      </c>
      <c r="AM95" s="11"/>
      <c r="AN95" s="131">
        <v>0</v>
      </c>
      <c r="AO95" s="131">
        <v>0</v>
      </c>
    </row>
    <row r="96" spans="1:41" s="29" customFormat="1" ht="15.75" customHeight="1">
      <c r="A96" s="191"/>
      <c r="B96" s="31" t="s">
        <v>7</v>
      </c>
      <c r="C96" s="20"/>
      <c r="D96" s="20"/>
      <c r="E96" s="21">
        <v>47</v>
      </c>
      <c r="F96" s="21">
        <v>0</v>
      </c>
      <c r="G96" s="21">
        <v>0</v>
      </c>
      <c r="H96" s="21">
        <v>57000</v>
      </c>
      <c r="I96" s="20">
        <v>57047</v>
      </c>
      <c r="J96" s="21">
        <v>0</v>
      </c>
      <c r="K96" s="21">
        <v>20000</v>
      </c>
      <c r="L96" s="21">
        <v>85000</v>
      </c>
      <c r="M96" s="21">
        <v>165000</v>
      </c>
      <c r="N96" s="20">
        <v>270000</v>
      </c>
      <c r="O96" s="21">
        <v>0</v>
      </c>
      <c r="P96" s="21">
        <v>30000</v>
      </c>
      <c r="Q96" s="21">
        <v>50000</v>
      </c>
      <c r="R96" s="21">
        <v>50000</v>
      </c>
      <c r="S96" s="21">
        <v>450000</v>
      </c>
      <c r="T96" s="20">
        <v>580000</v>
      </c>
      <c r="U96" s="22">
        <v>913276</v>
      </c>
      <c r="V96" s="21">
        <v>0</v>
      </c>
      <c r="W96" s="21">
        <v>0</v>
      </c>
      <c r="X96" s="21">
        <v>0</v>
      </c>
      <c r="Y96" s="21">
        <v>150000</v>
      </c>
      <c r="Z96" s="20">
        <v>150000</v>
      </c>
      <c r="AA96" s="21">
        <v>0</v>
      </c>
      <c r="AB96" s="21">
        <v>0</v>
      </c>
      <c r="AC96" s="21">
        <v>0</v>
      </c>
      <c r="AD96" s="21">
        <v>0</v>
      </c>
      <c r="AE96" s="20">
        <v>0</v>
      </c>
      <c r="AF96" s="21">
        <v>0</v>
      </c>
      <c r="AG96" s="21">
        <v>0</v>
      </c>
      <c r="AH96" s="21">
        <v>0</v>
      </c>
      <c r="AI96" s="21">
        <v>0</v>
      </c>
      <c r="AJ96" s="21">
        <v>0</v>
      </c>
      <c r="AK96" s="20">
        <v>0</v>
      </c>
      <c r="AL96" s="22">
        <v>150000</v>
      </c>
      <c r="AM96" s="11"/>
      <c r="AN96" s="131">
        <v>0</v>
      </c>
      <c r="AO96" s="131">
        <v>0</v>
      </c>
    </row>
    <row r="97" spans="1:41" s="29" customFormat="1" ht="15.75" customHeight="1" thickBot="1">
      <c r="A97" s="192"/>
      <c r="B97" s="31" t="s">
        <v>8</v>
      </c>
      <c r="C97" s="140">
        <v>57482</v>
      </c>
      <c r="D97" s="35">
        <v>6229</v>
      </c>
      <c r="E97" s="21">
        <v>0</v>
      </c>
      <c r="F97" s="21">
        <v>0</v>
      </c>
      <c r="G97" s="21">
        <v>472</v>
      </c>
      <c r="H97" s="21">
        <v>57472</v>
      </c>
      <c r="I97" s="20">
        <v>57472</v>
      </c>
      <c r="J97" s="21">
        <v>-67118</v>
      </c>
      <c r="K97" s="21">
        <v>-161636</v>
      </c>
      <c r="L97" s="21">
        <v>-81640</v>
      </c>
      <c r="M97" s="21">
        <v>79078</v>
      </c>
      <c r="N97" s="20">
        <v>79078</v>
      </c>
      <c r="O97" s="21">
        <v>-419608</v>
      </c>
      <c r="P97" s="21">
        <v>-412777</v>
      </c>
      <c r="Q97" s="21">
        <v>-363198</v>
      </c>
      <c r="R97" s="21">
        <v>-364346</v>
      </c>
      <c r="S97" s="21">
        <v>-5646</v>
      </c>
      <c r="T97" s="20">
        <v>-5646</v>
      </c>
      <c r="U97" s="22">
        <v>-5646</v>
      </c>
      <c r="V97" s="21">
        <v>-353349</v>
      </c>
      <c r="W97" s="21">
        <v>-353429</v>
      </c>
      <c r="X97" s="21">
        <v>-353429</v>
      </c>
      <c r="Y97" s="21">
        <v>-224894</v>
      </c>
      <c r="Z97" s="20">
        <v>-224894</v>
      </c>
      <c r="AA97" s="21">
        <v>-229694</v>
      </c>
      <c r="AB97" s="21">
        <v>-229694</v>
      </c>
      <c r="AC97" s="21">
        <v>-229694</v>
      </c>
      <c r="AD97" s="21">
        <v>-229694</v>
      </c>
      <c r="AE97" s="20">
        <v>-229694</v>
      </c>
      <c r="AF97" s="21">
        <v>-229694</v>
      </c>
      <c r="AG97" s="21">
        <v>-229694</v>
      </c>
      <c r="AH97" s="21">
        <v>-229694</v>
      </c>
      <c r="AI97" s="21">
        <v>-229694</v>
      </c>
      <c r="AJ97" s="21">
        <v>-229694</v>
      </c>
      <c r="AK97" s="20">
        <v>-229694</v>
      </c>
      <c r="AL97" s="22">
        <v>-229694</v>
      </c>
      <c r="AM97" s="11"/>
      <c r="AN97" s="131">
        <v>0</v>
      </c>
      <c r="AO97" s="131">
        <v>0</v>
      </c>
    </row>
    <row r="98" spans="1:41" s="29" customFormat="1" ht="16.25" customHeight="1" thickBot="1">
      <c r="A98" s="133"/>
      <c r="B98" s="31" t="s">
        <v>9</v>
      </c>
      <c r="C98" s="20"/>
      <c r="D98" s="20"/>
      <c r="E98" s="132" t="e">
        <v>#REF!</v>
      </c>
      <c r="F98" s="132" t="e">
        <v>#REF!</v>
      </c>
      <c r="G98" s="132" t="e">
        <v>#REF!</v>
      </c>
      <c r="H98" s="132" t="e">
        <v>#REF!</v>
      </c>
      <c r="I98" s="23"/>
      <c r="J98" s="132">
        <v>-2156.4362479718548</v>
      </c>
      <c r="K98" s="132">
        <v>-6086.368779664911</v>
      </c>
      <c r="L98" s="132">
        <v>-3100.8929690556406</v>
      </c>
      <c r="M98" s="132">
        <v>2758.0987192723014</v>
      </c>
      <c r="N98" s="23"/>
      <c r="O98" s="132">
        <v>-50543.610498801485</v>
      </c>
      <c r="P98" s="132" t="e">
        <v>#REF!</v>
      </c>
      <c r="Q98" s="132" t="e">
        <v>#REF!</v>
      </c>
      <c r="R98" s="132" t="e">
        <v>#REF!</v>
      </c>
      <c r="S98" s="132" t="e">
        <v>#REF!</v>
      </c>
      <c r="T98" s="23"/>
      <c r="U98" s="24"/>
      <c r="V98" s="132" t="e">
        <v>#REF!</v>
      </c>
      <c r="W98" s="132" t="e">
        <v>#REF!</v>
      </c>
      <c r="X98" s="132" t="e">
        <v>#REF!</v>
      </c>
      <c r="Y98" s="132" t="e">
        <v>#REF!</v>
      </c>
      <c r="Z98" s="23"/>
      <c r="AA98" s="132" t="e">
        <v>#DIV/0!</v>
      </c>
      <c r="AB98" s="132" t="e">
        <v>#DIV/0!</v>
      </c>
      <c r="AC98" s="132" t="e">
        <v>#DIV/0!</v>
      </c>
      <c r="AD98" s="132" t="e">
        <v>#DIV/0!</v>
      </c>
      <c r="AE98" s="23"/>
      <c r="AF98" s="132" t="e">
        <v>#DIV/0!</v>
      </c>
      <c r="AG98" s="132" t="e">
        <v>#REF!</v>
      </c>
      <c r="AH98" s="132" t="e">
        <v>#REF!</v>
      </c>
      <c r="AI98" s="132" t="e">
        <v>#REF!</v>
      </c>
      <c r="AJ98" s="132" t="e">
        <v>#REF!</v>
      </c>
      <c r="AK98" s="23"/>
      <c r="AL98" s="24"/>
      <c r="AM98" s="11"/>
      <c r="AN98" s="131">
        <v>0</v>
      </c>
      <c r="AO98" s="131">
        <v>0</v>
      </c>
    </row>
    <row r="99" spans="1:41" s="29" customFormat="1" ht="15.75" customHeight="1" thickBot="1">
      <c r="A99" s="190" t="s">
        <v>48</v>
      </c>
      <c r="B99" s="31" t="s">
        <v>5</v>
      </c>
      <c r="C99" s="20"/>
      <c r="D99" s="20"/>
      <c r="E99" s="135">
        <v>0</v>
      </c>
      <c r="F99" s="135">
        <v>7310</v>
      </c>
      <c r="G99" s="21">
        <v>1112</v>
      </c>
      <c r="H99" s="135">
        <v>0</v>
      </c>
      <c r="I99" s="20">
        <v>8422</v>
      </c>
      <c r="J99" s="135">
        <v>13880</v>
      </c>
      <c r="K99" s="21">
        <v>1844</v>
      </c>
      <c r="L99" s="135">
        <v>5901</v>
      </c>
      <c r="M99" s="21">
        <v>2558</v>
      </c>
      <c r="N99" s="20">
        <v>24183</v>
      </c>
      <c r="O99" s="21">
        <v>2528</v>
      </c>
      <c r="P99" s="135">
        <v>10830</v>
      </c>
      <c r="Q99" s="135">
        <v>3524</v>
      </c>
      <c r="R99" s="135">
        <v>9650</v>
      </c>
      <c r="S99" s="135">
        <v>5635</v>
      </c>
      <c r="T99" s="20">
        <v>32167</v>
      </c>
      <c r="U99" s="22">
        <v>73107</v>
      </c>
      <c r="V99" s="135">
        <v>7160</v>
      </c>
      <c r="W99" s="135">
        <v>2120</v>
      </c>
      <c r="X99" s="21">
        <v>0</v>
      </c>
      <c r="Y99" s="135">
        <v>1180</v>
      </c>
      <c r="Z99" s="20">
        <v>10460</v>
      </c>
      <c r="AA99" s="135">
        <v>0</v>
      </c>
      <c r="AB99" s="21">
        <v>0</v>
      </c>
      <c r="AC99" s="135">
        <v>0</v>
      </c>
      <c r="AD99" s="21">
        <v>0</v>
      </c>
      <c r="AE99" s="20">
        <v>0</v>
      </c>
      <c r="AF99" s="21">
        <v>0</v>
      </c>
      <c r="AG99" s="135">
        <v>0</v>
      </c>
      <c r="AH99" s="135">
        <v>0</v>
      </c>
      <c r="AI99" s="135">
        <v>0</v>
      </c>
      <c r="AJ99" s="135">
        <v>0</v>
      </c>
      <c r="AK99" s="20">
        <v>0</v>
      </c>
      <c r="AL99" s="22">
        <v>10460</v>
      </c>
      <c r="AM99" s="11">
        <v>128</v>
      </c>
      <c r="AN99" s="131">
        <v>9357696</v>
      </c>
      <c r="AO99" s="131">
        <v>1338880</v>
      </c>
    </row>
    <row r="100" spans="1:41" s="29" customFormat="1" ht="15.75" customHeight="1">
      <c r="A100" s="191"/>
      <c r="B100" s="31" t="s">
        <v>6</v>
      </c>
      <c r="C100" s="20"/>
      <c r="D100" s="20"/>
      <c r="E100" s="135">
        <v>0</v>
      </c>
      <c r="F100" s="21">
        <v>7310</v>
      </c>
      <c r="G100" s="21">
        <v>0</v>
      </c>
      <c r="H100" s="135">
        <v>0</v>
      </c>
      <c r="I100" s="26">
        <v>7310</v>
      </c>
      <c r="J100" s="21">
        <v>0</v>
      </c>
      <c r="K100" s="21">
        <v>0</v>
      </c>
      <c r="L100" s="135">
        <v>8000</v>
      </c>
      <c r="M100" s="21">
        <v>20000</v>
      </c>
      <c r="N100" s="26">
        <v>28000</v>
      </c>
      <c r="O100" s="21">
        <v>0</v>
      </c>
      <c r="P100" s="21">
        <v>0</v>
      </c>
      <c r="Q100" s="21">
        <v>5000</v>
      </c>
      <c r="R100" s="21">
        <v>20000</v>
      </c>
      <c r="S100" s="21">
        <v>25000</v>
      </c>
      <c r="T100" s="26">
        <v>50000</v>
      </c>
      <c r="U100" s="22"/>
      <c r="V100" s="135">
        <v>0</v>
      </c>
      <c r="W100" s="21">
        <v>0</v>
      </c>
      <c r="X100" s="21">
        <v>0</v>
      </c>
      <c r="Y100" s="135">
        <v>0</v>
      </c>
      <c r="Z100" s="26">
        <v>0</v>
      </c>
      <c r="AA100" s="21">
        <v>0</v>
      </c>
      <c r="AB100" s="21">
        <v>0</v>
      </c>
      <c r="AC100" s="135">
        <v>0</v>
      </c>
      <c r="AD100" s="21">
        <v>0</v>
      </c>
      <c r="AE100" s="26">
        <v>0</v>
      </c>
      <c r="AF100" s="21">
        <v>0</v>
      </c>
      <c r="AG100" s="21">
        <v>0</v>
      </c>
      <c r="AH100" s="21">
        <v>0</v>
      </c>
      <c r="AI100" s="21">
        <v>0</v>
      </c>
      <c r="AJ100" s="21">
        <v>0</v>
      </c>
      <c r="AK100" s="26">
        <v>0</v>
      </c>
      <c r="AL100" s="22"/>
      <c r="AM100" s="11"/>
      <c r="AN100" s="131">
        <v>0</v>
      </c>
      <c r="AO100" s="131">
        <v>0</v>
      </c>
    </row>
    <row r="101" spans="1:41" s="29" customFormat="1" ht="15.75" customHeight="1" thickBot="1">
      <c r="A101" s="191"/>
      <c r="B101" s="31" t="s">
        <v>10</v>
      </c>
      <c r="C101" s="20">
        <v>4750</v>
      </c>
      <c r="D101" s="20"/>
      <c r="E101" s="20"/>
      <c r="F101" s="21"/>
      <c r="G101" s="20"/>
      <c r="H101" s="20">
        <v>4750</v>
      </c>
      <c r="I101" s="26">
        <v>4750</v>
      </c>
      <c r="J101" s="20"/>
      <c r="K101" s="20"/>
      <c r="L101" s="20"/>
      <c r="M101" s="20"/>
      <c r="N101" s="26">
        <v>0</v>
      </c>
      <c r="O101" s="20"/>
      <c r="P101" s="21"/>
      <c r="Q101" s="20"/>
      <c r="R101" s="20"/>
      <c r="S101" s="20"/>
      <c r="T101" s="26">
        <v>0</v>
      </c>
      <c r="U101" s="22"/>
      <c r="V101" s="20"/>
      <c r="W101" s="21"/>
      <c r="X101" s="20"/>
      <c r="Y101" s="20"/>
      <c r="Z101" s="26">
        <v>0</v>
      </c>
      <c r="AA101" s="20"/>
      <c r="AB101" s="20"/>
      <c r="AC101" s="20"/>
      <c r="AD101" s="20"/>
      <c r="AE101" s="26">
        <v>0</v>
      </c>
      <c r="AF101" s="20"/>
      <c r="AG101" s="21"/>
      <c r="AH101" s="20"/>
      <c r="AI101" s="20"/>
      <c r="AJ101" s="20"/>
      <c r="AK101" s="26">
        <v>0</v>
      </c>
      <c r="AL101" s="28">
        <v>0</v>
      </c>
      <c r="AM101" s="11"/>
      <c r="AN101" s="131">
        <v>0</v>
      </c>
      <c r="AO101" s="131">
        <v>0</v>
      </c>
    </row>
    <row r="102" spans="1:41" s="29" customFormat="1" ht="16.25" customHeight="1" thickBot="1">
      <c r="A102" s="191"/>
      <c r="B102" s="133" t="s">
        <v>7</v>
      </c>
      <c r="C102" s="20"/>
      <c r="D102" s="20"/>
      <c r="E102" s="21">
        <v>0</v>
      </c>
      <c r="F102" s="21">
        <v>7310</v>
      </c>
      <c r="G102" s="21">
        <v>0</v>
      </c>
      <c r="H102" s="21">
        <v>4750</v>
      </c>
      <c r="I102" s="20">
        <v>12060</v>
      </c>
      <c r="J102" s="21">
        <v>0</v>
      </c>
      <c r="K102" s="21">
        <v>0</v>
      </c>
      <c r="L102" s="21">
        <v>8000</v>
      </c>
      <c r="M102" s="21">
        <v>20000</v>
      </c>
      <c r="N102" s="20">
        <v>28000</v>
      </c>
      <c r="O102" s="21">
        <v>0</v>
      </c>
      <c r="P102" s="21">
        <v>0</v>
      </c>
      <c r="Q102" s="21">
        <v>5000</v>
      </c>
      <c r="R102" s="21">
        <v>20000</v>
      </c>
      <c r="S102" s="21">
        <v>25000</v>
      </c>
      <c r="T102" s="20">
        <v>50000</v>
      </c>
      <c r="U102" s="22">
        <v>98395</v>
      </c>
      <c r="V102" s="21">
        <v>0</v>
      </c>
      <c r="W102" s="21">
        <v>0</v>
      </c>
      <c r="X102" s="21">
        <v>0</v>
      </c>
      <c r="Y102" s="21">
        <v>0</v>
      </c>
      <c r="Z102" s="20">
        <v>0</v>
      </c>
      <c r="AA102" s="21">
        <v>0</v>
      </c>
      <c r="AB102" s="21">
        <v>0</v>
      </c>
      <c r="AC102" s="21">
        <v>0</v>
      </c>
      <c r="AD102" s="21">
        <v>0</v>
      </c>
      <c r="AE102" s="20">
        <v>0</v>
      </c>
      <c r="AF102" s="21">
        <v>0</v>
      </c>
      <c r="AG102" s="21">
        <v>0</v>
      </c>
      <c r="AH102" s="21">
        <v>0</v>
      </c>
      <c r="AI102" s="21">
        <v>0</v>
      </c>
      <c r="AJ102" s="21">
        <v>0</v>
      </c>
      <c r="AK102" s="20">
        <v>0</v>
      </c>
      <c r="AL102" s="22">
        <v>0</v>
      </c>
      <c r="AM102" s="11"/>
      <c r="AN102" s="131">
        <v>0</v>
      </c>
      <c r="AO102" s="131">
        <v>0</v>
      </c>
    </row>
    <row r="103" spans="1:41" s="29" customFormat="1" ht="16.25" customHeight="1" thickBot="1">
      <c r="A103" s="192"/>
      <c r="B103" s="133" t="s">
        <v>8</v>
      </c>
      <c r="C103" s="140">
        <v>12104</v>
      </c>
      <c r="D103" s="35">
        <v>8335</v>
      </c>
      <c r="E103" s="21">
        <v>0</v>
      </c>
      <c r="F103" s="21">
        <v>0</v>
      </c>
      <c r="G103" s="21">
        <v>-1112</v>
      </c>
      <c r="H103" s="21">
        <v>3638</v>
      </c>
      <c r="I103" s="20">
        <v>3638</v>
      </c>
      <c r="J103" s="21">
        <v>-10242</v>
      </c>
      <c r="K103" s="21">
        <v>-12086</v>
      </c>
      <c r="L103" s="21">
        <v>-9987</v>
      </c>
      <c r="M103" s="21">
        <v>7455</v>
      </c>
      <c r="N103" s="20">
        <v>7455</v>
      </c>
      <c r="O103" s="21">
        <v>4927</v>
      </c>
      <c r="P103" s="21">
        <v>-5903</v>
      </c>
      <c r="Q103" s="21">
        <v>-4427</v>
      </c>
      <c r="R103" s="21">
        <v>5923</v>
      </c>
      <c r="S103" s="21">
        <v>25288</v>
      </c>
      <c r="T103" s="20">
        <v>25288</v>
      </c>
      <c r="U103" s="22">
        <v>25288</v>
      </c>
      <c r="V103" s="21">
        <v>18128</v>
      </c>
      <c r="W103" s="21">
        <v>16008</v>
      </c>
      <c r="X103" s="21">
        <v>16008</v>
      </c>
      <c r="Y103" s="21">
        <v>14828</v>
      </c>
      <c r="Z103" s="20">
        <v>14828</v>
      </c>
      <c r="AA103" s="21">
        <v>14828</v>
      </c>
      <c r="AB103" s="21">
        <v>14828</v>
      </c>
      <c r="AC103" s="21">
        <v>14828</v>
      </c>
      <c r="AD103" s="21">
        <v>14828</v>
      </c>
      <c r="AE103" s="20">
        <v>14828</v>
      </c>
      <c r="AF103" s="21">
        <v>14828</v>
      </c>
      <c r="AG103" s="21">
        <v>14828</v>
      </c>
      <c r="AH103" s="21">
        <v>14828</v>
      </c>
      <c r="AI103" s="21">
        <v>14828</v>
      </c>
      <c r="AJ103" s="21">
        <v>14828</v>
      </c>
      <c r="AK103" s="20">
        <v>14828</v>
      </c>
      <c r="AL103" s="22">
        <v>14828</v>
      </c>
      <c r="AM103" s="11"/>
      <c r="AN103" s="131">
        <v>0</v>
      </c>
      <c r="AO103" s="131">
        <v>0</v>
      </c>
    </row>
    <row r="104" spans="1:41" s="29" customFormat="1" ht="17" thickBot="1">
      <c r="A104" s="145"/>
      <c r="B104" s="145" t="s">
        <v>9</v>
      </c>
      <c r="C104" s="20"/>
      <c r="D104" s="20"/>
      <c r="E104" s="132" t="e">
        <v>#REF!</v>
      </c>
      <c r="F104" s="132" t="e">
        <v>#REF!</v>
      </c>
      <c r="G104" s="132" t="e">
        <v>#REF!</v>
      </c>
      <c r="H104" s="132" t="e">
        <v>#REF!</v>
      </c>
      <c r="I104" s="23"/>
      <c r="J104" s="132">
        <v>-15964.46107084405</v>
      </c>
      <c r="K104" s="132">
        <v>-11079.433469312922</v>
      </c>
      <c r="L104" s="132">
        <v>-10274.691358024691</v>
      </c>
      <c r="M104" s="132">
        <v>5619.6291270918146</v>
      </c>
      <c r="N104" s="23"/>
      <c r="O104" s="132">
        <v>3324.6735719828603</v>
      </c>
      <c r="P104" s="132" t="e">
        <v>#REF!</v>
      </c>
      <c r="Q104" s="132" t="e">
        <v>#REF!</v>
      </c>
      <c r="R104" s="132" t="e">
        <v>#REF!</v>
      </c>
      <c r="S104" s="132" t="e">
        <v>#REF!</v>
      </c>
      <c r="T104" s="23"/>
      <c r="U104" s="24"/>
      <c r="V104" s="132" t="e">
        <v>#REF!</v>
      </c>
      <c r="W104" s="132" t="e">
        <v>#REF!</v>
      </c>
      <c r="X104" s="132" t="e">
        <v>#REF!</v>
      </c>
      <c r="Y104" s="132" t="e">
        <v>#REF!</v>
      </c>
      <c r="Z104" s="23"/>
      <c r="AA104" s="132" t="e">
        <v>#DIV/0!</v>
      </c>
      <c r="AB104" s="132" t="e">
        <v>#DIV/0!</v>
      </c>
      <c r="AC104" s="132" t="e">
        <v>#DIV/0!</v>
      </c>
      <c r="AD104" s="132" t="e">
        <v>#DIV/0!</v>
      </c>
      <c r="AE104" s="23"/>
      <c r="AF104" s="132" t="e">
        <v>#DIV/0!</v>
      </c>
      <c r="AG104" s="132" t="e">
        <v>#REF!</v>
      </c>
      <c r="AH104" s="132" t="e">
        <v>#REF!</v>
      </c>
      <c r="AI104" s="132" t="e">
        <v>#REF!</v>
      </c>
      <c r="AJ104" s="132" t="e">
        <v>#REF!</v>
      </c>
      <c r="AK104" s="23"/>
      <c r="AL104" s="24"/>
      <c r="AM104" s="11"/>
      <c r="AN104" s="131">
        <v>0</v>
      </c>
      <c r="AO104" s="131">
        <v>0</v>
      </c>
    </row>
    <row r="105" spans="1:41" s="29" customFormat="1" ht="15.75" customHeight="1" thickBot="1">
      <c r="A105" s="190" t="s">
        <v>123</v>
      </c>
      <c r="B105" s="31" t="s">
        <v>5</v>
      </c>
      <c r="C105" s="20"/>
      <c r="D105" s="20"/>
      <c r="E105" s="135">
        <v>0</v>
      </c>
      <c r="F105" s="135">
        <v>0</v>
      </c>
      <c r="G105" s="21">
        <v>60</v>
      </c>
      <c r="H105" s="135">
        <v>0</v>
      </c>
      <c r="I105" s="20">
        <v>60</v>
      </c>
      <c r="J105" s="135">
        <v>0</v>
      </c>
      <c r="K105" s="21">
        <v>0</v>
      </c>
      <c r="L105" s="135">
        <v>0</v>
      </c>
      <c r="M105" s="21">
        <v>0</v>
      </c>
      <c r="N105" s="20">
        <v>0</v>
      </c>
      <c r="O105" s="21">
        <v>0</v>
      </c>
      <c r="P105" s="135">
        <v>0</v>
      </c>
      <c r="Q105" s="135">
        <v>0</v>
      </c>
      <c r="R105" s="135">
        <v>0</v>
      </c>
      <c r="S105" s="135">
        <v>0</v>
      </c>
      <c r="T105" s="20">
        <v>0</v>
      </c>
      <c r="U105" s="22">
        <v>60</v>
      </c>
      <c r="V105" s="135">
        <v>0</v>
      </c>
      <c r="W105" s="135">
        <v>0</v>
      </c>
      <c r="X105" s="21">
        <v>0</v>
      </c>
      <c r="Y105" s="135">
        <v>0</v>
      </c>
      <c r="Z105" s="20">
        <v>0</v>
      </c>
      <c r="AA105" s="135">
        <v>0</v>
      </c>
      <c r="AB105" s="21">
        <v>0</v>
      </c>
      <c r="AC105" s="135">
        <v>0</v>
      </c>
      <c r="AD105" s="21">
        <v>0</v>
      </c>
      <c r="AE105" s="20">
        <v>0</v>
      </c>
      <c r="AF105" s="21">
        <v>0</v>
      </c>
      <c r="AG105" s="135">
        <v>0</v>
      </c>
      <c r="AH105" s="135">
        <v>0</v>
      </c>
      <c r="AI105" s="135">
        <v>0</v>
      </c>
      <c r="AJ105" s="135">
        <v>0</v>
      </c>
      <c r="AK105" s="20">
        <v>0</v>
      </c>
      <c r="AL105" s="22">
        <v>0</v>
      </c>
      <c r="AM105" s="11">
        <v>128</v>
      </c>
      <c r="AN105" s="131">
        <v>7680</v>
      </c>
      <c r="AO105" s="131">
        <v>0</v>
      </c>
    </row>
    <row r="106" spans="1:41" s="29" customFormat="1" ht="15" customHeight="1">
      <c r="A106" s="191"/>
      <c r="B106" s="31" t="s">
        <v>6</v>
      </c>
      <c r="C106" s="20"/>
      <c r="D106" s="20"/>
      <c r="E106" s="135">
        <v>0</v>
      </c>
      <c r="F106" s="21">
        <v>0</v>
      </c>
      <c r="G106" s="21">
        <v>0</v>
      </c>
      <c r="H106" s="135">
        <v>0</v>
      </c>
      <c r="I106" s="26">
        <v>0</v>
      </c>
      <c r="J106" s="21">
        <v>0</v>
      </c>
      <c r="K106" s="21">
        <v>0</v>
      </c>
      <c r="L106" s="135">
        <v>0</v>
      </c>
      <c r="M106" s="21">
        <v>0</v>
      </c>
      <c r="N106" s="26">
        <v>0</v>
      </c>
      <c r="O106" s="21">
        <v>0</v>
      </c>
      <c r="P106" s="21">
        <v>0</v>
      </c>
      <c r="Q106" s="21">
        <v>0</v>
      </c>
      <c r="R106" s="21">
        <v>0</v>
      </c>
      <c r="S106" s="21">
        <v>0</v>
      </c>
      <c r="T106" s="26">
        <v>0</v>
      </c>
      <c r="U106" s="22"/>
      <c r="V106" s="135">
        <v>0</v>
      </c>
      <c r="W106" s="21">
        <v>0</v>
      </c>
      <c r="X106" s="21">
        <v>0</v>
      </c>
      <c r="Y106" s="135">
        <v>0</v>
      </c>
      <c r="Z106" s="26">
        <v>0</v>
      </c>
      <c r="AA106" s="21">
        <v>0</v>
      </c>
      <c r="AB106" s="21">
        <v>0</v>
      </c>
      <c r="AC106" s="135">
        <v>0</v>
      </c>
      <c r="AD106" s="21">
        <v>100</v>
      </c>
      <c r="AE106" s="26">
        <v>100</v>
      </c>
      <c r="AF106" s="21">
        <v>0</v>
      </c>
      <c r="AG106" s="21">
        <v>0</v>
      </c>
      <c r="AH106" s="21">
        <v>0</v>
      </c>
      <c r="AI106" s="21">
        <v>0</v>
      </c>
      <c r="AJ106" s="21">
        <v>0</v>
      </c>
      <c r="AK106" s="26">
        <v>0</v>
      </c>
      <c r="AL106" s="22"/>
      <c r="AM106" s="11"/>
      <c r="AN106" s="131">
        <v>0</v>
      </c>
      <c r="AO106" s="131">
        <v>0</v>
      </c>
    </row>
    <row r="107" spans="1:41" s="29" customFormat="1" ht="15.75" customHeight="1" thickBot="1">
      <c r="A107" s="191"/>
      <c r="B107" s="31" t="s">
        <v>10</v>
      </c>
      <c r="C107" s="20">
        <v>0</v>
      </c>
      <c r="D107" s="20"/>
      <c r="E107" s="20"/>
      <c r="F107" s="21"/>
      <c r="G107" s="20"/>
      <c r="H107" s="20">
        <v>0</v>
      </c>
      <c r="I107" s="26">
        <v>0</v>
      </c>
      <c r="J107" s="20"/>
      <c r="K107" s="20"/>
      <c r="L107" s="20"/>
      <c r="M107" s="20"/>
      <c r="N107" s="26">
        <v>0</v>
      </c>
      <c r="O107" s="20"/>
      <c r="P107" s="21"/>
      <c r="Q107" s="20"/>
      <c r="R107" s="20"/>
      <c r="S107" s="20"/>
      <c r="T107" s="26">
        <v>0</v>
      </c>
      <c r="U107" s="22"/>
      <c r="V107" s="20"/>
      <c r="W107" s="21"/>
      <c r="X107" s="20"/>
      <c r="Y107" s="20"/>
      <c r="Z107" s="26">
        <v>0</v>
      </c>
      <c r="AA107" s="20"/>
      <c r="AB107" s="20"/>
      <c r="AC107" s="20"/>
      <c r="AD107" s="20"/>
      <c r="AE107" s="26">
        <v>0</v>
      </c>
      <c r="AF107" s="20"/>
      <c r="AG107" s="21"/>
      <c r="AH107" s="20"/>
      <c r="AI107" s="20"/>
      <c r="AJ107" s="20"/>
      <c r="AK107" s="26">
        <v>0</v>
      </c>
      <c r="AL107" s="28">
        <v>0</v>
      </c>
      <c r="AM107" s="11"/>
      <c r="AN107" s="131">
        <v>0</v>
      </c>
      <c r="AO107" s="131">
        <v>0</v>
      </c>
    </row>
    <row r="108" spans="1:41" s="29" customFormat="1" ht="17" thickBot="1">
      <c r="A108" s="191"/>
      <c r="B108" s="133" t="s">
        <v>7</v>
      </c>
      <c r="C108" s="20"/>
      <c r="D108" s="20"/>
      <c r="E108" s="21">
        <v>0</v>
      </c>
      <c r="F108" s="21">
        <v>0</v>
      </c>
      <c r="G108" s="21">
        <v>0</v>
      </c>
      <c r="H108" s="21">
        <v>0</v>
      </c>
      <c r="I108" s="20">
        <v>0</v>
      </c>
      <c r="J108" s="21">
        <v>0</v>
      </c>
      <c r="K108" s="21">
        <v>0</v>
      </c>
      <c r="L108" s="21">
        <v>0</v>
      </c>
      <c r="M108" s="21">
        <v>0</v>
      </c>
      <c r="N108" s="20">
        <v>0</v>
      </c>
      <c r="O108" s="21">
        <v>0</v>
      </c>
      <c r="P108" s="21">
        <v>0</v>
      </c>
      <c r="Q108" s="21">
        <v>0</v>
      </c>
      <c r="R108" s="21">
        <v>0</v>
      </c>
      <c r="S108" s="21">
        <v>0</v>
      </c>
      <c r="T108" s="20">
        <v>0</v>
      </c>
      <c r="U108" s="22">
        <v>0</v>
      </c>
      <c r="V108" s="21">
        <v>0</v>
      </c>
      <c r="W108" s="21">
        <v>0</v>
      </c>
      <c r="X108" s="21">
        <v>0</v>
      </c>
      <c r="Y108" s="21">
        <v>0</v>
      </c>
      <c r="Z108" s="20">
        <v>0</v>
      </c>
      <c r="AA108" s="21">
        <v>0</v>
      </c>
      <c r="AB108" s="21">
        <v>0</v>
      </c>
      <c r="AC108" s="21">
        <v>0</v>
      </c>
      <c r="AD108" s="21">
        <v>100</v>
      </c>
      <c r="AE108" s="20">
        <v>100</v>
      </c>
      <c r="AF108" s="21">
        <v>0</v>
      </c>
      <c r="AG108" s="21">
        <v>0</v>
      </c>
      <c r="AH108" s="21">
        <v>0</v>
      </c>
      <c r="AI108" s="21">
        <v>0</v>
      </c>
      <c r="AJ108" s="21">
        <v>0</v>
      </c>
      <c r="AK108" s="20">
        <v>0</v>
      </c>
      <c r="AL108" s="22">
        <v>100</v>
      </c>
      <c r="AM108" s="11"/>
      <c r="AN108" s="131">
        <v>0</v>
      </c>
      <c r="AO108" s="131">
        <v>0</v>
      </c>
    </row>
    <row r="109" spans="1:41" s="29" customFormat="1" ht="17" thickBot="1">
      <c r="A109" s="192"/>
      <c r="B109" s="133" t="s">
        <v>8</v>
      </c>
      <c r="C109" s="140">
        <v>0</v>
      </c>
      <c r="D109" s="35">
        <v>0</v>
      </c>
      <c r="E109" s="21">
        <v>0</v>
      </c>
      <c r="F109" s="21">
        <v>0</v>
      </c>
      <c r="G109" s="21">
        <v>-60</v>
      </c>
      <c r="H109" s="21">
        <v>-60</v>
      </c>
      <c r="I109" s="20">
        <v>-60</v>
      </c>
      <c r="J109" s="21">
        <v>-60</v>
      </c>
      <c r="K109" s="21">
        <v>-60</v>
      </c>
      <c r="L109" s="21">
        <v>-60</v>
      </c>
      <c r="M109" s="21">
        <v>-60</v>
      </c>
      <c r="N109" s="20">
        <v>-60</v>
      </c>
      <c r="O109" s="21">
        <v>-60</v>
      </c>
      <c r="P109" s="21">
        <v>-60</v>
      </c>
      <c r="Q109" s="21">
        <v>-60</v>
      </c>
      <c r="R109" s="21">
        <v>-60</v>
      </c>
      <c r="S109" s="21">
        <v>-60</v>
      </c>
      <c r="T109" s="20">
        <v>-60</v>
      </c>
      <c r="U109" s="22">
        <v>-60</v>
      </c>
      <c r="V109" s="21">
        <v>-60</v>
      </c>
      <c r="W109" s="21">
        <v>-60</v>
      </c>
      <c r="X109" s="21">
        <v>-60</v>
      </c>
      <c r="Y109" s="21">
        <v>-60</v>
      </c>
      <c r="Z109" s="20">
        <v>-60</v>
      </c>
      <c r="AA109" s="21">
        <v>-60</v>
      </c>
      <c r="AB109" s="21">
        <v>-60</v>
      </c>
      <c r="AC109" s="21">
        <v>-60</v>
      </c>
      <c r="AD109" s="21">
        <v>40</v>
      </c>
      <c r="AE109" s="20">
        <v>40</v>
      </c>
      <c r="AF109" s="21">
        <v>40</v>
      </c>
      <c r="AG109" s="21">
        <v>40</v>
      </c>
      <c r="AH109" s="21">
        <v>40</v>
      </c>
      <c r="AI109" s="21">
        <v>40</v>
      </c>
      <c r="AJ109" s="21">
        <v>40</v>
      </c>
      <c r="AK109" s="20">
        <v>40</v>
      </c>
      <c r="AL109" s="22">
        <v>40</v>
      </c>
      <c r="AM109" s="11"/>
      <c r="AN109" s="131">
        <v>0</v>
      </c>
      <c r="AO109" s="131">
        <v>0</v>
      </c>
    </row>
    <row r="110" spans="1:41" s="29" customFormat="1" ht="17" thickBot="1">
      <c r="A110" s="145"/>
      <c r="B110" s="145" t="s">
        <v>9</v>
      </c>
      <c r="C110" s="20"/>
      <c r="D110" s="20"/>
      <c r="E110" s="132" t="e">
        <v>#REF!</v>
      </c>
      <c r="F110" s="132" t="e">
        <v>#REF!</v>
      </c>
      <c r="G110" s="132" t="e">
        <v>#REF!</v>
      </c>
      <c r="H110" s="132" t="e">
        <v>#REF!</v>
      </c>
      <c r="I110" s="23"/>
      <c r="J110" s="132" t="e">
        <v>#DIV/0!</v>
      </c>
      <c r="K110" s="132" t="e">
        <v>#DIV/0!</v>
      </c>
      <c r="L110" s="132" t="e">
        <v>#DIV/0!</v>
      </c>
      <c r="M110" s="132" t="e">
        <v>#DIV/0!</v>
      </c>
      <c r="N110" s="23"/>
      <c r="O110" s="132" t="e">
        <v>#DIV/0!</v>
      </c>
      <c r="P110" s="132" t="e">
        <v>#REF!</v>
      </c>
      <c r="Q110" s="132" t="e">
        <v>#REF!</v>
      </c>
      <c r="R110" s="132" t="e">
        <v>#REF!</v>
      </c>
      <c r="S110" s="132" t="e">
        <v>#REF!</v>
      </c>
      <c r="T110" s="23"/>
      <c r="U110" s="24"/>
      <c r="V110" s="132" t="e">
        <v>#REF!</v>
      </c>
      <c r="W110" s="132" t="e">
        <v>#REF!</v>
      </c>
      <c r="X110" s="132" t="e">
        <v>#REF!</v>
      </c>
      <c r="Y110" s="132" t="e">
        <v>#REF!</v>
      </c>
      <c r="Z110" s="23"/>
      <c r="AA110" s="132" t="e">
        <v>#DIV/0!</v>
      </c>
      <c r="AB110" s="132" t="e">
        <v>#DIV/0!</v>
      </c>
      <c r="AC110" s="132" t="e">
        <v>#DIV/0!</v>
      </c>
      <c r="AD110" s="132" t="e">
        <v>#DIV/0!</v>
      </c>
      <c r="AE110" s="23"/>
      <c r="AF110" s="132" t="e">
        <v>#DIV/0!</v>
      </c>
      <c r="AG110" s="132" t="e">
        <v>#REF!</v>
      </c>
      <c r="AH110" s="132" t="e">
        <v>#REF!</v>
      </c>
      <c r="AI110" s="132" t="e">
        <v>#REF!</v>
      </c>
      <c r="AJ110" s="132" t="e">
        <v>#REF!</v>
      </c>
      <c r="AK110" s="23"/>
      <c r="AL110" s="24"/>
      <c r="AM110" s="11"/>
      <c r="AN110" s="131">
        <v>0</v>
      </c>
      <c r="AO110" s="131">
        <v>0</v>
      </c>
    </row>
    <row r="111" spans="1:41" s="148" customFormat="1" ht="14" thickBot="1">
      <c r="A111" s="193" t="s">
        <v>124</v>
      </c>
      <c r="B111" s="147" t="s">
        <v>57</v>
      </c>
      <c r="C111" s="114"/>
      <c r="D111" s="115"/>
      <c r="E111" s="116">
        <v>30072</v>
      </c>
      <c r="F111" s="116">
        <v>135188</v>
      </c>
      <c r="G111" s="116">
        <v>85306</v>
      </c>
      <c r="H111" s="116">
        <v>9959</v>
      </c>
      <c r="I111" s="115">
        <v>260525</v>
      </c>
      <c r="J111" s="116">
        <v>274385</v>
      </c>
      <c r="K111" s="116">
        <v>190862</v>
      </c>
      <c r="L111" s="116">
        <v>54738</v>
      </c>
      <c r="M111" s="116">
        <v>47708</v>
      </c>
      <c r="N111" s="115">
        <v>567693</v>
      </c>
      <c r="O111" s="116">
        <v>618520</v>
      </c>
      <c r="P111" s="116">
        <v>132441</v>
      </c>
      <c r="Q111" s="116">
        <v>29279</v>
      </c>
      <c r="R111" s="116">
        <v>186161</v>
      </c>
      <c r="S111" s="116">
        <v>170583</v>
      </c>
      <c r="T111" s="115">
        <v>1136984</v>
      </c>
      <c r="U111" s="28">
        <v>2350832</v>
      </c>
      <c r="V111" s="116">
        <v>356264</v>
      </c>
      <c r="W111" s="116">
        <v>5129</v>
      </c>
      <c r="X111" s="116">
        <v>0</v>
      </c>
      <c r="Y111" s="116">
        <v>22645</v>
      </c>
      <c r="Z111" s="115">
        <v>384038</v>
      </c>
      <c r="AA111" s="116">
        <v>20800</v>
      </c>
      <c r="AB111" s="116">
        <v>1999</v>
      </c>
      <c r="AC111" s="116">
        <v>0</v>
      </c>
      <c r="AD111" s="116">
        <v>4634</v>
      </c>
      <c r="AE111" s="115">
        <v>27433</v>
      </c>
      <c r="AF111" s="116">
        <v>0</v>
      </c>
      <c r="AG111" s="116">
        <v>0</v>
      </c>
      <c r="AH111" s="116">
        <v>0</v>
      </c>
      <c r="AI111" s="116">
        <v>0</v>
      </c>
      <c r="AJ111" s="116">
        <v>0</v>
      </c>
      <c r="AK111" s="115">
        <v>0</v>
      </c>
      <c r="AL111" s="28">
        <v>411471</v>
      </c>
      <c r="AN111" s="149">
        <v>147781536</v>
      </c>
      <c r="AO111" s="148">
        <v>26413664</v>
      </c>
    </row>
    <row r="112" spans="1:41" s="148" customFormat="1" ht="13">
      <c r="A112" s="194"/>
      <c r="B112" s="150" t="s">
        <v>58</v>
      </c>
      <c r="C112" s="116"/>
      <c r="D112" s="120"/>
      <c r="E112" s="116">
        <v>30072</v>
      </c>
      <c r="F112" s="116">
        <v>135188</v>
      </c>
      <c r="G112" s="116">
        <v>133101</v>
      </c>
      <c r="H112" s="116">
        <v>189659</v>
      </c>
      <c r="I112" s="120">
        <v>488020</v>
      </c>
      <c r="J112" s="116">
        <v>25000</v>
      </c>
      <c r="K112" s="116">
        <v>83000</v>
      </c>
      <c r="L112" s="116">
        <v>166000</v>
      </c>
      <c r="M112" s="116">
        <v>339000</v>
      </c>
      <c r="N112" s="120">
        <v>613000</v>
      </c>
      <c r="O112" s="116">
        <v>76000</v>
      </c>
      <c r="P112" s="116">
        <v>72000</v>
      </c>
      <c r="Q112" s="116">
        <v>109000</v>
      </c>
      <c r="R112" s="116">
        <v>165000</v>
      </c>
      <c r="S112" s="116">
        <v>610000</v>
      </c>
      <c r="T112" s="115">
        <v>1032000</v>
      </c>
      <c r="U112" s="28">
        <v>2518650</v>
      </c>
      <c r="V112" s="116">
        <v>79000</v>
      </c>
      <c r="W112" s="116">
        <v>0</v>
      </c>
      <c r="X112" s="116">
        <v>0</v>
      </c>
      <c r="Y112" s="116">
        <v>150000</v>
      </c>
      <c r="Z112" s="120">
        <v>229000</v>
      </c>
      <c r="AA112" s="116">
        <v>0</v>
      </c>
      <c r="AB112" s="116">
        <v>0</v>
      </c>
      <c r="AC112" s="116">
        <v>0</v>
      </c>
      <c r="AD112" s="116">
        <v>100</v>
      </c>
      <c r="AE112" s="120">
        <v>100</v>
      </c>
      <c r="AF112" s="116">
        <v>0</v>
      </c>
      <c r="AG112" s="116">
        <v>0</v>
      </c>
      <c r="AH112" s="116">
        <v>0</v>
      </c>
      <c r="AI112" s="116">
        <v>0</v>
      </c>
      <c r="AJ112" s="116">
        <v>0</v>
      </c>
      <c r="AK112" s="115">
        <v>0</v>
      </c>
      <c r="AL112" s="28">
        <v>229100</v>
      </c>
    </row>
    <row r="113" spans="1:38" s="148" customFormat="1" ht="13">
      <c r="A113" s="194"/>
      <c r="B113" s="150" t="s">
        <v>59</v>
      </c>
      <c r="C113" s="116">
        <v>142947</v>
      </c>
      <c r="D113" s="120"/>
      <c r="E113" s="116">
        <v>0</v>
      </c>
      <c r="F113" s="116">
        <v>0</v>
      </c>
      <c r="G113" s="116">
        <v>0</v>
      </c>
      <c r="H113" s="116">
        <v>142947</v>
      </c>
      <c r="I113" s="120">
        <v>142947</v>
      </c>
      <c r="J113" s="116">
        <v>0</v>
      </c>
      <c r="K113" s="116">
        <v>0</v>
      </c>
      <c r="L113" s="116">
        <v>0</v>
      </c>
      <c r="M113" s="116">
        <v>0</v>
      </c>
      <c r="N113" s="120">
        <v>0</v>
      </c>
      <c r="O113" s="116">
        <v>0</v>
      </c>
      <c r="P113" s="116">
        <v>0</v>
      </c>
      <c r="Q113" s="116">
        <v>0</v>
      </c>
      <c r="R113" s="116">
        <v>0</v>
      </c>
      <c r="S113" s="116">
        <v>0</v>
      </c>
      <c r="T113" s="116">
        <v>0</v>
      </c>
      <c r="U113" s="28">
        <v>142947</v>
      </c>
      <c r="V113" s="116">
        <v>0</v>
      </c>
      <c r="W113" s="116">
        <v>0</v>
      </c>
      <c r="X113" s="116">
        <v>0</v>
      </c>
      <c r="Y113" s="116">
        <v>0</v>
      </c>
      <c r="Z113" s="120">
        <v>0</v>
      </c>
      <c r="AA113" s="116">
        <v>0</v>
      </c>
      <c r="AB113" s="116">
        <v>0</v>
      </c>
      <c r="AC113" s="116">
        <v>0</v>
      </c>
      <c r="AD113" s="116">
        <v>0</v>
      </c>
      <c r="AE113" s="120">
        <v>0</v>
      </c>
      <c r="AF113" s="116">
        <v>0</v>
      </c>
      <c r="AG113" s="116">
        <v>0</v>
      </c>
      <c r="AH113" s="116">
        <v>0</v>
      </c>
      <c r="AI113" s="116">
        <v>0</v>
      </c>
      <c r="AJ113" s="116">
        <v>0</v>
      </c>
      <c r="AK113" s="116">
        <v>0</v>
      </c>
      <c r="AL113" s="28">
        <v>0</v>
      </c>
    </row>
    <row r="114" spans="1:38" s="148" customFormat="1" ht="13">
      <c r="A114" s="194"/>
      <c r="B114" s="150" t="s">
        <v>115</v>
      </c>
      <c r="C114" s="116">
        <v>0</v>
      </c>
      <c r="D114" s="120"/>
      <c r="E114" s="122">
        <v>30072</v>
      </c>
      <c r="F114" s="122">
        <v>135188</v>
      </c>
      <c r="G114" s="122">
        <v>133101</v>
      </c>
      <c r="H114" s="122">
        <v>332606</v>
      </c>
      <c r="I114" s="120">
        <v>630967</v>
      </c>
      <c r="J114" s="122">
        <v>25000</v>
      </c>
      <c r="K114" s="122">
        <v>83000</v>
      </c>
      <c r="L114" s="122">
        <v>166000</v>
      </c>
      <c r="M114" s="122">
        <v>339000</v>
      </c>
      <c r="N114" s="120">
        <v>613000</v>
      </c>
      <c r="O114" s="122">
        <v>76000</v>
      </c>
      <c r="P114" s="122">
        <v>72000</v>
      </c>
      <c r="Q114" s="122">
        <v>109000</v>
      </c>
      <c r="R114" s="122">
        <v>165000</v>
      </c>
      <c r="S114" s="122">
        <v>610000</v>
      </c>
      <c r="T114" s="116">
        <v>1032000</v>
      </c>
      <c r="U114" s="28">
        <v>2661597</v>
      </c>
      <c r="V114" s="122">
        <v>79000</v>
      </c>
      <c r="W114" s="122">
        <v>0</v>
      </c>
      <c r="X114" s="122">
        <v>0</v>
      </c>
      <c r="Y114" s="122">
        <v>150000</v>
      </c>
      <c r="Z114" s="120">
        <v>229000</v>
      </c>
      <c r="AA114" s="122">
        <v>0</v>
      </c>
      <c r="AB114" s="122">
        <v>0</v>
      </c>
      <c r="AC114" s="122">
        <v>0</v>
      </c>
      <c r="AD114" s="122">
        <v>100</v>
      </c>
      <c r="AE114" s="120">
        <v>100</v>
      </c>
      <c r="AF114" s="122">
        <v>0</v>
      </c>
      <c r="AG114" s="122">
        <v>0</v>
      </c>
      <c r="AH114" s="122">
        <v>0</v>
      </c>
      <c r="AI114" s="122">
        <v>0</v>
      </c>
      <c r="AJ114" s="122">
        <v>0</v>
      </c>
      <c r="AK114" s="116">
        <v>0</v>
      </c>
      <c r="AL114" s="28">
        <v>-81665</v>
      </c>
    </row>
    <row r="115" spans="1:38" s="148" customFormat="1" ht="14" thickBot="1">
      <c r="A115" s="195"/>
      <c r="B115" s="151" t="s">
        <v>60</v>
      </c>
      <c r="C115" s="116">
        <v>438484</v>
      </c>
      <c r="D115" s="116">
        <v>385630</v>
      </c>
      <c r="E115" s="122">
        <v>0</v>
      </c>
      <c r="F115" s="122">
        <v>0</v>
      </c>
      <c r="G115" s="122">
        <v>47795</v>
      </c>
      <c r="H115" s="122">
        <v>322647</v>
      </c>
      <c r="I115" s="124">
        <v>370442</v>
      </c>
      <c r="J115" s="122">
        <v>-249385</v>
      </c>
      <c r="K115" s="122">
        <v>-107862</v>
      </c>
      <c r="L115" s="122">
        <v>111262</v>
      </c>
      <c r="M115" s="122">
        <v>291292</v>
      </c>
      <c r="N115" s="124">
        <v>415749</v>
      </c>
      <c r="O115" s="122">
        <v>-542520</v>
      </c>
      <c r="P115" s="122">
        <v>-60441</v>
      </c>
      <c r="Q115" s="122">
        <v>79721</v>
      </c>
      <c r="R115" s="122">
        <v>-21161</v>
      </c>
      <c r="S115" s="122">
        <v>439417</v>
      </c>
      <c r="T115" s="124">
        <v>310765</v>
      </c>
      <c r="U115" s="22">
        <v>310765</v>
      </c>
      <c r="V115" s="122">
        <v>-277264</v>
      </c>
      <c r="W115" s="122">
        <v>-5129</v>
      </c>
      <c r="X115" s="122">
        <v>0</v>
      </c>
      <c r="Y115" s="122">
        <v>127355</v>
      </c>
      <c r="Z115" s="124">
        <v>-155038</v>
      </c>
      <c r="AA115" s="122">
        <v>-20800</v>
      </c>
      <c r="AB115" s="122">
        <v>-1999</v>
      </c>
      <c r="AC115" s="122">
        <v>0</v>
      </c>
      <c r="AD115" s="122">
        <v>-4534</v>
      </c>
      <c r="AE115" s="124">
        <v>-182371</v>
      </c>
      <c r="AF115" s="122">
        <v>0</v>
      </c>
      <c r="AG115" s="122">
        <v>0</v>
      </c>
      <c r="AH115" s="122">
        <v>0</v>
      </c>
      <c r="AI115" s="122">
        <v>0</v>
      </c>
      <c r="AJ115" s="122">
        <v>0</v>
      </c>
      <c r="AK115" s="124">
        <v>-182371</v>
      </c>
      <c r="AL115" s="22">
        <v>-493136</v>
      </c>
    </row>
    <row r="116" spans="1:38" s="155" customFormat="1" ht="13">
      <c r="A116" s="199" t="s">
        <v>125</v>
      </c>
      <c r="B116" s="152" t="s">
        <v>57</v>
      </c>
      <c r="C116" s="153"/>
      <c r="D116" s="154"/>
      <c r="E116" s="127">
        <v>1924608</v>
      </c>
      <c r="F116" s="127">
        <v>9391872</v>
      </c>
      <c r="G116" s="127">
        <v>4257504</v>
      </c>
      <c r="H116" s="127">
        <v>605568</v>
      </c>
      <c r="I116" s="115">
        <v>16179552</v>
      </c>
      <c r="J116" s="127">
        <v>17528672</v>
      </c>
      <c r="K116" s="127">
        <v>12045568</v>
      </c>
      <c r="L116" s="127">
        <v>3566720</v>
      </c>
      <c r="M116" s="127">
        <v>2876416</v>
      </c>
      <c r="N116" s="115">
        <v>36017376</v>
      </c>
      <c r="O116" s="127">
        <v>39084800</v>
      </c>
      <c r="P116" s="127">
        <v>7940416</v>
      </c>
      <c r="Q116" s="127">
        <v>2053664</v>
      </c>
      <c r="R116" s="127">
        <v>11768608</v>
      </c>
      <c r="S116" s="127">
        <v>10187904</v>
      </c>
      <c r="T116" s="26">
        <v>71035392</v>
      </c>
      <c r="U116" s="28">
        <v>147781536</v>
      </c>
      <c r="V116" s="127">
        <v>23323136</v>
      </c>
      <c r="W116" s="127">
        <v>441536</v>
      </c>
      <c r="X116" s="127">
        <v>0</v>
      </c>
      <c r="Y116" s="127">
        <v>1524800</v>
      </c>
      <c r="Z116" s="115">
        <v>25289472</v>
      </c>
      <c r="AA116" s="127">
        <v>819200</v>
      </c>
      <c r="AB116" s="127">
        <v>127936</v>
      </c>
      <c r="AC116" s="127">
        <v>0</v>
      </c>
      <c r="AD116" s="127">
        <v>177056</v>
      </c>
      <c r="AE116" s="115">
        <v>1124192</v>
      </c>
      <c r="AF116" s="127">
        <v>0</v>
      </c>
      <c r="AG116" s="127">
        <v>0</v>
      </c>
      <c r="AH116" s="127">
        <v>0</v>
      </c>
      <c r="AI116" s="127">
        <v>0</v>
      </c>
      <c r="AJ116" s="127">
        <v>0</v>
      </c>
      <c r="AK116" s="26">
        <v>0</v>
      </c>
      <c r="AL116" s="28">
        <v>26413664</v>
      </c>
    </row>
    <row r="117" spans="1:38" s="155" customFormat="1" ht="13">
      <c r="A117" s="200"/>
      <c r="B117" s="156" t="s">
        <v>58</v>
      </c>
      <c r="C117" s="157"/>
      <c r="D117" s="158"/>
      <c r="E117" s="127">
        <v>1924608</v>
      </c>
      <c r="F117" s="127">
        <v>9391872</v>
      </c>
      <c r="G117" s="127">
        <v>7370304</v>
      </c>
      <c r="H117" s="127">
        <v>10474176</v>
      </c>
      <c r="I117" s="120">
        <v>29160960</v>
      </c>
      <c r="J117" s="127">
        <v>1600000</v>
      </c>
      <c r="K117" s="127">
        <v>4864000</v>
      </c>
      <c r="L117" s="127">
        <v>10688000</v>
      </c>
      <c r="M117" s="127">
        <v>21952000</v>
      </c>
      <c r="N117" s="120">
        <v>39104000</v>
      </c>
      <c r="O117" s="127">
        <v>4288000</v>
      </c>
      <c r="P117" s="127">
        <v>4096000</v>
      </c>
      <c r="Q117" s="127">
        <v>6912000</v>
      </c>
      <c r="R117" s="127">
        <v>10880000</v>
      </c>
      <c r="S117" s="127">
        <v>40320000</v>
      </c>
      <c r="T117" s="26">
        <v>66496000</v>
      </c>
      <c r="U117" s="28">
        <v>134760960</v>
      </c>
      <c r="V117" s="127">
        <v>4672000</v>
      </c>
      <c r="W117" s="127">
        <v>0</v>
      </c>
      <c r="X117" s="127">
        <v>0</v>
      </c>
      <c r="Y117" s="127">
        <v>9600000</v>
      </c>
      <c r="Z117" s="120">
        <v>14272000</v>
      </c>
      <c r="AA117" s="127">
        <v>0</v>
      </c>
      <c r="AB117" s="127">
        <v>0</v>
      </c>
      <c r="AC117" s="127">
        <v>0</v>
      </c>
      <c r="AD117" s="127">
        <v>12800</v>
      </c>
      <c r="AE117" s="120">
        <v>12800</v>
      </c>
      <c r="AF117" s="127">
        <v>0</v>
      </c>
      <c r="AG117" s="127">
        <v>0</v>
      </c>
      <c r="AH117" s="127">
        <v>0</v>
      </c>
      <c r="AI117" s="127">
        <v>0</v>
      </c>
      <c r="AJ117" s="127">
        <v>0</v>
      </c>
      <c r="AK117" s="26">
        <v>0</v>
      </c>
      <c r="AL117" s="28">
        <v>14284800</v>
      </c>
    </row>
    <row r="118" spans="1:38" s="155" customFormat="1" ht="13">
      <c r="A118" s="200"/>
      <c r="B118" s="156" t="s">
        <v>59</v>
      </c>
      <c r="C118" s="127">
        <v>9344608</v>
      </c>
      <c r="D118" s="158"/>
      <c r="E118" s="127">
        <v>0</v>
      </c>
      <c r="F118" s="127">
        <v>0</v>
      </c>
      <c r="G118" s="127">
        <v>0</v>
      </c>
      <c r="H118" s="127">
        <v>9344608</v>
      </c>
      <c r="I118" s="120">
        <v>9344608</v>
      </c>
      <c r="J118" s="127">
        <v>0</v>
      </c>
      <c r="K118" s="127">
        <v>0</v>
      </c>
      <c r="L118" s="127">
        <v>0</v>
      </c>
      <c r="M118" s="127">
        <v>0</v>
      </c>
      <c r="N118" s="120">
        <v>0</v>
      </c>
      <c r="O118" s="127">
        <v>0</v>
      </c>
      <c r="P118" s="127">
        <v>0</v>
      </c>
      <c r="Q118" s="127">
        <v>0</v>
      </c>
      <c r="R118" s="127">
        <v>0</v>
      </c>
      <c r="S118" s="127">
        <v>0</v>
      </c>
      <c r="T118" s="26">
        <v>0</v>
      </c>
      <c r="U118" s="28">
        <v>9344608</v>
      </c>
      <c r="V118" s="127">
        <v>0</v>
      </c>
      <c r="W118" s="127">
        <v>0</v>
      </c>
      <c r="X118" s="127">
        <v>0</v>
      </c>
      <c r="Y118" s="127">
        <v>0</v>
      </c>
      <c r="Z118" s="120">
        <v>0</v>
      </c>
      <c r="AA118" s="127">
        <v>0</v>
      </c>
      <c r="AB118" s="127">
        <v>0</v>
      </c>
      <c r="AC118" s="127">
        <v>0</v>
      </c>
      <c r="AD118" s="127">
        <v>0</v>
      </c>
      <c r="AE118" s="120">
        <v>0</v>
      </c>
      <c r="AF118" s="127">
        <v>0</v>
      </c>
      <c r="AG118" s="127">
        <v>0</v>
      </c>
      <c r="AH118" s="127">
        <v>0</v>
      </c>
      <c r="AI118" s="127">
        <v>0</v>
      </c>
      <c r="AJ118" s="127">
        <v>0</v>
      </c>
      <c r="AK118" s="26">
        <v>0</v>
      </c>
      <c r="AL118" s="28">
        <v>0</v>
      </c>
    </row>
    <row r="119" spans="1:38" s="155" customFormat="1" ht="13">
      <c r="A119" s="200"/>
      <c r="B119" s="156" t="s">
        <v>115</v>
      </c>
      <c r="C119" s="127">
        <v>0</v>
      </c>
      <c r="D119" s="158"/>
      <c r="E119" s="130">
        <v>1924608</v>
      </c>
      <c r="F119" s="130">
        <v>9391872</v>
      </c>
      <c r="G119" s="130">
        <v>7370304</v>
      </c>
      <c r="H119" s="130">
        <v>19818784</v>
      </c>
      <c r="I119" s="120">
        <v>38505568</v>
      </c>
      <c r="J119" s="130">
        <v>1600000</v>
      </c>
      <c r="K119" s="130">
        <v>4864000</v>
      </c>
      <c r="L119" s="130">
        <v>10688000</v>
      </c>
      <c r="M119" s="130">
        <v>21952000</v>
      </c>
      <c r="N119" s="120">
        <v>39104000</v>
      </c>
      <c r="O119" s="130">
        <v>4288000</v>
      </c>
      <c r="P119" s="130">
        <v>4096000</v>
      </c>
      <c r="Q119" s="130">
        <v>6912000</v>
      </c>
      <c r="R119" s="130">
        <v>10880000</v>
      </c>
      <c r="S119" s="130">
        <v>40320000</v>
      </c>
      <c r="T119" s="26">
        <v>66496000</v>
      </c>
      <c r="U119" s="28">
        <v>168654784</v>
      </c>
      <c r="V119" s="130">
        <v>4672000</v>
      </c>
      <c r="W119" s="130">
        <v>0</v>
      </c>
      <c r="X119" s="130">
        <v>0</v>
      </c>
      <c r="Y119" s="130">
        <v>9600000</v>
      </c>
      <c r="Z119" s="120">
        <v>35145248</v>
      </c>
      <c r="AA119" s="130">
        <v>0</v>
      </c>
      <c r="AB119" s="130">
        <v>0</v>
      </c>
      <c r="AC119" s="130">
        <v>0</v>
      </c>
      <c r="AD119" s="130">
        <v>12800</v>
      </c>
      <c r="AE119" s="120">
        <v>12800</v>
      </c>
      <c r="AF119" s="130">
        <v>0</v>
      </c>
      <c r="AG119" s="130">
        <v>0</v>
      </c>
      <c r="AH119" s="130">
        <v>0</v>
      </c>
      <c r="AI119" s="130">
        <v>0</v>
      </c>
      <c r="AJ119" s="130">
        <v>0</v>
      </c>
      <c r="AK119" s="26">
        <v>0</v>
      </c>
      <c r="AL119" s="28">
        <v>35158048</v>
      </c>
    </row>
    <row r="120" spans="1:38" s="155" customFormat="1" ht="14" thickBot="1">
      <c r="A120" s="201"/>
      <c r="B120" s="159" t="s">
        <v>60</v>
      </c>
      <c r="C120" s="127">
        <v>27509056</v>
      </c>
      <c r="D120" s="127">
        <v>24549216</v>
      </c>
      <c r="E120" s="122">
        <v>0</v>
      </c>
      <c r="F120" s="122">
        <v>0</v>
      </c>
      <c r="G120" s="122">
        <v>3112800</v>
      </c>
      <c r="H120" s="122">
        <v>19213216</v>
      </c>
      <c r="I120" s="124">
        <v>22326016</v>
      </c>
      <c r="J120" s="122">
        <v>-15928672</v>
      </c>
      <c r="K120" s="122">
        <v>-7181568</v>
      </c>
      <c r="L120" s="122">
        <v>7121280</v>
      </c>
      <c r="M120" s="122">
        <v>19075584</v>
      </c>
      <c r="N120" s="124">
        <v>25412640</v>
      </c>
      <c r="O120" s="122">
        <v>-34796800</v>
      </c>
      <c r="P120" s="122">
        <v>-3844416</v>
      </c>
      <c r="Q120" s="122">
        <v>4858336</v>
      </c>
      <c r="R120" s="122">
        <v>-888608</v>
      </c>
      <c r="S120" s="122">
        <v>30132096</v>
      </c>
      <c r="T120" s="124">
        <v>20873248</v>
      </c>
      <c r="U120" s="22">
        <v>20873248</v>
      </c>
      <c r="V120" s="122">
        <v>-18651136</v>
      </c>
      <c r="W120" s="122">
        <v>-441536</v>
      </c>
      <c r="X120" s="122">
        <v>0</v>
      </c>
      <c r="Y120" s="122">
        <v>8075200</v>
      </c>
      <c r="Z120" s="124">
        <v>9855776</v>
      </c>
      <c r="AA120" s="122">
        <v>-819200</v>
      </c>
      <c r="AB120" s="122">
        <v>-127936</v>
      </c>
      <c r="AC120" s="122">
        <v>0</v>
      </c>
      <c r="AD120" s="122">
        <v>-164256</v>
      </c>
      <c r="AE120" s="124">
        <v>8744384</v>
      </c>
      <c r="AF120" s="122">
        <v>0</v>
      </c>
      <c r="AG120" s="122">
        <v>0</v>
      </c>
      <c r="AH120" s="122">
        <v>0</v>
      </c>
      <c r="AI120" s="122">
        <v>0</v>
      </c>
      <c r="AJ120" s="122">
        <v>0</v>
      </c>
      <c r="AK120" s="124">
        <v>8744384</v>
      </c>
      <c r="AL120" s="22">
        <v>8744384</v>
      </c>
    </row>
  </sheetData>
  <autoFilter ref="A3:AO114" xr:uid="{00000000-0001-0000-0300-000000000000}"/>
  <mergeCells count="28">
    <mergeCell ref="A116:A120"/>
    <mergeCell ref="V1:Y1"/>
    <mergeCell ref="AA1:AD1"/>
    <mergeCell ref="AF1:AJ1"/>
    <mergeCell ref="A3:A7"/>
    <mergeCell ref="A9:A13"/>
    <mergeCell ref="O1:S1"/>
    <mergeCell ref="J1:M1"/>
    <mergeCell ref="E1:H1"/>
    <mergeCell ref="A1:B1"/>
    <mergeCell ref="A2:B2"/>
    <mergeCell ref="A15:A19"/>
    <mergeCell ref="A21:A25"/>
    <mergeCell ref="A27:A31"/>
    <mergeCell ref="A33:A37"/>
    <mergeCell ref="A39:A43"/>
    <mergeCell ref="A75:A79"/>
    <mergeCell ref="A81:A85"/>
    <mergeCell ref="A45:A49"/>
    <mergeCell ref="A51:A55"/>
    <mergeCell ref="A57:A61"/>
    <mergeCell ref="A63:A67"/>
    <mergeCell ref="A69:A73"/>
    <mergeCell ref="A99:A103"/>
    <mergeCell ref="A105:A109"/>
    <mergeCell ref="A87:A91"/>
    <mergeCell ref="A93:A97"/>
    <mergeCell ref="A111:A115"/>
  </mergeCells>
  <phoneticPr fontId="3" type="noConversion"/>
  <conditionalFormatting sqref="J8:M8">
    <cfRule type="cellIs" dxfId="1499" priority="850" stopIfTrue="1" operator="lessThanOrEqual">
      <formula>3000</formula>
    </cfRule>
    <cfRule type="cellIs" dxfId="1498" priority="851" stopIfTrue="1" operator="between">
      <formula>3000</formula>
      <formula>9000</formula>
    </cfRule>
    <cfRule type="cellIs" dxfId="1497" priority="852" stopIfTrue="1" operator="greaterThanOrEqual">
      <formula>9000</formula>
    </cfRule>
  </conditionalFormatting>
  <conditionalFormatting sqref="O8:S8">
    <cfRule type="cellIs" dxfId="1496" priority="847" stopIfTrue="1" operator="lessThanOrEqual">
      <formula>3000</formula>
    </cfRule>
    <cfRule type="cellIs" dxfId="1495" priority="848" stopIfTrue="1" operator="between">
      <formula>3000</formula>
      <formula>9000</formula>
    </cfRule>
    <cfRule type="cellIs" dxfId="1494" priority="849" stopIfTrue="1" operator="greaterThanOrEqual">
      <formula>9000</formula>
    </cfRule>
  </conditionalFormatting>
  <conditionalFormatting sqref="J20:M20">
    <cfRule type="cellIs" dxfId="1493" priority="844" stopIfTrue="1" operator="lessThanOrEqual">
      <formula>3000</formula>
    </cfRule>
    <cfRule type="cellIs" dxfId="1492" priority="845" stopIfTrue="1" operator="between">
      <formula>3000</formula>
      <formula>9000</formula>
    </cfRule>
    <cfRule type="cellIs" dxfId="1491" priority="846" stopIfTrue="1" operator="greaterThanOrEqual">
      <formula>9000</formula>
    </cfRule>
  </conditionalFormatting>
  <conditionalFormatting sqref="O20:S20">
    <cfRule type="cellIs" dxfId="1490" priority="841" stopIfTrue="1" operator="lessThanOrEqual">
      <formula>3000</formula>
    </cfRule>
    <cfRule type="cellIs" dxfId="1489" priority="842" stopIfTrue="1" operator="between">
      <formula>3000</formula>
      <formula>9000</formula>
    </cfRule>
    <cfRule type="cellIs" dxfId="1488" priority="843" stopIfTrue="1" operator="greaterThanOrEqual">
      <formula>9000</formula>
    </cfRule>
  </conditionalFormatting>
  <conditionalFormatting sqref="J44:M44">
    <cfRule type="cellIs" dxfId="1487" priority="838" stopIfTrue="1" operator="lessThanOrEqual">
      <formula>3000</formula>
    </cfRule>
    <cfRule type="cellIs" dxfId="1486" priority="839" stopIfTrue="1" operator="between">
      <formula>3000</formula>
      <formula>9000</formula>
    </cfRule>
    <cfRule type="cellIs" dxfId="1485" priority="840" stopIfTrue="1" operator="greaterThanOrEqual">
      <formula>9000</formula>
    </cfRule>
  </conditionalFormatting>
  <conditionalFormatting sqref="O44:S44">
    <cfRule type="cellIs" dxfId="1484" priority="835" stopIfTrue="1" operator="lessThanOrEqual">
      <formula>3000</formula>
    </cfRule>
    <cfRule type="cellIs" dxfId="1483" priority="836" stopIfTrue="1" operator="between">
      <formula>3000</formula>
      <formula>9000</formula>
    </cfRule>
    <cfRule type="cellIs" dxfId="1482" priority="837" stopIfTrue="1" operator="greaterThanOrEqual">
      <formula>9000</formula>
    </cfRule>
  </conditionalFormatting>
  <conditionalFormatting sqref="E68:H68">
    <cfRule type="cellIs" dxfId="1481" priority="799" stopIfTrue="1" operator="lessThanOrEqual">
      <formula>3000</formula>
    </cfRule>
    <cfRule type="cellIs" dxfId="1480" priority="800" stopIfTrue="1" operator="between">
      <formula>3000</formula>
      <formula>9000</formula>
    </cfRule>
    <cfRule type="cellIs" dxfId="1479" priority="801" stopIfTrue="1" operator="greaterThanOrEqual">
      <formula>9000</formula>
    </cfRule>
  </conditionalFormatting>
  <conditionalFormatting sqref="E20:H20">
    <cfRule type="cellIs" dxfId="1478" priority="805" stopIfTrue="1" operator="lessThanOrEqual">
      <formula>3000</formula>
    </cfRule>
    <cfRule type="cellIs" dxfId="1477" priority="806" stopIfTrue="1" operator="between">
      <formula>3000</formula>
      <formula>9000</formula>
    </cfRule>
    <cfRule type="cellIs" dxfId="1476" priority="807" stopIfTrue="1" operator="greaterThanOrEqual">
      <formula>9000</formula>
    </cfRule>
  </conditionalFormatting>
  <conditionalFormatting sqref="J38:M38">
    <cfRule type="cellIs" dxfId="1475" priority="814" stopIfTrue="1" operator="lessThanOrEqual">
      <formula>3000</formula>
    </cfRule>
    <cfRule type="cellIs" dxfId="1474" priority="815" stopIfTrue="1" operator="between">
      <formula>3000</formula>
      <formula>9000</formula>
    </cfRule>
    <cfRule type="cellIs" dxfId="1473" priority="816" stopIfTrue="1" operator="greaterThanOrEqual">
      <formula>9000</formula>
    </cfRule>
  </conditionalFormatting>
  <conditionalFormatting sqref="J74:M74">
    <cfRule type="cellIs" dxfId="1472" priority="826" stopIfTrue="1" operator="lessThanOrEqual">
      <formula>3000</formula>
    </cfRule>
    <cfRule type="cellIs" dxfId="1471" priority="827" stopIfTrue="1" operator="between">
      <formula>3000</formula>
      <formula>9000</formula>
    </cfRule>
    <cfRule type="cellIs" dxfId="1470" priority="828" stopIfTrue="1" operator="greaterThanOrEqual">
      <formula>9000</formula>
    </cfRule>
  </conditionalFormatting>
  <conditionalFormatting sqref="O74:S74">
    <cfRule type="cellIs" dxfId="1469" priority="823" stopIfTrue="1" operator="lessThanOrEqual">
      <formula>3000</formula>
    </cfRule>
    <cfRule type="cellIs" dxfId="1468" priority="824" stopIfTrue="1" operator="between">
      <formula>3000</formula>
      <formula>9000</formula>
    </cfRule>
    <cfRule type="cellIs" dxfId="1467" priority="825" stopIfTrue="1" operator="greaterThanOrEqual">
      <formula>9000</formula>
    </cfRule>
  </conditionalFormatting>
  <conditionalFormatting sqref="J68:M68">
    <cfRule type="cellIs" dxfId="1466" priority="832" stopIfTrue="1" operator="lessThanOrEqual">
      <formula>3000</formula>
    </cfRule>
    <cfRule type="cellIs" dxfId="1465" priority="833" stopIfTrue="1" operator="between">
      <formula>3000</formula>
      <formula>9000</formula>
    </cfRule>
    <cfRule type="cellIs" dxfId="1464" priority="834" stopIfTrue="1" operator="greaterThanOrEqual">
      <formula>9000</formula>
    </cfRule>
  </conditionalFormatting>
  <conditionalFormatting sqref="O68:S68">
    <cfRule type="cellIs" dxfId="1463" priority="829" stopIfTrue="1" operator="lessThanOrEqual">
      <formula>3000</formula>
    </cfRule>
    <cfRule type="cellIs" dxfId="1462" priority="830" stopIfTrue="1" operator="between">
      <formula>3000</formula>
      <formula>9000</formula>
    </cfRule>
    <cfRule type="cellIs" dxfId="1461" priority="831" stopIfTrue="1" operator="greaterThanOrEqual">
      <formula>9000</formula>
    </cfRule>
  </conditionalFormatting>
  <conditionalFormatting sqref="J86:M86">
    <cfRule type="cellIs" dxfId="1460" priority="820" stopIfTrue="1" operator="lessThanOrEqual">
      <formula>3000</formula>
    </cfRule>
    <cfRule type="cellIs" dxfId="1459" priority="821" stopIfTrue="1" operator="between">
      <formula>3000</formula>
      <formula>9000</formula>
    </cfRule>
    <cfRule type="cellIs" dxfId="1458" priority="822" stopIfTrue="1" operator="greaterThanOrEqual">
      <formula>9000</formula>
    </cfRule>
  </conditionalFormatting>
  <conditionalFormatting sqref="O86:S86">
    <cfRule type="cellIs" dxfId="1457" priority="817" stopIfTrue="1" operator="lessThanOrEqual">
      <formula>3000</formula>
    </cfRule>
    <cfRule type="cellIs" dxfId="1456" priority="818" stopIfTrue="1" operator="between">
      <formula>3000</formula>
      <formula>9000</formula>
    </cfRule>
    <cfRule type="cellIs" dxfId="1455" priority="819" stopIfTrue="1" operator="greaterThanOrEqual">
      <formula>9000</formula>
    </cfRule>
  </conditionalFormatting>
  <conditionalFormatting sqref="O38:S38">
    <cfRule type="cellIs" dxfId="1454" priority="811" stopIfTrue="1" operator="lessThanOrEqual">
      <formula>3000</formula>
    </cfRule>
    <cfRule type="cellIs" dxfId="1453" priority="812" stopIfTrue="1" operator="between">
      <formula>3000</formula>
      <formula>9000</formula>
    </cfRule>
    <cfRule type="cellIs" dxfId="1452" priority="813" stopIfTrue="1" operator="greaterThanOrEqual">
      <formula>9000</formula>
    </cfRule>
  </conditionalFormatting>
  <conditionalFormatting sqref="E8:H8">
    <cfRule type="cellIs" dxfId="1451" priority="808" stopIfTrue="1" operator="lessThanOrEqual">
      <formula>3000</formula>
    </cfRule>
    <cfRule type="cellIs" dxfId="1450" priority="809" stopIfTrue="1" operator="between">
      <formula>3000</formula>
      <formula>9000</formula>
    </cfRule>
    <cfRule type="cellIs" dxfId="1449" priority="810" stopIfTrue="1" operator="greaterThanOrEqual">
      <formula>9000</formula>
    </cfRule>
  </conditionalFormatting>
  <conditionalFormatting sqref="E44:H44">
    <cfRule type="cellIs" dxfId="1448" priority="802" stopIfTrue="1" operator="lessThanOrEqual">
      <formula>3000</formula>
    </cfRule>
    <cfRule type="cellIs" dxfId="1447" priority="803" stopIfTrue="1" operator="between">
      <formula>3000</formula>
      <formula>9000</formula>
    </cfRule>
    <cfRule type="cellIs" dxfId="1446" priority="804" stopIfTrue="1" operator="greaterThanOrEqual">
      <formula>9000</formula>
    </cfRule>
  </conditionalFormatting>
  <conditionalFormatting sqref="E74:H74">
    <cfRule type="cellIs" dxfId="1445" priority="796" stopIfTrue="1" operator="lessThanOrEqual">
      <formula>3000</formula>
    </cfRule>
    <cfRule type="cellIs" dxfId="1444" priority="797" stopIfTrue="1" operator="between">
      <formula>3000</formula>
      <formula>9000</formula>
    </cfRule>
    <cfRule type="cellIs" dxfId="1443" priority="798" stopIfTrue="1" operator="greaterThanOrEqual">
      <formula>9000</formula>
    </cfRule>
  </conditionalFormatting>
  <conditionalFormatting sqref="E86:H86">
    <cfRule type="cellIs" dxfId="1442" priority="793" stopIfTrue="1" operator="lessThanOrEqual">
      <formula>3000</formula>
    </cfRule>
    <cfRule type="cellIs" dxfId="1441" priority="794" stopIfTrue="1" operator="between">
      <formula>3000</formula>
      <formula>9000</formula>
    </cfRule>
    <cfRule type="cellIs" dxfId="1440" priority="795" stopIfTrue="1" operator="greaterThanOrEqual">
      <formula>9000</formula>
    </cfRule>
  </conditionalFormatting>
  <conditionalFormatting sqref="E38:H38">
    <cfRule type="cellIs" dxfId="1439" priority="790" stopIfTrue="1" operator="lessThanOrEqual">
      <formula>3000</formula>
    </cfRule>
    <cfRule type="cellIs" dxfId="1438" priority="791" stopIfTrue="1" operator="between">
      <formula>3000</formula>
      <formula>9000</formula>
    </cfRule>
    <cfRule type="cellIs" dxfId="1437" priority="792" stopIfTrue="1" operator="greaterThanOrEqual">
      <formula>9000</formula>
    </cfRule>
  </conditionalFormatting>
  <conditionalFormatting sqref="AA8:AD8">
    <cfRule type="cellIs" dxfId="1436" priority="787" stopIfTrue="1" operator="lessThanOrEqual">
      <formula>3000</formula>
    </cfRule>
    <cfRule type="cellIs" dxfId="1435" priority="788" stopIfTrue="1" operator="between">
      <formula>3000</formula>
      <formula>9000</formula>
    </cfRule>
    <cfRule type="cellIs" dxfId="1434" priority="789" stopIfTrue="1" operator="greaterThanOrEqual">
      <formula>9000</formula>
    </cfRule>
  </conditionalFormatting>
  <conditionalFormatting sqref="AF8:AJ8">
    <cfRule type="cellIs" dxfId="1433" priority="784" stopIfTrue="1" operator="lessThanOrEqual">
      <formula>3000</formula>
    </cfRule>
    <cfRule type="cellIs" dxfId="1432" priority="785" stopIfTrue="1" operator="between">
      <formula>3000</formula>
      <formula>9000</formula>
    </cfRule>
    <cfRule type="cellIs" dxfId="1431" priority="786" stopIfTrue="1" operator="greaterThanOrEqual">
      <formula>9000</formula>
    </cfRule>
  </conditionalFormatting>
  <conditionalFormatting sqref="AA20:AD20">
    <cfRule type="cellIs" dxfId="1430" priority="781" stopIfTrue="1" operator="lessThanOrEqual">
      <formula>3000</formula>
    </cfRule>
    <cfRule type="cellIs" dxfId="1429" priority="782" stopIfTrue="1" operator="between">
      <formula>3000</formula>
      <formula>9000</formula>
    </cfRule>
    <cfRule type="cellIs" dxfId="1428" priority="783" stopIfTrue="1" operator="greaterThanOrEqual">
      <formula>9000</formula>
    </cfRule>
  </conditionalFormatting>
  <conditionalFormatting sqref="AF20:AJ20">
    <cfRule type="cellIs" dxfId="1427" priority="778" stopIfTrue="1" operator="lessThanOrEqual">
      <formula>3000</formula>
    </cfRule>
    <cfRule type="cellIs" dxfId="1426" priority="779" stopIfTrue="1" operator="between">
      <formula>3000</formula>
      <formula>9000</formula>
    </cfRule>
    <cfRule type="cellIs" dxfId="1425" priority="780" stopIfTrue="1" operator="greaterThanOrEqual">
      <formula>9000</formula>
    </cfRule>
  </conditionalFormatting>
  <conditionalFormatting sqref="AA44:AD44">
    <cfRule type="cellIs" dxfId="1424" priority="775" stopIfTrue="1" operator="lessThanOrEqual">
      <formula>3000</formula>
    </cfRule>
    <cfRule type="cellIs" dxfId="1423" priority="776" stopIfTrue="1" operator="between">
      <formula>3000</formula>
      <formula>9000</formula>
    </cfRule>
    <cfRule type="cellIs" dxfId="1422" priority="777" stopIfTrue="1" operator="greaterThanOrEqual">
      <formula>9000</formula>
    </cfRule>
  </conditionalFormatting>
  <conditionalFormatting sqref="AF44:AJ44">
    <cfRule type="cellIs" dxfId="1421" priority="772" stopIfTrue="1" operator="lessThanOrEqual">
      <formula>3000</formula>
    </cfRule>
    <cfRule type="cellIs" dxfId="1420" priority="773" stopIfTrue="1" operator="between">
      <formula>3000</formula>
      <formula>9000</formula>
    </cfRule>
    <cfRule type="cellIs" dxfId="1419" priority="774" stopIfTrue="1" operator="greaterThanOrEqual">
      <formula>9000</formula>
    </cfRule>
  </conditionalFormatting>
  <conditionalFormatting sqref="V68:Y68">
    <cfRule type="cellIs" dxfId="1418" priority="736" stopIfTrue="1" operator="lessThanOrEqual">
      <formula>3000</formula>
    </cfRule>
    <cfRule type="cellIs" dxfId="1417" priority="737" stopIfTrue="1" operator="between">
      <formula>3000</formula>
      <formula>9000</formula>
    </cfRule>
    <cfRule type="cellIs" dxfId="1416" priority="738" stopIfTrue="1" operator="greaterThanOrEqual">
      <formula>9000</formula>
    </cfRule>
  </conditionalFormatting>
  <conditionalFormatting sqref="V20:Y20">
    <cfRule type="cellIs" dxfId="1415" priority="742" stopIfTrue="1" operator="lessThanOrEqual">
      <formula>3000</formula>
    </cfRule>
    <cfRule type="cellIs" dxfId="1414" priority="743" stopIfTrue="1" operator="between">
      <formula>3000</formula>
      <formula>9000</formula>
    </cfRule>
    <cfRule type="cellIs" dxfId="1413" priority="744" stopIfTrue="1" operator="greaterThanOrEqual">
      <formula>9000</formula>
    </cfRule>
  </conditionalFormatting>
  <conditionalFormatting sqref="AA38:AD38">
    <cfRule type="cellIs" dxfId="1412" priority="751" stopIfTrue="1" operator="lessThanOrEqual">
      <formula>3000</formula>
    </cfRule>
    <cfRule type="cellIs" dxfId="1411" priority="752" stopIfTrue="1" operator="between">
      <formula>3000</formula>
      <formula>9000</formula>
    </cfRule>
    <cfRule type="cellIs" dxfId="1410" priority="753" stopIfTrue="1" operator="greaterThanOrEqual">
      <formula>9000</formula>
    </cfRule>
  </conditionalFormatting>
  <conditionalFormatting sqref="AA74:AD74">
    <cfRule type="cellIs" dxfId="1409" priority="763" stopIfTrue="1" operator="lessThanOrEqual">
      <formula>3000</formula>
    </cfRule>
    <cfRule type="cellIs" dxfId="1408" priority="764" stopIfTrue="1" operator="between">
      <formula>3000</formula>
      <formula>9000</formula>
    </cfRule>
    <cfRule type="cellIs" dxfId="1407" priority="765" stopIfTrue="1" operator="greaterThanOrEqual">
      <formula>9000</formula>
    </cfRule>
  </conditionalFormatting>
  <conditionalFormatting sqref="AF74:AJ74">
    <cfRule type="cellIs" dxfId="1406" priority="760" stopIfTrue="1" operator="lessThanOrEqual">
      <formula>3000</formula>
    </cfRule>
    <cfRule type="cellIs" dxfId="1405" priority="761" stopIfTrue="1" operator="between">
      <formula>3000</formula>
      <formula>9000</formula>
    </cfRule>
    <cfRule type="cellIs" dxfId="1404" priority="762" stopIfTrue="1" operator="greaterThanOrEqual">
      <formula>9000</formula>
    </cfRule>
  </conditionalFormatting>
  <conditionalFormatting sqref="AA68:AD68">
    <cfRule type="cellIs" dxfId="1403" priority="769" stopIfTrue="1" operator="lessThanOrEqual">
      <formula>3000</formula>
    </cfRule>
    <cfRule type="cellIs" dxfId="1402" priority="770" stopIfTrue="1" operator="between">
      <formula>3000</formula>
      <formula>9000</formula>
    </cfRule>
    <cfRule type="cellIs" dxfId="1401" priority="771" stopIfTrue="1" operator="greaterThanOrEqual">
      <formula>9000</formula>
    </cfRule>
  </conditionalFormatting>
  <conditionalFormatting sqref="AF68:AJ68">
    <cfRule type="cellIs" dxfId="1400" priority="766" stopIfTrue="1" operator="lessThanOrEqual">
      <formula>3000</formula>
    </cfRule>
    <cfRule type="cellIs" dxfId="1399" priority="767" stopIfTrue="1" operator="between">
      <formula>3000</formula>
      <formula>9000</formula>
    </cfRule>
    <cfRule type="cellIs" dxfId="1398" priority="768" stopIfTrue="1" operator="greaterThanOrEqual">
      <formula>9000</formula>
    </cfRule>
  </conditionalFormatting>
  <conditionalFormatting sqref="AA86:AD86">
    <cfRule type="cellIs" dxfId="1397" priority="757" stopIfTrue="1" operator="lessThanOrEqual">
      <formula>3000</formula>
    </cfRule>
    <cfRule type="cellIs" dxfId="1396" priority="758" stopIfTrue="1" operator="between">
      <formula>3000</formula>
      <formula>9000</formula>
    </cfRule>
    <cfRule type="cellIs" dxfId="1395" priority="759" stopIfTrue="1" operator="greaterThanOrEqual">
      <formula>9000</formula>
    </cfRule>
  </conditionalFormatting>
  <conditionalFormatting sqref="AF86:AJ86">
    <cfRule type="cellIs" dxfId="1394" priority="754" stopIfTrue="1" operator="lessThanOrEqual">
      <formula>3000</formula>
    </cfRule>
    <cfRule type="cellIs" dxfId="1393" priority="755" stopIfTrue="1" operator="between">
      <formula>3000</formula>
      <formula>9000</formula>
    </cfRule>
    <cfRule type="cellIs" dxfId="1392" priority="756" stopIfTrue="1" operator="greaterThanOrEqual">
      <formula>9000</formula>
    </cfRule>
  </conditionalFormatting>
  <conditionalFormatting sqref="AF38:AJ38">
    <cfRule type="cellIs" dxfId="1391" priority="748" stopIfTrue="1" operator="lessThanOrEqual">
      <formula>3000</formula>
    </cfRule>
    <cfRule type="cellIs" dxfId="1390" priority="749" stopIfTrue="1" operator="between">
      <formula>3000</formula>
      <formula>9000</formula>
    </cfRule>
    <cfRule type="cellIs" dxfId="1389" priority="750" stopIfTrue="1" operator="greaterThanOrEqual">
      <formula>9000</formula>
    </cfRule>
  </conditionalFormatting>
  <conditionalFormatting sqref="V8:Y8">
    <cfRule type="cellIs" dxfId="1388" priority="745" stopIfTrue="1" operator="lessThanOrEqual">
      <formula>3000</formula>
    </cfRule>
    <cfRule type="cellIs" dxfId="1387" priority="746" stopIfTrue="1" operator="between">
      <formula>3000</formula>
      <formula>9000</formula>
    </cfRule>
    <cfRule type="cellIs" dxfId="1386" priority="747" stopIfTrue="1" operator="greaterThanOrEqual">
      <formula>9000</formula>
    </cfRule>
  </conditionalFormatting>
  <conditionalFormatting sqref="V44:Y44">
    <cfRule type="cellIs" dxfId="1385" priority="739" stopIfTrue="1" operator="lessThanOrEqual">
      <formula>3000</formula>
    </cfRule>
    <cfRule type="cellIs" dxfId="1384" priority="740" stopIfTrue="1" operator="between">
      <formula>3000</formula>
      <formula>9000</formula>
    </cfRule>
    <cfRule type="cellIs" dxfId="1383" priority="741" stopIfTrue="1" operator="greaterThanOrEqual">
      <formula>9000</formula>
    </cfRule>
  </conditionalFormatting>
  <conditionalFormatting sqref="V74:Y74">
    <cfRule type="cellIs" dxfId="1382" priority="733" stopIfTrue="1" operator="lessThanOrEqual">
      <formula>3000</formula>
    </cfRule>
    <cfRule type="cellIs" dxfId="1381" priority="734" stopIfTrue="1" operator="between">
      <formula>3000</formula>
      <formula>9000</formula>
    </cfRule>
    <cfRule type="cellIs" dxfId="1380" priority="735" stopIfTrue="1" operator="greaterThanOrEqual">
      <formula>9000</formula>
    </cfRule>
  </conditionalFormatting>
  <conditionalFormatting sqref="V86:Y86">
    <cfRule type="cellIs" dxfId="1379" priority="730" stopIfTrue="1" operator="lessThanOrEqual">
      <formula>3000</formula>
    </cfRule>
    <cfRule type="cellIs" dxfId="1378" priority="731" stopIfTrue="1" operator="between">
      <formula>3000</formula>
      <formula>9000</formula>
    </cfRule>
    <cfRule type="cellIs" dxfId="1377" priority="732" stopIfTrue="1" operator="greaterThanOrEqual">
      <formula>9000</formula>
    </cfRule>
  </conditionalFormatting>
  <conditionalFormatting sqref="V38:Y38">
    <cfRule type="cellIs" dxfId="1376" priority="727" stopIfTrue="1" operator="lessThanOrEqual">
      <formula>3000</formula>
    </cfRule>
    <cfRule type="cellIs" dxfId="1375" priority="728" stopIfTrue="1" operator="between">
      <formula>3000</formula>
      <formula>9000</formula>
    </cfRule>
    <cfRule type="cellIs" dxfId="1374" priority="729" stopIfTrue="1" operator="greaterThanOrEqual">
      <formula>9000</formula>
    </cfRule>
  </conditionalFormatting>
  <conditionalFormatting sqref="G14:H14">
    <cfRule type="cellIs" dxfId="1373" priority="724" stopIfTrue="1" operator="lessThanOrEqual">
      <formula>3000</formula>
    </cfRule>
    <cfRule type="cellIs" dxfId="1372" priority="725" stopIfTrue="1" operator="between">
      <formula>3000</formula>
      <formula>9000</formula>
    </cfRule>
    <cfRule type="cellIs" dxfId="1371" priority="726" stopIfTrue="1" operator="greaterThanOrEqual">
      <formula>9000</formula>
    </cfRule>
  </conditionalFormatting>
  <conditionalFormatting sqref="J14">
    <cfRule type="cellIs" dxfId="1370" priority="721" stopIfTrue="1" operator="lessThanOrEqual">
      <formula>3000</formula>
    </cfRule>
    <cfRule type="cellIs" dxfId="1369" priority="722" stopIfTrue="1" operator="between">
      <formula>3000</formula>
      <formula>9000</formula>
    </cfRule>
    <cfRule type="cellIs" dxfId="1368" priority="723" stopIfTrue="1" operator="greaterThanOrEqual">
      <formula>9000</formula>
    </cfRule>
  </conditionalFormatting>
  <conditionalFormatting sqref="K14">
    <cfRule type="cellIs" dxfId="1367" priority="718" stopIfTrue="1" operator="lessThanOrEqual">
      <formula>3000</formula>
    </cfRule>
    <cfRule type="cellIs" dxfId="1366" priority="719" stopIfTrue="1" operator="between">
      <formula>3000</formula>
      <formula>9000</formula>
    </cfRule>
    <cfRule type="cellIs" dxfId="1365" priority="720" stopIfTrue="1" operator="greaterThanOrEqual">
      <formula>9000</formula>
    </cfRule>
  </conditionalFormatting>
  <conditionalFormatting sqref="L14">
    <cfRule type="cellIs" dxfId="1364" priority="715" stopIfTrue="1" operator="lessThanOrEqual">
      <formula>3000</formula>
    </cfRule>
    <cfRule type="cellIs" dxfId="1363" priority="716" stopIfTrue="1" operator="between">
      <formula>3000</formula>
      <formula>9000</formula>
    </cfRule>
    <cfRule type="cellIs" dxfId="1362" priority="717" stopIfTrue="1" operator="greaterThanOrEqual">
      <formula>9000</formula>
    </cfRule>
  </conditionalFormatting>
  <conditionalFormatting sqref="M14">
    <cfRule type="cellIs" dxfId="1361" priority="712" stopIfTrue="1" operator="lessThanOrEqual">
      <formula>3000</formula>
    </cfRule>
    <cfRule type="cellIs" dxfId="1360" priority="713" stopIfTrue="1" operator="between">
      <formula>3000</formula>
      <formula>9000</formula>
    </cfRule>
    <cfRule type="cellIs" dxfId="1359" priority="714" stopIfTrue="1" operator="greaterThanOrEqual">
      <formula>9000</formula>
    </cfRule>
  </conditionalFormatting>
  <conditionalFormatting sqref="S14">
    <cfRule type="cellIs" dxfId="1358" priority="709" stopIfTrue="1" operator="lessThanOrEqual">
      <formula>3000</formula>
    </cfRule>
    <cfRule type="cellIs" dxfId="1357" priority="710" stopIfTrue="1" operator="between">
      <formula>3000</formula>
      <formula>9000</formula>
    </cfRule>
    <cfRule type="cellIs" dxfId="1356" priority="711" stopIfTrue="1" operator="greaterThanOrEqual">
      <formula>9000</formula>
    </cfRule>
  </conditionalFormatting>
  <conditionalFormatting sqref="E14:F14">
    <cfRule type="cellIs" dxfId="1355" priority="706" stopIfTrue="1" operator="lessThanOrEqual">
      <formula>3000</formula>
    </cfRule>
    <cfRule type="cellIs" dxfId="1354" priority="707" stopIfTrue="1" operator="between">
      <formula>3000</formula>
      <formula>9000</formula>
    </cfRule>
    <cfRule type="cellIs" dxfId="1353" priority="708" stopIfTrue="1" operator="greaterThanOrEqual">
      <formula>9000</formula>
    </cfRule>
  </conditionalFormatting>
  <conditionalFormatting sqref="O14">
    <cfRule type="cellIs" dxfId="1352" priority="703" stopIfTrue="1" operator="lessThanOrEqual">
      <formula>3000</formula>
    </cfRule>
    <cfRule type="cellIs" dxfId="1351" priority="704" stopIfTrue="1" operator="between">
      <formula>3000</formula>
      <formula>9000</formula>
    </cfRule>
    <cfRule type="cellIs" dxfId="1350" priority="705" stopIfTrue="1" operator="greaterThanOrEqual">
      <formula>9000</formula>
    </cfRule>
  </conditionalFormatting>
  <conditionalFormatting sqref="P14">
    <cfRule type="cellIs" dxfId="1349" priority="700" stopIfTrue="1" operator="lessThanOrEqual">
      <formula>3000</formula>
    </cfRule>
    <cfRule type="cellIs" dxfId="1348" priority="701" stopIfTrue="1" operator="between">
      <formula>3000</formula>
      <formula>9000</formula>
    </cfRule>
    <cfRule type="cellIs" dxfId="1347" priority="702" stopIfTrue="1" operator="greaterThanOrEqual">
      <formula>9000</formula>
    </cfRule>
  </conditionalFormatting>
  <conditionalFormatting sqref="Q14">
    <cfRule type="cellIs" dxfId="1346" priority="697" stopIfTrue="1" operator="lessThanOrEqual">
      <formula>3000</formula>
    </cfRule>
    <cfRule type="cellIs" dxfId="1345" priority="698" stopIfTrue="1" operator="between">
      <formula>3000</formula>
      <formula>9000</formula>
    </cfRule>
    <cfRule type="cellIs" dxfId="1344" priority="699" stopIfTrue="1" operator="greaterThanOrEqual">
      <formula>9000</formula>
    </cfRule>
  </conditionalFormatting>
  <conditionalFormatting sqref="R14">
    <cfRule type="cellIs" dxfId="1343" priority="694" stopIfTrue="1" operator="lessThanOrEqual">
      <formula>3000</formula>
    </cfRule>
    <cfRule type="cellIs" dxfId="1342" priority="695" stopIfTrue="1" operator="between">
      <formula>3000</formula>
      <formula>9000</formula>
    </cfRule>
    <cfRule type="cellIs" dxfId="1341" priority="696" stopIfTrue="1" operator="greaterThanOrEqual">
      <formula>9000</formula>
    </cfRule>
  </conditionalFormatting>
  <conditionalFormatting sqref="X14:Y14">
    <cfRule type="cellIs" dxfId="1340" priority="691" stopIfTrue="1" operator="lessThanOrEqual">
      <formula>3000</formula>
    </cfRule>
    <cfRule type="cellIs" dxfId="1339" priority="692" stopIfTrue="1" operator="between">
      <formula>3000</formula>
      <formula>9000</formula>
    </cfRule>
    <cfRule type="cellIs" dxfId="1338" priority="693" stopIfTrue="1" operator="greaterThanOrEqual">
      <formula>9000</formula>
    </cfRule>
  </conditionalFormatting>
  <conditionalFormatting sqref="AA14">
    <cfRule type="cellIs" dxfId="1337" priority="688" stopIfTrue="1" operator="lessThanOrEqual">
      <formula>3000</formula>
    </cfRule>
    <cfRule type="cellIs" dxfId="1336" priority="689" stopIfTrue="1" operator="between">
      <formula>3000</formula>
      <formula>9000</formula>
    </cfRule>
    <cfRule type="cellIs" dxfId="1335" priority="690" stopIfTrue="1" operator="greaterThanOrEqual">
      <formula>9000</formula>
    </cfRule>
  </conditionalFormatting>
  <conditionalFormatting sqref="AB14">
    <cfRule type="cellIs" dxfId="1334" priority="685" stopIfTrue="1" operator="lessThanOrEqual">
      <formula>3000</formula>
    </cfRule>
    <cfRule type="cellIs" dxfId="1333" priority="686" stopIfTrue="1" operator="between">
      <formula>3000</formula>
      <formula>9000</formula>
    </cfRule>
    <cfRule type="cellIs" dxfId="1332" priority="687" stopIfTrue="1" operator="greaterThanOrEqual">
      <formula>9000</formula>
    </cfRule>
  </conditionalFormatting>
  <conditionalFormatting sqref="AC14">
    <cfRule type="cellIs" dxfId="1331" priority="682" stopIfTrue="1" operator="lessThanOrEqual">
      <formula>3000</formula>
    </cfRule>
    <cfRule type="cellIs" dxfId="1330" priority="683" stopIfTrue="1" operator="between">
      <formula>3000</formula>
      <formula>9000</formula>
    </cfRule>
    <cfRule type="cellIs" dxfId="1329" priority="684" stopIfTrue="1" operator="greaterThanOrEqual">
      <formula>9000</formula>
    </cfRule>
  </conditionalFormatting>
  <conditionalFormatting sqref="AD14">
    <cfRule type="cellIs" dxfId="1328" priority="679" stopIfTrue="1" operator="lessThanOrEqual">
      <formula>3000</formula>
    </cfRule>
    <cfRule type="cellIs" dxfId="1327" priority="680" stopIfTrue="1" operator="between">
      <formula>3000</formula>
      <formula>9000</formula>
    </cfRule>
    <cfRule type="cellIs" dxfId="1326" priority="681" stopIfTrue="1" operator="greaterThanOrEqual">
      <formula>9000</formula>
    </cfRule>
  </conditionalFormatting>
  <conditionalFormatting sqref="AJ14">
    <cfRule type="cellIs" dxfId="1325" priority="676" stopIfTrue="1" operator="lessThanOrEqual">
      <formula>3000</formula>
    </cfRule>
    <cfRule type="cellIs" dxfId="1324" priority="677" stopIfTrue="1" operator="between">
      <formula>3000</formula>
      <formula>9000</formula>
    </cfRule>
    <cfRule type="cellIs" dxfId="1323" priority="678" stopIfTrue="1" operator="greaterThanOrEqual">
      <formula>9000</formula>
    </cfRule>
  </conditionalFormatting>
  <conditionalFormatting sqref="V14:W14">
    <cfRule type="cellIs" dxfId="1322" priority="673" stopIfTrue="1" operator="lessThanOrEqual">
      <formula>3000</formula>
    </cfRule>
    <cfRule type="cellIs" dxfId="1321" priority="674" stopIfTrue="1" operator="between">
      <formula>3000</formula>
      <formula>9000</formula>
    </cfRule>
    <cfRule type="cellIs" dxfId="1320" priority="675" stopIfTrue="1" operator="greaterThanOrEqual">
      <formula>9000</formula>
    </cfRule>
  </conditionalFormatting>
  <conditionalFormatting sqref="AF14">
    <cfRule type="cellIs" dxfId="1319" priority="670" stopIfTrue="1" operator="lessThanOrEqual">
      <formula>3000</formula>
    </cfRule>
    <cfRule type="cellIs" dxfId="1318" priority="671" stopIfTrue="1" operator="between">
      <formula>3000</formula>
      <formula>9000</formula>
    </cfRule>
    <cfRule type="cellIs" dxfId="1317" priority="672" stopIfTrue="1" operator="greaterThanOrEqual">
      <formula>9000</formula>
    </cfRule>
  </conditionalFormatting>
  <conditionalFormatting sqref="AG14">
    <cfRule type="cellIs" dxfId="1316" priority="667" stopIfTrue="1" operator="lessThanOrEqual">
      <formula>3000</formula>
    </cfRule>
    <cfRule type="cellIs" dxfId="1315" priority="668" stopIfTrue="1" operator="between">
      <formula>3000</formula>
      <formula>9000</formula>
    </cfRule>
    <cfRule type="cellIs" dxfId="1314" priority="669" stopIfTrue="1" operator="greaterThanOrEqual">
      <formula>9000</formula>
    </cfRule>
  </conditionalFormatting>
  <conditionalFormatting sqref="AH14">
    <cfRule type="cellIs" dxfId="1313" priority="664" stopIfTrue="1" operator="lessThanOrEqual">
      <formula>3000</formula>
    </cfRule>
    <cfRule type="cellIs" dxfId="1312" priority="665" stopIfTrue="1" operator="between">
      <formula>3000</formula>
      <formula>9000</formula>
    </cfRule>
    <cfRule type="cellIs" dxfId="1311" priority="666" stopIfTrue="1" operator="greaterThanOrEqual">
      <formula>9000</formula>
    </cfRule>
  </conditionalFormatting>
  <conditionalFormatting sqref="AI14">
    <cfRule type="cellIs" dxfId="1310" priority="661" stopIfTrue="1" operator="lessThanOrEqual">
      <formula>3000</formula>
    </cfRule>
    <cfRule type="cellIs" dxfId="1309" priority="662" stopIfTrue="1" operator="between">
      <formula>3000</formula>
      <formula>9000</formula>
    </cfRule>
    <cfRule type="cellIs" dxfId="1308" priority="663" stopIfTrue="1" operator="greaterThanOrEqual">
      <formula>9000</formula>
    </cfRule>
  </conditionalFormatting>
  <conditionalFormatting sqref="G62:H62">
    <cfRule type="cellIs" dxfId="1307" priority="658" stopIfTrue="1" operator="lessThanOrEqual">
      <formula>3000</formula>
    </cfRule>
    <cfRule type="cellIs" dxfId="1306" priority="659" stopIfTrue="1" operator="between">
      <formula>3000</formula>
      <formula>9000</formula>
    </cfRule>
    <cfRule type="cellIs" dxfId="1305" priority="660" stopIfTrue="1" operator="greaterThanOrEqual">
      <formula>9000</formula>
    </cfRule>
  </conditionalFormatting>
  <conditionalFormatting sqref="J62">
    <cfRule type="cellIs" dxfId="1304" priority="655" stopIfTrue="1" operator="lessThanOrEqual">
      <formula>3000</formula>
    </cfRule>
    <cfRule type="cellIs" dxfId="1303" priority="656" stopIfTrue="1" operator="between">
      <formula>3000</formula>
      <formula>9000</formula>
    </cfRule>
    <cfRule type="cellIs" dxfId="1302" priority="657" stopIfTrue="1" operator="greaterThanOrEqual">
      <formula>9000</formula>
    </cfRule>
  </conditionalFormatting>
  <conditionalFormatting sqref="K62">
    <cfRule type="cellIs" dxfId="1301" priority="652" stopIfTrue="1" operator="lessThanOrEqual">
      <formula>3000</formula>
    </cfRule>
    <cfRule type="cellIs" dxfId="1300" priority="653" stopIfTrue="1" operator="between">
      <formula>3000</formula>
      <formula>9000</formula>
    </cfRule>
    <cfRule type="cellIs" dxfId="1299" priority="654" stopIfTrue="1" operator="greaterThanOrEqual">
      <formula>9000</formula>
    </cfRule>
  </conditionalFormatting>
  <conditionalFormatting sqref="L62">
    <cfRule type="cellIs" dxfId="1298" priority="649" stopIfTrue="1" operator="lessThanOrEqual">
      <formula>3000</formula>
    </cfRule>
    <cfRule type="cellIs" dxfId="1297" priority="650" stopIfTrue="1" operator="between">
      <formula>3000</formula>
      <formula>9000</formula>
    </cfRule>
    <cfRule type="cellIs" dxfId="1296" priority="651" stopIfTrue="1" operator="greaterThanOrEqual">
      <formula>9000</formula>
    </cfRule>
  </conditionalFormatting>
  <conditionalFormatting sqref="M62">
    <cfRule type="cellIs" dxfId="1295" priority="646" stopIfTrue="1" operator="lessThanOrEqual">
      <formula>3000</formula>
    </cfRule>
    <cfRule type="cellIs" dxfId="1294" priority="647" stopIfTrue="1" operator="between">
      <formula>3000</formula>
      <formula>9000</formula>
    </cfRule>
    <cfRule type="cellIs" dxfId="1293" priority="648" stopIfTrue="1" operator="greaterThanOrEqual">
      <formula>9000</formula>
    </cfRule>
  </conditionalFormatting>
  <conditionalFormatting sqref="S62">
    <cfRule type="cellIs" dxfId="1292" priority="643" stopIfTrue="1" operator="lessThanOrEqual">
      <formula>3000</formula>
    </cfRule>
    <cfRule type="cellIs" dxfId="1291" priority="644" stopIfTrue="1" operator="between">
      <formula>3000</formula>
      <formula>9000</formula>
    </cfRule>
    <cfRule type="cellIs" dxfId="1290" priority="645" stopIfTrue="1" operator="greaterThanOrEqual">
      <formula>9000</formula>
    </cfRule>
  </conditionalFormatting>
  <conditionalFormatting sqref="E62:F62">
    <cfRule type="cellIs" dxfId="1289" priority="640" stopIfTrue="1" operator="lessThanOrEqual">
      <formula>3000</formula>
    </cfRule>
    <cfRule type="cellIs" dxfId="1288" priority="641" stopIfTrue="1" operator="between">
      <formula>3000</formula>
      <formula>9000</formula>
    </cfRule>
    <cfRule type="cellIs" dxfId="1287" priority="642" stopIfTrue="1" operator="greaterThanOrEqual">
      <formula>9000</formula>
    </cfRule>
  </conditionalFormatting>
  <conditionalFormatting sqref="O62">
    <cfRule type="cellIs" dxfId="1286" priority="637" stopIfTrue="1" operator="lessThanOrEqual">
      <formula>3000</formula>
    </cfRule>
    <cfRule type="cellIs" dxfId="1285" priority="638" stopIfTrue="1" operator="between">
      <formula>3000</formula>
      <formula>9000</formula>
    </cfRule>
    <cfRule type="cellIs" dxfId="1284" priority="639" stopIfTrue="1" operator="greaterThanOrEqual">
      <formula>9000</formula>
    </cfRule>
  </conditionalFormatting>
  <conditionalFormatting sqref="P62">
    <cfRule type="cellIs" dxfId="1283" priority="634" stopIfTrue="1" operator="lessThanOrEqual">
      <formula>3000</formula>
    </cfRule>
    <cfRule type="cellIs" dxfId="1282" priority="635" stopIfTrue="1" operator="between">
      <formula>3000</formula>
      <formula>9000</formula>
    </cfRule>
    <cfRule type="cellIs" dxfId="1281" priority="636" stopIfTrue="1" operator="greaterThanOrEqual">
      <formula>9000</formula>
    </cfRule>
  </conditionalFormatting>
  <conditionalFormatting sqref="Q62">
    <cfRule type="cellIs" dxfId="1280" priority="631" stopIfTrue="1" operator="lessThanOrEqual">
      <formula>3000</formula>
    </cfRule>
    <cfRule type="cellIs" dxfId="1279" priority="632" stopIfTrue="1" operator="between">
      <formula>3000</formula>
      <formula>9000</formula>
    </cfRule>
    <cfRule type="cellIs" dxfId="1278" priority="633" stopIfTrue="1" operator="greaterThanOrEqual">
      <formula>9000</formula>
    </cfRule>
  </conditionalFormatting>
  <conditionalFormatting sqref="R62">
    <cfRule type="cellIs" dxfId="1277" priority="628" stopIfTrue="1" operator="lessThanOrEqual">
      <formula>3000</formula>
    </cfRule>
    <cfRule type="cellIs" dxfId="1276" priority="629" stopIfTrue="1" operator="between">
      <formula>3000</formula>
      <formula>9000</formula>
    </cfRule>
    <cfRule type="cellIs" dxfId="1275" priority="630" stopIfTrue="1" operator="greaterThanOrEqual">
      <formula>9000</formula>
    </cfRule>
  </conditionalFormatting>
  <conditionalFormatting sqref="X62:Y62">
    <cfRule type="cellIs" dxfId="1274" priority="625" stopIfTrue="1" operator="lessThanOrEqual">
      <formula>3000</formula>
    </cfRule>
    <cfRule type="cellIs" dxfId="1273" priority="626" stopIfTrue="1" operator="between">
      <formula>3000</formula>
      <formula>9000</formula>
    </cfRule>
    <cfRule type="cellIs" dxfId="1272" priority="627" stopIfTrue="1" operator="greaterThanOrEqual">
      <formula>9000</formula>
    </cfRule>
  </conditionalFormatting>
  <conditionalFormatting sqref="AA62">
    <cfRule type="cellIs" dxfId="1271" priority="622" stopIfTrue="1" operator="lessThanOrEqual">
      <formula>3000</formula>
    </cfRule>
    <cfRule type="cellIs" dxfId="1270" priority="623" stopIfTrue="1" operator="between">
      <formula>3000</formula>
      <formula>9000</formula>
    </cfRule>
    <cfRule type="cellIs" dxfId="1269" priority="624" stopIfTrue="1" operator="greaterThanOrEqual">
      <formula>9000</formula>
    </cfRule>
  </conditionalFormatting>
  <conditionalFormatting sqref="AB62">
    <cfRule type="cellIs" dxfId="1268" priority="619" stopIfTrue="1" operator="lessThanOrEqual">
      <formula>3000</formula>
    </cfRule>
    <cfRule type="cellIs" dxfId="1267" priority="620" stopIfTrue="1" operator="between">
      <formula>3000</formula>
      <formula>9000</formula>
    </cfRule>
    <cfRule type="cellIs" dxfId="1266" priority="621" stopIfTrue="1" operator="greaterThanOrEqual">
      <formula>9000</formula>
    </cfRule>
  </conditionalFormatting>
  <conditionalFormatting sqref="AC62">
    <cfRule type="cellIs" dxfId="1265" priority="616" stopIfTrue="1" operator="lessThanOrEqual">
      <formula>3000</formula>
    </cfRule>
    <cfRule type="cellIs" dxfId="1264" priority="617" stopIfTrue="1" operator="between">
      <formula>3000</formula>
      <formula>9000</formula>
    </cfRule>
    <cfRule type="cellIs" dxfId="1263" priority="618" stopIfTrue="1" operator="greaterThanOrEqual">
      <formula>9000</formula>
    </cfRule>
  </conditionalFormatting>
  <conditionalFormatting sqref="AD62">
    <cfRule type="cellIs" dxfId="1262" priority="613" stopIfTrue="1" operator="lessThanOrEqual">
      <formula>3000</formula>
    </cfRule>
    <cfRule type="cellIs" dxfId="1261" priority="614" stopIfTrue="1" operator="between">
      <formula>3000</formula>
      <formula>9000</formula>
    </cfRule>
    <cfRule type="cellIs" dxfId="1260" priority="615" stopIfTrue="1" operator="greaterThanOrEqual">
      <formula>9000</formula>
    </cfRule>
  </conditionalFormatting>
  <conditionalFormatting sqref="AJ62">
    <cfRule type="cellIs" dxfId="1259" priority="610" stopIfTrue="1" operator="lessThanOrEqual">
      <formula>3000</formula>
    </cfRule>
    <cfRule type="cellIs" dxfId="1258" priority="611" stopIfTrue="1" operator="between">
      <formula>3000</formula>
      <formula>9000</formula>
    </cfRule>
    <cfRule type="cellIs" dxfId="1257" priority="612" stopIfTrue="1" operator="greaterThanOrEqual">
      <formula>9000</formula>
    </cfRule>
  </conditionalFormatting>
  <conditionalFormatting sqref="V62:W62">
    <cfRule type="cellIs" dxfId="1256" priority="607" stopIfTrue="1" operator="lessThanOrEqual">
      <formula>3000</formula>
    </cfRule>
    <cfRule type="cellIs" dxfId="1255" priority="608" stopIfTrue="1" operator="between">
      <formula>3000</formula>
      <formula>9000</formula>
    </cfRule>
    <cfRule type="cellIs" dxfId="1254" priority="609" stopIfTrue="1" operator="greaterThanOrEqual">
      <formula>9000</formula>
    </cfRule>
  </conditionalFormatting>
  <conditionalFormatting sqref="AF62">
    <cfRule type="cellIs" dxfId="1253" priority="604" stopIfTrue="1" operator="lessThanOrEqual">
      <formula>3000</formula>
    </cfRule>
    <cfRule type="cellIs" dxfId="1252" priority="605" stopIfTrue="1" operator="between">
      <formula>3000</formula>
      <formula>9000</formula>
    </cfRule>
    <cfRule type="cellIs" dxfId="1251" priority="606" stopIfTrue="1" operator="greaterThanOrEqual">
      <formula>9000</formula>
    </cfRule>
  </conditionalFormatting>
  <conditionalFormatting sqref="AG62">
    <cfRule type="cellIs" dxfId="1250" priority="601" stopIfTrue="1" operator="lessThanOrEqual">
      <formula>3000</formula>
    </cfRule>
    <cfRule type="cellIs" dxfId="1249" priority="602" stopIfTrue="1" operator="between">
      <formula>3000</formula>
      <formula>9000</formula>
    </cfRule>
    <cfRule type="cellIs" dxfId="1248" priority="603" stopIfTrue="1" operator="greaterThanOrEqual">
      <formula>9000</formula>
    </cfRule>
  </conditionalFormatting>
  <conditionalFormatting sqref="AH62">
    <cfRule type="cellIs" dxfId="1247" priority="598" stopIfTrue="1" operator="lessThanOrEqual">
      <formula>3000</formula>
    </cfRule>
    <cfRule type="cellIs" dxfId="1246" priority="599" stopIfTrue="1" operator="between">
      <formula>3000</formula>
      <formula>9000</formula>
    </cfRule>
    <cfRule type="cellIs" dxfId="1245" priority="600" stopIfTrue="1" operator="greaterThanOrEqual">
      <formula>9000</formula>
    </cfRule>
  </conditionalFormatting>
  <conditionalFormatting sqref="AI62">
    <cfRule type="cellIs" dxfId="1244" priority="595" stopIfTrue="1" operator="lessThanOrEqual">
      <formula>3000</formula>
    </cfRule>
    <cfRule type="cellIs" dxfId="1243" priority="596" stopIfTrue="1" operator="between">
      <formula>3000</formula>
      <formula>9000</formula>
    </cfRule>
    <cfRule type="cellIs" dxfId="1242" priority="597" stopIfTrue="1" operator="greaterThanOrEqual">
      <formula>9000</formula>
    </cfRule>
  </conditionalFormatting>
  <conditionalFormatting sqref="G104:H104">
    <cfRule type="cellIs" dxfId="1241" priority="592" stopIfTrue="1" operator="lessThanOrEqual">
      <formula>3000</formula>
    </cfRule>
    <cfRule type="cellIs" dxfId="1240" priority="593" stopIfTrue="1" operator="between">
      <formula>3000</formula>
      <formula>9000</formula>
    </cfRule>
    <cfRule type="cellIs" dxfId="1239" priority="594" stopIfTrue="1" operator="greaterThanOrEqual">
      <formula>9000</formula>
    </cfRule>
  </conditionalFormatting>
  <conditionalFormatting sqref="J104">
    <cfRule type="cellIs" dxfId="1238" priority="589" stopIfTrue="1" operator="lessThanOrEqual">
      <formula>3000</formula>
    </cfRule>
    <cfRule type="cellIs" dxfId="1237" priority="590" stopIfTrue="1" operator="between">
      <formula>3000</formula>
      <formula>9000</formula>
    </cfRule>
    <cfRule type="cellIs" dxfId="1236" priority="591" stopIfTrue="1" operator="greaterThanOrEqual">
      <formula>9000</formula>
    </cfRule>
  </conditionalFormatting>
  <conditionalFormatting sqref="K104">
    <cfRule type="cellIs" dxfId="1235" priority="586" stopIfTrue="1" operator="lessThanOrEqual">
      <formula>3000</formula>
    </cfRule>
    <cfRule type="cellIs" dxfId="1234" priority="587" stopIfTrue="1" operator="between">
      <formula>3000</formula>
      <formula>9000</formula>
    </cfRule>
    <cfRule type="cellIs" dxfId="1233" priority="588" stopIfTrue="1" operator="greaterThanOrEqual">
      <formula>9000</formula>
    </cfRule>
  </conditionalFormatting>
  <conditionalFormatting sqref="L104">
    <cfRule type="cellIs" dxfId="1232" priority="583" stopIfTrue="1" operator="lessThanOrEqual">
      <formula>3000</formula>
    </cfRule>
    <cfRule type="cellIs" dxfId="1231" priority="584" stopIfTrue="1" operator="between">
      <formula>3000</formula>
      <formula>9000</formula>
    </cfRule>
    <cfRule type="cellIs" dxfId="1230" priority="585" stopIfTrue="1" operator="greaterThanOrEqual">
      <formula>9000</formula>
    </cfRule>
  </conditionalFormatting>
  <conditionalFormatting sqref="M104">
    <cfRule type="cellIs" dxfId="1229" priority="580" stopIfTrue="1" operator="lessThanOrEqual">
      <formula>3000</formula>
    </cfRule>
    <cfRule type="cellIs" dxfId="1228" priority="581" stopIfTrue="1" operator="between">
      <formula>3000</formula>
      <formula>9000</formula>
    </cfRule>
    <cfRule type="cellIs" dxfId="1227" priority="582" stopIfTrue="1" operator="greaterThanOrEqual">
      <formula>9000</formula>
    </cfRule>
  </conditionalFormatting>
  <conditionalFormatting sqref="S104">
    <cfRule type="cellIs" dxfId="1226" priority="577" stopIfTrue="1" operator="lessThanOrEqual">
      <formula>3000</formula>
    </cfRule>
    <cfRule type="cellIs" dxfId="1225" priority="578" stopIfTrue="1" operator="between">
      <formula>3000</formula>
      <formula>9000</formula>
    </cfRule>
    <cfRule type="cellIs" dxfId="1224" priority="579" stopIfTrue="1" operator="greaterThanOrEqual">
      <formula>9000</formula>
    </cfRule>
  </conditionalFormatting>
  <conditionalFormatting sqref="E104:F104">
    <cfRule type="cellIs" dxfId="1223" priority="574" stopIfTrue="1" operator="lessThanOrEqual">
      <formula>3000</formula>
    </cfRule>
    <cfRule type="cellIs" dxfId="1222" priority="575" stopIfTrue="1" operator="between">
      <formula>3000</formula>
      <formula>9000</formula>
    </cfRule>
    <cfRule type="cellIs" dxfId="1221" priority="576" stopIfTrue="1" operator="greaterThanOrEqual">
      <formula>9000</formula>
    </cfRule>
  </conditionalFormatting>
  <conditionalFormatting sqref="O104">
    <cfRule type="cellIs" dxfId="1220" priority="571" stopIfTrue="1" operator="lessThanOrEqual">
      <formula>3000</formula>
    </cfRule>
    <cfRule type="cellIs" dxfId="1219" priority="572" stopIfTrue="1" operator="between">
      <formula>3000</formula>
      <formula>9000</formula>
    </cfRule>
    <cfRule type="cellIs" dxfId="1218" priority="573" stopIfTrue="1" operator="greaterThanOrEqual">
      <formula>9000</formula>
    </cfRule>
  </conditionalFormatting>
  <conditionalFormatting sqref="P104">
    <cfRule type="cellIs" dxfId="1217" priority="568" stopIfTrue="1" operator="lessThanOrEqual">
      <formula>3000</formula>
    </cfRule>
    <cfRule type="cellIs" dxfId="1216" priority="569" stopIfTrue="1" operator="between">
      <formula>3000</formula>
      <formula>9000</formula>
    </cfRule>
    <cfRule type="cellIs" dxfId="1215" priority="570" stopIfTrue="1" operator="greaterThanOrEqual">
      <formula>9000</formula>
    </cfRule>
  </conditionalFormatting>
  <conditionalFormatting sqref="Q104">
    <cfRule type="cellIs" dxfId="1214" priority="565" stopIfTrue="1" operator="lessThanOrEqual">
      <formula>3000</formula>
    </cfRule>
    <cfRule type="cellIs" dxfId="1213" priority="566" stopIfTrue="1" operator="between">
      <formula>3000</formula>
      <formula>9000</formula>
    </cfRule>
    <cfRule type="cellIs" dxfId="1212" priority="567" stopIfTrue="1" operator="greaterThanOrEqual">
      <formula>9000</formula>
    </cfRule>
  </conditionalFormatting>
  <conditionalFormatting sqref="R104">
    <cfRule type="cellIs" dxfId="1211" priority="562" stopIfTrue="1" operator="lessThanOrEqual">
      <formula>3000</formula>
    </cfRule>
    <cfRule type="cellIs" dxfId="1210" priority="563" stopIfTrue="1" operator="between">
      <formula>3000</formula>
      <formula>9000</formula>
    </cfRule>
    <cfRule type="cellIs" dxfId="1209" priority="564" stopIfTrue="1" operator="greaterThanOrEqual">
      <formula>9000</formula>
    </cfRule>
  </conditionalFormatting>
  <conditionalFormatting sqref="X104:Y104">
    <cfRule type="cellIs" dxfId="1208" priority="559" stopIfTrue="1" operator="lessThanOrEqual">
      <formula>3000</formula>
    </cfRule>
    <cfRule type="cellIs" dxfId="1207" priority="560" stopIfTrue="1" operator="between">
      <formula>3000</formula>
      <formula>9000</formula>
    </cfRule>
    <cfRule type="cellIs" dxfId="1206" priority="561" stopIfTrue="1" operator="greaterThanOrEqual">
      <formula>9000</formula>
    </cfRule>
  </conditionalFormatting>
  <conditionalFormatting sqref="AA104">
    <cfRule type="cellIs" dxfId="1205" priority="556" stopIfTrue="1" operator="lessThanOrEqual">
      <formula>3000</formula>
    </cfRule>
    <cfRule type="cellIs" dxfId="1204" priority="557" stopIfTrue="1" operator="between">
      <formula>3000</formula>
      <formula>9000</formula>
    </cfRule>
    <cfRule type="cellIs" dxfId="1203" priority="558" stopIfTrue="1" operator="greaterThanOrEqual">
      <formula>9000</formula>
    </cfRule>
  </conditionalFormatting>
  <conditionalFormatting sqref="AB104">
    <cfRule type="cellIs" dxfId="1202" priority="553" stopIfTrue="1" operator="lessThanOrEqual">
      <formula>3000</formula>
    </cfRule>
    <cfRule type="cellIs" dxfId="1201" priority="554" stopIfTrue="1" operator="between">
      <formula>3000</formula>
      <formula>9000</formula>
    </cfRule>
    <cfRule type="cellIs" dxfId="1200" priority="555" stopIfTrue="1" operator="greaterThanOrEqual">
      <formula>9000</formula>
    </cfRule>
  </conditionalFormatting>
  <conditionalFormatting sqref="AC104">
    <cfRule type="cellIs" dxfId="1199" priority="550" stopIfTrue="1" operator="lessThanOrEqual">
      <formula>3000</formula>
    </cfRule>
    <cfRule type="cellIs" dxfId="1198" priority="551" stopIfTrue="1" operator="between">
      <formula>3000</formula>
      <formula>9000</formula>
    </cfRule>
    <cfRule type="cellIs" dxfId="1197" priority="552" stopIfTrue="1" operator="greaterThanOrEqual">
      <formula>9000</formula>
    </cfRule>
  </conditionalFormatting>
  <conditionalFormatting sqref="AD104">
    <cfRule type="cellIs" dxfId="1196" priority="547" stopIfTrue="1" operator="lessThanOrEqual">
      <formula>3000</formula>
    </cfRule>
    <cfRule type="cellIs" dxfId="1195" priority="548" stopIfTrue="1" operator="between">
      <formula>3000</formula>
      <formula>9000</formula>
    </cfRule>
    <cfRule type="cellIs" dxfId="1194" priority="549" stopIfTrue="1" operator="greaterThanOrEqual">
      <formula>9000</formula>
    </cfRule>
  </conditionalFormatting>
  <conditionalFormatting sqref="AJ104">
    <cfRule type="cellIs" dxfId="1193" priority="544" stopIfTrue="1" operator="lessThanOrEqual">
      <formula>3000</formula>
    </cfRule>
    <cfRule type="cellIs" dxfId="1192" priority="545" stopIfTrue="1" operator="between">
      <formula>3000</formula>
      <formula>9000</formula>
    </cfRule>
    <cfRule type="cellIs" dxfId="1191" priority="546" stopIfTrue="1" operator="greaterThanOrEqual">
      <formula>9000</formula>
    </cfRule>
  </conditionalFormatting>
  <conditionalFormatting sqref="V104:W104">
    <cfRule type="cellIs" dxfId="1190" priority="541" stopIfTrue="1" operator="lessThanOrEqual">
      <formula>3000</formula>
    </cfRule>
    <cfRule type="cellIs" dxfId="1189" priority="542" stopIfTrue="1" operator="between">
      <formula>3000</formula>
      <formula>9000</formula>
    </cfRule>
    <cfRule type="cellIs" dxfId="1188" priority="543" stopIfTrue="1" operator="greaterThanOrEqual">
      <formula>9000</formula>
    </cfRule>
  </conditionalFormatting>
  <conditionalFormatting sqref="AF104">
    <cfRule type="cellIs" dxfId="1187" priority="538" stopIfTrue="1" operator="lessThanOrEqual">
      <formula>3000</formula>
    </cfRule>
    <cfRule type="cellIs" dxfId="1186" priority="539" stopIfTrue="1" operator="between">
      <formula>3000</formula>
      <formula>9000</formula>
    </cfRule>
    <cfRule type="cellIs" dxfId="1185" priority="540" stopIfTrue="1" operator="greaterThanOrEqual">
      <formula>9000</formula>
    </cfRule>
  </conditionalFormatting>
  <conditionalFormatting sqref="AG104">
    <cfRule type="cellIs" dxfId="1184" priority="535" stopIfTrue="1" operator="lessThanOrEqual">
      <formula>3000</formula>
    </cfRule>
    <cfRule type="cellIs" dxfId="1183" priority="536" stopIfTrue="1" operator="between">
      <formula>3000</formula>
      <formula>9000</formula>
    </cfRule>
    <cfRule type="cellIs" dxfId="1182" priority="537" stopIfTrue="1" operator="greaterThanOrEqual">
      <formula>9000</formula>
    </cfRule>
  </conditionalFormatting>
  <conditionalFormatting sqref="AH104">
    <cfRule type="cellIs" dxfId="1181" priority="532" stopIfTrue="1" operator="lessThanOrEqual">
      <formula>3000</formula>
    </cfRule>
    <cfRule type="cellIs" dxfId="1180" priority="533" stopIfTrue="1" operator="between">
      <formula>3000</formula>
      <formula>9000</formula>
    </cfRule>
    <cfRule type="cellIs" dxfId="1179" priority="534" stopIfTrue="1" operator="greaterThanOrEqual">
      <formula>9000</formula>
    </cfRule>
  </conditionalFormatting>
  <conditionalFormatting sqref="AI104">
    <cfRule type="cellIs" dxfId="1178" priority="529" stopIfTrue="1" operator="lessThanOrEqual">
      <formula>3000</formula>
    </cfRule>
    <cfRule type="cellIs" dxfId="1177" priority="530" stopIfTrue="1" operator="between">
      <formula>3000</formula>
      <formula>9000</formula>
    </cfRule>
    <cfRule type="cellIs" dxfId="1176" priority="531" stopIfTrue="1" operator="greaterThanOrEqual">
      <formula>9000</formula>
    </cfRule>
  </conditionalFormatting>
  <conditionalFormatting sqref="G26:H26">
    <cfRule type="cellIs" dxfId="1175" priority="526" stopIfTrue="1" operator="lessThanOrEqual">
      <formula>3000</formula>
    </cfRule>
    <cfRule type="cellIs" dxfId="1174" priority="527" stopIfTrue="1" operator="between">
      <formula>3000</formula>
      <formula>9000</formula>
    </cfRule>
    <cfRule type="cellIs" dxfId="1173" priority="528" stopIfTrue="1" operator="greaterThanOrEqual">
      <formula>9000</formula>
    </cfRule>
  </conditionalFormatting>
  <conditionalFormatting sqref="J26">
    <cfRule type="cellIs" dxfId="1172" priority="523" stopIfTrue="1" operator="lessThanOrEqual">
      <formula>3000</formula>
    </cfRule>
    <cfRule type="cellIs" dxfId="1171" priority="524" stopIfTrue="1" operator="between">
      <formula>3000</formula>
      <formula>9000</formula>
    </cfRule>
    <cfRule type="cellIs" dxfId="1170" priority="525" stopIfTrue="1" operator="greaterThanOrEqual">
      <formula>9000</formula>
    </cfRule>
  </conditionalFormatting>
  <conditionalFormatting sqref="K26">
    <cfRule type="cellIs" dxfId="1169" priority="520" stopIfTrue="1" operator="lessThanOrEqual">
      <formula>3000</formula>
    </cfRule>
    <cfRule type="cellIs" dxfId="1168" priority="521" stopIfTrue="1" operator="between">
      <formula>3000</formula>
      <formula>9000</formula>
    </cfRule>
    <cfRule type="cellIs" dxfId="1167" priority="522" stopIfTrue="1" operator="greaterThanOrEqual">
      <formula>9000</formula>
    </cfRule>
  </conditionalFormatting>
  <conditionalFormatting sqref="L26">
    <cfRule type="cellIs" dxfId="1166" priority="517" stopIfTrue="1" operator="lessThanOrEqual">
      <formula>3000</formula>
    </cfRule>
    <cfRule type="cellIs" dxfId="1165" priority="518" stopIfTrue="1" operator="between">
      <formula>3000</formula>
      <formula>9000</formula>
    </cfRule>
    <cfRule type="cellIs" dxfId="1164" priority="519" stopIfTrue="1" operator="greaterThanOrEqual">
      <formula>9000</formula>
    </cfRule>
  </conditionalFormatting>
  <conditionalFormatting sqref="M26">
    <cfRule type="cellIs" dxfId="1163" priority="514" stopIfTrue="1" operator="lessThanOrEqual">
      <formula>3000</formula>
    </cfRule>
    <cfRule type="cellIs" dxfId="1162" priority="515" stopIfTrue="1" operator="between">
      <formula>3000</formula>
      <formula>9000</formula>
    </cfRule>
    <cfRule type="cellIs" dxfId="1161" priority="516" stopIfTrue="1" operator="greaterThanOrEqual">
      <formula>9000</formula>
    </cfRule>
  </conditionalFormatting>
  <conditionalFormatting sqref="S26">
    <cfRule type="cellIs" dxfId="1160" priority="511" stopIfTrue="1" operator="lessThanOrEqual">
      <formula>3000</formula>
    </cfRule>
    <cfRule type="cellIs" dxfId="1159" priority="512" stopIfTrue="1" operator="between">
      <formula>3000</formula>
      <formula>9000</formula>
    </cfRule>
    <cfRule type="cellIs" dxfId="1158" priority="513" stopIfTrue="1" operator="greaterThanOrEqual">
      <formula>9000</formula>
    </cfRule>
  </conditionalFormatting>
  <conditionalFormatting sqref="E26:F26">
    <cfRule type="cellIs" dxfId="1157" priority="508" stopIfTrue="1" operator="lessThanOrEqual">
      <formula>3000</formula>
    </cfRule>
    <cfRule type="cellIs" dxfId="1156" priority="509" stopIfTrue="1" operator="between">
      <formula>3000</formula>
      <formula>9000</formula>
    </cfRule>
    <cfRule type="cellIs" dxfId="1155" priority="510" stopIfTrue="1" operator="greaterThanOrEqual">
      <formula>9000</formula>
    </cfRule>
  </conditionalFormatting>
  <conditionalFormatting sqref="O26">
    <cfRule type="cellIs" dxfId="1154" priority="505" stopIfTrue="1" operator="lessThanOrEqual">
      <formula>3000</formula>
    </cfRule>
    <cfRule type="cellIs" dxfId="1153" priority="506" stopIfTrue="1" operator="between">
      <formula>3000</formula>
      <formula>9000</formula>
    </cfRule>
    <cfRule type="cellIs" dxfId="1152" priority="507" stopIfTrue="1" operator="greaterThanOrEqual">
      <formula>9000</formula>
    </cfRule>
  </conditionalFormatting>
  <conditionalFormatting sqref="P26">
    <cfRule type="cellIs" dxfId="1151" priority="502" stopIfTrue="1" operator="lessThanOrEqual">
      <formula>3000</formula>
    </cfRule>
    <cfRule type="cellIs" dxfId="1150" priority="503" stopIfTrue="1" operator="between">
      <formula>3000</formula>
      <formula>9000</formula>
    </cfRule>
    <cfRule type="cellIs" dxfId="1149" priority="504" stopIfTrue="1" operator="greaterThanOrEqual">
      <formula>9000</formula>
    </cfRule>
  </conditionalFormatting>
  <conditionalFormatting sqref="Q26">
    <cfRule type="cellIs" dxfId="1148" priority="499" stopIfTrue="1" operator="lessThanOrEqual">
      <formula>3000</formula>
    </cfRule>
    <cfRule type="cellIs" dxfId="1147" priority="500" stopIfTrue="1" operator="between">
      <formula>3000</formula>
      <formula>9000</formula>
    </cfRule>
    <cfRule type="cellIs" dxfId="1146" priority="501" stopIfTrue="1" operator="greaterThanOrEqual">
      <formula>9000</formula>
    </cfRule>
  </conditionalFormatting>
  <conditionalFormatting sqref="R26">
    <cfRule type="cellIs" dxfId="1145" priority="496" stopIfTrue="1" operator="lessThanOrEqual">
      <formula>3000</formula>
    </cfRule>
    <cfRule type="cellIs" dxfId="1144" priority="497" stopIfTrue="1" operator="between">
      <formula>3000</formula>
      <formula>9000</formula>
    </cfRule>
    <cfRule type="cellIs" dxfId="1143" priority="498" stopIfTrue="1" operator="greaterThanOrEqual">
      <formula>9000</formula>
    </cfRule>
  </conditionalFormatting>
  <conditionalFormatting sqref="G32:H32">
    <cfRule type="cellIs" dxfId="1142" priority="493" stopIfTrue="1" operator="lessThanOrEqual">
      <formula>3000</formula>
    </cfRule>
    <cfRule type="cellIs" dxfId="1141" priority="494" stopIfTrue="1" operator="between">
      <formula>3000</formula>
      <formula>9000</formula>
    </cfRule>
    <cfRule type="cellIs" dxfId="1140" priority="495" stopIfTrue="1" operator="greaterThanOrEqual">
      <formula>9000</formula>
    </cfRule>
  </conditionalFormatting>
  <conditionalFormatting sqref="J32">
    <cfRule type="cellIs" dxfId="1139" priority="490" stopIfTrue="1" operator="lessThanOrEqual">
      <formula>3000</formula>
    </cfRule>
    <cfRule type="cellIs" dxfId="1138" priority="491" stopIfTrue="1" operator="between">
      <formula>3000</formula>
      <formula>9000</formula>
    </cfRule>
    <cfRule type="cellIs" dxfId="1137" priority="492" stopIfTrue="1" operator="greaterThanOrEqual">
      <formula>9000</formula>
    </cfRule>
  </conditionalFormatting>
  <conditionalFormatting sqref="K32">
    <cfRule type="cellIs" dxfId="1136" priority="487" stopIfTrue="1" operator="lessThanOrEqual">
      <formula>3000</formula>
    </cfRule>
    <cfRule type="cellIs" dxfId="1135" priority="488" stopIfTrue="1" operator="between">
      <formula>3000</formula>
      <formula>9000</formula>
    </cfRule>
    <cfRule type="cellIs" dxfId="1134" priority="489" stopIfTrue="1" operator="greaterThanOrEqual">
      <formula>9000</formula>
    </cfRule>
  </conditionalFormatting>
  <conditionalFormatting sqref="L32">
    <cfRule type="cellIs" dxfId="1133" priority="484" stopIfTrue="1" operator="lessThanOrEqual">
      <formula>3000</formula>
    </cfRule>
    <cfRule type="cellIs" dxfId="1132" priority="485" stopIfTrue="1" operator="between">
      <formula>3000</formula>
      <formula>9000</formula>
    </cfRule>
    <cfRule type="cellIs" dxfId="1131" priority="486" stopIfTrue="1" operator="greaterThanOrEqual">
      <formula>9000</formula>
    </cfRule>
  </conditionalFormatting>
  <conditionalFormatting sqref="M32">
    <cfRule type="cellIs" dxfId="1130" priority="481" stopIfTrue="1" operator="lessThanOrEqual">
      <formula>3000</formula>
    </cfRule>
    <cfRule type="cellIs" dxfId="1129" priority="482" stopIfTrue="1" operator="between">
      <formula>3000</formula>
      <formula>9000</formula>
    </cfRule>
    <cfRule type="cellIs" dxfId="1128" priority="483" stopIfTrue="1" operator="greaterThanOrEqual">
      <formula>9000</formula>
    </cfRule>
  </conditionalFormatting>
  <conditionalFormatting sqref="S32">
    <cfRule type="cellIs" dxfId="1127" priority="478" stopIfTrue="1" operator="lessThanOrEqual">
      <formula>3000</formula>
    </cfRule>
    <cfRule type="cellIs" dxfId="1126" priority="479" stopIfTrue="1" operator="between">
      <formula>3000</formula>
      <formula>9000</formula>
    </cfRule>
    <cfRule type="cellIs" dxfId="1125" priority="480" stopIfTrue="1" operator="greaterThanOrEqual">
      <formula>9000</formula>
    </cfRule>
  </conditionalFormatting>
  <conditionalFormatting sqref="E32:F32">
    <cfRule type="cellIs" dxfId="1124" priority="475" stopIfTrue="1" operator="lessThanOrEqual">
      <formula>3000</formula>
    </cfRule>
    <cfRule type="cellIs" dxfId="1123" priority="476" stopIfTrue="1" operator="between">
      <formula>3000</formula>
      <formula>9000</formula>
    </cfRule>
    <cfRule type="cellIs" dxfId="1122" priority="477" stopIfTrue="1" operator="greaterThanOrEqual">
      <formula>9000</formula>
    </cfRule>
  </conditionalFormatting>
  <conditionalFormatting sqref="O32">
    <cfRule type="cellIs" dxfId="1121" priority="472" stopIfTrue="1" operator="lessThanOrEqual">
      <formula>3000</formula>
    </cfRule>
    <cfRule type="cellIs" dxfId="1120" priority="473" stopIfTrue="1" operator="between">
      <formula>3000</formula>
      <formula>9000</formula>
    </cfRule>
    <cfRule type="cellIs" dxfId="1119" priority="474" stopIfTrue="1" operator="greaterThanOrEqual">
      <formula>9000</formula>
    </cfRule>
  </conditionalFormatting>
  <conditionalFormatting sqref="P32">
    <cfRule type="cellIs" dxfId="1118" priority="469" stopIfTrue="1" operator="lessThanOrEqual">
      <formula>3000</formula>
    </cfRule>
    <cfRule type="cellIs" dxfId="1117" priority="470" stopIfTrue="1" operator="between">
      <formula>3000</formula>
      <formula>9000</formula>
    </cfRule>
    <cfRule type="cellIs" dxfId="1116" priority="471" stopIfTrue="1" operator="greaterThanOrEqual">
      <formula>9000</formula>
    </cfRule>
  </conditionalFormatting>
  <conditionalFormatting sqref="Q32">
    <cfRule type="cellIs" dxfId="1115" priority="466" stopIfTrue="1" operator="lessThanOrEqual">
      <formula>3000</formula>
    </cfRule>
    <cfRule type="cellIs" dxfId="1114" priority="467" stopIfTrue="1" operator="between">
      <formula>3000</formula>
      <formula>9000</formula>
    </cfRule>
    <cfRule type="cellIs" dxfId="1113" priority="468" stopIfTrue="1" operator="greaterThanOrEqual">
      <formula>9000</formula>
    </cfRule>
  </conditionalFormatting>
  <conditionalFormatting sqref="R32">
    <cfRule type="cellIs" dxfId="1112" priority="463" stopIfTrue="1" operator="lessThanOrEqual">
      <formula>3000</formula>
    </cfRule>
    <cfRule type="cellIs" dxfId="1111" priority="464" stopIfTrue="1" operator="between">
      <formula>3000</formula>
      <formula>9000</formula>
    </cfRule>
    <cfRule type="cellIs" dxfId="1110" priority="465" stopIfTrue="1" operator="greaterThanOrEqual">
      <formula>9000</formula>
    </cfRule>
  </conditionalFormatting>
  <conditionalFormatting sqref="X26:Y26">
    <cfRule type="cellIs" dxfId="1109" priority="460" stopIfTrue="1" operator="lessThanOrEqual">
      <formula>3000</formula>
    </cfRule>
    <cfRule type="cellIs" dxfId="1108" priority="461" stopIfTrue="1" operator="between">
      <formula>3000</formula>
      <formula>9000</formula>
    </cfRule>
    <cfRule type="cellIs" dxfId="1107" priority="462" stopIfTrue="1" operator="greaterThanOrEqual">
      <formula>9000</formula>
    </cfRule>
  </conditionalFormatting>
  <conditionalFormatting sqref="AA26">
    <cfRule type="cellIs" dxfId="1106" priority="457" stopIfTrue="1" operator="lessThanOrEqual">
      <formula>3000</formula>
    </cfRule>
    <cfRule type="cellIs" dxfId="1105" priority="458" stopIfTrue="1" operator="between">
      <formula>3000</formula>
      <formula>9000</formula>
    </cfRule>
    <cfRule type="cellIs" dxfId="1104" priority="459" stopIfTrue="1" operator="greaterThanOrEqual">
      <formula>9000</formula>
    </cfRule>
  </conditionalFormatting>
  <conditionalFormatting sqref="AB26">
    <cfRule type="cellIs" dxfId="1103" priority="454" stopIfTrue="1" operator="lessThanOrEqual">
      <formula>3000</formula>
    </cfRule>
    <cfRule type="cellIs" dxfId="1102" priority="455" stopIfTrue="1" operator="between">
      <formula>3000</formula>
      <formula>9000</formula>
    </cfRule>
    <cfRule type="cellIs" dxfId="1101" priority="456" stopIfTrue="1" operator="greaterThanOrEqual">
      <formula>9000</formula>
    </cfRule>
  </conditionalFormatting>
  <conditionalFormatting sqref="AC26">
    <cfRule type="cellIs" dxfId="1100" priority="451" stopIfTrue="1" operator="lessThanOrEqual">
      <formula>3000</formula>
    </cfRule>
    <cfRule type="cellIs" dxfId="1099" priority="452" stopIfTrue="1" operator="between">
      <formula>3000</formula>
      <formula>9000</formula>
    </cfRule>
    <cfRule type="cellIs" dxfId="1098" priority="453" stopIfTrue="1" operator="greaterThanOrEqual">
      <formula>9000</formula>
    </cfRule>
  </conditionalFormatting>
  <conditionalFormatting sqref="AD26">
    <cfRule type="cellIs" dxfId="1097" priority="448" stopIfTrue="1" operator="lessThanOrEqual">
      <formula>3000</formula>
    </cfRule>
    <cfRule type="cellIs" dxfId="1096" priority="449" stopIfTrue="1" operator="between">
      <formula>3000</formula>
      <formula>9000</formula>
    </cfRule>
    <cfRule type="cellIs" dxfId="1095" priority="450" stopIfTrue="1" operator="greaterThanOrEqual">
      <formula>9000</formula>
    </cfRule>
  </conditionalFormatting>
  <conditionalFormatting sqref="AJ26">
    <cfRule type="cellIs" dxfId="1094" priority="445" stopIfTrue="1" operator="lessThanOrEqual">
      <formula>3000</formula>
    </cfRule>
    <cfRule type="cellIs" dxfId="1093" priority="446" stopIfTrue="1" operator="between">
      <formula>3000</formula>
      <formula>9000</formula>
    </cfRule>
    <cfRule type="cellIs" dxfId="1092" priority="447" stopIfTrue="1" operator="greaterThanOrEqual">
      <formula>9000</formula>
    </cfRule>
  </conditionalFormatting>
  <conditionalFormatting sqref="V26:W26">
    <cfRule type="cellIs" dxfId="1091" priority="442" stopIfTrue="1" operator="lessThanOrEqual">
      <formula>3000</formula>
    </cfRule>
    <cfRule type="cellIs" dxfId="1090" priority="443" stopIfTrue="1" operator="between">
      <formula>3000</formula>
      <formula>9000</formula>
    </cfRule>
    <cfRule type="cellIs" dxfId="1089" priority="444" stopIfTrue="1" operator="greaterThanOrEqual">
      <formula>9000</formula>
    </cfRule>
  </conditionalFormatting>
  <conditionalFormatting sqref="AF26">
    <cfRule type="cellIs" dxfId="1088" priority="439" stopIfTrue="1" operator="lessThanOrEqual">
      <formula>3000</formula>
    </cfRule>
    <cfRule type="cellIs" dxfId="1087" priority="440" stopIfTrue="1" operator="between">
      <formula>3000</formula>
      <formula>9000</formula>
    </cfRule>
    <cfRule type="cellIs" dxfId="1086" priority="441" stopIfTrue="1" operator="greaterThanOrEqual">
      <formula>9000</formula>
    </cfRule>
  </conditionalFormatting>
  <conditionalFormatting sqref="AG26">
    <cfRule type="cellIs" dxfId="1085" priority="436" stopIfTrue="1" operator="lessThanOrEqual">
      <formula>3000</formula>
    </cfRule>
    <cfRule type="cellIs" dxfId="1084" priority="437" stopIfTrue="1" operator="between">
      <formula>3000</formula>
      <formula>9000</formula>
    </cfRule>
    <cfRule type="cellIs" dxfId="1083" priority="438" stopIfTrue="1" operator="greaterThanOrEqual">
      <formula>9000</formula>
    </cfRule>
  </conditionalFormatting>
  <conditionalFormatting sqref="AH26">
    <cfRule type="cellIs" dxfId="1082" priority="433" stopIfTrue="1" operator="lessThanOrEqual">
      <formula>3000</formula>
    </cfRule>
    <cfRule type="cellIs" dxfId="1081" priority="434" stopIfTrue="1" operator="between">
      <formula>3000</formula>
      <formula>9000</formula>
    </cfRule>
    <cfRule type="cellIs" dxfId="1080" priority="435" stopIfTrue="1" operator="greaterThanOrEqual">
      <formula>9000</formula>
    </cfRule>
  </conditionalFormatting>
  <conditionalFormatting sqref="AI26">
    <cfRule type="cellIs" dxfId="1079" priority="430" stopIfTrue="1" operator="lessThanOrEqual">
      <formula>3000</formula>
    </cfRule>
    <cfRule type="cellIs" dxfId="1078" priority="431" stopIfTrue="1" operator="between">
      <formula>3000</formula>
      <formula>9000</formula>
    </cfRule>
    <cfRule type="cellIs" dxfId="1077" priority="432" stopIfTrue="1" operator="greaterThanOrEqual">
      <formula>9000</formula>
    </cfRule>
  </conditionalFormatting>
  <conditionalFormatting sqref="X32:Y32">
    <cfRule type="cellIs" dxfId="1076" priority="427" stopIfTrue="1" operator="lessThanOrEqual">
      <formula>3000</formula>
    </cfRule>
    <cfRule type="cellIs" dxfId="1075" priority="428" stopIfTrue="1" operator="between">
      <formula>3000</formula>
      <formula>9000</formula>
    </cfRule>
    <cfRule type="cellIs" dxfId="1074" priority="429" stopIfTrue="1" operator="greaterThanOrEqual">
      <formula>9000</formula>
    </cfRule>
  </conditionalFormatting>
  <conditionalFormatting sqref="AA32">
    <cfRule type="cellIs" dxfId="1073" priority="424" stopIfTrue="1" operator="lessThanOrEqual">
      <formula>3000</formula>
    </cfRule>
    <cfRule type="cellIs" dxfId="1072" priority="425" stopIfTrue="1" operator="between">
      <formula>3000</formula>
      <formula>9000</formula>
    </cfRule>
    <cfRule type="cellIs" dxfId="1071" priority="426" stopIfTrue="1" operator="greaterThanOrEqual">
      <formula>9000</formula>
    </cfRule>
  </conditionalFormatting>
  <conditionalFormatting sqref="AB32">
    <cfRule type="cellIs" dxfId="1070" priority="421" stopIfTrue="1" operator="lessThanOrEqual">
      <formula>3000</formula>
    </cfRule>
    <cfRule type="cellIs" dxfId="1069" priority="422" stopIfTrue="1" operator="between">
      <formula>3000</formula>
      <formula>9000</formula>
    </cfRule>
    <cfRule type="cellIs" dxfId="1068" priority="423" stopIfTrue="1" operator="greaterThanOrEqual">
      <formula>9000</formula>
    </cfRule>
  </conditionalFormatting>
  <conditionalFormatting sqref="AC32">
    <cfRule type="cellIs" dxfId="1067" priority="418" stopIfTrue="1" operator="lessThanOrEqual">
      <formula>3000</formula>
    </cfRule>
    <cfRule type="cellIs" dxfId="1066" priority="419" stopIfTrue="1" operator="between">
      <formula>3000</formula>
      <formula>9000</formula>
    </cfRule>
    <cfRule type="cellIs" dxfId="1065" priority="420" stopIfTrue="1" operator="greaterThanOrEqual">
      <formula>9000</formula>
    </cfRule>
  </conditionalFormatting>
  <conditionalFormatting sqref="AD32">
    <cfRule type="cellIs" dxfId="1064" priority="415" stopIfTrue="1" operator="lessThanOrEqual">
      <formula>3000</formula>
    </cfRule>
    <cfRule type="cellIs" dxfId="1063" priority="416" stopIfTrue="1" operator="between">
      <formula>3000</formula>
      <formula>9000</formula>
    </cfRule>
    <cfRule type="cellIs" dxfId="1062" priority="417" stopIfTrue="1" operator="greaterThanOrEqual">
      <formula>9000</formula>
    </cfRule>
  </conditionalFormatting>
  <conditionalFormatting sqref="AJ32">
    <cfRule type="cellIs" dxfId="1061" priority="412" stopIfTrue="1" operator="lessThanOrEqual">
      <formula>3000</formula>
    </cfRule>
    <cfRule type="cellIs" dxfId="1060" priority="413" stopIfTrue="1" operator="between">
      <formula>3000</formula>
      <formula>9000</formula>
    </cfRule>
    <cfRule type="cellIs" dxfId="1059" priority="414" stopIfTrue="1" operator="greaterThanOrEqual">
      <formula>9000</formula>
    </cfRule>
  </conditionalFormatting>
  <conditionalFormatting sqref="V32:W32">
    <cfRule type="cellIs" dxfId="1058" priority="409" stopIfTrue="1" operator="lessThanOrEqual">
      <formula>3000</formula>
    </cfRule>
    <cfRule type="cellIs" dxfId="1057" priority="410" stopIfTrue="1" operator="between">
      <formula>3000</formula>
      <formula>9000</formula>
    </cfRule>
    <cfRule type="cellIs" dxfId="1056" priority="411" stopIfTrue="1" operator="greaterThanOrEqual">
      <formula>9000</formula>
    </cfRule>
  </conditionalFormatting>
  <conditionalFormatting sqref="AF32">
    <cfRule type="cellIs" dxfId="1055" priority="406" stopIfTrue="1" operator="lessThanOrEqual">
      <formula>3000</formula>
    </cfRule>
    <cfRule type="cellIs" dxfId="1054" priority="407" stopIfTrue="1" operator="between">
      <formula>3000</formula>
      <formula>9000</formula>
    </cfRule>
    <cfRule type="cellIs" dxfId="1053" priority="408" stopIfTrue="1" operator="greaterThanOrEqual">
      <formula>9000</formula>
    </cfRule>
  </conditionalFormatting>
  <conditionalFormatting sqref="AG32">
    <cfRule type="cellIs" dxfId="1052" priority="403" stopIfTrue="1" operator="lessThanOrEqual">
      <formula>3000</formula>
    </cfRule>
    <cfRule type="cellIs" dxfId="1051" priority="404" stopIfTrue="1" operator="between">
      <formula>3000</formula>
      <formula>9000</formula>
    </cfRule>
    <cfRule type="cellIs" dxfId="1050" priority="405" stopIfTrue="1" operator="greaterThanOrEqual">
      <formula>9000</formula>
    </cfRule>
  </conditionalFormatting>
  <conditionalFormatting sqref="AH32">
    <cfRule type="cellIs" dxfId="1049" priority="400" stopIfTrue="1" operator="lessThanOrEqual">
      <formula>3000</formula>
    </cfRule>
    <cfRule type="cellIs" dxfId="1048" priority="401" stopIfTrue="1" operator="between">
      <formula>3000</formula>
      <formula>9000</formula>
    </cfRule>
    <cfRule type="cellIs" dxfId="1047" priority="402" stopIfTrue="1" operator="greaterThanOrEqual">
      <formula>9000</formula>
    </cfRule>
  </conditionalFormatting>
  <conditionalFormatting sqref="AI32">
    <cfRule type="cellIs" dxfId="1046" priority="397" stopIfTrue="1" operator="lessThanOrEqual">
      <formula>3000</formula>
    </cfRule>
    <cfRule type="cellIs" dxfId="1045" priority="398" stopIfTrue="1" operator="between">
      <formula>3000</formula>
      <formula>9000</formula>
    </cfRule>
    <cfRule type="cellIs" dxfId="1044" priority="399" stopIfTrue="1" operator="greaterThanOrEqual">
      <formula>9000</formula>
    </cfRule>
  </conditionalFormatting>
  <conditionalFormatting sqref="G50:H50">
    <cfRule type="cellIs" dxfId="1043" priority="394" stopIfTrue="1" operator="lessThanOrEqual">
      <formula>3000</formula>
    </cfRule>
    <cfRule type="cellIs" dxfId="1042" priority="395" stopIfTrue="1" operator="between">
      <formula>3000</formula>
      <formula>9000</formula>
    </cfRule>
    <cfRule type="cellIs" dxfId="1041" priority="396" stopIfTrue="1" operator="greaterThanOrEqual">
      <formula>9000</formula>
    </cfRule>
  </conditionalFormatting>
  <conditionalFormatting sqref="J50">
    <cfRule type="cellIs" dxfId="1040" priority="391" stopIfTrue="1" operator="lessThanOrEqual">
      <formula>3000</formula>
    </cfRule>
    <cfRule type="cellIs" dxfId="1039" priority="392" stopIfTrue="1" operator="between">
      <formula>3000</formula>
      <formula>9000</formula>
    </cfRule>
    <cfRule type="cellIs" dxfId="1038" priority="393" stopIfTrue="1" operator="greaterThanOrEqual">
      <formula>9000</formula>
    </cfRule>
  </conditionalFormatting>
  <conditionalFormatting sqref="K50">
    <cfRule type="cellIs" dxfId="1037" priority="388" stopIfTrue="1" operator="lessThanOrEqual">
      <formula>3000</formula>
    </cfRule>
    <cfRule type="cellIs" dxfId="1036" priority="389" stopIfTrue="1" operator="between">
      <formula>3000</formula>
      <formula>9000</formula>
    </cfRule>
    <cfRule type="cellIs" dxfId="1035" priority="390" stopIfTrue="1" operator="greaterThanOrEqual">
      <formula>9000</formula>
    </cfRule>
  </conditionalFormatting>
  <conditionalFormatting sqref="L50">
    <cfRule type="cellIs" dxfId="1034" priority="385" stopIfTrue="1" operator="lessThanOrEqual">
      <formula>3000</formula>
    </cfRule>
    <cfRule type="cellIs" dxfId="1033" priority="386" stopIfTrue="1" operator="between">
      <formula>3000</formula>
      <formula>9000</formula>
    </cfRule>
    <cfRule type="cellIs" dxfId="1032" priority="387" stopIfTrue="1" operator="greaterThanOrEqual">
      <formula>9000</formula>
    </cfRule>
  </conditionalFormatting>
  <conditionalFormatting sqref="M50">
    <cfRule type="cellIs" dxfId="1031" priority="382" stopIfTrue="1" operator="lessThanOrEqual">
      <formula>3000</formula>
    </cfRule>
    <cfRule type="cellIs" dxfId="1030" priority="383" stopIfTrue="1" operator="between">
      <formula>3000</formula>
      <formula>9000</formula>
    </cfRule>
    <cfRule type="cellIs" dxfId="1029" priority="384" stopIfTrue="1" operator="greaterThanOrEqual">
      <formula>9000</formula>
    </cfRule>
  </conditionalFormatting>
  <conditionalFormatting sqref="S50">
    <cfRule type="cellIs" dxfId="1028" priority="379" stopIfTrue="1" operator="lessThanOrEqual">
      <formula>3000</formula>
    </cfRule>
    <cfRule type="cellIs" dxfId="1027" priority="380" stopIfTrue="1" operator="between">
      <formula>3000</formula>
      <formula>9000</formula>
    </cfRule>
    <cfRule type="cellIs" dxfId="1026" priority="381" stopIfTrue="1" operator="greaterThanOrEqual">
      <formula>9000</formula>
    </cfRule>
  </conditionalFormatting>
  <conditionalFormatting sqref="E50:F50">
    <cfRule type="cellIs" dxfId="1025" priority="376" stopIfTrue="1" operator="lessThanOrEqual">
      <formula>3000</formula>
    </cfRule>
    <cfRule type="cellIs" dxfId="1024" priority="377" stopIfTrue="1" operator="between">
      <formula>3000</formula>
      <formula>9000</formula>
    </cfRule>
    <cfRule type="cellIs" dxfId="1023" priority="378" stopIfTrue="1" operator="greaterThanOrEqual">
      <formula>9000</formula>
    </cfRule>
  </conditionalFormatting>
  <conditionalFormatting sqref="O50">
    <cfRule type="cellIs" dxfId="1022" priority="373" stopIfTrue="1" operator="lessThanOrEqual">
      <formula>3000</formula>
    </cfRule>
    <cfRule type="cellIs" dxfId="1021" priority="374" stopIfTrue="1" operator="between">
      <formula>3000</formula>
      <formula>9000</formula>
    </cfRule>
    <cfRule type="cellIs" dxfId="1020" priority="375" stopIfTrue="1" operator="greaterThanOrEqual">
      <formula>9000</formula>
    </cfRule>
  </conditionalFormatting>
  <conditionalFormatting sqref="P50">
    <cfRule type="cellIs" dxfId="1019" priority="370" stopIfTrue="1" operator="lessThanOrEqual">
      <formula>3000</formula>
    </cfRule>
    <cfRule type="cellIs" dxfId="1018" priority="371" stopIfTrue="1" operator="between">
      <formula>3000</formula>
      <formula>9000</formula>
    </cfRule>
    <cfRule type="cellIs" dxfId="1017" priority="372" stopIfTrue="1" operator="greaterThanOrEqual">
      <formula>9000</formula>
    </cfRule>
  </conditionalFormatting>
  <conditionalFormatting sqref="Q50">
    <cfRule type="cellIs" dxfId="1016" priority="367" stopIfTrue="1" operator="lessThanOrEqual">
      <formula>3000</formula>
    </cfRule>
    <cfRule type="cellIs" dxfId="1015" priority="368" stopIfTrue="1" operator="between">
      <formula>3000</formula>
      <formula>9000</formula>
    </cfRule>
    <cfRule type="cellIs" dxfId="1014" priority="369" stopIfTrue="1" operator="greaterThanOrEqual">
      <formula>9000</formula>
    </cfRule>
  </conditionalFormatting>
  <conditionalFormatting sqref="R50">
    <cfRule type="cellIs" dxfId="1013" priority="364" stopIfTrue="1" operator="lessThanOrEqual">
      <formula>3000</formula>
    </cfRule>
    <cfRule type="cellIs" dxfId="1012" priority="365" stopIfTrue="1" operator="between">
      <formula>3000</formula>
      <formula>9000</formula>
    </cfRule>
    <cfRule type="cellIs" dxfId="1011" priority="366" stopIfTrue="1" operator="greaterThanOrEqual">
      <formula>9000</formula>
    </cfRule>
  </conditionalFormatting>
  <conditionalFormatting sqref="G56:H56">
    <cfRule type="cellIs" dxfId="1010" priority="361" stopIfTrue="1" operator="lessThanOrEqual">
      <formula>3000</formula>
    </cfRule>
    <cfRule type="cellIs" dxfId="1009" priority="362" stopIfTrue="1" operator="between">
      <formula>3000</formula>
      <formula>9000</formula>
    </cfRule>
    <cfRule type="cellIs" dxfId="1008" priority="363" stopIfTrue="1" operator="greaterThanOrEqual">
      <formula>9000</formula>
    </cfRule>
  </conditionalFormatting>
  <conditionalFormatting sqref="J56">
    <cfRule type="cellIs" dxfId="1007" priority="358" stopIfTrue="1" operator="lessThanOrEqual">
      <formula>3000</formula>
    </cfRule>
    <cfRule type="cellIs" dxfId="1006" priority="359" stopIfTrue="1" operator="between">
      <formula>3000</formula>
      <formula>9000</formula>
    </cfRule>
    <cfRule type="cellIs" dxfId="1005" priority="360" stopIfTrue="1" operator="greaterThanOrEqual">
      <formula>9000</formula>
    </cfRule>
  </conditionalFormatting>
  <conditionalFormatting sqref="K56">
    <cfRule type="cellIs" dxfId="1004" priority="355" stopIfTrue="1" operator="lessThanOrEqual">
      <formula>3000</formula>
    </cfRule>
    <cfRule type="cellIs" dxfId="1003" priority="356" stopIfTrue="1" operator="between">
      <formula>3000</formula>
      <formula>9000</formula>
    </cfRule>
    <cfRule type="cellIs" dxfId="1002" priority="357" stopIfTrue="1" operator="greaterThanOrEqual">
      <formula>9000</formula>
    </cfRule>
  </conditionalFormatting>
  <conditionalFormatting sqref="L56">
    <cfRule type="cellIs" dxfId="1001" priority="352" stopIfTrue="1" operator="lessThanOrEqual">
      <formula>3000</formula>
    </cfRule>
    <cfRule type="cellIs" dxfId="1000" priority="353" stopIfTrue="1" operator="between">
      <formula>3000</formula>
      <formula>9000</formula>
    </cfRule>
    <cfRule type="cellIs" dxfId="999" priority="354" stopIfTrue="1" operator="greaterThanOrEqual">
      <formula>9000</formula>
    </cfRule>
  </conditionalFormatting>
  <conditionalFormatting sqref="M56">
    <cfRule type="cellIs" dxfId="998" priority="349" stopIfTrue="1" operator="lessThanOrEqual">
      <formula>3000</formula>
    </cfRule>
    <cfRule type="cellIs" dxfId="997" priority="350" stopIfTrue="1" operator="between">
      <formula>3000</formula>
      <formula>9000</formula>
    </cfRule>
    <cfRule type="cellIs" dxfId="996" priority="351" stopIfTrue="1" operator="greaterThanOrEqual">
      <formula>9000</formula>
    </cfRule>
  </conditionalFormatting>
  <conditionalFormatting sqref="S56">
    <cfRule type="cellIs" dxfId="995" priority="346" stopIfTrue="1" operator="lessThanOrEqual">
      <formula>3000</formula>
    </cfRule>
    <cfRule type="cellIs" dxfId="994" priority="347" stopIfTrue="1" operator="between">
      <formula>3000</formula>
      <formula>9000</formula>
    </cfRule>
    <cfRule type="cellIs" dxfId="993" priority="348" stopIfTrue="1" operator="greaterThanOrEqual">
      <formula>9000</formula>
    </cfRule>
  </conditionalFormatting>
  <conditionalFormatting sqref="E56:F56">
    <cfRule type="cellIs" dxfId="992" priority="343" stopIfTrue="1" operator="lessThanOrEqual">
      <formula>3000</formula>
    </cfRule>
    <cfRule type="cellIs" dxfId="991" priority="344" stopIfTrue="1" operator="between">
      <formula>3000</formula>
      <formula>9000</formula>
    </cfRule>
    <cfRule type="cellIs" dxfId="990" priority="345" stopIfTrue="1" operator="greaterThanOrEqual">
      <formula>9000</formula>
    </cfRule>
  </conditionalFormatting>
  <conditionalFormatting sqref="O56">
    <cfRule type="cellIs" dxfId="989" priority="340" stopIfTrue="1" operator="lessThanOrEqual">
      <formula>3000</formula>
    </cfRule>
    <cfRule type="cellIs" dxfId="988" priority="341" stopIfTrue="1" operator="between">
      <formula>3000</formula>
      <formula>9000</formula>
    </cfRule>
    <cfRule type="cellIs" dxfId="987" priority="342" stopIfTrue="1" operator="greaterThanOrEqual">
      <formula>9000</formula>
    </cfRule>
  </conditionalFormatting>
  <conditionalFormatting sqref="P56">
    <cfRule type="cellIs" dxfId="986" priority="337" stopIfTrue="1" operator="lessThanOrEqual">
      <formula>3000</formula>
    </cfRule>
    <cfRule type="cellIs" dxfId="985" priority="338" stopIfTrue="1" operator="between">
      <formula>3000</formula>
      <formula>9000</formula>
    </cfRule>
    <cfRule type="cellIs" dxfId="984" priority="339" stopIfTrue="1" operator="greaterThanOrEqual">
      <formula>9000</formula>
    </cfRule>
  </conditionalFormatting>
  <conditionalFormatting sqref="Q56">
    <cfRule type="cellIs" dxfId="983" priority="334" stopIfTrue="1" operator="lessThanOrEqual">
      <formula>3000</formula>
    </cfRule>
    <cfRule type="cellIs" dxfId="982" priority="335" stopIfTrue="1" operator="between">
      <formula>3000</formula>
      <formula>9000</formula>
    </cfRule>
    <cfRule type="cellIs" dxfId="981" priority="336" stopIfTrue="1" operator="greaterThanOrEqual">
      <formula>9000</formula>
    </cfRule>
  </conditionalFormatting>
  <conditionalFormatting sqref="R56">
    <cfRule type="cellIs" dxfId="980" priority="331" stopIfTrue="1" operator="lessThanOrEqual">
      <formula>3000</formula>
    </cfRule>
    <cfRule type="cellIs" dxfId="979" priority="332" stopIfTrue="1" operator="between">
      <formula>3000</formula>
      <formula>9000</formula>
    </cfRule>
    <cfRule type="cellIs" dxfId="978" priority="333" stopIfTrue="1" operator="greaterThanOrEqual">
      <formula>9000</formula>
    </cfRule>
  </conditionalFormatting>
  <conditionalFormatting sqref="X50:Y50">
    <cfRule type="cellIs" dxfId="977" priority="328" stopIfTrue="1" operator="lessThanOrEqual">
      <formula>3000</formula>
    </cfRule>
    <cfRule type="cellIs" dxfId="976" priority="329" stopIfTrue="1" operator="between">
      <formula>3000</formula>
      <formula>9000</formula>
    </cfRule>
    <cfRule type="cellIs" dxfId="975" priority="330" stopIfTrue="1" operator="greaterThanOrEqual">
      <formula>9000</formula>
    </cfRule>
  </conditionalFormatting>
  <conditionalFormatting sqref="AA50">
    <cfRule type="cellIs" dxfId="974" priority="325" stopIfTrue="1" operator="lessThanOrEqual">
      <formula>3000</formula>
    </cfRule>
    <cfRule type="cellIs" dxfId="973" priority="326" stopIfTrue="1" operator="between">
      <formula>3000</formula>
      <formula>9000</formula>
    </cfRule>
    <cfRule type="cellIs" dxfId="972" priority="327" stopIfTrue="1" operator="greaterThanOrEqual">
      <formula>9000</formula>
    </cfRule>
  </conditionalFormatting>
  <conditionalFormatting sqref="AB50">
    <cfRule type="cellIs" dxfId="971" priority="322" stopIfTrue="1" operator="lessThanOrEqual">
      <formula>3000</formula>
    </cfRule>
    <cfRule type="cellIs" dxfId="970" priority="323" stopIfTrue="1" operator="between">
      <formula>3000</formula>
      <formula>9000</formula>
    </cfRule>
    <cfRule type="cellIs" dxfId="969" priority="324" stopIfTrue="1" operator="greaterThanOrEqual">
      <formula>9000</formula>
    </cfRule>
  </conditionalFormatting>
  <conditionalFormatting sqref="AC50">
    <cfRule type="cellIs" dxfId="968" priority="319" stopIfTrue="1" operator="lessThanOrEqual">
      <formula>3000</formula>
    </cfRule>
    <cfRule type="cellIs" dxfId="967" priority="320" stopIfTrue="1" operator="between">
      <formula>3000</formula>
      <formula>9000</formula>
    </cfRule>
    <cfRule type="cellIs" dxfId="966" priority="321" stopIfTrue="1" operator="greaterThanOrEqual">
      <formula>9000</formula>
    </cfRule>
  </conditionalFormatting>
  <conditionalFormatting sqref="AD50">
    <cfRule type="cellIs" dxfId="965" priority="316" stopIfTrue="1" operator="lessThanOrEqual">
      <formula>3000</formula>
    </cfRule>
    <cfRule type="cellIs" dxfId="964" priority="317" stopIfTrue="1" operator="between">
      <formula>3000</formula>
      <formula>9000</formula>
    </cfRule>
    <cfRule type="cellIs" dxfId="963" priority="318" stopIfTrue="1" operator="greaterThanOrEqual">
      <formula>9000</formula>
    </cfRule>
  </conditionalFormatting>
  <conditionalFormatting sqref="AJ50">
    <cfRule type="cellIs" dxfId="962" priority="313" stopIfTrue="1" operator="lessThanOrEqual">
      <formula>3000</formula>
    </cfRule>
    <cfRule type="cellIs" dxfId="961" priority="314" stopIfTrue="1" operator="between">
      <formula>3000</formula>
      <formula>9000</formula>
    </cfRule>
    <cfRule type="cellIs" dxfId="960" priority="315" stopIfTrue="1" operator="greaterThanOrEqual">
      <formula>9000</formula>
    </cfRule>
  </conditionalFormatting>
  <conditionalFormatting sqref="V50:W50">
    <cfRule type="cellIs" dxfId="959" priority="310" stopIfTrue="1" operator="lessThanOrEqual">
      <formula>3000</formula>
    </cfRule>
    <cfRule type="cellIs" dxfId="958" priority="311" stopIfTrue="1" operator="between">
      <formula>3000</formula>
      <formula>9000</formula>
    </cfRule>
    <cfRule type="cellIs" dxfId="957" priority="312" stopIfTrue="1" operator="greaterThanOrEqual">
      <formula>9000</formula>
    </cfRule>
  </conditionalFormatting>
  <conditionalFormatting sqref="AF50">
    <cfRule type="cellIs" dxfId="956" priority="307" stopIfTrue="1" operator="lessThanOrEqual">
      <formula>3000</formula>
    </cfRule>
    <cfRule type="cellIs" dxfId="955" priority="308" stopIfTrue="1" operator="between">
      <formula>3000</formula>
      <formula>9000</formula>
    </cfRule>
    <cfRule type="cellIs" dxfId="954" priority="309" stopIfTrue="1" operator="greaterThanOrEqual">
      <formula>9000</formula>
    </cfRule>
  </conditionalFormatting>
  <conditionalFormatting sqref="AG50">
    <cfRule type="cellIs" dxfId="953" priority="304" stopIfTrue="1" operator="lessThanOrEqual">
      <formula>3000</formula>
    </cfRule>
    <cfRule type="cellIs" dxfId="952" priority="305" stopIfTrue="1" operator="between">
      <formula>3000</formula>
      <formula>9000</formula>
    </cfRule>
    <cfRule type="cellIs" dxfId="951" priority="306" stopIfTrue="1" operator="greaterThanOrEqual">
      <formula>9000</formula>
    </cfRule>
  </conditionalFormatting>
  <conditionalFormatting sqref="AH50">
    <cfRule type="cellIs" dxfId="950" priority="301" stopIfTrue="1" operator="lessThanOrEqual">
      <formula>3000</formula>
    </cfRule>
    <cfRule type="cellIs" dxfId="949" priority="302" stopIfTrue="1" operator="between">
      <formula>3000</formula>
      <formula>9000</formula>
    </cfRule>
    <cfRule type="cellIs" dxfId="948" priority="303" stopIfTrue="1" operator="greaterThanOrEqual">
      <formula>9000</formula>
    </cfRule>
  </conditionalFormatting>
  <conditionalFormatting sqref="AI50">
    <cfRule type="cellIs" dxfId="947" priority="298" stopIfTrue="1" operator="lessThanOrEqual">
      <formula>3000</formula>
    </cfRule>
    <cfRule type="cellIs" dxfId="946" priority="299" stopIfTrue="1" operator="between">
      <formula>3000</formula>
      <formula>9000</formula>
    </cfRule>
    <cfRule type="cellIs" dxfId="945" priority="300" stopIfTrue="1" operator="greaterThanOrEqual">
      <formula>9000</formula>
    </cfRule>
  </conditionalFormatting>
  <conditionalFormatting sqref="X56:Y56">
    <cfRule type="cellIs" dxfId="944" priority="295" stopIfTrue="1" operator="lessThanOrEqual">
      <formula>3000</formula>
    </cfRule>
    <cfRule type="cellIs" dxfId="943" priority="296" stopIfTrue="1" operator="between">
      <formula>3000</formula>
      <formula>9000</formula>
    </cfRule>
    <cfRule type="cellIs" dxfId="942" priority="297" stopIfTrue="1" operator="greaterThanOrEqual">
      <formula>9000</formula>
    </cfRule>
  </conditionalFormatting>
  <conditionalFormatting sqref="AA56">
    <cfRule type="cellIs" dxfId="941" priority="292" stopIfTrue="1" operator="lessThanOrEqual">
      <formula>3000</formula>
    </cfRule>
    <cfRule type="cellIs" dxfId="940" priority="293" stopIfTrue="1" operator="between">
      <formula>3000</formula>
      <formula>9000</formula>
    </cfRule>
    <cfRule type="cellIs" dxfId="939" priority="294" stopIfTrue="1" operator="greaterThanOrEqual">
      <formula>9000</formula>
    </cfRule>
  </conditionalFormatting>
  <conditionalFormatting sqref="AB56">
    <cfRule type="cellIs" dxfId="938" priority="289" stopIfTrue="1" operator="lessThanOrEqual">
      <formula>3000</formula>
    </cfRule>
    <cfRule type="cellIs" dxfId="937" priority="290" stopIfTrue="1" operator="between">
      <formula>3000</formula>
      <formula>9000</formula>
    </cfRule>
    <cfRule type="cellIs" dxfId="936" priority="291" stopIfTrue="1" operator="greaterThanOrEqual">
      <formula>9000</formula>
    </cfRule>
  </conditionalFormatting>
  <conditionalFormatting sqref="AC56">
    <cfRule type="cellIs" dxfId="935" priority="286" stopIfTrue="1" operator="lessThanOrEqual">
      <formula>3000</formula>
    </cfRule>
    <cfRule type="cellIs" dxfId="934" priority="287" stopIfTrue="1" operator="between">
      <formula>3000</formula>
      <formula>9000</formula>
    </cfRule>
    <cfRule type="cellIs" dxfId="933" priority="288" stopIfTrue="1" operator="greaterThanOrEqual">
      <formula>9000</formula>
    </cfRule>
  </conditionalFormatting>
  <conditionalFormatting sqref="AD56">
    <cfRule type="cellIs" dxfId="932" priority="283" stopIfTrue="1" operator="lessThanOrEqual">
      <formula>3000</formula>
    </cfRule>
    <cfRule type="cellIs" dxfId="931" priority="284" stopIfTrue="1" operator="between">
      <formula>3000</formula>
      <formula>9000</formula>
    </cfRule>
    <cfRule type="cellIs" dxfId="930" priority="285" stopIfTrue="1" operator="greaterThanOrEqual">
      <formula>9000</formula>
    </cfRule>
  </conditionalFormatting>
  <conditionalFormatting sqref="AJ56">
    <cfRule type="cellIs" dxfId="929" priority="280" stopIfTrue="1" operator="lessThanOrEqual">
      <formula>3000</formula>
    </cfRule>
    <cfRule type="cellIs" dxfId="928" priority="281" stopIfTrue="1" operator="between">
      <formula>3000</formula>
      <formula>9000</formula>
    </cfRule>
    <cfRule type="cellIs" dxfId="927" priority="282" stopIfTrue="1" operator="greaterThanOrEqual">
      <formula>9000</formula>
    </cfRule>
  </conditionalFormatting>
  <conditionalFormatting sqref="V56:W56">
    <cfRule type="cellIs" dxfId="926" priority="277" stopIfTrue="1" operator="lessThanOrEqual">
      <formula>3000</formula>
    </cfRule>
    <cfRule type="cellIs" dxfId="925" priority="278" stopIfTrue="1" operator="between">
      <formula>3000</formula>
      <formula>9000</formula>
    </cfRule>
    <cfRule type="cellIs" dxfId="924" priority="279" stopIfTrue="1" operator="greaterThanOrEqual">
      <formula>9000</formula>
    </cfRule>
  </conditionalFormatting>
  <conditionalFormatting sqref="AF56">
    <cfRule type="cellIs" dxfId="923" priority="274" stopIfTrue="1" operator="lessThanOrEqual">
      <formula>3000</formula>
    </cfRule>
    <cfRule type="cellIs" dxfId="922" priority="275" stopIfTrue="1" operator="between">
      <formula>3000</formula>
      <formula>9000</formula>
    </cfRule>
    <cfRule type="cellIs" dxfId="921" priority="276" stopIfTrue="1" operator="greaterThanOrEqual">
      <formula>9000</formula>
    </cfRule>
  </conditionalFormatting>
  <conditionalFormatting sqref="AG56">
    <cfRule type="cellIs" dxfId="920" priority="271" stopIfTrue="1" operator="lessThanOrEqual">
      <formula>3000</formula>
    </cfRule>
    <cfRule type="cellIs" dxfId="919" priority="272" stopIfTrue="1" operator="between">
      <formula>3000</formula>
      <formula>9000</formula>
    </cfRule>
    <cfRule type="cellIs" dxfId="918" priority="273" stopIfTrue="1" operator="greaterThanOrEqual">
      <formula>9000</formula>
    </cfRule>
  </conditionalFormatting>
  <conditionalFormatting sqref="AH56">
    <cfRule type="cellIs" dxfId="917" priority="268" stopIfTrue="1" operator="lessThanOrEqual">
      <formula>3000</formula>
    </cfRule>
    <cfRule type="cellIs" dxfId="916" priority="269" stopIfTrue="1" operator="between">
      <formula>3000</formula>
      <formula>9000</formula>
    </cfRule>
    <cfRule type="cellIs" dxfId="915" priority="270" stopIfTrue="1" operator="greaterThanOrEqual">
      <formula>9000</formula>
    </cfRule>
  </conditionalFormatting>
  <conditionalFormatting sqref="AI56">
    <cfRule type="cellIs" dxfId="914" priority="265" stopIfTrue="1" operator="lessThanOrEqual">
      <formula>3000</formula>
    </cfRule>
    <cfRule type="cellIs" dxfId="913" priority="266" stopIfTrue="1" operator="between">
      <formula>3000</formula>
      <formula>9000</formula>
    </cfRule>
    <cfRule type="cellIs" dxfId="912" priority="267" stopIfTrue="1" operator="greaterThanOrEqual">
      <formula>9000</formula>
    </cfRule>
  </conditionalFormatting>
  <conditionalFormatting sqref="G80:H80">
    <cfRule type="cellIs" dxfId="911" priority="262" stopIfTrue="1" operator="lessThanOrEqual">
      <formula>3000</formula>
    </cfRule>
    <cfRule type="cellIs" dxfId="910" priority="263" stopIfTrue="1" operator="between">
      <formula>3000</formula>
      <formula>9000</formula>
    </cfRule>
    <cfRule type="cellIs" dxfId="909" priority="264" stopIfTrue="1" operator="greaterThanOrEqual">
      <formula>9000</formula>
    </cfRule>
  </conditionalFormatting>
  <conditionalFormatting sqref="J80">
    <cfRule type="cellIs" dxfId="908" priority="259" stopIfTrue="1" operator="lessThanOrEqual">
      <formula>3000</formula>
    </cfRule>
    <cfRule type="cellIs" dxfId="907" priority="260" stopIfTrue="1" operator="between">
      <formula>3000</formula>
      <formula>9000</formula>
    </cfRule>
    <cfRule type="cellIs" dxfId="906" priority="261" stopIfTrue="1" operator="greaterThanOrEqual">
      <formula>9000</formula>
    </cfRule>
  </conditionalFormatting>
  <conditionalFormatting sqref="K80">
    <cfRule type="cellIs" dxfId="905" priority="256" stopIfTrue="1" operator="lessThanOrEqual">
      <formula>3000</formula>
    </cfRule>
    <cfRule type="cellIs" dxfId="904" priority="257" stopIfTrue="1" operator="between">
      <formula>3000</formula>
      <formula>9000</formula>
    </cfRule>
    <cfRule type="cellIs" dxfId="903" priority="258" stopIfTrue="1" operator="greaterThanOrEqual">
      <formula>9000</formula>
    </cfRule>
  </conditionalFormatting>
  <conditionalFormatting sqref="L80">
    <cfRule type="cellIs" dxfId="902" priority="253" stopIfTrue="1" operator="lessThanOrEqual">
      <formula>3000</formula>
    </cfRule>
    <cfRule type="cellIs" dxfId="901" priority="254" stopIfTrue="1" operator="between">
      <formula>3000</formula>
      <formula>9000</formula>
    </cfRule>
    <cfRule type="cellIs" dxfId="900" priority="255" stopIfTrue="1" operator="greaterThanOrEqual">
      <formula>9000</formula>
    </cfRule>
  </conditionalFormatting>
  <conditionalFormatting sqref="M80">
    <cfRule type="cellIs" dxfId="899" priority="250" stopIfTrue="1" operator="lessThanOrEqual">
      <formula>3000</formula>
    </cfRule>
    <cfRule type="cellIs" dxfId="898" priority="251" stopIfTrue="1" operator="between">
      <formula>3000</formula>
      <formula>9000</formula>
    </cfRule>
    <cfRule type="cellIs" dxfId="897" priority="252" stopIfTrue="1" operator="greaterThanOrEqual">
      <formula>9000</formula>
    </cfRule>
  </conditionalFormatting>
  <conditionalFormatting sqref="S80">
    <cfRule type="cellIs" dxfId="896" priority="247" stopIfTrue="1" operator="lessThanOrEqual">
      <formula>3000</formula>
    </cfRule>
    <cfRule type="cellIs" dxfId="895" priority="248" stopIfTrue="1" operator="between">
      <formula>3000</formula>
      <formula>9000</formula>
    </cfRule>
    <cfRule type="cellIs" dxfId="894" priority="249" stopIfTrue="1" operator="greaterThanOrEqual">
      <formula>9000</formula>
    </cfRule>
  </conditionalFormatting>
  <conditionalFormatting sqref="E80:F80">
    <cfRule type="cellIs" dxfId="893" priority="244" stopIfTrue="1" operator="lessThanOrEqual">
      <formula>3000</formula>
    </cfRule>
    <cfRule type="cellIs" dxfId="892" priority="245" stopIfTrue="1" operator="between">
      <formula>3000</formula>
      <formula>9000</formula>
    </cfRule>
    <cfRule type="cellIs" dxfId="891" priority="246" stopIfTrue="1" operator="greaterThanOrEqual">
      <formula>9000</formula>
    </cfRule>
  </conditionalFormatting>
  <conditionalFormatting sqref="O80">
    <cfRule type="cellIs" dxfId="890" priority="241" stopIfTrue="1" operator="lessThanOrEqual">
      <formula>3000</formula>
    </cfRule>
    <cfRule type="cellIs" dxfId="889" priority="242" stopIfTrue="1" operator="between">
      <formula>3000</formula>
      <formula>9000</formula>
    </cfRule>
    <cfRule type="cellIs" dxfId="888" priority="243" stopIfTrue="1" operator="greaterThanOrEqual">
      <formula>9000</formula>
    </cfRule>
  </conditionalFormatting>
  <conditionalFormatting sqref="P80">
    <cfRule type="cellIs" dxfId="887" priority="238" stopIfTrue="1" operator="lessThanOrEqual">
      <formula>3000</formula>
    </cfRule>
    <cfRule type="cellIs" dxfId="886" priority="239" stopIfTrue="1" operator="between">
      <formula>3000</formula>
      <formula>9000</formula>
    </cfRule>
    <cfRule type="cellIs" dxfId="885" priority="240" stopIfTrue="1" operator="greaterThanOrEqual">
      <formula>9000</formula>
    </cfRule>
  </conditionalFormatting>
  <conditionalFormatting sqref="Q80">
    <cfRule type="cellIs" dxfId="884" priority="235" stopIfTrue="1" operator="lessThanOrEqual">
      <formula>3000</formula>
    </cfRule>
    <cfRule type="cellIs" dxfId="883" priority="236" stopIfTrue="1" operator="between">
      <formula>3000</formula>
      <formula>9000</formula>
    </cfRule>
    <cfRule type="cellIs" dxfId="882" priority="237" stopIfTrue="1" operator="greaterThanOrEqual">
      <formula>9000</formula>
    </cfRule>
  </conditionalFormatting>
  <conditionalFormatting sqref="R80">
    <cfRule type="cellIs" dxfId="881" priority="232" stopIfTrue="1" operator="lessThanOrEqual">
      <formula>3000</formula>
    </cfRule>
    <cfRule type="cellIs" dxfId="880" priority="233" stopIfTrue="1" operator="between">
      <formula>3000</formula>
      <formula>9000</formula>
    </cfRule>
    <cfRule type="cellIs" dxfId="879" priority="234" stopIfTrue="1" operator="greaterThanOrEqual">
      <formula>9000</formula>
    </cfRule>
  </conditionalFormatting>
  <conditionalFormatting sqref="X80:Y80">
    <cfRule type="cellIs" dxfId="878" priority="229" stopIfTrue="1" operator="lessThanOrEqual">
      <formula>3000</formula>
    </cfRule>
    <cfRule type="cellIs" dxfId="877" priority="230" stopIfTrue="1" operator="between">
      <formula>3000</formula>
      <formula>9000</formula>
    </cfRule>
    <cfRule type="cellIs" dxfId="876" priority="231" stopIfTrue="1" operator="greaterThanOrEqual">
      <formula>9000</formula>
    </cfRule>
  </conditionalFormatting>
  <conditionalFormatting sqref="AA80">
    <cfRule type="cellIs" dxfId="875" priority="226" stopIfTrue="1" operator="lessThanOrEqual">
      <formula>3000</formula>
    </cfRule>
    <cfRule type="cellIs" dxfId="874" priority="227" stopIfTrue="1" operator="between">
      <formula>3000</formula>
      <formula>9000</formula>
    </cfRule>
    <cfRule type="cellIs" dxfId="873" priority="228" stopIfTrue="1" operator="greaterThanOrEqual">
      <formula>9000</formula>
    </cfRule>
  </conditionalFormatting>
  <conditionalFormatting sqref="AB80">
    <cfRule type="cellIs" dxfId="872" priority="223" stopIfTrue="1" operator="lessThanOrEqual">
      <formula>3000</formula>
    </cfRule>
    <cfRule type="cellIs" dxfId="871" priority="224" stopIfTrue="1" operator="between">
      <formula>3000</formula>
      <formula>9000</formula>
    </cfRule>
    <cfRule type="cellIs" dxfId="870" priority="225" stopIfTrue="1" operator="greaterThanOrEqual">
      <formula>9000</formula>
    </cfRule>
  </conditionalFormatting>
  <conditionalFormatting sqref="AC80">
    <cfRule type="cellIs" dxfId="869" priority="220" stopIfTrue="1" operator="lessThanOrEqual">
      <formula>3000</formula>
    </cfRule>
    <cfRule type="cellIs" dxfId="868" priority="221" stopIfTrue="1" operator="between">
      <formula>3000</formula>
      <formula>9000</formula>
    </cfRule>
    <cfRule type="cellIs" dxfId="867" priority="222" stopIfTrue="1" operator="greaterThanOrEqual">
      <formula>9000</formula>
    </cfRule>
  </conditionalFormatting>
  <conditionalFormatting sqref="AD80">
    <cfRule type="cellIs" dxfId="866" priority="217" stopIfTrue="1" operator="lessThanOrEqual">
      <formula>3000</formula>
    </cfRule>
    <cfRule type="cellIs" dxfId="865" priority="218" stopIfTrue="1" operator="between">
      <formula>3000</formula>
      <formula>9000</formula>
    </cfRule>
    <cfRule type="cellIs" dxfId="864" priority="219" stopIfTrue="1" operator="greaterThanOrEqual">
      <formula>9000</formula>
    </cfRule>
  </conditionalFormatting>
  <conditionalFormatting sqref="AJ80">
    <cfRule type="cellIs" dxfId="863" priority="214" stopIfTrue="1" operator="lessThanOrEqual">
      <formula>3000</formula>
    </cfRule>
    <cfRule type="cellIs" dxfId="862" priority="215" stopIfTrue="1" operator="between">
      <formula>3000</formula>
      <formula>9000</formula>
    </cfRule>
    <cfRule type="cellIs" dxfId="861" priority="216" stopIfTrue="1" operator="greaterThanOrEqual">
      <formula>9000</formula>
    </cfRule>
  </conditionalFormatting>
  <conditionalFormatting sqref="V80:W80">
    <cfRule type="cellIs" dxfId="860" priority="211" stopIfTrue="1" operator="lessThanOrEqual">
      <formula>3000</formula>
    </cfRule>
    <cfRule type="cellIs" dxfId="859" priority="212" stopIfTrue="1" operator="between">
      <formula>3000</formula>
      <formula>9000</formula>
    </cfRule>
    <cfRule type="cellIs" dxfId="858" priority="213" stopIfTrue="1" operator="greaterThanOrEqual">
      <formula>9000</formula>
    </cfRule>
  </conditionalFormatting>
  <conditionalFormatting sqref="AF80">
    <cfRule type="cellIs" dxfId="857" priority="208" stopIfTrue="1" operator="lessThanOrEqual">
      <formula>3000</formula>
    </cfRule>
    <cfRule type="cellIs" dxfId="856" priority="209" stopIfTrue="1" operator="between">
      <formula>3000</formula>
      <formula>9000</formula>
    </cfRule>
    <cfRule type="cellIs" dxfId="855" priority="210" stopIfTrue="1" operator="greaterThanOrEqual">
      <formula>9000</formula>
    </cfRule>
  </conditionalFormatting>
  <conditionalFormatting sqref="AG80">
    <cfRule type="cellIs" dxfId="854" priority="205" stopIfTrue="1" operator="lessThanOrEqual">
      <formula>3000</formula>
    </cfRule>
    <cfRule type="cellIs" dxfId="853" priority="206" stopIfTrue="1" operator="between">
      <formula>3000</formula>
      <formula>9000</formula>
    </cfRule>
    <cfRule type="cellIs" dxfId="852" priority="207" stopIfTrue="1" operator="greaterThanOrEqual">
      <formula>9000</formula>
    </cfRule>
  </conditionalFormatting>
  <conditionalFormatting sqref="AH80">
    <cfRule type="cellIs" dxfId="851" priority="202" stopIfTrue="1" operator="lessThanOrEqual">
      <formula>3000</formula>
    </cfRule>
    <cfRule type="cellIs" dxfId="850" priority="203" stopIfTrue="1" operator="between">
      <formula>3000</formula>
      <formula>9000</formula>
    </cfRule>
    <cfRule type="cellIs" dxfId="849" priority="204" stopIfTrue="1" operator="greaterThanOrEqual">
      <formula>9000</formula>
    </cfRule>
  </conditionalFormatting>
  <conditionalFormatting sqref="AI80">
    <cfRule type="cellIs" dxfId="848" priority="199" stopIfTrue="1" operator="lessThanOrEqual">
      <formula>3000</formula>
    </cfRule>
    <cfRule type="cellIs" dxfId="847" priority="200" stopIfTrue="1" operator="between">
      <formula>3000</formula>
      <formula>9000</formula>
    </cfRule>
    <cfRule type="cellIs" dxfId="846" priority="201" stopIfTrue="1" operator="greaterThanOrEqual">
      <formula>9000</formula>
    </cfRule>
  </conditionalFormatting>
  <conditionalFormatting sqref="G98:H98">
    <cfRule type="cellIs" dxfId="845" priority="196" stopIfTrue="1" operator="lessThanOrEqual">
      <formula>3000</formula>
    </cfRule>
    <cfRule type="cellIs" dxfId="844" priority="197" stopIfTrue="1" operator="between">
      <formula>3000</formula>
      <formula>9000</formula>
    </cfRule>
    <cfRule type="cellIs" dxfId="843" priority="198" stopIfTrue="1" operator="greaterThanOrEqual">
      <formula>9000</formula>
    </cfRule>
  </conditionalFormatting>
  <conditionalFormatting sqref="J98">
    <cfRule type="cellIs" dxfId="842" priority="193" stopIfTrue="1" operator="lessThanOrEqual">
      <formula>3000</formula>
    </cfRule>
    <cfRule type="cellIs" dxfId="841" priority="194" stopIfTrue="1" operator="between">
      <formula>3000</formula>
      <formula>9000</formula>
    </cfRule>
    <cfRule type="cellIs" dxfId="840" priority="195" stopIfTrue="1" operator="greaterThanOrEqual">
      <formula>9000</formula>
    </cfRule>
  </conditionalFormatting>
  <conditionalFormatting sqref="K98">
    <cfRule type="cellIs" dxfId="839" priority="190" stopIfTrue="1" operator="lessThanOrEqual">
      <formula>3000</formula>
    </cfRule>
    <cfRule type="cellIs" dxfId="838" priority="191" stopIfTrue="1" operator="between">
      <formula>3000</formula>
      <formula>9000</formula>
    </cfRule>
    <cfRule type="cellIs" dxfId="837" priority="192" stopIfTrue="1" operator="greaterThanOrEqual">
      <formula>9000</formula>
    </cfRule>
  </conditionalFormatting>
  <conditionalFormatting sqref="L98">
    <cfRule type="cellIs" dxfId="836" priority="187" stopIfTrue="1" operator="lessThanOrEqual">
      <formula>3000</formula>
    </cfRule>
    <cfRule type="cellIs" dxfId="835" priority="188" stopIfTrue="1" operator="between">
      <formula>3000</formula>
      <formula>9000</formula>
    </cfRule>
    <cfRule type="cellIs" dxfId="834" priority="189" stopIfTrue="1" operator="greaterThanOrEqual">
      <formula>9000</formula>
    </cfRule>
  </conditionalFormatting>
  <conditionalFormatting sqref="M98">
    <cfRule type="cellIs" dxfId="833" priority="184" stopIfTrue="1" operator="lessThanOrEqual">
      <formula>3000</formula>
    </cfRule>
    <cfRule type="cellIs" dxfId="832" priority="185" stopIfTrue="1" operator="between">
      <formula>3000</formula>
      <formula>9000</formula>
    </cfRule>
    <cfRule type="cellIs" dxfId="831" priority="186" stopIfTrue="1" operator="greaterThanOrEqual">
      <formula>9000</formula>
    </cfRule>
  </conditionalFormatting>
  <conditionalFormatting sqref="S98">
    <cfRule type="cellIs" dxfId="830" priority="181" stopIfTrue="1" operator="lessThanOrEqual">
      <formula>3000</formula>
    </cfRule>
    <cfRule type="cellIs" dxfId="829" priority="182" stopIfTrue="1" operator="between">
      <formula>3000</formula>
      <formula>9000</formula>
    </cfRule>
    <cfRule type="cellIs" dxfId="828" priority="183" stopIfTrue="1" operator="greaterThanOrEqual">
      <formula>9000</formula>
    </cfRule>
  </conditionalFormatting>
  <conditionalFormatting sqref="E98:F98">
    <cfRule type="cellIs" dxfId="827" priority="178" stopIfTrue="1" operator="lessThanOrEqual">
      <formula>3000</formula>
    </cfRule>
    <cfRule type="cellIs" dxfId="826" priority="179" stopIfTrue="1" operator="between">
      <formula>3000</formula>
      <formula>9000</formula>
    </cfRule>
    <cfRule type="cellIs" dxfId="825" priority="180" stopIfTrue="1" operator="greaterThanOrEqual">
      <formula>9000</formula>
    </cfRule>
  </conditionalFormatting>
  <conditionalFormatting sqref="O98">
    <cfRule type="cellIs" dxfId="824" priority="175" stopIfTrue="1" operator="lessThanOrEqual">
      <formula>3000</formula>
    </cfRule>
    <cfRule type="cellIs" dxfId="823" priority="176" stopIfTrue="1" operator="between">
      <formula>3000</formula>
      <formula>9000</formula>
    </cfRule>
    <cfRule type="cellIs" dxfId="822" priority="177" stopIfTrue="1" operator="greaterThanOrEqual">
      <formula>9000</formula>
    </cfRule>
  </conditionalFormatting>
  <conditionalFormatting sqref="P98">
    <cfRule type="cellIs" dxfId="821" priority="172" stopIfTrue="1" operator="lessThanOrEqual">
      <formula>3000</formula>
    </cfRule>
    <cfRule type="cellIs" dxfId="820" priority="173" stopIfTrue="1" operator="between">
      <formula>3000</formula>
      <formula>9000</formula>
    </cfRule>
    <cfRule type="cellIs" dxfId="819" priority="174" stopIfTrue="1" operator="greaterThanOrEqual">
      <formula>9000</formula>
    </cfRule>
  </conditionalFormatting>
  <conditionalFormatting sqref="Q98">
    <cfRule type="cellIs" dxfId="818" priority="169" stopIfTrue="1" operator="lessThanOrEqual">
      <formula>3000</formula>
    </cfRule>
    <cfRule type="cellIs" dxfId="817" priority="170" stopIfTrue="1" operator="between">
      <formula>3000</formula>
      <formula>9000</formula>
    </cfRule>
    <cfRule type="cellIs" dxfId="816" priority="171" stopIfTrue="1" operator="greaterThanOrEqual">
      <formula>9000</formula>
    </cfRule>
  </conditionalFormatting>
  <conditionalFormatting sqref="R98">
    <cfRule type="cellIs" dxfId="815" priority="166" stopIfTrue="1" operator="lessThanOrEqual">
      <formula>3000</formula>
    </cfRule>
    <cfRule type="cellIs" dxfId="814" priority="167" stopIfTrue="1" operator="between">
      <formula>3000</formula>
      <formula>9000</formula>
    </cfRule>
    <cfRule type="cellIs" dxfId="813" priority="168" stopIfTrue="1" operator="greaterThanOrEqual">
      <formula>9000</formula>
    </cfRule>
  </conditionalFormatting>
  <conditionalFormatting sqref="X98:Y98">
    <cfRule type="cellIs" dxfId="812" priority="163" stopIfTrue="1" operator="lessThanOrEqual">
      <formula>3000</formula>
    </cfRule>
    <cfRule type="cellIs" dxfId="811" priority="164" stopIfTrue="1" operator="between">
      <formula>3000</formula>
      <formula>9000</formula>
    </cfRule>
    <cfRule type="cellIs" dxfId="810" priority="165" stopIfTrue="1" operator="greaterThanOrEqual">
      <formula>9000</formula>
    </cfRule>
  </conditionalFormatting>
  <conditionalFormatting sqref="AA98">
    <cfRule type="cellIs" dxfId="809" priority="160" stopIfTrue="1" operator="lessThanOrEqual">
      <formula>3000</formula>
    </cfRule>
    <cfRule type="cellIs" dxfId="808" priority="161" stopIfTrue="1" operator="between">
      <formula>3000</formula>
      <formula>9000</formula>
    </cfRule>
    <cfRule type="cellIs" dxfId="807" priority="162" stopIfTrue="1" operator="greaterThanOrEqual">
      <formula>9000</formula>
    </cfRule>
  </conditionalFormatting>
  <conditionalFormatting sqref="AB98">
    <cfRule type="cellIs" dxfId="806" priority="157" stopIfTrue="1" operator="lessThanOrEqual">
      <formula>3000</formula>
    </cfRule>
    <cfRule type="cellIs" dxfId="805" priority="158" stopIfTrue="1" operator="between">
      <formula>3000</formula>
      <formula>9000</formula>
    </cfRule>
    <cfRule type="cellIs" dxfId="804" priority="159" stopIfTrue="1" operator="greaterThanOrEqual">
      <formula>9000</formula>
    </cfRule>
  </conditionalFormatting>
  <conditionalFormatting sqref="AC98">
    <cfRule type="cellIs" dxfId="803" priority="154" stopIfTrue="1" operator="lessThanOrEqual">
      <formula>3000</formula>
    </cfRule>
    <cfRule type="cellIs" dxfId="802" priority="155" stopIfTrue="1" operator="between">
      <formula>3000</formula>
      <formula>9000</formula>
    </cfRule>
    <cfRule type="cellIs" dxfId="801" priority="156" stopIfTrue="1" operator="greaterThanOrEqual">
      <formula>9000</formula>
    </cfRule>
  </conditionalFormatting>
  <conditionalFormatting sqref="AD98">
    <cfRule type="cellIs" dxfId="800" priority="151" stopIfTrue="1" operator="lessThanOrEqual">
      <formula>3000</formula>
    </cfRule>
    <cfRule type="cellIs" dxfId="799" priority="152" stopIfTrue="1" operator="between">
      <formula>3000</formula>
      <formula>9000</formula>
    </cfRule>
    <cfRule type="cellIs" dxfId="798" priority="153" stopIfTrue="1" operator="greaterThanOrEqual">
      <formula>9000</formula>
    </cfRule>
  </conditionalFormatting>
  <conditionalFormatting sqref="AJ98">
    <cfRule type="cellIs" dxfId="797" priority="148" stopIfTrue="1" operator="lessThanOrEqual">
      <formula>3000</formula>
    </cfRule>
    <cfRule type="cellIs" dxfId="796" priority="149" stopIfTrue="1" operator="between">
      <formula>3000</formula>
      <formula>9000</formula>
    </cfRule>
    <cfRule type="cellIs" dxfId="795" priority="150" stopIfTrue="1" operator="greaterThanOrEqual">
      <formula>9000</formula>
    </cfRule>
  </conditionalFormatting>
  <conditionalFormatting sqref="V98:W98">
    <cfRule type="cellIs" dxfId="794" priority="145" stopIfTrue="1" operator="lessThanOrEqual">
      <formula>3000</formula>
    </cfRule>
    <cfRule type="cellIs" dxfId="793" priority="146" stopIfTrue="1" operator="between">
      <formula>3000</formula>
      <formula>9000</formula>
    </cfRule>
    <cfRule type="cellIs" dxfId="792" priority="147" stopIfTrue="1" operator="greaterThanOrEqual">
      <formula>9000</formula>
    </cfRule>
  </conditionalFormatting>
  <conditionalFormatting sqref="AF98">
    <cfRule type="cellIs" dxfId="791" priority="142" stopIfTrue="1" operator="lessThanOrEqual">
      <formula>3000</formula>
    </cfRule>
    <cfRule type="cellIs" dxfId="790" priority="143" stopIfTrue="1" operator="between">
      <formula>3000</formula>
      <formula>9000</formula>
    </cfRule>
    <cfRule type="cellIs" dxfId="789" priority="144" stopIfTrue="1" operator="greaterThanOrEqual">
      <formula>9000</formula>
    </cfRule>
  </conditionalFormatting>
  <conditionalFormatting sqref="AG98">
    <cfRule type="cellIs" dxfId="788" priority="139" stopIfTrue="1" operator="lessThanOrEqual">
      <formula>3000</formula>
    </cfRule>
    <cfRule type="cellIs" dxfId="787" priority="140" stopIfTrue="1" operator="between">
      <formula>3000</formula>
      <formula>9000</formula>
    </cfRule>
    <cfRule type="cellIs" dxfId="786" priority="141" stopIfTrue="1" operator="greaterThanOrEqual">
      <formula>9000</formula>
    </cfRule>
  </conditionalFormatting>
  <conditionalFormatting sqref="AH98">
    <cfRule type="cellIs" dxfId="785" priority="136" stopIfTrue="1" operator="lessThanOrEqual">
      <formula>3000</formula>
    </cfRule>
    <cfRule type="cellIs" dxfId="784" priority="137" stopIfTrue="1" operator="between">
      <formula>3000</formula>
      <formula>9000</formula>
    </cfRule>
    <cfRule type="cellIs" dxfId="783" priority="138" stopIfTrue="1" operator="greaterThanOrEqual">
      <formula>9000</formula>
    </cfRule>
  </conditionalFormatting>
  <conditionalFormatting sqref="AI98">
    <cfRule type="cellIs" dxfId="782" priority="133" stopIfTrue="1" operator="lessThanOrEqual">
      <formula>3000</formula>
    </cfRule>
    <cfRule type="cellIs" dxfId="781" priority="134" stopIfTrue="1" operator="between">
      <formula>3000</formula>
      <formula>9000</formula>
    </cfRule>
    <cfRule type="cellIs" dxfId="780" priority="135" stopIfTrue="1" operator="greaterThanOrEqual">
      <formula>9000</formula>
    </cfRule>
  </conditionalFormatting>
  <conditionalFormatting sqref="G92:H92">
    <cfRule type="cellIs" dxfId="779" priority="130" stopIfTrue="1" operator="lessThanOrEqual">
      <formula>3000</formula>
    </cfRule>
    <cfRule type="cellIs" dxfId="778" priority="131" stopIfTrue="1" operator="between">
      <formula>3000</formula>
      <formula>9000</formula>
    </cfRule>
    <cfRule type="cellIs" dxfId="777" priority="132" stopIfTrue="1" operator="greaterThanOrEqual">
      <formula>9000</formula>
    </cfRule>
  </conditionalFormatting>
  <conditionalFormatting sqref="J92">
    <cfRule type="cellIs" dxfId="776" priority="127" stopIfTrue="1" operator="lessThanOrEqual">
      <formula>3000</formula>
    </cfRule>
    <cfRule type="cellIs" dxfId="775" priority="128" stopIfTrue="1" operator="between">
      <formula>3000</formula>
      <formula>9000</formula>
    </cfRule>
    <cfRule type="cellIs" dxfId="774" priority="129" stopIfTrue="1" operator="greaterThanOrEqual">
      <formula>9000</formula>
    </cfRule>
  </conditionalFormatting>
  <conditionalFormatting sqref="K92">
    <cfRule type="cellIs" dxfId="773" priority="124" stopIfTrue="1" operator="lessThanOrEqual">
      <formula>3000</formula>
    </cfRule>
    <cfRule type="cellIs" dxfId="772" priority="125" stopIfTrue="1" operator="between">
      <formula>3000</formula>
      <formula>9000</formula>
    </cfRule>
    <cfRule type="cellIs" dxfId="771" priority="126" stopIfTrue="1" operator="greaterThanOrEqual">
      <formula>9000</formula>
    </cfRule>
  </conditionalFormatting>
  <conditionalFormatting sqref="L92">
    <cfRule type="cellIs" dxfId="770" priority="121" stopIfTrue="1" operator="lessThanOrEqual">
      <formula>3000</formula>
    </cfRule>
    <cfRule type="cellIs" dxfId="769" priority="122" stopIfTrue="1" operator="between">
      <formula>3000</formula>
      <formula>9000</formula>
    </cfRule>
    <cfRule type="cellIs" dxfId="768" priority="123" stopIfTrue="1" operator="greaterThanOrEqual">
      <formula>9000</formula>
    </cfRule>
  </conditionalFormatting>
  <conditionalFormatting sqref="M92">
    <cfRule type="cellIs" dxfId="767" priority="118" stopIfTrue="1" operator="lessThanOrEqual">
      <formula>3000</formula>
    </cfRule>
    <cfRule type="cellIs" dxfId="766" priority="119" stopIfTrue="1" operator="between">
      <formula>3000</formula>
      <formula>9000</formula>
    </cfRule>
    <cfRule type="cellIs" dxfId="765" priority="120" stopIfTrue="1" operator="greaterThanOrEqual">
      <formula>9000</formula>
    </cfRule>
  </conditionalFormatting>
  <conditionalFormatting sqref="S92">
    <cfRule type="cellIs" dxfId="764" priority="115" stopIfTrue="1" operator="lessThanOrEqual">
      <formula>3000</formula>
    </cfRule>
    <cfRule type="cellIs" dxfId="763" priority="116" stopIfTrue="1" operator="between">
      <formula>3000</formula>
      <formula>9000</formula>
    </cfRule>
    <cfRule type="cellIs" dxfId="762" priority="117" stopIfTrue="1" operator="greaterThanOrEqual">
      <formula>9000</formula>
    </cfRule>
  </conditionalFormatting>
  <conditionalFormatting sqref="E92:F92">
    <cfRule type="cellIs" dxfId="761" priority="112" stopIfTrue="1" operator="lessThanOrEqual">
      <formula>3000</formula>
    </cfRule>
    <cfRule type="cellIs" dxfId="760" priority="113" stopIfTrue="1" operator="between">
      <formula>3000</formula>
      <formula>9000</formula>
    </cfRule>
    <cfRule type="cellIs" dxfId="759" priority="114" stopIfTrue="1" operator="greaterThanOrEqual">
      <formula>9000</formula>
    </cfRule>
  </conditionalFormatting>
  <conditionalFormatting sqref="O92">
    <cfRule type="cellIs" dxfId="758" priority="109" stopIfTrue="1" operator="lessThanOrEqual">
      <formula>3000</formula>
    </cfRule>
    <cfRule type="cellIs" dxfId="757" priority="110" stopIfTrue="1" operator="between">
      <formula>3000</formula>
      <formula>9000</formula>
    </cfRule>
    <cfRule type="cellIs" dxfId="756" priority="111" stopIfTrue="1" operator="greaterThanOrEqual">
      <formula>9000</formula>
    </cfRule>
  </conditionalFormatting>
  <conditionalFormatting sqref="P92">
    <cfRule type="cellIs" dxfId="755" priority="106" stopIfTrue="1" operator="lessThanOrEqual">
      <formula>3000</formula>
    </cfRule>
    <cfRule type="cellIs" dxfId="754" priority="107" stopIfTrue="1" operator="between">
      <formula>3000</formula>
      <formula>9000</formula>
    </cfRule>
    <cfRule type="cellIs" dxfId="753" priority="108" stopIfTrue="1" operator="greaterThanOrEqual">
      <formula>9000</formula>
    </cfRule>
  </conditionalFormatting>
  <conditionalFormatting sqref="Q92">
    <cfRule type="cellIs" dxfId="752" priority="103" stopIfTrue="1" operator="lessThanOrEqual">
      <formula>3000</formula>
    </cfRule>
    <cfRule type="cellIs" dxfId="751" priority="104" stopIfTrue="1" operator="between">
      <formula>3000</formula>
      <formula>9000</formula>
    </cfRule>
    <cfRule type="cellIs" dxfId="750" priority="105" stopIfTrue="1" operator="greaterThanOrEqual">
      <formula>9000</formula>
    </cfRule>
  </conditionalFormatting>
  <conditionalFormatting sqref="R92">
    <cfRule type="cellIs" dxfId="749" priority="100" stopIfTrue="1" operator="lessThanOrEqual">
      <formula>3000</formula>
    </cfRule>
    <cfRule type="cellIs" dxfId="748" priority="101" stopIfTrue="1" operator="between">
      <formula>3000</formula>
      <formula>9000</formula>
    </cfRule>
    <cfRule type="cellIs" dxfId="747" priority="102" stopIfTrue="1" operator="greaterThanOrEqual">
      <formula>9000</formula>
    </cfRule>
  </conditionalFormatting>
  <conditionalFormatting sqref="X92:Y92">
    <cfRule type="cellIs" dxfId="746" priority="97" stopIfTrue="1" operator="lessThanOrEqual">
      <formula>3000</formula>
    </cfRule>
    <cfRule type="cellIs" dxfId="745" priority="98" stopIfTrue="1" operator="between">
      <formula>3000</formula>
      <formula>9000</formula>
    </cfRule>
    <cfRule type="cellIs" dxfId="744" priority="99" stopIfTrue="1" operator="greaterThanOrEqual">
      <formula>9000</formula>
    </cfRule>
  </conditionalFormatting>
  <conditionalFormatting sqref="AA92">
    <cfRule type="cellIs" dxfId="743" priority="94" stopIfTrue="1" operator="lessThanOrEqual">
      <formula>3000</formula>
    </cfRule>
    <cfRule type="cellIs" dxfId="742" priority="95" stopIfTrue="1" operator="between">
      <formula>3000</formula>
      <formula>9000</formula>
    </cfRule>
    <cfRule type="cellIs" dxfId="741" priority="96" stopIfTrue="1" operator="greaterThanOrEqual">
      <formula>9000</formula>
    </cfRule>
  </conditionalFormatting>
  <conditionalFormatting sqref="AB92">
    <cfRule type="cellIs" dxfId="740" priority="91" stopIfTrue="1" operator="lessThanOrEqual">
      <formula>3000</formula>
    </cfRule>
    <cfRule type="cellIs" dxfId="739" priority="92" stopIfTrue="1" operator="between">
      <formula>3000</formula>
      <formula>9000</formula>
    </cfRule>
    <cfRule type="cellIs" dxfId="738" priority="93" stopIfTrue="1" operator="greaterThanOrEqual">
      <formula>9000</formula>
    </cfRule>
  </conditionalFormatting>
  <conditionalFormatting sqref="AC92">
    <cfRule type="cellIs" dxfId="737" priority="88" stopIfTrue="1" operator="lessThanOrEqual">
      <formula>3000</formula>
    </cfRule>
    <cfRule type="cellIs" dxfId="736" priority="89" stopIfTrue="1" operator="between">
      <formula>3000</formula>
      <formula>9000</formula>
    </cfRule>
    <cfRule type="cellIs" dxfId="735" priority="90" stopIfTrue="1" operator="greaterThanOrEqual">
      <formula>9000</formula>
    </cfRule>
  </conditionalFormatting>
  <conditionalFormatting sqref="AD92">
    <cfRule type="cellIs" dxfId="734" priority="85" stopIfTrue="1" operator="lessThanOrEqual">
      <formula>3000</formula>
    </cfRule>
    <cfRule type="cellIs" dxfId="733" priority="86" stopIfTrue="1" operator="between">
      <formula>3000</formula>
      <formula>9000</formula>
    </cfRule>
    <cfRule type="cellIs" dxfId="732" priority="87" stopIfTrue="1" operator="greaterThanOrEqual">
      <formula>9000</formula>
    </cfRule>
  </conditionalFormatting>
  <conditionalFormatting sqref="AJ92">
    <cfRule type="cellIs" dxfId="731" priority="82" stopIfTrue="1" operator="lessThanOrEqual">
      <formula>3000</formula>
    </cfRule>
    <cfRule type="cellIs" dxfId="730" priority="83" stopIfTrue="1" operator="between">
      <formula>3000</formula>
      <formula>9000</formula>
    </cfRule>
    <cfRule type="cellIs" dxfId="729" priority="84" stopIfTrue="1" operator="greaterThanOrEqual">
      <formula>9000</formula>
    </cfRule>
  </conditionalFormatting>
  <conditionalFormatting sqref="V92:W92">
    <cfRule type="cellIs" dxfId="728" priority="79" stopIfTrue="1" operator="lessThanOrEqual">
      <formula>3000</formula>
    </cfRule>
    <cfRule type="cellIs" dxfId="727" priority="80" stopIfTrue="1" operator="between">
      <formula>3000</formula>
      <formula>9000</formula>
    </cfRule>
    <cfRule type="cellIs" dxfId="726" priority="81" stopIfTrue="1" operator="greaterThanOrEqual">
      <formula>9000</formula>
    </cfRule>
  </conditionalFormatting>
  <conditionalFormatting sqref="AF92">
    <cfRule type="cellIs" dxfId="725" priority="76" stopIfTrue="1" operator="lessThanOrEqual">
      <formula>3000</formula>
    </cfRule>
    <cfRule type="cellIs" dxfId="724" priority="77" stopIfTrue="1" operator="between">
      <formula>3000</formula>
      <formula>9000</formula>
    </cfRule>
    <cfRule type="cellIs" dxfId="723" priority="78" stopIfTrue="1" operator="greaterThanOrEqual">
      <formula>9000</formula>
    </cfRule>
  </conditionalFormatting>
  <conditionalFormatting sqref="AG92">
    <cfRule type="cellIs" dxfId="722" priority="73" stopIfTrue="1" operator="lessThanOrEqual">
      <formula>3000</formula>
    </cfRule>
    <cfRule type="cellIs" dxfId="721" priority="74" stopIfTrue="1" operator="between">
      <formula>3000</formula>
      <formula>9000</formula>
    </cfRule>
    <cfRule type="cellIs" dxfId="720" priority="75" stopIfTrue="1" operator="greaterThanOrEqual">
      <formula>9000</formula>
    </cfRule>
  </conditionalFormatting>
  <conditionalFormatting sqref="AH92">
    <cfRule type="cellIs" dxfId="719" priority="70" stopIfTrue="1" operator="lessThanOrEqual">
      <formula>3000</formula>
    </cfRule>
    <cfRule type="cellIs" dxfId="718" priority="71" stopIfTrue="1" operator="between">
      <formula>3000</formula>
      <formula>9000</formula>
    </cfRule>
    <cfRule type="cellIs" dxfId="717" priority="72" stopIfTrue="1" operator="greaterThanOrEqual">
      <formula>9000</formula>
    </cfRule>
  </conditionalFormatting>
  <conditionalFormatting sqref="AI92">
    <cfRule type="cellIs" dxfId="716" priority="67" stopIfTrue="1" operator="lessThanOrEqual">
      <formula>3000</formula>
    </cfRule>
    <cfRule type="cellIs" dxfId="715" priority="68" stopIfTrue="1" operator="between">
      <formula>3000</formula>
      <formula>9000</formula>
    </cfRule>
    <cfRule type="cellIs" dxfId="714" priority="69" stopIfTrue="1" operator="greaterThanOrEqual">
      <formula>9000</formula>
    </cfRule>
  </conditionalFormatting>
  <conditionalFormatting sqref="G110:H110">
    <cfRule type="cellIs" dxfId="713" priority="64" stopIfTrue="1" operator="lessThanOrEqual">
      <formula>3000</formula>
    </cfRule>
    <cfRule type="cellIs" dxfId="712" priority="65" stopIfTrue="1" operator="between">
      <formula>3000</formula>
      <formula>9000</formula>
    </cfRule>
    <cfRule type="cellIs" dxfId="711" priority="66" stopIfTrue="1" operator="greaterThanOrEqual">
      <formula>9000</formula>
    </cfRule>
  </conditionalFormatting>
  <conditionalFormatting sqref="J110">
    <cfRule type="cellIs" dxfId="710" priority="61" stopIfTrue="1" operator="lessThanOrEqual">
      <formula>3000</formula>
    </cfRule>
    <cfRule type="cellIs" dxfId="709" priority="62" stopIfTrue="1" operator="between">
      <formula>3000</formula>
      <formula>9000</formula>
    </cfRule>
    <cfRule type="cellIs" dxfId="708" priority="63" stopIfTrue="1" operator="greaterThanOrEqual">
      <formula>9000</formula>
    </cfRule>
  </conditionalFormatting>
  <conditionalFormatting sqref="K110">
    <cfRule type="cellIs" dxfId="707" priority="58" stopIfTrue="1" operator="lessThanOrEqual">
      <formula>3000</formula>
    </cfRule>
    <cfRule type="cellIs" dxfId="706" priority="59" stopIfTrue="1" operator="between">
      <formula>3000</formula>
      <formula>9000</formula>
    </cfRule>
    <cfRule type="cellIs" dxfId="705" priority="60" stopIfTrue="1" operator="greaterThanOrEqual">
      <formula>9000</formula>
    </cfRule>
  </conditionalFormatting>
  <conditionalFormatting sqref="L110">
    <cfRule type="cellIs" dxfId="704" priority="55" stopIfTrue="1" operator="lessThanOrEqual">
      <formula>3000</formula>
    </cfRule>
    <cfRule type="cellIs" dxfId="703" priority="56" stopIfTrue="1" operator="between">
      <formula>3000</formula>
      <formula>9000</formula>
    </cfRule>
    <cfRule type="cellIs" dxfId="702" priority="57" stopIfTrue="1" operator="greaterThanOrEqual">
      <formula>9000</formula>
    </cfRule>
  </conditionalFormatting>
  <conditionalFormatting sqref="M110">
    <cfRule type="cellIs" dxfId="701" priority="52" stopIfTrue="1" operator="lessThanOrEqual">
      <formula>3000</formula>
    </cfRule>
    <cfRule type="cellIs" dxfId="700" priority="53" stopIfTrue="1" operator="between">
      <formula>3000</formula>
      <formula>9000</formula>
    </cfRule>
    <cfRule type="cellIs" dxfId="699" priority="54" stopIfTrue="1" operator="greaterThanOrEqual">
      <formula>9000</formula>
    </cfRule>
  </conditionalFormatting>
  <conditionalFormatting sqref="S110">
    <cfRule type="cellIs" dxfId="698" priority="49" stopIfTrue="1" operator="lessThanOrEqual">
      <formula>3000</formula>
    </cfRule>
    <cfRule type="cellIs" dxfId="697" priority="50" stopIfTrue="1" operator="between">
      <formula>3000</formula>
      <formula>9000</formula>
    </cfRule>
    <cfRule type="cellIs" dxfId="696" priority="51" stopIfTrue="1" operator="greaterThanOrEqual">
      <formula>9000</formula>
    </cfRule>
  </conditionalFormatting>
  <conditionalFormatting sqref="E110:F110">
    <cfRule type="cellIs" dxfId="695" priority="46" stopIfTrue="1" operator="lessThanOrEqual">
      <formula>3000</formula>
    </cfRule>
    <cfRule type="cellIs" dxfId="694" priority="47" stopIfTrue="1" operator="between">
      <formula>3000</formula>
      <formula>9000</formula>
    </cfRule>
    <cfRule type="cellIs" dxfId="693" priority="48" stopIfTrue="1" operator="greaterThanOrEqual">
      <formula>9000</formula>
    </cfRule>
  </conditionalFormatting>
  <conditionalFormatting sqref="O110">
    <cfRule type="cellIs" dxfId="692" priority="43" stopIfTrue="1" operator="lessThanOrEqual">
      <formula>3000</formula>
    </cfRule>
    <cfRule type="cellIs" dxfId="691" priority="44" stopIfTrue="1" operator="between">
      <formula>3000</formula>
      <formula>9000</formula>
    </cfRule>
    <cfRule type="cellIs" dxfId="690" priority="45" stopIfTrue="1" operator="greaterThanOrEqual">
      <formula>9000</formula>
    </cfRule>
  </conditionalFormatting>
  <conditionalFormatting sqref="P110">
    <cfRule type="cellIs" dxfId="689" priority="40" stopIfTrue="1" operator="lessThanOrEqual">
      <formula>3000</formula>
    </cfRule>
    <cfRule type="cellIs" dxfId="688" priority="41" stopIfTrue="1" operator="between">
      <formula>3000</formula>
      <formula>9000</formula>
    </cfRule>
    <cfRule type="cellIs" dxfId="687" priority="42" stopIfTrue="1" operator="greaterThanOrEqual">
      <formula>9000</formula>
    </cfRule>
  </conditionalFormatting>
  <conditionalFormatting sqref="Q110">
    <cfRule type="cellIs" dxfId="686" priority="37" stopIfTrue="1" operator="lessThanOrEqual">
      <formula>3000</formula>
    </cfRule>
    <cfRule type="cellIs" dxfId="685" priority="38" stopIfTrue="1" operator="between">
      <formula>3000</formula>
      <formula>9000</formula>
    </cfRule>
    <cfRule type="cellIs" dxfId="684" priority="39" stopIfTrue="1" operator="greaterThanOrEqual">
      <formula>9000</formula>
    </cfRule>
  </conditionalFormatting>
  <conditionalFormatting sqref="R110">
    <cfRule type="cellIs" dxfId="683" priority="34" stopIfTrue="1" operator="lessThanOrEqual">
      <formula>3000</formula>
    </cfRule>
    <cfRule type="cellIs" dxfId="682" priority="35" stopIfTrue="1" operator="between">
      <formula>3000</formula>
      <formula>9000</formula>
    </cfRule>
    <cfRule type="cellIs" dxfId="681" priority="36" stopIfTrue="1" operator="greaterThanOrEqual">
      <formula>9000</formula>
    </cfRule>
  </conditionalFormatting>
  <conditionalFormatting sqref="X110:Y110">
    <cfRule type="cellIs" dxfId="680" priority="31" stopIfTrue="1" operator="lessThanOrEqual">
      <formula>3000</formula>
    </cfRule>
    <cfRule type="cellIs" dxfId="679" priority="32" stopIfTrue="1" operator="between">
      <formula>3000</formula>
      <formula>9000</formula>
    </cfRule>
    <cfRule type="cellIs" dxfId="678" priority="33" stopIfTrue="1" operator="greaterThanOrEqual">
      <formula>9000</formula>
    </cfRule>
  </conditionalFormatting>
  <conditionalFormatting sqref="AA110">
    <cfRule type="cellIs" dxfId="677" priority="28" stopIfTrue="1" operator="lessThanOrEqual">
      <formula>3000</formula>
    </cfRule>
    <cfRule type="cellIs" dxfId="676" priority="29" stopIfTrue="1" operator="between">
      <formula>3000</formula>
      <formula>9000</formula>
    </cfRule>
    <cfRule type="cellIs" dxfId="675" priority="30" stopIfTrue="1" operator="greaterThanOrEqual">
      <formula>9000</formula>
    </cfRule>
  </conditionalFormatting>
  <conditionalFormatting sqref="AB110">
    <cfRule type="cellIs" dxfId="674" priority="25" stopIfTrue="1" operator="lessThanOrEqual">
      <formula>3000</formula>
    </cfRule>
    <cfRule type="cellIs" dxfId="673" priority="26" stopIfTrue="1" operator="between">
      <formula>3000</formula>
      <formula>9000</formula>
    </cfRule>
    <cfRule type="cellIs" dxfId="672" priority="27" stopIfTrue="1" operator="greaterThanOrEqual">
      <formula>9000</formula>
    </cfRule>
  </conditionalFormatting>
  <conditionalFormatting sqref="AC110">
    <cfRule type="cellIs" dxfId="671" priority="22" stopIfTrue="1" operator="lessThanOrEqual">
      <formula>3000</formula>
    </cfRule>
    <cfRule type="cellIs" dxfId="670" priority="23" stopIfTrue="1" operator="between">
      <formula>3000</formula>
      <formula>9000</formula>
    </cfRule>
    <cfRule type="cellIs" dxfId="669" priority="24" stopIfTrue="1" operator="greaterThanOrEqual">
      <formula>9000</formula>
    </cfRule>
  </conditionalFormatting>
  <conditionalFormatting sqref="AD110">
    <cfRule type="cellIs" dxfId="668" priority="19" stopIfTrue="1" operator="lessThanOrEqual">
      <formula>3000</formula>
    </cfRule>
    <cfRule type="cellIs" dxfId="667" priority="20" stopIfTrue="1" operator="between">
      <formula>3000</formula>
      <formula>9000</formula>
    </cfRule>
    <cfRule type="cellIs" dxfId="666" priority="21" stopIfTrue="1" operator="greaterThanOrEqual">
      <formula>9000</formula>
    </cfRule>
  </conditionalFormatting>
  <conditionalFormatting sqref="AJ110">
    <cfRule type="cellIs" dxfId="665" priority="16" stopIfTrue="1" operator="lessThanOrEqual">
      <formula>3000</formula>
    </cfRule>
    <cfRule type="cellIs" dxfId="664" priority="17" stopIfTrue="1" operator="between">
      <formula>3000</formula>
      <formula>9000</formula>
    </cfRule>
    <cfRule type="cellIs" dxfId="663" priority="18" stopIfTrue="1" operator="greaterThanOrEqual">
      <formula>9000</formula>
    </cfRule>
  </conditionalFormatting>
  <conditionalFormatting sqref="V110:W110">
    <cfRule type="cellIs" dxfId="662" priority="13" stopIfTrue="1" operator="lessThanOrEqual">
      <formula>3000</formula>
    </cfRule>
    <cfRule type="cellIs" dxfId="661" priority="14" stopIfTrue="1" operator="between">
      <formula>3000</formula>
      <formula>9000</formula>
    </cfRule>
    <cfRule type="cellIs" dxfId="660" priority="15" stopIfTrue="1" operator="greaterThanOrEqual">
      <formula>9000</formula>
    </cfRule>
  </conditionalFormatting>
  <conditionalFormatting sqref="AF110">
    <cfRule type="cellIs" dxfId="659" priority="10" stopIfTrue="1" operator="lessThanOrEqual">
      <formula>3000</formula>
    </cfRule>
    <cfRule type="cellIs" dxfId="658" priority="11" stopIfTrue="1" operator="between">
      <formula>3000</formula>
      <formula>9000</formula>
    </cfRule>
    <cfRule type="cellIs" dxfId="657" priority="12" stopIfTrue="1" operator="greaterThanOrEqual">
      <formula>9000</formula>
    </cfRule>
  </conditionalFormatting>
  <conditionalFormatting sqref="AG110">
    <cfRule type="cellIs" dxfId="656" priority="7" stopIfTrue="1" operator="lessThanOrEqual">
      <formula>3000</formula>
    </cfRule>
    <cfRule type="cellIs" dxfId="655" priority="8" stopIfTrue="1" operator="between">
      <formula>3000</formula>
      <formula>9000</formula>
    </cfRule>
    <cfRule type="cellIs" dxfId="654" priority="9" stopIfTrue="1" operator="greaterThanOrEqual">
      <formula>9000</formula>
    </cfRule>
  </conditionalFormatting>
  <conditionalFormatting sqref="AH110">
    <cfRule type="cellIs" dxfId="653" priority="4" stopIfTrue="1" operator="lessThanOrEqual">
      <formula>3000</formula>
    </cfRule>
    <cfRule type="cellIs" dxfId="652" priority="5" stopIfTrue="1" operator="between">
      <formula>3000</formula>
      <formula>9000</formula>
    </cfRule>
    <cfRule type="cellIs" dxfId="651" priority="6" stopIfTrue="1" operator="greaterThanOrEqual">
      <formula>9000</formula>
    </cfRule>
  </conditionalFormatting>
  <conditionalFormatting sqref="AI110">
    <cfRule type="cellIs" dxfId="650" priority="1" stopIfTrue="1" operator="lessThanOrEqual">
      <formula>3000</formula>
    </cfRule>
    <cfRule type="cellIs" dxfId="649" priority="2" stopIfTrue="1" operator="between">
      <formula>3000</formula>
      <formula>9000</formula>
    </cfRule>
    <cfRule type="cellIs" dxfId="648" priority="3" stopIfTrue="1" operator="greaterThanOrEqual">
      <formula>9000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5"/>
  </sheetPr>
  <dimension ref="A1:AP174"/>
  <sheetViews>
    <sheetView zoomScale="90" zoomScaleNormal="60" workbookViewId="0">
      <pane xSplit="1" ySplit="2" topLeftCell="B149" activePane="bottomRight" state="frozen"/>
      <selection activeCell="A219" sqref="A219"/>
      <selection pane="topRight" activeCell="A219" sqref="A219"/>
      <selection pane="bottomLeft" activeCell="A219" sqref="A219"/>
      <selection pane="bottomRight" activeCell="B179" sqref="B179"/>
    </sheetView>
  </sheetViews>
  <sheetFormatPr baseColWidth="10" defaultColWidth="9" defaultRowHeight="16"/>
  <cols>
    <col min="1" max="1" width="45" style="16" customWidth="1"/>
    <col min="2" max="2" width="24" style="52" customWidth="1"/>
    <col min="3" max="3" width="15" style="52" bestFit="1" customWidth="1"/>
    <col min="4" max="4" width="10.33203125" style="52" bestFit="1" customWidth="1"/>
    <col min="5" max="20" width="11.33203125" style="52" customWidth="1"/>
    <col min="21" max="21" width="12.83203125" style="53" bestFit="1" customWidth="1"/>
    <col min="22" max="36" width="11.33203125" style="52" customWidth="1"/>
    <col min="37" max="37" width="12.33203125" style="52" bestFit="1" customWidth="1"/>
    <col min="38" max="38" width="12.33203125" style="53" bestFit="1" customWidth="1"/>
    <col min="39" max="39" width="5.33203125" style="52" bestFit="1" customWidth="1"/>
    <col min="40" max="40" width="16.1640625" style="17" bestFit="1" customWidth="1"/>
    <col min="41" max="41" width="14.33203125" style="17" bestFit="1" customWidth="1"/>
    <col min="42" max="245" width="9" style="52"/>
    <col min="246" max="246" width="20.33203125" style="52" customWidth="1"/>
    <col min="247" max="247" width="8.33203125" style="52" customWidth="1"/>
    <col min="248" max="248" width="10" style="52" customWidth="1"/>
    <col min="249" max="249" width="8.33203125" style="52" customWidth="1"/>
    <col min="250" max="252" width="9.33203125" style="52" bestFit="1" customWidth="1"/>
    <col min="253" max="253" width="8.33203125" style="52" bestFit="1" customWidth="1"/>
    <col min="254" max="254" width="8.33203125" style="52" customWidth="1"/>
    <col min="255" max="257" width="9.33203125" style="52" bestFit="1" customWidth="1"/>
    <col min="258" max="258" width="8.33203125" style="52" bestFit="1" customWidth="1"/>
    <col min="259" max="259" width="8.33203125" style="52" customWidth="1"/>
    <col min="260" max="262" width="9.33203125" style="52" bestFit="1" customWidth="1"/>
    <col min="263" max="263" width="8.33203125" style="52" bestFit="1" customWidth="1"/>
    <col min="264" max="265" width="8.33203125" style="52" customWidth="1"/>
    <col min="266" max="266" width="9" style="52" bestFit="1" customWidth="1"/>
    <col min="267" max="501" width="9" style="52"/>
    <col min="502" max="502" width="20.33203125" style="52" customWidth="1"/>
    <col min="503" max="503" width="8.33203125" style="52" customWidth="1"/>
    <col min="504" max="504" width="10" style="52" customWidth="1"/>
    <col min="505" max="505" width="8.33203125" style="52" customWidth="1"/>
    <col min="506" max="508" width="9.33203125" style="52" bestFit="1" customWidth="1"/>
    <col min="509" max="509" width="8.33203125" style="52" bestFit="1" customWidth="1"/>
    <col min="510" max="510" width="8.33203125" style="52" customWidth="1"/>
    <col min="511" max="513" width="9.33203125" style="52" bestFit="1" customWidth="1"/>
    <col min="514" max="514" width="8.33203125" style="52" bestFit="1" customWidth="1"/>
    <col min="515" max="515" width="8.33203125" style="52" customWidth="1"/>
    <col min="516" max="518" width="9.33203125" style="52" bestFit="1" customWidth="1"/>
    <col min="519" max="519" width="8.33203125" style="52" bestFit="1" customWidth="1"/>
    <col min="520" max="521" width="8.33203125" style="52" customWidth="1"/>
    <col min="522" max="522" width="9" style="52" bestFit="1" customWidth="1"/>
    <col min="523" max="757" width="9" style="52"/>
    <col min="758" max="758" width="20.33203125" style="52" customWidth="1"/>
    <col min="759" max="759" width="8.33203125" style="52" customWidth="1"/>
    <col min="760" max="760" width="10" style="52" customWidth="1"/>
    <col min="761" max="761" width="8.33203125" style="52" customWidth="1"/>
    <col min="762" max="764" width="9.33203125" style="52" bestFit="1" customWidth="1"/>
    <col min="765" max="765" width="8.33203125" style="52" bestFit="1" customWidth="1"/>
    <col min="766" max="766" width="8.33203125" style="52" customWidth="1"/>
    <col min="767" max="769" width="9.33203125" style="52" bestFit="1" customWidth="1"/>
    <col min="770" max="770" width="8.33203125" style="52" bestFit="1" customWidth="1"/>
    <col min="771" max="771" width="8.33203125" style="52" customWidth="1"/>
    <col min="772" max="774" width="9.33203125" style="52" bestFit="1" customWidth="1"/>
    <col min="775" max="775" width="8.33203125" style="52" bestFit="1" customWidth="1"/>
    <col min="776" max="777" width="8.33203125" style="52" customWidth="1"/>
    <col min="778" max="778" width="9" style="52" bestFit="1" customWidth="1"/>
    <col min="779" max="1013" width="9" style="52"/>
    <col min="1014" max="1014" width="20.33203125" style="52" customWidth="1"/>
    <col min="1015" max="1015" width="8.33203125" style="52" customWidth="1"/>
    <col min="1016" max="1016" width="10" style="52" customWidth="1"/>
    <col min="1017" max="1017" width="8.33203125" style="52" customWidth="1"/>
    <col min="1018" max="1020" width="9.33203125" style="52" bestFit="1" customWidth="1"/>
    <col min="1021" max="1021" width="8.33203125" style="52" bestFit="1" customWidth="1"/>
    <col min="1022" max="1022" width="8.33203125" style="52" customWidth="1"/>
    <col min="1023" max="1025" width="9.33203125" style="52" bestFit="1" customWidth="1"/>
    <col min="1026" max="1026" width="8.33203125" style="52" bestFit="1" customWidth="1"/>
    <col min="1027" max="1027" width="8.33203125" style="52" customWidth="1"/>
    <col min="1028" max="1030" width="9.33203125" style="52" bestFit="1" customWidth="1"/>
    <col min="1031" max="1031" width="8.33203125" style="52" bestFit="1" customWidth="1"/>
    <col min="1032" max="1033" width="8.33203125" style="52" customWidth="1"/>
    <col min="1034" max="1034" width="9" style="52" bestFit="1" customWidth="1"/>
    <col min="1035" max="1269" width="9" style="52"/>
    <col min="1270" max="1270" width="20.33203125" style="52" customWidth="1"/>
    <col min="1271" max="1271" width="8.33203125" style="52" customWidth="1"/>
    <col min="1272" max="1272" width="10" style="52" customWidth="1"/>
    <col min="1273" max="1273" width="8.33203125" style="52" customWidth="1"/>
    <col min="1274" max="1276" width="9.33203125" style="52" bestFit="1" customWidth="1"/>
    <col min="1277" max="1277" width="8.33203125" style="52" bestFit="1" customWidth="1"/>
    <col min="1278" max="1278" width="8.33203125" style="52" customWidth="1"/>
    <col min="1279" max="1281" width="9.33203125" style="52" bestFit="1" customWidth="1"/>
    <col min="1282" max="1282" width="8.33203125" style="52" bestFit="1" customWidth="1"/>
    <col min="1283" max="1283" width="8.33203125" style="52" customWidth="1"/>
    <col min="1284" max="1286" width="9.33203125" style="52" bestFit="1" customWidth="1"/>
    <col min="1287" max="1287" width="8.33203125" style="52" bestFit="1" customWidth="1"/>
    <col min="1288" max="1289" width="8.33203125" style="52" customWidth="1"/>
    <col min="1290" max="1290" width="9" style="52" bestFit="1" customWidth="1"/>
    <col min="1291" max="1525" width="9" style="52"/>
    <col min="1526" max="1526" width="20.33203125" style="52" customWidth="1"/>
    <col min="1527" max="1527" width="8.33203125" style="52" customWidth="1"/>
    <col min="1528" max="1528" width="10" style="52" customWidth="1"/>
    <col min="1529" max="1529" width="8.33203125" style="52" customWidth="1"/>
    <col min="1530" max="1532" width="9.33203125" style="52" bestFit="1" customWidth="1"/>
    <col min="1533" max="1533" width="8.33203125" style="52" bestFit="1" customWidth="1"/>
    <col min="1534" max="1534" width="8.33203125" style="52" customWidth="1"/>
    <col min="1535" max="1537" width="9.33203125" style="52" bestFit="1" customWidth="1"/>
    <col min="1538" max="1538" width="8.33203125" style="52" bestFit="1" customWidth="1"/>
    <col min="1539" max="1539" width="8.33203125" style="52" customWidth="1"/>
    <col min="1540" max="1542" width="9.33203125" style="52" bestFit="1" customWidth="1"/>
    <col min="1543" max="1543" width="8.33203125" style="52" bestFit="1" customWidth="1"/>
    <col min="1544" max="1545" width="8.33203125" style="52" customWidth="1"/>
    <col min="1546" max="1546" width="9" style="52" bestFit="1" customWidth="1"/>
    <col min="1547" max="1781" width="9" style="52"/>
    <col min="1782" max="1782" width="20.33203125" style="52" customWidth="1"/>
    <col min="1783" max="1783" width="8.33203125" style="52" customWidth="1"/>
    <col min="1784" max="1784" width="10" style="52" customWidth="1"/>
    <col min="1785" max="1785" width="8.33203125" style="52" customWidth="1"/>
    <col min="1786" max="1788" width="9.33203125" style="52" bestFit="1" customWidth="1"/>
    <col min="1789" max="1789" width="8.33203125" style="52" bestFit="1" customWidth="1"/>
    <col min="1790" max="1790" width="8.33203125" style="52" customWidth="1"/>
    <col min="1791" max="1793" width="9.33203125" style="52" bestFit="1" customWidth="1"/>
    <col min="1794" max="1794" width="8.33203125" style="52" bestFit="1" customWidth="1"/>
    <col min="1795" max="1795" width="8.33203125" style="52" customWidth="1"/>
    <col min="1796" max="1798" width="9.33203125" style="52" bestFit="1" customWidth="1"/>
    <col min="1799" max="1799" width="8.33203125" style="52" bestFit="1" customWidth="1"/>
    <col min="1800" max="1801" width="8.33203125" style="52" customWidth="1"/>
    <col min="1802" max="1802" width="9" style="52" bestFit="1" customWidth="1"/>
    <col min="1803" max="2037" width="9" style="52"/>
    <col min="2038" max="2038" width="20.33203125" style="52" customWidth="1"/>
    <col min="2039" max="2039" width="8.33203125" style="52" customWidth="1"/>
    <col min="2040" max="2040" width="10" style="52" customWidth="1"/>
    <col min="2041" max="2041" width="8.33203125" style="52" customWidth="1"/>
    <col min="2042" max="2044" width="9.33203125" style="52" bestFit="1" customWidth="1"/>
    <col min="2045" max="2045" width="8.33203125" style="52" bestFit="1" customWidth="1"/>
    <col min="2046" max="2046" width="8.33203125" style="52" customWidth="1"/>
    <col min="2047" max="2049" width="9.33203125" style="52" bestFit="1" customWidth="1"/>
    <col min="2050" max="2050" width="8.33203125" style="52" bestFit="1" customWidth="1"/>
    <col min="2051" max="2051" width="8.33203125" style="52" customWidth="1"/>
    <col min="2052" max="2054" width="9.33203125" style="52" bestFit="1" customWidth="1"/>
    <col min="2055" max="2055" width="8.33203125" style="52" bestFit="1" customWidth="1"/>
    <col min="2056" max="2057" width="8.33203125" style="52" customWidth="1"/>
    <col min="2058" max="2058" width="9" style="52" bestFit="1" customWidth="1"/>
    <col min="2059" max="2293" width="9" style="52"/>
    <col min="2294" max="2294" width="20.33203125" style="52" customWidth="1"/>
    <col min="2295" max="2295" width="8.33203125" style="52" customWidth="1"/>
    <col min="2296" max="2296" width="10" style="52" customWidth="1"/>
    <col min="2297" max="2297" width="8.33203125" style="52" customWidth="1"/>
    <col min="2298" max="2300" width="9.33203125" style="52" bestFit="1" customWidth="1"/>
    <col min="2301" max="2301" width="8.33203125" style="52" bestFit="1" customWidth="1"/>
    <col min="2302" max="2302" width="8.33203125" style="52" customWidth="1"/>
    <col min="2303" max="2305" width="9.33203125" style="52" bestFit="1" customWidth="1"/>
    <col min="2306" max="2306" width="8.33203125" style="52" bestFit="1" customWidth="1"/>
    <col min="2307" max="2307" width="8.33203125" style="52" customWidth="1"/>
    <col min="2308" max="2310" width="9.33203125" style="52" bestFit="1" customWidth="1"/>
    <col min="2311" max="2311" width="8.33203125" style="52" bestFit="1" customWidth="1"/>
    <col min="2312" max="2313" width="8.33203125" style="52" customWidth="1"/>
    <col min="2314" max="2314" width="9" style="52" bestFit="1" customWidth="1"/>
    <col min="2315" max="2549" width="9" style="52"/>
    <col min="2550" max="2550" width="20.33203125" style="52" customWidth="1"/>
    <col min="2551" max="2551" width="8.33203125" style="52" customWidth="1"/>
    <col min="2552" max="2552" width="10" style="52" customWidth="1"/>
    <col min="2553" max="2553" width="8.33203125" style="52" customWidth="1"/>
    <col min="2554" max="2556" width="9.33203125" style="52" bestFit="1" customWidth="1"/>
    <col min="2557" max="2557" width="8.33203125" style="52" bestFit="1" customWidth="1"/>
    <col min="2558" max="2558" width="8.33203125" style="52" customWidth="1"/>
    <col min="2559" max="2561" width="9.33203125" style="52" bestFit="1" customWidth="1"/>
    <col min="2562" max="2562" width="8.33203125" style="52" bestFit="1" customWidth="1"/>
    <col min="2563" max="2563" width="8.33203125" style="52" customWidth="1"/>
    <col min="2564" max="2566" width="9.33203125" style="52" bestFit="1" customWidth="1"/>
    <col min="2567" max="2567" width="8.33203125" style="52" bestFit="1" customWidth="1"/>
    <col min="2568" max="2569" width="8.33203125" style="52" customWidth="1"/>
    <col min="2570" max="2570" width="9" style="52" bestFit="1" customWidth="1"/>
    <col min="2571" max="2805" width="9" style="52"/>
    <col min="2806" max="2806" width="20.33203125" style="52" customWidth="1"/>
    <col min="2807" max="2807" width="8.33203125" style="52" customWidth="1"/>
    <col min="2808" max="2808" width="10" style="52" customWidth="1"/>
    <col min="2809" max="2809" width="8.33203125" style="52" customWidth="1"/>
    <col min="2810" max="2812" width="9.33203125" style="52" bestFit="1" customWidth="1"/>
    <col min="2813" max="2813" width="8.33203125" style="52" bestFit="1" customWidth="1"/>
    <col min="2814" max="2814" width="8.33203125" style="52" customWidth="1"/>
    <col min="2815" max="2817" width="9.33203125" style="52" bestFit="1" customWidth="1"/>
    <col min="2818" max="2818" width="8.33203125" style="52" bestFit="1" customWidth="1"/>
    <col min="2819" max="2819" width="8.33203125" style="52" customWidth="1"/>
    <col min="2820" max="2822" width="9.33203125" style="52" bestFit="1" customWidth="1"/>
    <col min="2823" max="2823" width="8.33203125" style="52" bestFit="1" customWidth="1"/>
    <col min="2824" max="2825" width="8.33203125" style="52" customWidth="1"/>
    <col min="2826" max="2826" width="9" style="52" bestFit="1" customWidth="1"/>
    <col min="2827" max="3061" width="9" style="52"/>
    <col min="3062" max="3062" width="20.33203125" style="52" customWidth="1"/>
    <col min="3063" max="3063" width="8.33203125" style="52" customWidth="1"/>
    <col min="3064" max="3064" width="10" style="52" customWidth="1"/>
    <col min="3065" max="3065" width="8.33203125" style="52" customWidth="1"/>
    <col min="3066" max="3068" width="9.33203125" style="52" bestFit="1" customWidth="1"/>
    <col min="3069" max="3069" width="8.33203125" style="52" bestFit="1" customWidth="1"/>
    <col min="3070" max="3070" width="8.33203125" style="52" customWidth="1"/>
    <col min="3071" max="3073" width="9.33203125" style="52" bestFit="1" customWidth="1"/>
    <col min="3074" max="3074" width="8.33203125" style="52" bestFit="1" customWidth="1"/>
    <col min="3075" max="3075" width="8.33203125" style="52" customWidth="1"/>
    <col min="3076" max="3078" width="9.33203125" style="52" bestFit="1" customWidth="1"/>
    <col min="3079" max="3079" width="8.33203125" style="52" bestFit="1" customWidth="1"/>
    <col min="3080" max="3081" width="8.33203125" style="52" customWidth="1"/>
    <col min="3082" max="3082" width="9" style="52" bestFit="1" customWidth="1"/>
    <col min="3083" max="3317" width="9" style="52"/>
    <col min="3318" max="3318" width="20.33203125" style="52" customWidth="1"/>
    <col min="3319" max="3319" width="8.33203125" style="52" customWidth="1"/>
    <col min="3320" max="3320" width="10" style="52" customWidth="1"/>
    <col min="3321" max="3321" width="8.33203125" style="52" customWidth="1"/>
    <col min="3322" max="3324" width="9.33203125" style="52" bestFit="1" customWidth="1"/>
    <col min="3325" max="3325" width="8.33203125" style="52" bestFit="1" customWidth="1"/>
    <col min="3326" max="3326" width="8.33203125" style="52" customWidth="1"/>
    <col min="3327" max="3329" width="9.33203125" style="52" bestFit="1" customWidth="1"/>
    <col min="3330" max="3330" width="8.33203125" style="52" bestFit="1" customWidth="1"/>
    <col min="3331" max="3331" width="8.33203125" style="52" customWidth="1"/>
    <col min="3332" max="3334" width="9.33203125" style="52" bestFit="1" customWidth="1"/>
    <col min="3335" max="3335" width="8.33203125" style="52" bestFit="1" customWidth="1"/>
    <col min="3336" max="3337" width="8.33203125" style="52" customWidth="1"/>
    <col min="3338" max="3338" width="9" style="52" bestFit="1" customWidth="1"/>
    <col min="3339" max="3573" width="9" style="52"/>
    <col min="3574" max="3574" width="20.33203125" style="52" customWidth="1"/>
    <col min="3575" max="3575" width="8.33203125" style="52" customWidth="1"/>
    <col min="3576" max="3576" width="10" style="52" customWidth="1"/>
    <col min="3577" max="3577" width="8.33203125" style="52" customWidth="1"/>
    <col min="3578" max="3580" width="9.33203125" style="52" bestFit="1" customWidth="1"/>
    <col min="3581" max="3581" width="8.33203125" style="52" bestFit="1" customWidth="1"/>
    <col min="3582" max="3582" width="8.33203125" style="52" customWidth="1"/>
    <col min="3583" max="3585" width="9.33203125" style="52" bestFit="1" customWidth="1"/>
    <col min="3586" max="3586" width="8.33203125" style="52" bestFit="1" customWidth="1"/>
    <col min="3587" max="3587" width="8.33203125" style="52" customWidth="1"/>
    <col min="3588" max="3590" width="9.33203125" style="52" bestFit="1" customWidth="1"/>
    <col min="3591" max="3591" width="8.33203125" style="52" bestFit="1" customWidth="1"/>
    <col min="3592" max="3593" width="8.33203125" style="52" customWidth="1"/>
    <col min="3594" max="3594" width="9" style="52" bestFit="1" customWidth="1"/>
    <col min="3595" max="3829" width="9" style="52"/>
    <col min="3830" max="3830" width="20.33203125" style="52" customWidth="1"/>
    <col min="3831" max="3831" width="8.33203125" style="52" customWidth="1"/>
    <col min="3832" max="3832" width="10" style="52" customWidth="1"/>
    <col min="3833" max="3833" width="8.33203125" style="52" customWidth="1"/>
    <col min="3834" max="3836" width="9.33203125" style="52" bestFit="1" customWidth="1"/>
    <col min="3837" max="3837" width="8.33203125" style="52" bestFit="1" customWidth="1"/>
    <col min="3838" max="3838" width="8.33203125" style="52" customWidth="1"/>
    <col min="3839" max="3841" width="9.33203125" style="52" bestFit="1" customWidth="1"/>
    <col min="3842" max="3842" width="8.33203125" style="52" bestFit="1" customWidth="1"/>
    <col min="3843" max="3843" width="8.33203125" style="52" customWidth="1"/>
    <col min="3844" max="3846" width="9.33203125" style="52" bestFit="1" customWidth="1"/>
    <col min="3847" max="3847" width="8.33203125" style="52" bestFit="1" customWidth="1"/>
    <col min="3848" max="3849" width="8.33203125" style="52" customWidth="1"/>
    <col min="3850" max="3850" width="9" style="52" bestFit="1" customWidth="1"/>
    <col min="3851" max="4085" width="9" style="52"/>
    <col min="4086" max="4086" width="20.33203125" style="52" customWidth="1"/>
    <col min="4087" max="4087" width="8.33203125" style="52" customWidth="1"/>
    <col min="4088" max="4088" width="10" style="52" customWidth="1"/>
    <col min="4089" max="4089" width="8.33203125" style="52" customWidth="1"/>
    <col min="4090" max="4092" width="9.33203125" style="52" bestFit="1" customWidth="1"/>
    <col min="4093" max="4093" width="8.33203125" style="52" bestFit="1" customWidth="1"/>
    <col min="4094" max="4094" width="8.33203125" style="52" customWidth="1"/>
    <col min="4095" max="4097" width="9.33203125" style="52" bestFit="1" customWidth="1"/>
    <col min="4098" max="4098" width="8.33203125" style="52" bestFit="1" customWidth="1"/>
    <col min="4099" max="4099" width="8.33203125" style="52" customWidth="1"/>
    <col min="4100" max="4102" width="9.33203125" style="52" bestFit="1" customWidth="1"/>
    <col min="4103" max="4103" width="8.33203125" style="52" bestFit="1" customWidth="1"/>
    <col min="4104" max="4105" width="8.33203125" style="52" customWidth="1"/>
    <col min="4106" max="4106" width="9" style="52" bestFit="1" customWidth="1"/>
    <col min="4107" max="4341" width="9" style="52"/>
    <col min="4342" max="4342" width="20.33203125" style="52" customWidth="1"/>
    <col min="4343" max="4343" width="8.33203125" style="52" customWidth="1"/>
    <col min="4344" max="4344" width="10" style="52" customWidth="1"/>
    <col min="4345" max="4345" width="8.33203125" style="52" customWidth="1"/>
    <col min="4346" max="4348" width="9.33203125" style="52" bestFit="1" customWidth="1"/>
    <col min="4349" max="4349" width="8.33203125" style="52" bestFit="1" customWidth="1"/>
    <col min="4350" max="4350" width="8.33203125" style="52" customWidth="1"/>
    <col min="4351" max="4353" width="9.33203125" style="52" bestFit="1" customWidth="1"/>
    <col min="4354" max="4354" width="8.33203125" style="52" bestFit="1" customWidth="1"/>
    <col min="4355" max="4355" width="8.33203125" style="52" customWidth="1"/>
    <col min="4356" max="4358" width="9.33203125" style="52" bestFit="1" customWidth="1"/>
    <col min="4359" max="4359" width="8.33203125" style="52" bestFit="1" customWidth="1"/>
    <col min="4360" max="4361" width="8.33203125" style="52" customWidth="1"/>
    <col min="4362" max="4362" width="9" style="52" bestFit="1" customWidth="1"/>
    <col min="4363" max="4597" width="9" style="52"/>
    <col min="4598" max="4598" width="20.33203125" style="52" customWidth="1"/>
    <col min="4599" max="4599" width="8.33203125" style="52" customWidth="1"/>
    <col min="4600" max="4600" width="10" style="52" customWidth="1"/>
    <col min="4601" max="4601" width="8.33203125" style="52" customWidth="1"/>
    <col min="4602" max="4604" width="9.33203125" style="52" bestFit="1" customWidth="1"/>
    <col min="4605" max="4605" width="8.33203125" style="52" bestFit="1" customWidth="1"/>
    <col min="4606" max="4606" width="8.33203125" style="52" customWidth="1"/>
    <col min="4607" max="4609" width="9.33203125" style="52" bestFit="1" customWidth="1"/>
    <col min="4610" max="4610" width="8.33203125" style="52" bestFit="1" customWidth="1"/>
    <col min="4611" max="4611" width="8.33203125" style="52" customWidth="1"/>
    <col min="4612" max="4614" width="9.33203125" style="52" bestFit="1" customWidth="1"/>
    <col min="4615" max="4615" width="8.33203125" style="52" bestFit="1" customWidth="1"/>
    <col min="4616" max="4617" width="8.33203125" style="52" customWidth="1"/>
    <col min="4618" max="4618" width="9" style="52" bestFit="1" customWidth="1"/>
    <col min="4619" max="4853" width="9" style="52"/>
    <col min="4854" max="4854" width="20.33203125" style="52" customWidth="1"/>
    <col min="4855" max="4855" width="8.33203125" style="52" customWidth="1"/>
    <col min="4856" max="4856" width="10" style="52" customWidth="1"/>
    <col min="4857" max="4857" width="8.33203125" style="52" customWidth="1"/>
    <col min="4858" max="4860" width="9.33203125" style="52" bestFit="1" customWidth="1"/>
    <col min="4861" max="4861" width="8.33203125" style="52" bestFit="1" customWidth="1"/>
    <col min="4862" max="4862" width="8.33203125" style="52" customWidth="1"/>
    <col min="4863" max="4865" width="9.33203125" style="52" bestFit="1" customWidth="1"/>
    <col min="4866" max="4866" width="8.33203125" style="52" bestFit="1" customWidth="1"/>
    <col min="4867" max="4867" width="8.33203125" style="52" customWidth="1"/>
    <col min="4868" max="4870" width="9.33203125" style="52" bestFit="1" customWidth="1"/>
    <col min="4871" max="4871" width="8.33203125" style="52" bestFit="1" customWidth="1"/>
    <col min="4872" max="4873" width="8.33203125" style="52" customWidth="1"/>
    <col min="4874" max="4874" width="9" style="52" bestFit="1" customWidth="1"/>
    <col min="4875" max="5109" width="9" style="52"/>
    <col min="5110" max="5110" width="20.33203125" style="52" customWidth="1"/>
    <col min="5111" max="5111" width="8.33203125" style="52" customWidth="1"/>
    <col min="5112" max="5112" width="10" style="52" customWidth="1"/>
    <col min="5113" max="5113" width="8.33203125" style="52" customWidth="1"/>
    <col min="5114" max="5116" width="9.33203125" style="52" bestFit="1" customWidth="1"/>
    <col min="5117" max="5117" width="8.33203125" style="52" bestFit="1" customWidth="1"/>
    <col min="5118" max="5118" width="8.33203125" style="52" customWidth="1"/>
    <col min="5119" max="5121" width="9.33203125" style="52" bestFit="1" customWidth="1"/>
    <col min="5122" max="5122" width="8.33203125" style="52" bestFit="1" customWidth="1"/>
    <col min="5123" max="5123" width="8.33203125" style="52" customWidth="1"/>
    <col min="5124" max="5126" width="9.33203125" style="52" bestFit="1" customWidth="1"/>
    <col min="5127" max="5127" width="8.33203125" style="52" bestFit="1" customWidth="1"/>
    <col min="5128" max="5129" width="8.33203125" style="52" customWidth="1"/>
    <col min="5130" max="5130" width="9" style="52" bestFit="1" customWidth="1"/>
    <col min="5131" max="5365" width="9" style="52"/>
    <col min="5366" max="5366" width="20.33203125" style="52" customWidth="1"/>
    <col min="5367" max="5367" width="8.33203125" style="52" customWidth="1"/>
    <col min="5368" max="5368" width="10" style="52" customWidth="1"/>
    <col min="5369" max="5369" width="8.33203125" style="52" customWidth="1"/>
    <col min="5370" max="5372" width="9.33203125" style="52" bestFit="1" customWidth="1"/>
    <col min="5373" max="5373" width="8.33203125" style="52" bestFit="1" customWidth="1"/>
    <col min="5374" max="5374" width="8.33203125" style="52" customWidth="1"/>
    <col min="5375" max="5377" width="9.33203125" style="52" bestFit="1" customWidth="1"/>
    <col min="5378" max="5378" width="8.33203125" style="52" bestFit="1" customWidth="1"/>
    <col min="5379" max="5379" width="8.33203125" style="52" customWidth="1"/>
    <col min="5380" max="5382" width="9.33203125" style="52" bestFit="1" customWidth="1"/>
    <col min="5383" max="5383" width="8.33203125" style="52" bestFit="1" customWidth="1"/>
    <col min="5384" max="5385" width="8.33203125" style="52" customWidth="1"/>
    <col min="5386" max="5386" width="9" style="52" bestFit="1" customWidth="1"/>
    <col min="5387" max="5621" width="9" style="52"/>
    <col min="5622" max="5622" width="20.33203125" style="52" customWidth="1"/>
    <col min="5623" max="5623" width="8.33203125" style="52" customWidth="1"/>
    <col min="5624" max="5624" width="10" style="52" customWidth="1"/>
    <col min="5625" max="5625" width="8.33203125" style="52" customWidth="1"/>
    <col min="5626" max="5628" width="9.33203125" style="52" bestFit="1" customWidth="1"/>
    <col min="5629" max="5629" width="8.33203125" style="52" bestFit="1" customWidth="1"/>
    <col min="5630" max="5630" width="8.33203125" style="52" customWidth="1"/>
    <col min="5631" max="5633" width="9.33203125" style="52" bestFit="1" customWidth="1"/>
    <col min="5634" max="5634" width="8.33203125" style="52" bestFit="1" customWidth="1"/>
    <col min="5635" max="5635" width="8.33203125" style="52" customWidth="1"/>
    <col min="5636" max="5638" width="9.33203125" style="52" bestFit="1" customWidth="1"/>
    <col min="5639" max="5639" width="8.33203125" style="52" bestFit="1" customWidth="1"/>
    <col min="5640" max="5641" width="8.33203125" style="52" customWidth="1"/>
    <col min="5642" max="5642" width="9" style="52" bestFit="1" customWidth="1"/>
    <col min="5643" max="5877" width="9" style="52"/>
    <col min="5878" max="5878" width="20.33203125" style="52" customWidth="1"/>
    <col min="5879" max="5879" width="8.33203125" style="52" customWidth="1"/>
    <col min="5880" max="5880" width="10" style="52" customWidth="1"/>
    <col min="5881" max="5881" width="8.33203125" style="52" customWidth="1"/>
    <col min="5882" max="5884" width="9.33203125" style="52" bestFit="1" customWidth="1"/>
    <col min="5885" max="5885" width="8.33203125" style="52" bestFit="1" customWidth="1"/>
    <col min="5886" max="5886" width="8.33203125" style="52" customWidth="1"/>
    <col min="5887" max="5889" width="9.33203125" style="52" bestFit="1" customWidth="1"/>
    <col min="5890" max="5890" width="8.33203125" style="52" bestFit="1" customWidth="1"/>
    <col min="5891" max="5891" width="8.33203125" style="52" customWidth="1"/>
    <col min="5892" max="5894" width="9.33203125" style="52" bestFit="1" customWidth="1"/>
    <col min="5895" max="5895" width="8.33203125" style="52" bestFit="1" customWidth="1"/>
    <col min="5896" max="5897" width="8.33203125" style="52" customWidth="1"/>
    <col min="5898" max="5898" width="9" style="52" bestFit="1" customWidth="1"/>
    <col min="5899" max="6133" width="9" style="52"/>
    <col min="6134" max="6134" width="20.33203125" style="52" customWidth="1"/>
    <col min="6135" max="6135" width="8.33203125" style="52" customWidth="1"/>
    <col min="6136" max="6136" width="10" style="52" customWidth="1"/>
    <col min="6137" max="6137" width="8.33203125" style="52" customWidth="1"/>
    <col min="6138" max="6140" width="9.33203125" style="52" bestFit="1" customWidth="1"/>
    <col min="6141" max="6141" width="8.33203125" style="52" bestFit="1" customWidth="1"/>
    <col min="6142" max="6142" width="8.33203125" style="52" customWidth="1"/>
    <col min="6143" max="6145" width="9.33203125" style="52" bestFit="1" customWidth="1"/>
    <col min="6146" max="6146" width="8.33203125" style="52" bestFit="1" customWidth="1"/>
    <col min="6147" max="6147" width="8.33203125" style="52" customWidth="1"/>
    <col min="6148" max="6150" width="9.33203125" style="52" bestFit="1" customWidth="1"/>
    <col min="6151" max="6151" width="8.33203125" style="52" bestFit="1" customWidth="1"/>
    <col min="6152" max="6153" width="8.33203125" style="52" customWidth="1"/>
    <col min="6154" max="6154" width="9" style="52" bestFit="1" customWidth="1"/>
    <col min="6155" max="6389" width="9" style="52"/>
    <col min="6390" max="6390" width="20.33203125" style="52" customWidth="1"/>
    <col min="6391" max="6391" width="8.33203125" style="52" customWidth="1"/>
    <col min="6392" max="6392" width="10" style="52" customWidth="1"/>
    <col min="6393" max="6393" width="8.33203125" style="52" customWidth="1"/>
    <col min="6394" max="6396" width="9.33203125" style="52" bestFit="1" customWidth="1"/>
    <col min="6397" max="6397" width="8.33203125" style="52" bestFit="1" customWidth="1"/>
    <col min="6398" max="6398" width="8.33203125" style="52" customWidth="1"/>
    <col min="6399" max="6401" width="9.33203125" style="52" bestFit="1" customWidth="1"/>
    <col min="6402" max="6402" width="8.33203125" style="52" bestFit="1" customWidth="1"/>
    <col min="6403" max="6403" width="8.33203125" style="52" customWidth="1"/>
    <col min="6404" max="6406" width="9.33203125" style="52" bestFit="1" customWidth="1"/>
    <col min="6407" max="6407" width="8.33203125" style="52" bestFit="1" customWidth="1"/>
    <col min="6408" max="6409" width="8.33203125" style="52" customWidth="1"/>
    <col min="6410" max="6410" width="9" style="52" bestFit="1" customWidth="1"/>
    <col min="6411" max="6645" width="9" style="52"/>
    <col min="6646" max="6646" width="20.33203125" style="52" customWidth="1"/>
    <col min="6647" max="6647" width="8.33203125" style="52" customWidth="1"/>
    <col min="6648" max="6648" width="10" style="52" customWidth="1"/>
    <col min="6649" max="6649" width="8.33203125" style="52" customWidth="1"/>
    <col min="6650" max="6652" width="9.33203125" style="52" bestFit="1" customWidth="1"/>
    <col min="6653" max="6653" width="8.33203125" style="52" bestFit="1" customWidth="1"/>
    <col min="6654" max="6654" width="8.33203125" style="52" customWidth="1"/>
    <col min="6655" max="6657" width="9.33203125" style="52" bestFit="1" customWidth="1"/>
    <col min="6658" max="6658" width="8.33203125" style="52" bestFit="1" customWidth="1"/>
    <col min="6659" max="6659" width="8.33203125" style="52" customWidth="1"/>
    <col min="6660" max="6662" width="9.33203125" style="52" bestFit="1" customWidth="1"/>
    <col min="6663" max="6663" width="8.33203125" style="52" bestFit="1" customWidth="1"/>
    <col min="6664" max="6665" width="8.33203125" style="52" customWidth="1"/>
    <col min="6666" max="6666" width="9" style="52" bestFit="1" customWidth="1"/>
    <col min="6667" max="6901" width="9" style="52"/>
    <col min="6902" max="6902" width="20.33203125" style="52" customWidth="1"/>
    <col min="6903" max="6903" width="8.33203125" style="52" customWidth="1"/>
    <col min="6904" max="6904" width="10" style="52" customWidth="1"/>
    <col min="6905" max="6905" width="8.33203125" style="52" customWidth="1"/>
    <col min="6906" max="6908" width="9.33203125" style="52" bestFit="1" customWidth="1"/>
    <col min="6909" max="6909" width="8.33203125" style="52" bestFit="1" customWidth="1"/>
    <col min="6910" max="6910" width="8.33203125" style="52" customWidth="1"/>
    <col min="6911" max="6913" width="9.33203125" style="52" bestFit="1" customWidth="1"/>
    <col min="6914" max="6914" width="8.33203125" style="52" bestFit="1" customWidth="1"/>
    <col min="6915" max="6915" width="8.33203125" style="52" customWidth="1"/>
    <col min="6916" max="6918" width="9.33203125" style="52" bestFit="1" customWidth="1"/>
    <col min="6919" max="6919" width="8.33203125" style="52" bestFit="1" customWidth="1"/>
    <col min="6920" max="6921" width="8.33203125" style="52" customWidth="1"/>
    <col min="6922" max="6922" width="9" style="52" bestFit="1" customWidth="1"/>
    <col min="6923" max="7157" width="9" style="52"/>
    <col min="7158" max="7158" width="20.33203125" style="52" customWidth="1"/>
    <col min="7159" max="7159" width="8.33203125" style="52" customWidth="1"/>
    <col min="7160" max="7160" width="10" style="52" customWidth="1"/>
    <col min="7161" max="7161" width="8.33203125" style="52" customWidth="1"/>
    <col min="7162" max="7164" width="9.33203125" style="52" bestFit="1" customWidth="1"/>
    <col min="7165" max="7165" width="8.33203125" style="52" bestFit="1" customWidth="1"/>
    <col min="7166" max="7166" width="8.33203125" style="52" customWidth="1"/>
    <col min="7167" max="7169" width="9.33203125" style="52" bestFit="1" customWidth="1"/>
    <col min="7170" max="7170" width="8.33203125" style="52" bestFit="1" customWidth="1"/>
    <col min="7171" max="7171" width="8.33203125" style="52" customWidth="1"/>
    <col min="7172" max="7174" width="9.33203125" style="52" bestFit="1" customWidth="1"/>
    <col min="7175" max="7175" width="8.33203125" style="52" bestFit="1" customWidth="1"/>
    <col min="7176" max="7177" width="8.33203125" style="52" customWidth="1"/>
    <col min="7178" max="7178" width="9" style="52" bestFit="1" customWidth="1"/>
    <col min="7179" max="7413" width="9" style="52"/>
    <col min="7414" max="7414" width="20.33203125" style="52" customWidth="1"/>
    <col min="7415" max="7415" width="8.33203125" style="52" customWidth="1"/>
    <col min="7416" max="7416" width="10" style="52" customWidth="1"/>
    <col min="7417" max="7417" width="8.33203125" style="52" customWidth="1"/>
    <col min="7418" max="7420" width="9.33203125" style="52" bestFit="1" customWidth="1"/>
    <col min="7421" max="7421" width="8.33203125" style="52" bestFit="1" customWidth="1"/>
    <col min="7422" max="7422" width="8.33203125" style="52" customWidth="1"/>
    <col min="7423" max="7425" width="9.33203125" style="52" bestFit="1" customWidth="1"/>
    <col min="7426" max="7426" width="8.33203125" style="52" bestFit="1" customWidth="1"/>
    <col min="7427" max="7427" width="8.33203125" style="52" customWidth="1"/>
    <col min="7428" max="7430" width="9.33203125" style="52" bestFit="1" customWidth="1"/>
    <col min="7431" max="7431" width="8.33203125" style="52" bestFit="1" customWidth="1"/>
    <col min="7432" max="7433" width="8.33203125" style="52" customWidth="1"/>
    <col min="7434" max="7434" width="9" style="52" bestFit="1" customWidth="1"/>
    <col min="7435" max="7669" width="9" style="52"/>
    <col min="7670" max="7670" width="20.33203125" style="52" customWidth="1"/>
    <col min="7671" max="7671" width="8.33203125" style="52" customWidth="1"/>
    <col min="7672" max="7672" width="10" style="52" customWidth="1"/>
    <col min="7673" max="7673" width="8.33203125" style="52" customWidth="1"/>
    <col min="7674" max="7676" width="9.33203125" style="52" bestFit="1" customWidth="1"/>
    <col min="7677" max="7677" width="8.33203125" style="52" bestFit="1" customWidth="1"/>
    <col min="7678" max="7678" width="8.33203125" style="52" customWidth="1"/>
    <col min="7679" max="7681" width="9.33203125" style="52" bestFit="1" customWidth="1"/>
    <col min="7682" max="7682" width="8.33203125" style="52" bestFit="1" customWidth="1"/>
    <col min="7683" max="7683" width="8.33203125" style="52" customWidth="1"/>
    <col min="7684" max="7686" width="9.33203125" style="52" bestFit="1" customWidth="1"/>
    <col min="7687" max="7687" width="8.33203125" style="52" bestFit="1" customWidth="1"/>
    <col min="7688" max="7689" width="8.33203125" style="52" customWidth="1"/>
    <col min="7690" max="7690" width="9" style="52" bestFit="1" customWidth="1"/>
    <col min="7691" max="7925" width="9" style="52"/>
    <col min="7926" max="7926" width="20.33203125" style="52" customWidth="1"/>
    <col min="7927" max="7927" width="8.33203125" style="52" customWidth="1"/>
    <col min="7928" max="7928" width="10" style="52" customWidth="1"/>
    <col min="7929" max="7929" width="8.33203125" style="52" customWidth="1"/>
    <col min="7930" max="7932" width="9.33203125" style="52" bestFit="1" customWidth="1"/>
    <col min="7933" max="7933" width="8.33203125" style="52" bestFit="1" customWidth="1"/>
    <col min="7934" max="7934" width="8.33203125" style="52" customWidth="1"/>
    <col min="7935" max="7937" width="9.33203125" style="52" bestFit="1" customWidth="1"/>
    <col min="7938" max="7938" width="8.33203125" style="52" bestFit="1" customWidth="1"/>
    <col min="7939" max="7939" width="8.33203125" style="52" customWidth="1"/>
    <col min="7940" max="7942" width="9.33203125" style="52" bestFit="1" customWidth="1"/>
    <col min="7943" max="7943" width="8.33203125" style="52" bestFit="1" customWidth="1"/>
    <col min="7944" max="7945" width="8.33203125" style="52" customWidth="1"/>
    <col min="7946" max="7946" width="9" style="52" bestFit="1" customWidth="1"/>
    <col min="7947" max="8181" width="9" style="52"/>
    <col min="8182" max="8182" width="20.33203125" style="52" customWidth="1"/>
    <col min="8183" max="8183" width="8.33203125" style="52" customWidth="1"/>
    <col min="8184" max="8184" width="10" style="52" customWidth="1"/>
    <col min="8185" max="8185" width="8.33203125" style="52" customWidth="1"/>
    <col min="8186" max="8188" width="9.33203125" style="52" bestFit="1" customWidth="1"/>
    <col min="8189" max="8189" width="8.33203125" style="52" bestFit="1" customWidth="1"/>
    <col min="8190" max="8190" width="8.33203125" style="52" customWidth="1"/>
    <col min="8191" max="8193" width="9.33203125" style="52" bestFit="1" customWidth="1"/>
    <col min="8194" max="8194" width="8.33203125" style="52" bestFit="1" customWidth="1"/>
    <col min="8195" max="8195" width="8.33203125" style="52" customWidth="1"/>
    <col min="8196" max="8198" width="9.33203125" style="52" bestFit="1" customWidth="1"/>
    <col min="8199" max="8199" width="8.33203125" style="52" bestFit="1" customWidth="1"/>
    <col min="8200" max="8201" width="8.33203125" style="52" customWidth="1"/>
    <col min="8202" max="8202" width="9" style="52" bestFit="1" customWidth="1"/>
    <col min="8203" max="8437" width="9" style="52"/>
    <col min="8438" max="8438" width="20.33203125" style="52" customWidth="1"/>
    <col min="8439" max="8439" width="8.33203125" style="52" customWidth="1"/>
    <col min="8440" max="8440" width="10" style="52" customWidth="1"/>
    <col min="8441" max="8441" width="8.33203125" style="52" customWidth="1"/>
    <col min="8442" max="8444" width="9.33203125" style="52" bestFit="1" customWidth="1"/>
    <col min="8445" max="8445" width="8.33203125" style="52" bestFit="1" customWidth="1"/>
    <col min="8446" max="8446" width="8.33203125" style="52" customWidth="1"/>
    <col min="8447" max="8449" width="9.33203125" style="52" bestFit="1" customWidth="1"/>
    <col min="8450" max="8450" width="8.33203125" style="52" bestFit="1" customWidth="1"/>
    <col min="8451" max="8451" width="8.33203125" style="52" customWidth="1"/>
    <col min="8452" max="8454" width="9.33203125" style="52" bestFit="1" customWidth="1"/>
    <col min="8455" max="8455" width="8.33203125" style="52" bestFit="1" customWidth="1"/>
    <col min="8456" max="8457" width="8.33203125" style="52" customWidth="1"/>
    <col min="8458" max="8458" width="9" style="52" bestFit="1" customWidth="1"/>
    <col min="8459" max="8693" width="9" style="52"/>
    <col min="8694" max="8694" width="20.33203125" style="52" customWidth="1"/>
    <col min="8695" max="8695" width="8.33203125" style="52" customWidth="1"/>
    <col min="8696" max="8696" width="10" style="52" customWidth="1"/>
    <col min="8697" max="8697" width="8.33203125" style="52" customWidth="1"/>
    <col min="8698" max="8700" width="9.33203125" style="52" bestFit="1" customWidth="1"/>
    <col min="8701" max="8701" width="8.33203125" style="52" bestFit="1" customWidth="1"/>
    <col min="8702" max="8702" width="8.33203125" style="52" customWidth="1"/>
    <col min="8703" max="8705" width="9.33203125" style="52" bestFit="1" customWidth="1"/>
    <col min="8706" max="8706" width="8.33203125" style="52" bestFit="1" customWidth="1"/>
    <col min="8707" max="8707" width="8.33203125" style="52" customWidth="1"/>
    <col min="8708" max="8710" width="9.33203125" style="52" bestFit="1" customWidth="1"/>
    <col min="8711" max="8711" width="8.33203125" style="52" bestFit="1" customWidth="1"/>
    <col min="8712" max="8713" width="8.33203125" style="52" customWidth="1"/>
    <col min="8714" max="8714" width="9" style="52" bestFit="1" customWidth="1"/>
    <col min="8715" max="8949" width="9" style="52"/>
    <col min="8950" max="8950" width="20.33203125" style="52" customWidth="1"/>
    <col min="8951" max="8951" width="8.33203125" style="52" customWidth="1"/>
    <col min="8952" max="8952" width="10" style="52" customWidth="1"/>
    <col min="8953" max="8953" width="8.33203125" style="52" customWidth="1"/>
    <col min="8954" max="8956" width="9.33203125" style="52" bestFit="1" customWidth="1"/>
    <col min="8957" max="8957" width="8.33203125" style="52" bestFit="1" customWidth="1"/>
    <col min="8958" max="8958" width="8.33203125" style="52" customWidth="1"/>
    <col min="8959" max="8961" width="9.33203125" style="52" bestFit="1" customWidth="1"/>
    <col min="8962" max="8962" width="8.33203125" style="52" bestFit="1" customWidth="1"/>
    <col min="8963" max="8963" width="8.33203125" style="52" customWidth="1"/>
    <col min="8964" max="8966" width="9.33203125" style="52" bestFit="1" customWidth="1"/>
    <col min="8967" max="8967" width="8.33203125" style="52" bestFit="1" customWidth="1"/>
    <col min="8968" max="8969" width="8.33203125" style="52" customWidth="1"/>
    <col min="8970" max="8970" width="9" style="52" bestFit="1" customWidth="1"/>
    <col min="8971" max="9205" width="9" style="52"/>
    <col min="9206" max="9206" width="20.33203125" style="52" customWidth="1"/>
    <col min="9207" max="9207" width="8.33203125" style="52" customWidth="1"/>
    <col min="9208" max="9208" width="10" style="52" customWidth="1"/>
    <col min="9209" max="9209" width="8.33203125" style="52" customWidth="1"/>
    <col min="9210" max="9212" width="9.33203125" style="52" bestFit="1" customWidth="1"/>
    <col min="9213" max="9213" width="8.33203125" style="52" bestFit="1" customWidth="1"/>
    <col min="9214" max="9214" width="8.33203125" style="52" customWidth="1"/>
    <col min="9215" max="9217" width="9.33203125" style="52" bestFit="1" customWidth="1"/>
    <col min="9218" max="9218" width="8.33203125" style="52" bestFit="1" customWidth="1"/>
    <col min="9219" max="9219" width="8.33203125" style="52" customWidth="1"/>
    <col min="9220" max="9222" width="9.33203125" style="52" bestFit="1" customWidth="1"/>
    <col min="9223" max="9223" width="8.33203125" style="52" bestFit="1" customWidth="1"/>
    <col min="9224" max="9225" width="8.33203125" style="52" customWidth="1"/>
    <col min="9226" max="9226" width="9" style="52" bestFit="1" customWidth="1"/>
    <col min="9227" max="9461" width="9" style="52"/>
    <col min="9462" max="9462" width="20.33203125" style="52" customWidth="1"/>
    <col min="9463" max="9463" width="8.33203125" style="52" customWidth="1"/>
    <col min="9464" max="9464" width="10" style="52" customWidth="1"/>
    <col min="9465" max="9465" width="8.33203125" style="52" customWidth="1"/>
    <col min="9466" max="9468" width="9.33203125" style="52" bestFit="1" customWidth="1"/>
    <col min="9469" max="9469" width="8.33203125" style="52" bestFit="1" customWidth="1"/>
    <col min="9470" max="9470" width="8.33203125" style="52" customWidth="1"/>
    <col min="9471" max="9473" width="9.33203125" style="52" bestFit="1" customWidth="1"/>
    <col min="9474" max="9474" width="8.33203125" style="52" bestFit="1" customWidth="1"/>
    <col min="9475" max="9475" width="8.33203125" style="52" customWidth="1"/>
    <col min="9476" max="9478" width="9.33203125" style="52" bestFit="1" customWidth="1"/>
    <col min="9479" max="9479" width="8.33203125" style="52" bestFit="1" customWidth="1"/>
    <col min="9480" max="9481" width="8.33203125" style="52" customWidth="1"/>
    <col min="9482" max="9482" width="9" style="52" bestFit="1" customWidth="1"/>
    <col min="9483" max="9717" width="9" style="52"/>
    <col min="9718" max="9718" width="20.33203125" style="52" customWidth="1"/>
    <col min="9719" max="9719" width="8.33203125" style="52" customWidth="1"/>
    <col min="9720" max="9720" width="10" style="52" customWidth="1"/>
    <col min="9721" max="9721" width="8.33203125" style="52" customWidth="1"/>
    <col min="9722" max="9724" width="9.33203125" style="52" bestFit="1" customWidth="1"/>
    <col min="9725" max="9725" width="8.33203125" style="52" bestFit="1" customWidth="1"/>
    <col min="9726" max="9726" width="8.33203125" style="52" customWidth="1"/>
    <col min="9727" max="9729" width="9.33203125" style="52" bestFit="1" customWidth="1"/>
    <col min="9730" max="9730" width="8.33203125" style="52" bestFit="1" customWidth="1"/>
    <col min="9731" max="9731" width="8.33203125" style="52" customWidth="1"/>
    <col min="9732" max="9734" width="9.33203125" style="52" bestFit="1" customWidth="1"/>
    <col min="9735" max="9735" width="8.33203125" style="52" bestFit="1" customWidth="1"/>
    <col min="9736" max="9737" width="8.33203125" style="52" customWidth="1"/>
    <col min="9738" max="9738" width="9" style="52" bestFit="1" customWidth="1"/>
    <col min="9739" max="9973" width="9" style="52"/>
    <col min="9974" max="9974" width="20.33203125" style="52" customWidth="1"/>
    <col min="9975" max="9975" width="8.33203125" style="52" customWidth="1"/>
    <col min="9976" max="9976" width="10" style="52" customWidth="1"/>
    <col min="9977" max="9977" width="8.33203125" style="52" customWidth="1"/>
    <col min="9978" max="9980" width="9.33203125" style="52" bestFit="1" customWidth="1"/>
    <col min="9981" max="9981" width="8.33203125" style="52" bestFit="1" customWidth="1"/>
    <col min="9982" max="9982" width="8.33203125" style="52" customWidth="1"/>
    <col min="9983" max="9985" width="9.33203125" style="52" bestFit="1" customWidth="1"/>
    <col min="9986" max="9986" width="8.33203125" style="52" bestFit="1" customWidth="1"/>
    <col min="9987" max="9987" width="8.33203125" style="52" customWidth="1"/>
    <col min="9988" max="9990" width="9.33203125" style="52" bestFit="1" customWidth="1"/>
    <col min="9991" max="9991" width="8.33203125" style="52" bestFit="1" customWidth="1"/>
    <col min="9992" max="9993" width="8.33203125" style="52" customWidth="1"/>
    <col min="9994" max="9994" width="9" style="52" bestFit="1" customWidth="1"/>
    <col min="9995" max="10229" width="9" style="52"/>
    <col min="10230" max="10230" width="20.33203125" style="52" customWidth="1"/>
    <col min="10231" max="10231" width="8.33203125" style="52" customWidth="1"/>
    <col min="10232" max="10232" width="10" style="52" customWidth="1"/>
    <col min="10233" max="10233" width="8.33203125" style="52" customWidth="1"/>
    <col min="10234" max="10236" width="9.33203125" style="52" bestFit="1" customWidth="1"/>
    <col min="10237" max="10237" width="8.33203125" style="52" bestFit="1" customWidth="1"/>
    <col min="10238" max="10238" width="8.33203125" style="52" customWidth="1"/>
    <col min="10239" max="10241" width="9.33203125" style="52" bestFit="1" customWidth="1"/>
    <col min="10242" max="10242" width="8.33203125" style="52" bestFit="1" customWidth="1"/>
    <col min="10243" max="10243" width="8.33203125" style="52" customWidth="1"/>
    <col min="10244" max="10246" width="9.33203125" style="52" bestFit="1" customWidth="1"/>
    <col min="10247" max="10247" width="8.33203125" style="52" bestFit="1" customWidth="1"/>
    <col min="10248" max="10249" width="8.33203125" style="52" customWidth="1"/>
    <col min="10250" max="10250" width="9" style="52" bestFit="1" customWidth="1"/>
    <col min="10251" max="10485" width="9" style="52"/>
    <col min="10486" max="10486" width="20.33203125" style="52" customWidth="1"/>
    <col min="10487" max="10487" width="8.33203125" style="52" customWidth="1"/>
    <col min="10488" max="10488" width="10" style="52" customWidth="1"/>
    <col min="10489" max="10489" width="8.33203125" style="52" customWidth="1"/>
    <col min="10490" max="10492" width="9.33203125" style="52" bestFit="1" customWidth="1"/>
    <col min="10493" max="10493" width="8.33203125" style="52" bestFit="1" customWidth="1"/>
    <col min="10494" max="10494" width="8.33203125" style="52" customWidth="1"/>
    <col min="10495" max="10497" width="9.33203125" style="52" bestFit="1" customWidth="1"/>
    <col min="10498" max="10498" width="8.33203125" style="52" bestFit="1" customWidth="1"/>
    <col min="10499" max="10499" width="8.33203125" style="52" customWidth="1"/>
    <col min="10500" max="10502" width="9.33203125" style="52" bestFit="1" customWidth="1"/>
    <col min="10503" max="10503" width="8.33203125" style="52" bestFit="1" customWidth="1"/>
    <col min="10504" max="10505" width="8.33203125" style="52" customWidth="1"/>
    <col min="10506" max="10506" width="9" style="52" bestFit="1" customWidth="1"/>
    <col min="10507" max="10741" width="9" style="52"/>
    <col min="10742" max="10742" width="20.33203125" style="52" customWidth="1"/>
    <col min="10743" max="10743" width="8.33203125" style="52" customWidth="1"/>
    <col min="10744" max="10744" width="10" style="52" customWidth="1"/>
    <col min="10745" max="10745" width="8.33203125" style="52" customWidth="1"/>
    <col min="10746" max="10748" width="9.33203125" style="52" bestFit="1" customWidth="1"/>
    <col min="10749" max="10749" width="8.33203125" style="52" bestFit="1" customWidth="1"/>
    <col min="10750" max="10750" width="8.33203125" style="52" customWidth="1"/>
    <col min="10751" max="10753" width="9.33203125" style="52" bestFit="1" customWidth="1"/>
    <col min="10754" max="10754" width="8.33203125" style="52" bestFit="1" customWidth="1"/>
    <col min="10755" max="10755" width="8.33203125" style="52" customWidth="1"/>
    <col min="10756" max="10758" width="9.33203125" style="52" bestFit="1" customWidth="1"/>
    <col min="10759" max="10759" width="8.33203125" style="52" bestFit="1" customWidth="1"/>
    <col min="10760" max="10761" width="8.33203125" style="52" customWidth="1"/>
    <col min="10762" max="10762" width="9" style="52" bestFit="1" customWidth="1"/>
    <col min="10763" max="10997" width="9" style="52"/>
    <col min="10998" max="10998" width="20.33203125" style="52" customWidth="1"/>
    <col min="10999" max="10999" width="8.33203125" style="52" customWidth="1"/>
    <col min="11000" max="11000" width="10" style="52" customWidth="1"/>
    <col min="11001" max="11001" width="8.33203125" style="52" customWidth="1"/>
    <col min="11002" max="11004" width="9.33203125" style="52" bestFit="1" customWidth="1"/>
    <col min="11005" max="11005" width="8.33203125" style="52" bestFit="1" customWidth="1"/>
    <col min="11006" max="11006" width="8.33203125" style="52" customWidth="1"/>
    <col min="11007" max="11009" width="9.33203125" style="52" bestFit="1" customWidth="1"/>
    <col min="11010" max="11010" width="8.33203125" style="52" bestFit="1" customWidth="1"/>
    <col min="11011" max="11011" width="8.33203125" style="52" customWidth="1"/>
    <col min="11012" max="11014" width="9.33203125" style="52" bestFit="1" customWidth="1"/>
    <col min="11015" max="11015" width="8.33203125" style="52" bestFit="1" customWidth="1"/>
    <col min="11016" max="11017" width="8.33203125" style="52" customWidth="1"/>
    <col min="11018" max="11018" width="9" style="52" bestFit="1" customWidth="1"/>
    <col min="11019" max="11253" width="9" style="52"/>
    <col min="11254" max="11254" width="20.33203125" style="52" customWidth="1"/>
    <col min="11255" max="11255" width="8.33203125" style="52" customWidth="1"/>
    <col min="11256" max="11256" width="10" style="52" customWidth="1"/>
    <col min="11257" max="11257" width="8.33203125" style="52" customWidth="1"/>
    <col min="11258" max="11260" width="9.33203125" style="52" bestFit="1" customWidth="1"/>
    <col min="11261" max="11261" width="8.33203125" style="52" bestFit="1" customWidth="1"/>
    <col min="11262" max="11262" width="8.33203125" style="52" customWidth="1"/>
    <col min="11263" max="11265" width="9.33203125" style="52" bestFit="1" customWidth="1"/>
    <col min="11266" max="11266" width="8.33203125" style="52" bestFit="1" customWidth="1"/>
    <col min="11267" max="11267" width="8.33203125" style="52" customWidth="1"/>
    <col min="11268" max="11270" width="9.33203125" style="52" bestFit="1" customWidth="1"/>
    <col min="11271" max="11271" width="8.33203125" style="52" bestFit="1" customWidth="1"/>
    <col min="11272" max="11273" width="8.33203125" style="52" customWidth="1"/>
    <col min="11274" max="11274" width="9" style="52" bestFit="1" customWidth="1"/>
    <col min="11275" max="11509" width="9" style="52"/>
    <col min="11510" max="11510" width="20.33203125" style="52" customWidth="1"/>
    <col min="11511" max="11511" width="8.33203125" style="52" customWidth="1"/>
    <col min="11512" max="11512" width="10" style="52" customWidth="1"/>
    <col min="11513" max="11513" width="8.33203125" style="52" customWidth="1"/>
    <col min="11514" max="11516" width="9.33203125" style="52" bestFit="1" customWidth="1"/>
    <col min="11517" max="11517" width="8.33203125" style="52" bestFit="1" customWidth="1"/>
    <col min="11518" max="11518" width="8.33203125" style="52" customWidth="1"/>
    <col min="11519" max="11521" width="9.33203125" style="52" bestFit="1" customWidth="1"/>
    <col min="11522" max="11522" width="8.33203125" style="52" bestFit="1" customWidth="1"/>
    <col min="11523" max="11523" width="8.33203125" style="52" customWidth="1"/>
    <col min="11524" max="11526" width="9.33203125" style="52" bestFit="1" customWidth="1"/>
    <col min="11527" max="11527" width="8.33203125" style="52" bestFit="1" customWidth="1"/>
    <col min="11528" max="11529" width="8.33203125" style="52" customWidth="1"/>
    <col min="11530" max="11530" width="9" style="52" bestFit="1" customWidth="1"/>
    <col min="11531" max="11765" width="9" style="52"/>
    <col min="11766" max="11766" width="20.33203125" style="52" customWidth="1"/>
    <col min="11767" max="11767" width="8.33203125" style="52" customWidth="1"/>
    <col min="11768" max="11768" width="10" style="52" customWidth="1"/>
    <col min="11769" max="11769" width="8.33203125" style="52" customWidth="1"/>
    <col min="11770" max="11772" width="9.33203125" style="52" bestFit="1" customWidth="1"/>
    <col min="11773" max="11773" width="8.33203125" style="52" bestFit="1" customWidth="1"/>
    <col min="11774" max="11774" width="8.33203125" style="52" customWidth="1"/>
    <col min="11775" max="11777" width="9.33203125" style="52" bestFit="1" customWidth="1"/>
    <col min="11778" max="11778" width="8.33203125" style="52" bestFit="1" customWidth="1"/>
    <col min="11779" max="11779" width="8.33203125" style="52" customWidth="1"/>
    <col min="11780" max="11782" width="9.33203125" style="52" bestFit="1" customWidth="1"/>
    <col min="11783" max="11783" width="8.33203125" style="52" bestFit="1" customWidth="1"/>
    <col min="11784" max="11785" width="8.33203125" style="52" customWidth="1"/>
    <col min="11786" max="11786" width="9" style="52" bestFit="1" customWidth="1"/>
    <col min="11787" max="12021" width="9" style="52"/>
    <col min="12022" max="12022" width="20.33203125" style="52" customWidth="1"/>
    <col min="12023" max="12023" width="8.33203125" style="52" customWidth="1"/>
    <col min="12024" max="12024" width="10" style="52" customWidth="1"/>
    <col min="12025" max="12025" width="8.33203125" style="52" customWidth="1"/>
    <col min="12026" max="12028" width="9.33203125" style="52" bestFit="1" customWidth="1"/>
    <col min="12029" max="12029" width="8.33203125" style="52" bestFit="1" customWidth="1"/>
    <col min="12030" max="12030" width="8.33203125" style="52" customWidth="1"/>
    <col min="12031" max="12033" width="9.33203125" style="52" bestFit="1" customWidth="1"/>
    <col min="12034" max="12034" width="8.33203125" style="52" bestFit="1" customWidth="1"/>
    <col min="12035" max="12035" width="8.33203125" style="52" customWidth="1"/>
    <col min="12036" max="12038" width="9.33203125" style="52" bestFit="1" customWidth="1"/>
    <col min="12039" max="12039" width="8.33203125" style="52" bestFit="1" customWidth="1"/>
    <col min="12040" max="12041" width="8.33203125" style="52" customWidth="1"/>
    <col min="12042" max="12042" width="9" style="52" bestFit="1" customWidth="1"/>
    <col min="12043" max="12277" width="9" style="52"/>
    <col min="12278" max="12278" width="20.33203125" style="52" customWidth="1"/>
    <col min="12279" max="12279" width="8.33203125" style="52" customWidth="1"/>
    <col min="12280" max="12280" width="10" style="52" customWidth="1"/>
    <col min="12281" max="12281" width="8.33203125" style="52" customWidth="1"/>
    <col min="12282" max="12284" width="9.33203125" style="52" bestFit="1" customWidth="1"/>
    <col min="12285" max="12285" width="8.33203125" style="52" bestFit="1" customWidth="1"/>
    <col min="12286" max="12286" width="8.33203125" style="52" customWidth="1"/>
    <col min="12287" max="12289" width="9.33203125" style="52" bestFit="1" customWidth="1"/>
    <col min="12290" max="12290" width="8.33203125" style="52" bestFit="1" customWidth="1"/>
    <col min="12291" max="12291" width="8.33203125" style="52" customWidth="1"/>
    <col min="12292" max="12294" width="9.33203125" style="52" bestFit="1" customWidth="1"/>
    <col min="12295" max="12295" width="8.33203125" style="52" bestFit="1" customWidth="1"/>
    <col min="12296" max="12297" width="8.33203125" style="52" customWidth="1"/>
    <col min="12298" max="12298" width="9" style="52" bestFit="1" customWidth="1"/>
    <col min="12299" max="12533" width="9" style="52"/>
    <col min="12534" max="12534" width="20.33203125" style="52" customWidth="1"/>
    <col min="12535" max="12535" width="8.33203125" style="52" customWidth="1"/>
    <col min="12536" max="12536" width="10" style="52" customWidth="1"/>
    <col min="12537" max="12537" width="8.33203125" style="52" customWidth="1"/>
    <col min="12538" max="12540" width="9.33203125" style="52" bestFit="1" customWidth="1"/>
    <col min="12541" max="12541" width="8.33203125" style="52" bestFit="1" customWidth="1"/>
    <col min="12542" max="12542" width="8.33203125" style="52" customWidth="1"/>
    <col min="12543" max="12545" width="9.33203125" style="52" bestFit="1" customWidth="1"/>
    <col min="12546" max="12546" width="8.33203125" style="52" bestFit="1" customWidth="1"/>
    <col min="12547" max="12547" width="8.33203125" style="52" customWidth="1"/>
    <col min="12548" max="12550" width="9.33203125" style="52" bestFit="1" customWidth="1"/>
    <col min="12551" max="12551" width="8.33203125" style="52" bestFit="1" customWidth="1"/>
    <col min="12552" max="12553" width="8.33203125" style="52" customWidth="1"/>
    <col min="12554" max="12554" width="9" style="52" bestFit="1" customWidth="1"/>
    <col min="12555" max="12789" width="9" style="52"/>
    <col min="12790" max="12790" width="20.33203125" style="52" customWidth="1"/>
    <col min="12791" max="12791" width="8.33203125" style="52" customWidth="1"/>
    <col min="12792" max="12792" width="10" style="52" customWidth="1"/>
    <col min="12793" max="12793" width="8.33203125" style="52" customWidth="1"/>
    <col min="12794" max="12796" width="9.33203125" style="52" bestFit="1" customWidth="1"/>
    <col min="12797" max="12797" width="8.33203125" style="52" bestFit="1" customWidth="1"/>
    <col min="12798" max="12798" width="8.33203125" style="52" customWidth="1"/>
    <col min="12799" max="12801" width="9.33203125" style="52" bestFit="1" customWidth="1"/>
    <col min="12802" max="12802" width="8.33203125" style="52" bestFit="1" customWidth="1"/>
    <col min="12803" max="12803" width="8.33203125" style="52" customWidth="1"/>
    <col min="12804" max="12806" width="9.33203125" style="52" bestFit="1" customWidth="1"/>
    <col min="12807" max="12807" width="8.33203125" style="52" bestFit="1" customWidth="1"/>
    <col min="12808" max="12809" width="8.33203125" style="52" customWidth="1"/>
    <col min="12810" max="12810" width="9" style="52" bestFit="1" customWidth="1"/>
    <col min="12811" max="13045" width="9" style="52"/>
    <col min="13046" max="13046" width="20.33203125" style="52" customWidth="1"/>
    <col min="13047" max="13047" width="8.33203125" style="52" customWidth="1"/>
    <col min="13048" max="13048" width="10" style="52" customWidth="1"/>
    <col min="13049" max="13049" width="8.33203125" style="52" customWidth="1"/>
    <col min="13050" max="13052" width="9.33203125" style="52" bestFit="1" customWidth="1"/>
    <col min="13053" max="13053" width="8.33203125" style="52" bestFit="1" customWidth="1"/>
    <col min="13054" max="13054" width="8.33203125" style="52" customWidth="1"/>
    <col min="13055" max="13057" width="9.33203125" style="52" bestFit="1" customWidth="1"/>
    <col min="13058" max="13058" width="8.33203125" style="52" bestFit="1" customWidth="1"/>
    <col min="13059" max="13059" width="8.33203125" style="52" customWidth="1"/>
    <col min="13060" max="13062" width="9.33203125" style="52" bestFit="1" customWidth="1"/>
    <col min="13063" max="13063" width="8.33203125" style="52" bestFit="1" customWidth="1"/>
    <col min="13064" max="13065" width="8.33203125" style="52" customWidth="1"/>
    <col min="13066" max="13066" width="9" style="52" bestFit="1" customWidth="1"/>
    <col min="13067" max="13301" width="9" style="52"/>
    <col min="13302" max="13302" width="20.33203125" style="52" customWidth="1"/>
    <col min="13303" max="13303" width="8.33203125" style="52" customWidth="1"/>
    <col min="13304" max="13304" width="10" style="52" customWidth="1"/>
    <col min="13305" max="13305" width="8.33203125" style="52" customWidth="1"/>
    <col min="13306" max="13308" width="9.33203125" style="52" bestFit="1" customWidth="1"/>
    <col min="13309" max="13309" width="8.33203125" style="52" bestFit="1" customWidth="1"/>
    <col min="13310" max="13310" width="8.33203125" style="52" customWidth="1"/>
    <col min="13311" max="13313" width="9.33203125" style="52" bestFit="1" customWidth="1"/>
    <col min="13314" max="13314" width="8.33203125" style="52" bestFit="1" customWidth="1"/>
    <col min="13315" max="13315" width="8.33203125" style="52" customWidth="1"/>
    <col min="13316" max="13318" width="9.33203125" style="52" bestFit="1" customWidth="1"/>
    <col min="13319" max="13319" width="8.33203125" style="52" bestFit="1" customWidth="1"/>
    <col min="13320" max="13321" width="8.33203125" style="52" customWidth="1"/>
    <col min="13322" max="13322" width="9" style="52" bestFit="1" customWidth="1"/>
    <col min="13323" max="13557" width="9" style="52"/>
    <col min="13558" max="13558" width="20.33203125" style="52" customWidth="1"/>
    <col min="13559" max="13559" width="8.33203125" style="52" customWidth="1"/>
    <col min="13560" max="13560" width="10" style="52" customWidth="1"/>
    <col min="13561" max="13561" width="8.33203125" style="52" customWidth="1"/>
    <col min="13562" max="13564" width="9.33203125" style="52" bestFit="1" customWidth="1"/>
    <col min="13565" max="13565" width="8.33203125" style="52" bestFit="1" customWidth="1"/>
    <col min="13566" max="13566" width="8.33203125" style="52" customWidth="1"/>
    <col min="13567" max="13569" width="9.33203125" style="52" bestFit="1" customWidth="1"/>
    <col min="13570" max="13570" width="8.33203125" style="52" bestFit="1" customWidth="1"/>
    <col min="13571" max="13571" width="8.33203125" style="52" customWidth="1"/>
    <col min="13572" max="13574" width="9.33203125" style="52" bestFit="1" customWidth="1"/>
    <col min="13575" max="13575" width="8.33203125" style="52" bestFit="1" customWidth="1"/>
    <col min="13576" max="13577" width="8.33203125" style="52" customWidth="1"/>
    <col min="13578" max="13578" width="9" style="52" bestFit="1" customWidth="1"/>
    <col min="13579" max="13813" width="9" style="52"/>
    <col min="13814" max="13814" width="20.33203125" style="52" customWidth="1"/>
    <col min="13815" max="13815" width="8.33203125" style="52" customWidth="1"/>
    <col min="13816" max="13816" width="10" style="52" customWidth="1"/>
    <col min="13817" max="13817" width="8.33203125" style="52" customWidth="1"/>
    <col min="13818" max="13820" width="9.33203125" style="52" bestFit="1" customWidth="1"/>
    <col min="13821" max="13821" width="8.33203125" style="52" bestFit="1" customWidth="1"/>
    <col min="13822" max="13822" width="8.33203125" style="52" customWidth="1"/>
    <col min="13823" max="13825" width="9.33203125" style="52" bestFit="1" customWidth="1"/>
    <col min="13826" max="13826" width="8.33203125" style="52" bestFit="1" customWidth="1"/>
    <col min="13827" max="13827" width="8.33203125" style="52" customWidth="1"/>
    <col min="13828" max="13830" width="9.33203125" style="52" bestFit="1" customWidth="1"/>
    <col min="13831" max="13831" width="8.33203125" style="52" bestFit="1" customWidth="1"/>
    <col min="13832" max="13833" width="8.33203125" style="52" customWidth="1"/>
    <col min="13834" max="13834" width="9" style="52" bestFit="1" customWidth="1"/>
    <col min="13835" max="14069" width="9" style="52"/>
    <col min="14070" max="14070" width="20.33203125" style="52" customWidth="1"/>
    <col min="14071" max="14071" width="8.33203125" style="52" customWidth="1"/>
    <col min="14072" max="14072" width="10" style="52" customWidth="1"/>
    <col min="14073" max="14073" width="8.33203125" style="52" customWidth="1"/>
    <col min="14074" max="14076" width="9.33203125" style="52" bestFit="1" customWidth="1"/>
    <col min="14077" max="14077" width="8.33203125" style="52" bestFit="1" customWidth="1"/>
    <col min="14078" max="14078" width="8.33203125" style="52" customWidth="1"/>
    <col min="14079" max="14081" width="9.33203125" style="52" bestFit="1" customWidth="1"/>
    <col min="14082" max="14082" width="8.33203125" style="52" bestFit="1" customWidth="1"/>
    <col min="14083" max="14083" width="8.33203125" style="52" customWidth="1"/>
    <col min="14084" max="14086" width="9.33203125" style="52" bestFit="1" customWidth="1"/>
    <col min="14087" max="14087" width="8.33203125" style="52" bestFit="1" customWidth="1"/>
    <col min="14088" max="14089" width="8.33203125" style="52" customWidth="1"/>
    <col min="14090" max="14090" width="9" style="52" bestFit="1" customWidth="1"/>
    <col min="14091" max="14325" width="9" style="52"/>
    <col min="14326" max="14326" width="20.33203125" style="52" customWidth="1"/>
    <col min="14327" max="14327" width="8.33203125" style="52" customWidth="1"/>
    <col min="14328" max="14328" width="10" style="52" customWidth="1"/>
    <col min="14329" max="14329" width="8.33203125" style="52" customWidth="1"/>
    <col min="14330" max="14332" width="9.33203125" style="52" bestFit="1" customWidth="1"/>
    <col min="14333" max="14333" width="8.33203125" style="52" bestFit="1" customWidth="1"/>
    <col min="14334" max="14334" width="8.33203125" style="52" customWidth="1"/>
    <col min="14335" max="14337" width="9.33203125" style="52" bestFit="1" customWidth="1"/>
    <col min="14338" max="14338" width="8.33203125" style="52" bestFit="1" customWidth="1"/>
    <col min="14339" max="14339" width="8.33203125" style="52" customWidth="1"/>
    <col min="14340" max="14342" width="9.33203125" style="52" bestFit="1" customWidth="1"/>
    <col min="14343" max="14343" width="8.33203125" style="52" bestFit="1" customWidth="1"/>
    <col min="14344" max="14345" width="8.33203125" style="52" customWidth="1"/>
    <col min="14346" max="14346" width="9" style="52" bestFit="1" customWidth="1"/>
    <col min="14347" max="14581" width="9" style="52"/>
    <col min="14582" max="14582" width="20.33203125" style="52" customWidth="1"/>
    <col min="14583" max="14583" width="8.33203125" style="52" customWidth="1"/>
    <col min="14584" max="14584" width="10" style="52" customWidth="1"/>
    <col min="14585" max="14585" width="8.33203125" style="52" customWidth="1"/>
    <col min="14586" max="14588" width="9.33203125" style="52" bestFit="1" customWidth="1"/>
    <col min="14589" max="14589" width="8.33203125" style="52" bestFit="1" customWidth="1"/>
    <col min="14590" max="14590" width="8.33203125" style="52" customWidth="1"/>
    <col min="14591" max="14593" width="9.33203125" style="52" bestFit="1" customWidth="1"/>
    <col min="14594" max="14594" width="8.33203125" style="52" bestFit="1" customWidth="1"/>
    <col min="14595" max="14595" width="8.33203125" style="52" customWidth="1"/>
    <col min="14596" max="14598" width="9.33203125" style="52" bestFit="1" customWidth="1"/>
    <col min="14599" max="14599" width="8.33203125" style="52" bestFit="1" customWidth="1"/>
    <col min="14600" max="14601" width="8.33203125" style="52" customWidth="1"/>
    <col min="14602" max="14602" width="9" style="52" bestFit="1" customWidth="1"/>
    <col min="14603" max="14837" width="9" style="52"/>
    <col min="14838" max="14838" width="20.33203125" style="52" customWidth="1"/>
    <col min="14839" max="14839" width="8.33203125" style="52" customWidth="1"/>
    <col min="14840" max="14840" width="10" style="52" customWidth="1"/>
    <col min="14841" max="14841" width="8.33203125" style="52" customWidth="1"/>
    <col min="14842" max="14844" width="9.33203125" style="52" bestFit="1" customWidth="1"/>
    <col min="14845" max="14845" width="8.33203125" style="52" bestFit="1" customWidth="1"/>
    <col min="14846" max="14846" width="8.33203125" style="52" customWidth="1"/>
    <col min="14847" max="14849" width="9.33203125" style="52" bestFit="1" customWidth="1"/>
    <col min="14850" max="14850" width="8.33203125" style="52" bestFit="1" customWidth="1"/>
    <col min="14851" max="14851" width="8.33203125" style="52" customWidth="1"/>
    <col min="14852" max="14854" width="9.33203125" style="52" bestFit="1" customWidth="1"/>
    <col min="14855" max="14855" width="8.33203125" style="52" bestFit="1" customWidth="1"/>
    <col min="14856" max="14857" width="8.33203125" style="52" customWidth="1"/>
    <col min="14858" max="14858" width="9" style="52" bestFit="1" customWidth="1"/>
    <col min="14859" max="15093" width="9" style="52"/>
    <col min="15094" max="15094" width="20.33203125" style="52" customWidth="1"/>
    <col min="15095" max="15095" width="8.33203125" style="52" customWidth="1"/>
    <col min="15096" max="15096" width="10" style="52" customWidth="1"/>
    <col min="15097" max="15097" width="8.33203125" style="52" customWidth="1"/>
    <col min="15098" max="15100" width="9.33203125" style="52" bestFit="1" customWidth="1"/>
    <col min="15101" max="15101" width="8.33203125" style="52" bestFit="1" customWidth="1"/>
    <col min="15102" max="15102" width="8.33203125" style="52" customWidth="1"/>
    <col min="15103" max="15105" width="9.33203125" style="52" bestFit="1" customWidth="1"/>
    <col min="15106" max="15106" width="8.33203125" style="52" bestFit="1" customWidth="1"/>
    <col min="15107" max="15107" width="8.33203125" style="52" customWidth="1"/>
    <col min="15108" max="15110" width="9.33203125" style="52" bestFit="1" customWidth="1"/>
    <col min="15111" max="15111" width="8.33203125" style="52" bestFit="1" customWidth="1"/>
    <col min="15112" max="15113" width="8.33203125" style="52" customWidth="1"/>
    <col min="15114" max="15114" width="9" style="52" bestFit="1" customWidth="1"/>
    <col min="15115" max="15349" width="9" style="52"/>
    <col min="15350" max="15350" width="20.33203125" style="52" customWidth="1"/>
    <col min="15351" max="15351" width="8.33203125" style="52" customWidth="1"/>
    <col min="15352" max="15352" width="10" style="52" customWidth="1"/>
    <col min="15353" max="15353" width="8.33203125" style="52" customWidth="1"/>
    <col min="15354" max="15356" width="9.33203125" style="52" bestFit="1" customWidth="1"/>
    <col min="15357" max="15357" width="8.33203125" style="52" bestFit="1" customWidth="1"/>
    <col min="15358" max="15358" width="8.33203125" style="52" customWidth="1"/>
    <col min="15359" max="15361" width="9.33203125" style="52" bestFit="1" customWidth="1"/>
    <col min="15362" max="15362" width="8.33203125" style="52" bestFit="1" customWidth="1"/>
    <col min="15363" max="15363" width="8.33203125" style="52" customWidth="1"/>
    <col min="15364" max="15366" width="9.33203125" style="52" bestFit="1" customWidth="1"/>
    <col min="15367" max="15367" width="8.33203125" style="52" bestFit="1" customWidth="1"/>
    <col min="15368" max="15369" width="8.33203125" style="52" customWidth="1"/>
    <col min="15370" max="15370" width="9" style="52" bestFit="1" customWidth="1"/>
    <col min="15371" max="15605" width="9" style="52"/>
    <col min="15606" max="15606" width="20.33203125" style="52" customWidth="1"/>
    <col min="15607" max="15607" width="8.33203125" style="52" customWidth="1"/>
    <col min="15608" max="15608" width="10" style="52" customWidth="1"/>
    <col min="15609" max="15609" width="8.33203125" style="52" customWidth="1"/>
    <col min="15610" max="15612" width="9.33203125" style="52" bestFit="1" customWidth="1"/>
    <col min="15613" max="15613" width="8.33203125" style="52" bestFit="1" customWidth="1"/>
    <col min="15614" max="15614" width="8.33203125" style="52" customWidth="1"/>
    <col min="15615" max="15617" width="9.33203125" style="52" bestFit="1" customWidth="1"/>
    <col min="15618" max="15618" width="8.33203125" style="52" bestFit="1" customWidth="1"/>
    <col min="15619" max="15619" width="8.33203125" style="52" customWidth="1"/>
    <col min="15620" max="15622" width="9.33203125" style="52" bestFit="1" customWidth="1"/>
    <col min="15623" max="15623" width="8.33203125" style="52" bestFit="1" customWidth="1"/>
    <col min="15624" max="15625" width="8.33203125" style="52" customWidth="1"/>
    <col min="15626" max="15626" width="9" style="52" bestFit="1" customWidth="1"/>
    <col min="15627" max="15861" width="9" style="52"/>
    <col min="15862" max="15862" width="20.33203125" style="52" customWidth="1"/>
    <col min="15863" max="15863" width="8.33203125" style="52" customWidth="1"/>
    <col min="15864" max="15864" width="10" style="52" customWidth="1"/>
    <col min="15865" max="15865" width="8.33203125" style="52" customWidth="1"/>
    <col min="15866" max="15868" width="9.33203125" style="52" bestFit="1" customWidth="1"/>
    <col min="15869" max="15869" width="8.33203125" style="52" bestFit="1" customWidth="1"/>
    <col min="15870" max="15870" width="8.33203125" style="52" customWidth="1"/>
    <col min="15871" max="15873" width="9.33203125" style="52" bestFit="1" customWidth="1"/>
    <col min="15874" max="15874" width="8.33203125" style="52" bestFit="1" customWidth="1"/>
    <col min="15875" max="15875" width="8.33203125" style="52" customWidth="1"/>
    <col min="15876" max="15878" width="9.33203125" style="52" bestFit="1" customWidth="1"/>
    <col min="15879" max="15879" width="8.33203125" style="52" bestFit="1" customWidth="1"/>
    <col min="15880" max="15881" width="8.33203125" style="52" customWidth="1"/>
    <col min="15882" max="15882" width="9" style="52" bestFit="1" customWidth="1"/>
    <col min="15883" max="16117" width="9" style="52"/>
    <col min="16118" max="16118" width="20.33203125" style="52" customWidth="1"/>
    <col min="16119" max="16119" width="8.33203125" style="52" customWidth="1"/>
    <col min="16120" max="16120" width="10" style="52" customWidth="1"/>
    <col min="16121" max="16121" width="8.33203125" style="52" customWidth="1"/>
    <col min="16122" max="16124" width="9.33203125" style="52" bestFit="1" customWidth="1"/>
    <col min="16125" max="16125" width="8.33203125" style="52" bestFit="1" customWidth="1"/>
    <col min="16126" max="16126" width="8.33203125" style="52" customWidth="1"/>
    <col min="16127" max="16129" width="9.33203125" style="52" bestFit="1" customWidth="1"/>
    <col min="16130" max="16130" width="8.33203125" style="52" bestFit="1" customWidth="1"/>
    <col min="16131" max="16131" width="8.33203125" style="52" customWidth="1"/>
    <col min="16132" max="16134" width="9.33203125" style="52" bestFit="1" customWidth="1"/>
    <col min="16135" max="16135" width="8.33203125" style="52" bestFit="1" customWidth="1"/>
    <col min="16136" max="16137" width="8.33203125" style="52" customWidth="1"/>
    <col min="16138" max="16138" width="9" style="52" bestFit="1" customWidth="1"/>
    <col min="16139" max="16384" width="9" style="52"/>
  </cols>
  <sheetData>
    <row r="1" spans="1:41" s="47" customFormat="1" ht="14.25" customHeight="1" thickBot="1">
      <c r="A1" s="185" t="s">
        <v>0</v>
      </c>
      <c r="B1" s="186"/>
      <c r="C1" s="38" t="s">
        <v>1</v>
      </c>
      <c r="D1" s="18" t="s">
        <v>111</v>
      </c>
      <c r="E1" s="172" t="s">
        <v>51</v>
      </c>
      <c r="F1" s="172"/>
      <c r="G1" s="172"/>
      <c r="H1" s="172"/>
      <c r="I1" s="45" t="s">
        <v>51</v>
      </c>
      <c r="J1" s="173" t="s">
        <v>44</v>
      </c>
      <c r="K1" s="173"/>
      <c r="L1" s="173"/>
      <c r="M1" s="173"/>
      <c r="N1" s="39" t="s">
        <v>44</v>
      </c>
      <c r="O1" s="173" t="s">
        <v>45</v>
      </c>
      <c r="P1" s="173"/>
      <c r="Q1" s="173"/>
      <c r="R1" s="173"/>
      <c r="S1" s="173"/>
      <c r="T1" s="39" t="s">
        <v>45</v>
      </c>
      <c r="U1" s="40" t="s">
        <v>46</v>
      </c>
      <c r="V1" s="172" t="s">
        <v>104</v>
      </c>
      <c r="W1" s="172"/>
      <c r="X1" s="172"/>
      <c r="Y1" s="172"/>
      <c r="Z1" s="45" t="s">
        <v>104</v>
      </c>
      <c r="AA1" s="173" t="s">
        <v>105</v>
      </c>
      <c r="AB1" s="173"/>
      <c r="AC1" s="173"/>
      <c r="AD1" s="173"/>
      <c r="AE1" s="39" t="s">
        <v>105</v>
      </c>
      <c r="AF1" s="173" t="s">
        <v>106</v>
      </c>
      <c r="AG1" s="173"/>
      <c r="AH1" s="173"/>
      <c r="AI1" s="173"/>
      <c r="AJ1" s="173"/>
      <c r="AK1" s="39" t="s">
        <v>106</v>
      </c>
      <c r="AL1" s="40" t="s">
        <v>107</v>
      </c>
      <c r="AN1" s="41" t="s">
        <v>46</v>
      </c>
      <c r="AO1" s="41" t="s">
        <v>107</v>
      </c>
    </row>
    <row r="2" spans="1:41" s="47" customFormat="1" ht="17.25" customHeight="1" thickBot="1">
      <c r="A2" s="174" t="s">
        <v>2</v>
      </c>
      <c r="B2" s="175"/>
      <c r="C2" s="38" t="s">
        <v>3</v>
      </c>
      <c r="D2" s="18" t="s">
        <v>4</v>
      </c>
      <c r="E2" s="42" t="s">
        <v>54</v>
      </c>
      <c r="F2" s="108">
        <v>44927</v>
      </c>
      <c r="G2" s="108">
        <v>44935</v>
      </c>
      <c r="H2" s="108">
        <v>44942</v>
      </c>
      <c r="I2" s="43" t="s">
        <v>55</v>
      </c>
      <c r="J2" s="108">
        <v>44949</v>
      </c>
      <c r="K2" s="108">
        <v>44956</v>
      </c>
      <c r="L2" s="108">
        <v>44963</v>
      </c>
      <c r="M2" s="108">
        <v>44970</v>
      </c>
      <c r="N2" s="39" t="s">
        <v>0</v>
      </c>
      <c r="O2" s="108">
        <v>44977</v>
      </c>
      <c r="P2" s="108">
        <v>44984</v>
      </c>
      <c r="Q2" s="108">
        <v>44991</v>
      </c>
      <c r="R2" s="108">
        <v>44998</v>
      </c>
      <c r="S2" s="108">
        <v>45005</v>
      </c>
      <c r="T2" s="39" t="s">
        <v>0</v>
      </c>
      <c r="U2" s="40" t="s">
        <v>0</v>
      </c>
      <c r="V2" s="108">
        <v>45012</v>
      </c>
      <c r="W2" s="108">
        <v>45019</v>
      </c>
      <c r="X2" s="108">
        <v>45026</v>
      </c>
      <c r="Y2" s="108">
        <v>45033</v>
      </c>
      <c r="Z2" s="109" t="s">
        <v>55</v>
      </c>
      <c r="AA2" s="108">
        <v>45040</v>
      </c>
      <c r="AB2" s="108">
        <v>45047</v>
      </c>
      <c r="AC2" s="108">
        <v>45054</v>
      </c>
      <c r="AD2" s="108">
        <v>45061</v>
      </c>
      <c r="AE2" s="108" t="s">
        <v>0</v>
      </c>
      <c r="AF2" s="108">
        <v>45068</v>
      </c>
      <c r="AG2" s="108">
        <v>45075</v>
      </c>
      <c r="AH2" s="108">
        <v>45082</v>
      </c>
      <c r="AI2" s="108">
        <v>45089</v>
      </c>
      <c r="AJ2" s="108">
        <v>45096</v>
      </c>
      <c r="AK2" s="39" t="s">
        <v>0</v>
      </c>
      <c r="AL2" s="40" t="s">
        <v>0</v>
      </c>
      <c r="AN2" s="44"/>
      <c r="AO2" s="44"/>
    </row>
    <row r="3" spans="1:41" s="15" customFormat="1">
      <c r="A3" s="203" t="s">
        <v>11</v>
      </c>
      <c r="B3" s="3" t="s">
        <v>5</v>
      </c>
      <c r="C3" s="26"/>
      <c r="D3" s="26"/>
      <c r="E3" s="27">
        <v>0</v>
      </c>
      <c r="F3" s="27">
        <v>0</v>
      </c>
      <c r="G3" s="27">
        <v>-19866</v>
      </c>
      <c r="H3" s="27">
        <v>0</v>
      </c>
      <c r="I3" s="26">
        <v>-19866</v>
      </c>
      <c r="J3" s="27">
        <v>0</v>
      </c>
      <c r="K3" s="27">
        <v>0</v>
      </c>
      <c r="L3" s="27">
        <v>0</v>
      </c>
      <c r="M3" s="27">
        <v>0</v>
      </c>
      <c r="N3" s="26">
        <v>0</v>
      </c>
      <c r="O3" s="27">
        <v>0</v>
      </c>
      <c r="P3" s="27">
        <v>0</v>
      </c>
      <c r="Q3" s="27">
        <v>0</v>
      </c>
      <c r="R3" s="27">
        <v>0</v>
      </c>
      <c r="S3" s="27">
        <v>0</v>
      </c>
      <c r="T3" s="26">
        <v>0</v>
      </c>
      <c r="U3" s="28">
        <v>-12740</v>
      </c>
      <c r="V3" s="27">
        <v>0</v>
      </c>
      <c r="W3" s="27">
        <v>0</v>
      </c>
      <c r="X3" s="27">
        <v>0</v>
      </c>
      <c r="Y3" s="27">
        <v>0</v>
      </c>
      <c r="Z3" s="26">
        <v>0</v>
      </c>
      <c r="AA3" s="27">
        <v>0</v>
      </c>
      <c r="AB3" s="27">
        <v>0</v>
      </c>
      <c r="AC3" s="27">
        <v>0</v>
      </c>
      <c r="AD3" s="27">
        <v>0</v>
      </c>
      <c r="AE3" s="26">
        <v>0</v>
      </c>
      <c r="AF3" s="27">
        <v>0</v>
      </c>
      <c r="AG3" s="27">
        <v>0</v>
      </c>
      <c r="AH3" s="27">
        <v>0</v>
      </c>
      <c r="AI3" s="27">
        <v>0</v>
      </c>
      <c r="AJ3" s="27">
        <v>0</v>
      </c>
      <c r="AK3" s="26">
        <v>0</v>
      </c>
      <c r="AL3" s="28">
        <v>0</v>
      </c>
      <c r="AM3" s="204">
        <v>8</v>
      </c>
      <c r="AN3" s="13">
        <v>-101920</v>
      </c>
      <c r="AO3" s="13">
        <v>0</v>
      </c>
    </row>
    <row r="4" spans="1:41" s="15" customFormat="1">
      <c r="A4" s="167"/>
      <c r="B4" s="12" t="s">
        <v>6</v>
      </c>
      <c r="C4" s="26"/>
      <c r="D4" s="26"/>
      <c r="E4" s="27">
        <v>0</v>
      </c>
      <c r="F4" s="27">
        <v>0</v>
      </c>
      <c r="G4" s="27">
        <v>0</v>
      </c>
      <c r="H4" s="27">
        <v>0</v>
      </c>
      <c r="I4" s="26">
        <v>0</v>
      </c>
      <c r="J4" s="27">
        <v>0</v>
      </c>
      <c r="K4" s="27">
        <v>0</v>
      </c>
      <c r="L4" s="27">
        <v>0</v>
      </c>
      <c r="M4" s="27">
        <v>0</v>
      </c>
      <c r="N4" s="26">
        <v>0</v>
      </c>
      <c r="O4" s="27">
        <v>0</v>
      </c>
      <c r="P4" s="27">
        <v>0</v>
      </c>
      <c r="Q4" s="27">
        <v>0</v>
      </c>
      <c r="R4" s="27">
        <v>0</v>
      </c>
      <c r="S4" s="27">
        <v>0</v>
      </c>
      <c r="T4" s="26">
        <v>0</v>
      </c>
      <c r="U4" s="28"/>
      <c r="V4" s="27">
        <v>0</v>
      </c>
      <c r="W4" s="27">
        <v>0</v>
      </c>
      <c r="X4" s="27">
        <v>0</v>
      </c>
      <c r="Y4" s="27">
        <v>0</v>
      </c>
      <c r="Z4" s="26">
        <v>0</v>
      </c>
      <c r="AA4" s="27">
        <v>0</v>
      </c>
      <c r="AB4" s="27">
        <v>0</v>
      </c>
      <c r="AC4" s="27">
        <v>0</v>
      </c>
      <c r="AD4" s="27">
        <v>0</v>
      </c>
      <c r="AE4" s="26">
        <v>0</v>
      </c>
      <c r="AF4" s="27">
        <v>0</v>
      </c>
      <c r="AG4" s="27">
        <v>0</v>
      </c>
      <c r="AH4" s="27">
        <v>0</v>
      </c>
      <c r="AI4" s="27">
        <v>0</v>
      </c>
      <c r="AJ4" s="27">
        <v>0</v>
      </c>
      <c r="AK4" s="26">
        <v>0</v>
      </c>
      <c r="AL4" s="28"/>
      <c r="AM4" s="204"/>
      <c r="AN4" s="13">
        <v>0</v>
      </c>
      <c r="AO4" s="13">
        <v>0</v>
      </c>
    </row>
    <row r="5" spans="1:41" s="15" customFormat="1">
      <c r="A5" s="167"/>
      <c r="B5" s="12" t="s">
        <v>10</v>
      </c>
      <c r="C5" s="26">
        <v>0</v>
      </c>
      <c r="D5" s="26"/>
      <c r="E5" s="27"/>
      <c r="F5" s="27"/>
      <c r="G5" s="27">
        <v>0</v>
      </c>
      <c r="H5" s="27"/>
      <c r="I5" s="26">
        <v>0</v>
      </c>
      <c r="J5" s="27"/>
      <c r="K5" s="27"/>
      <c r="L5" s="27"/>
      <c r="M5" s="27"/>
      <c r="N5" s="26">
        <v>0</v>
      </c>
      <c r="O5" s="27"/>
      <c r="P5" s="27"/>
      <c r="Q5" s="27"/>
      <c r="R5" s="27"/>
      <c r="S5" s="27"/>
      <c r="T5" s="26">
        <v>0</v>
      </c>
      <c r="U5" s="28">
        <v>0</v>
      </c>
      <c r="V5" s="27"/>
      <c r="W5" s="27"/>
      <c r="X5" s="27"/>
      <c r="Y5" s="27"/>
      <c r="Z5" s="26">
        <v>0</v>
      </c>
      <c r="AA5" s="27"/>
      <c r="AB5" s="27"/>
      <c r="AC5" s="27"/>
      <c r="AD5" s="27"/>
      <c r="AE5" s="26">
        <v>0</v>
      </c>
      <c r="AF5" s="27"/>
      <c r="AG5" s="27"/>
      <c r="AH5" s="27"/>
      <c r="AI5" s="27"/>
      <c r="AJ5" s="27"/>
      <c r="AK5" s="26">
        <v>0</v>
      </c>
      <c r="AL5" s="28">
        <v>0</v>
      </c>
      <c r="AM5" s="204"/>
      <c r="AN5" s="13">
        <v>0</v>
      </c>
      <c r="AO5" s="13">
        <v>0</v>
      </c>
    </row>
    <row r="6" spans="1:41" s="15" customFormat="1">
      <c r="A6" s="167"/>
      <c r="B6" s="12" t="s">
        <v>7</v>
      </c>
      <c r="C6" s="26"/>
      <c r="D6" s="26"/>
      <c r="E6" s="27">
        <v>0</v>
      </c>
      <c r="F6" s="27">
        <v>0</v>
      </c>
      <c r="G6" s="27">
        <v>0</v>
      </c>
      <c r="H6" s="27">
        <v>0</v>
      </c>
      <c r="I6" s="26">
        <v>0</v>
      </c>
      <c r="J6" s="32">
        <v>0</v>
      </c>
      <c r="K6" s="27">
        <v>0</v>
      </c>
      <c r="L6" s="27">
        <v>0</v>
      </c>
      <c r="M6" s="27">
        <v>0</v>
      </c>
      <c r="N6" s="26">
        <v>0</v>
      </c>
      <c r="O6" s="27">
        <v>0</v>
      </c>
      <c r="P6" s="27">
        <v>0</v>
      </c>
      <c r="Q6" s="27">
        <v>0</v>
      </c>
      <c r="R6" s="27">
        <v>0</v>
      </c>
      <c r="S6" s="27">
        <v>0</v>
      </c>
      <c r="T6" s="26">
        <v>0</v>
      </c>
      <c r="U6" s="28">
        <v>7126</v>
      </c>
      <c r="V6" s="27">
        <v>0</v>
      </c>
      <c r="W6" s="27">
        <v>0</v>
      </c>
      <c r="X6" s="27">
        <v>0</v>
      </c>
      <c r="Y6" s="27">
        <v>0</v>
      </c>
      <c r="Z6" s="26">
        <v>0</v>
      </c>
      <c r="AA6" s="32">
        <v>0</v>
      </c>
      <c r="AB6" s="27">
        <v>0</v>
      </c>
      <c r="AC6" s="27">
        <v>0</v>
      </c>
      <c r="AD6" s="27">
        <v>0</v>
      </c>
      <c r="AE6" s="26">
        <v>0</v>
      </c>
      <c r="AF6" s="32">
        <v>0</v>
      </c>
      <c r="AG6" s="27">
        <v>0</v>
      </c>
      <c r="AH6" s="27">
        <v>0</v>
      </c>
      <c r="AI6" s="27">
        <v>0</v>
      </c>
      <c r="AJ6" s="27">
        <v>0</v>
      </c>
      <c r="AK6" s="26">
        <v>0</v>
      </c>
      <c r="AL6" s="28">
        <v>19866</v>
      </c>
      <c r="AM6" s="204"/>
      <c r="AN6" s="13">
        <v>0</v>
      </c>
      <c r="AO6" s="13">
        <v>0</v>
      </c>
    </row>
    <row r="7" spans="1:41" s="15" customFormat="1" ht="17" thickBot="1">
      <c r="A7" s="168"/>
      <c r="B7" s="4" t="s">
        <v>8</v>
      </c>
      <c r="C7" s="26">
        <v>20250</v>
      </c>
      <c r="D7" s="37">
        <v>7126</v>
      </c>
      <c r="E7" s="21">
        <v>0</v>
      </c>
      <c r="F7" s="21">
        <v>0</v>
      </c>
      <c r="G7" s="21">
        <v>19866</v>
      </c>
      <c r="H7" s="21">
        <v>19866</v>
      </c>
      <c r="I7" s="20">
        <v>19866</v>
      </c>
      <c r="J7" s="21">
        <v>19866</v>
      </c>
      <c r="K7" s="21">
        <v>19866</v>
      </c>
      <c r="L7" s="21">
        <v>19866</v>
      </c>
      <c r="M7" s="21">
        <v>19866</v>
      </c>
      <c r="N7" s="20">
        <v>19866</v>
      </c>
      <c r="O7" s="21">
        <v>19866</v>
      </c>
      <c r="P7" s="21">
        <v>19866</v>
      </c>
      <c r="Q7" s="21">
        <v>19866</v>
      </c>
      <c r="R7" s="21">
        <v>19866</v>
      </c>
      <c r="S7" s="21">
        <v>19866</v>
      </c>
      <c r="T7" s="20">
        <v>19866</v>
      </c>
      <c r="U7" s="22">
        <v>19866</v>
      </c>
      <c r="V7" s="21">
        <v>19866</v>
      </c>
      <c r="W7" s="21">
        <v>19866</v>
      </c>
      <c r="X7" s="21">
        <v>19866</v>
      </c>
      <c r="Y7" s="21">
        <v>19866</v>
      </c>
      <c r="Z7" s="20">
        <v>19866</v>
      </c>
      <c r="AA7" s="21">
        <v>19866</v>
      </c>
      <c r="AB7" s="21">
        <v>19866</v>
      </c>
      <c r="AC7" s="21">
        <v>19866</v>
      </c>
      <c r="AD7" s="21">
        <v>19866</v>
      </c>
      <c r="AE7" s="20">
        <v>19866</v>
      </c>
      <c r="AF7" s="21">
        <v>19866</v>
      </c>
      <c r="AG7" s="21">
        <v>19866</v>
      </c>
      <c r="AH7" s="21">
        <v>19866</v>
      </c>
      <c r="AI7" s="21">
        <v>19866</v>
      </c>
      <c r="AJ7" s="21">
        <v>19866</v>
      </c>
      <c r="AK7" s="20">
        <v>19866</v>
      </c>
      <c r="AL7" s="22">
        <v>19866</v>
      </c>
      <c r="AM7" s="204"/>
      <c r="AN7" s="13">
        <v>0</v>
      </c>
      <c r="AO7" s="13">
        <v>0</v>
      </c>
    </row>
    <row r="8" spans="1:41" s="15" customFormat="1" ht="17" thickBot="1">
      <c r="A8" s="46"/>
      <c r="B8" s="12" t="s">
        <v>9</v>
      </c>
      <c r="C8" s="26"/>
      <c r="D8" s="26"/>
      <c r="E8" s="19">
        <v>0</v>
      </c>
      <c r="F8" s="19">
        <v>0</v>
      </c>
      <c r="G8" s="19">
        <v>0</v>
      </c>
      <c r="H8" s="19">
        <v>0</v>
      </c>
      <c r="I8" s="23"/>
      <c r="J8" s="19">
        <v>0</v>
      </c>
      <c r="K8" s="19">
        <v>0</v>
      </c>
      <c r="L8" s="19">
        <v>0</v>
      </c>
      <c r="M8" s="19">
        <v>0</v>
      </c>
      <c r="N8" s="23"/>
      <c r="O8" s="19">
        <v>-591.00858730426</v>
      </c>
      <c r="P8" s="19">
        <v>-1976.4519543908134</v>
      </c>
      <c r="Q8" s="19" t="e">
        <v>#DIV/0!</v>
      </c>
      <c r="R8" s="19" t="e">
        <v>#DIV/0!</v>
      </c>
      <c r="S8" s="19" t="e">
        <v>#REF!</v>
      </c>
      <c r="T8" s="23"/>
      <c r="U8" s="24"/>
      <c r="V8" s="19">
        <v>-51839.762611275968</v>
      </c>
      <c r="W8" s="19">
        <v>-123679.52522255194</v>
      </c>
      <c r="X8" s="19">
        <v>-123679.52522255194</v>
      </c>
      <c r="Y8" s="19">
        <v>-123679.52522255194</v>
      </c>
      <c r="Z8" s="23"/>
      <c r="AA8" s="19" t="e">
        <v>#DIV/0!</v>
      </c>
      <c r="AB8" s="19" t="e">
        <v>#DIV/0!</v>
      </c>
      <c r="AC8" s="19" t="e">
        <v>#DIV/0!</v>
      </c>
      <c r="AD8" s="19" t="e">
        <v>#DIV/0!</v>
      </c>
      <c r="AE8" s="23"/>
      <c r="AF8" s="19" t="e">
        <v>#DIV/0!</v>
      </c>
      <c r="AG8" s="19">
        <v>-123679.52522255194</v>
      </c>
      <c r="AH8" s="19" t="e">
        <v>#DIV/0!</v>
      </c>
      <c r="AI8" s="19" t="e">
        <v>#DIV/0!</v>
      </c>
      <c r="AJ8" s="19" t="e">
        <v>#REF!</v>
      </c>
      <c r="AK8" s="26" t="e">
        <v>#DIV/0!</v>
      </c>
      <c r="AL8" s="24"/>
      <c r="AN8" s="13">
        <v>0</v>
      </c>
      <c r="AO8" s="13">
        <v>0</v>
      </c>
    </row>
    <row r="9" spans="1:41" s="15" customFormat="1">
      <c r="A9" s="166" t="s">
        <v>12</v>
      </c>
      <c r="B9" s="3" t="s">
        <v>5</v>
      </c>
      <c r="C9" s="26"/>
      <c r="D9" s="26"/>
      <c r="E9" s="27">
        <v>53760</v>
      </c>
      <c r="F9" s="27">
        <v>821120</v>
      </c>
      <c r="G9" s="27">
        <v>-1019423</v>
      </c>
      <c r="H9" s="27">
        <v>251303</v>
      </c>
      <c r="I9" s="26">
        <v>106760</v>
      </c>
      <c r="J9" s="27">
        <v>286088</v>
      </c>
      <c r="K9" s="27">
        <v>26484</v>
      </c>
      <c r="L9" s="27">
        <v>136259</v>
      </c>
      <c r="M9" s="27">
        <v>250304</v>
      </c>
      <c r="N9" s="26">
        <v>699135</v>
      </c>
      <c r="O9" s="27">
        <v>331473</v>
      </c>
      <c r="P9" s="27">
        <v>19028</v>
      </c>
      <c r="Q9" s="27">
        <v>438832</v>
      </c>
      <c r="R9" s="27">
        <v>158690</v>
      </c>
      <c r="S9" s="27">
        <v>3600</v>
      </c>
      <c r="T9" s="26">
        <v>951623</v>
      </c>
      <c r="U9" s="28">
        <v>2664437</v>
      </c>
      <c r="V9" s="27">
        <v>22641</v>
      </c>
      <c r="W9" s="27">
        <v>2880</v>
      </c>
      <c r="X9" s="27">
        <v>3240</v>
      </c>
      <c r="Y9" s="27">
        <v>68120</v>
      </c>
      <c r="Z9" s="26">
        <v>96881</v>
      </c>
      <c r="AA9" s="27">
        <v>4160</v>
      </c>
      <c r="AB9" s="27">
        <v>2320</v>
      </c>
      <c r="AC9" s="27">
        <v>25340</v>
      </c>
      <c r="AD9" s="27">
        <v>0</v>
      </c>
      <c r="AE9" s="26">
        <v>31820</v>
      </c>
      <c r="AF9" s="27">
        <v>0</v>
      </c>
      <c r="AG9" s="27">
        <v>0</v>
      </c>
      <c r="AH9" s="27">
        <v>0</v>
      </c>
      <c r="AI9" s="27">
        <v>0</v>
      </c>
      <c r="AJ9" s="27">
        <v>0</v>
      </c>
      <c r="AK9" s="26">
        <v>0</v>
      </c>
      <c r="AL9" s="28">
        <v>128701</v>
      </c>
      <c r="AM9" s="204">
        <v>8</v>
      </c>
      <c r="AN9" s="13">
        <v>21315496</v>
      </c>
      <c r="AO9" s="13">
        <v>1029608</v>
      </c>
    </row>
    <row r="10" spans="1:41" s="15" customFormat="1">
      <c r="A10" s="167"/>
      <c r="B10" s="12" t="s">
        <v>6</v>
      </c>
      <c r="C10" s="26"/>
      <c r="D10" s="26"/>
      <c r="E10" s="27">
        <v>53760</v>
      </c>
      <c r="F10" s="27">
        <v>821120</v>
      </c>
      <c r="G10" s="27">
        <v>72200</v>
      </c>
      <c r="H10" s="27">
        <v>0</v>
      </c>
      <c r="I10" s="26">
        <v>947080</v>
      </c>
      <c r="J10" s="27">
        <v>0</v>
      </c>
      <c r="K10" s="27">
        <v>0</v>
      </c>
      <c r="L10" s="27">
        <v>200000</v>
      </c>
      <c r="M10" s="27">
        <v>200000</v>
      </c>
      <c r="N10" s="26">
        <v>400000</v>
      </c>
      <c r="O10" s="27">
        <v>0</v>
      </c>
      <c r="P10" s="27">
        <v>0</v>
      </c>
      <c r="Q10" s="27">
        <v>499800</v>
      </c>
      <c r="R10" s="27">
        <v>0</v>
      </c>
      <c r="S10" s="27">
        <v>0</v>
      </c>
      <c r="T10" s="26">
        <v>499800</v>
      </c>
      <c r="U10" s="28"/>
      <c r="V10" s="27">
        <v>0</v>
      </c>
      <c r="W10" s="27">
        <v>0</v>
      </c>
      <c r="X10" s="27">
        <v>0</v>
      </c>
      <c r="Y10" s="27">
        <v>0</v>
      </c>
      <c r="Z10" s="26">
        <v>0</v>
      </c>
      <c r="AA10" s="27">
        <v>0</v>
      </c>
      <c r="AB10" s="27">
        <v>0</v>
      </c>
      <c r="AC10" s="27">
        <v>0</v>
      </c>
      <c r="AD10" s="27">
        <v>0</v>
      </c>
      <c r="AE10" s="26">
        <v>0</v>
      </c>
      <c r="AF10" s="27">
        <v>0</v>
      </c>
      <c r="AG10" s="27">
        <v>0</v>
      </c>
      <c r="AH10" s="27">
        <v>0</v>
      </c>
      <c r="AI10" s="27">
        <v>0</v>
      </c>
      <c r="AJ10" s="27">
        <v>0</v>
      </c>
      <c r="AK10" s="26">
        <v>0</v>
      </c>
      <c r="AL10" s="28"/>
      <c r="AM10" s="204"/>
      <c r="AN10" s="13">
        <v>0</v>
      </c>
      <c r="AO10" s="13">
        <v>0</v>
      </c>
    </row>
    <row r="11" spans="1:41" s="15" customFormat="1">
      <c r="A11" s="167"/>
      <c r="B11" s="12" t="s">
        <v>10</v>
      </c>
      <c r="C11" s="26">
        <v>416880</v>
      </c>
      <c r="D11" s="26"/>
      <c r="E11" s="27"/>
      <c r="F11" s="27"/>
      <c r="G11" s="27">
        <v>416880</v>
      </c>
      <c r="H11" s="27"/>
      <c r="I11" s="26">
        <v>0</v>
      </c>
      <c r="J11" s="27"/>
      <c r="K11" s="27"/>
      <c r="L11" s="27"/>
      <c r="M11" s="27"/>
      <c r="N11" s="26">
        <v>0</v>
      </c>
      <c r="O11" s="27"/>
      <c r="P11" s="27"/>
      <c r="Q11" s="27"/>
      <c r="R11" s="27"/>
      <c r="S11" s="27"/>
      <c r="T11" s="26">
        <v>0</v>
      </c>
      <c r="U11" s="28">
        <v>0</v>
      </c>
      <c r="V11" s="27"/>
      <c r="W11" s="27"/>
      <c r="X11" s="27"/>
      <c r="Y11" s="27"/>
      <c r="Z11" s="26">
        <v>0</v>
      </c>
      <c r="AA11" s="27"/>
      <c r="AB11" s="27"/>
      <c r="AC11" s="27"/>
      <c r="AD11" s="27"/>
      <c r="AE11" s="26">
        <v>0</v>
      </c>
      <c r="AF11" s="27"/>
      <c r="AG11" s="27"/>
      <c r="AH11" s="27"/>
      <c r="AI11" s="27"/>
      <c r="AJ11" s="27"/>
      <c r="AK11" s="26">
        <v>0</v>
      </c>
      <c r="AL11" s="28">
        <v>0</v>
      </c>
      <c r="AM11" s="204"/>
      <c r="AN11" s="13">
        <v>0</v>
      </c>
      <c r="AO11" s="13">
        <v>0</v>
      </c>
    </row>
    <row r="12" spans="1:41" s="15" customFormat="1">
      <c r="A12" s="167"/>
      <c r="B12" s="12" t="s">
        <v>7</v>
      </c>
      <c r="C12" s="26"/>
      <c r="D12" s="26"/>
      <c r="E12" s="27">
        <v>53760</v>
      </c>
      <c r="F12" s="27">
        <v>821120</v>
      </c>
      <c r="G12" s="27">
        <v>489080</v>
      </c>
      <c r="H12" s="27">
        <v>0</v>
      </c>
      <c r="I12" s="26">
        <v>1363960</v>
      </c>
      <c r="J12" s="32">
        <v>0</v>
      </c>
      <c r="K12" s="27">
        <v>0</v>
      </c>
      <c r="L12" s="27">
        <v>200000</v>
      </c>
      <c r="M12" s="27">
        <v>200000</v>
      </c>
      <c r="N12" s="26">
        <v>400000</v>
      </c>
      <c r="O12" s="27">
        <v>0</v>
      </c>
      <c r="P12" s="27">
        <v>0</v>
      </c>
      <c r="Q12" s="27">
        <v>499800</v>
      </c>
      <c r="R12" s="27">
        <v>0</v>
      </c>
      <c r="S12" s="27">
        <v>0</v>
      </c>
      <c r="T12" s="26">
        <v>499800</v>
      </c>
      <c r="U12" s="28">
        <v>3170679</v>
      </c>
      <c r="V12" s="27">
        <v>0</v>
      </c>
      <c r="W12" s="27">
        <v>0</v>
      </c>
      <c r="X12" s="27">
        <v>0</v>
      </c>
      <c r="Y12" s="27">
        <v>0</v>
      </c>
      <c r="Z12" s="26">
        <v>0</v>
      </c>
      <c r="AA12" s="32">
        <v>0</v>
      </c>
      <c r="AB12" s="27">
        <v>0</v>
      </c>
      <c r="AC12" s="27">
        <v>0</v>
      </c>
      <c r="AD12" s="27">
        <v>0</v>
      </c>
      <c r="AE12" s="26">
        <v>0</v>
      </c>
      <c r="AF12" s="32">
        <v>0</v>
      </c>
      <c r="AG12" s="27">
        <v>0</v>
      </c>
      <c r="AH12" s="27">
        <v>0</v>
      </c>
      <c r="AI12" s="27">
        <v>0</v>
      </c>
      <c r="AJ12" s="27">
        <v>0</v>
      </c>
      <c r="AK12" s="26">
        <v>0</v>
      </c>
      <c r="AL12" s="28">
        <v>506242</v>
      </c>
      <c r="AM12" s="204"/>
      <c r="AN12" s="13">
        <v>0</v>
      </c>
      <c r="AO12" s="13">
        <v>0</v>
      </c>
    </row>
    <row r="13" spans="1:41" s="15" customFormat="1" ht="17" thickBot="1">
      <c r="A13" s="168"/>
      <c r="B13" s="4" t="s">
        <v>8</v>
      </c>
      <c r="C13" s="26">
        <v>1932636</v>
      </c>
      <c r="D13" s="37">
        <v>906919</v>
      </c>
      <c r="E13" s="21">
        <v>0</v>
      </c>
      <c r="F13" s="21">
        <v>0</v>
      </c>
      <c r="G13" s="21">
        <v>1508503</v>
      </c>
      <c r="H13" s="21">
        <v>1257200</v>
      </c>
      <c r="I13" s="20">
        <v>1257200</v>
      </c>
      <c r="J13" s="21">
        <v>971112</v>
      </c>
      <c r="K13" s="21">
        <v>944628</v>
      </c>
      <c r="L13" s="21">
        <v>1008369</v>
      </c>
      <c r="M13" s="21">
        <v>958065</v>
      </c>
      <c r="N13" s="20">
        <v>958065</v>
      </c>
      <c r="O13" s="21">
        <v>626592</v>
      </c>
      <c r="P13" s="21">
        <v>607564</v>
      </c>
      <c r="Q13" s="21">
        <v>668532</v>
      </c>
      <c r="R13" s="21">
        <v>509842</v>
      </c>
      <c r="S13" s="21">
        <v>506242</v>
      </c>
      <c r="T13" s="20">
        <v>506242</v>
      </c>
      <c r="U13" s="22">
        <v>506242</v>
      </c>
      <c r="V13" s="21">
        <v>483601</v>
      </c>
      <c r="W13" s="21">
        <v>480721</v>
      </c>
      <c r="X13" s="21">
        <v>477481</v>
      </c>
      <c r="Y13" s="21">
        <v>409361</v>
      </c>
      <c r="Z13" s="20">
        <v>409361</v>
      </c>
      <c r="AA13" s="21">
        <v>405201</v>
      </c>
      <c r="AB13" s="21">
        <v>402881</v>
      </c>
      <c r="AC13" s="21">
        <v>377541</v>
      </c>
      <c r="AD13" s="21">
        <v>377541</v>
      </c>
      <c r="AE13" s="20">
        <v>377541</v>
      </c>
      <c r="AF13" s="21">
        <v>377541</v>
      </c>
      <c r="AG13" s="21">
        <v>377541</v>
      </c>
      <c r="AH13" s="21">
        <v>377541</v>
      </c>
      <c r="AI13" s="21">
        <v>377541</v>
      </c>
      <c r="AJ13" s="21">
        <v>377541</v>
      </c>
      <c r="AK13" s="20">
        <v>377541</v>
      </c>
      <c r="AL13" s="22">
        <v>377541</v>
      </c>
      <c r="AM13" s="204"/>
      <c r="AN13" s="13">
        <v>0</v>
      </c>
      <c r="AO13" s="13">
        <v>0</v>
      </c>
    </row>
    <row r="14" spans="1:41" s="15" customFormat="1" ht="17" thickBot="1">
      <c r="A14" s="46"/>
      <c r="B14" s="12" t="s">
        <v>9</v>
      </c>
      <c r="C14" s="26"/>
      <c r="D14" s="26"/>
      <c r="E14" s="19">
        <v>0</v>
      </c>
      <c r="F14" s="19">
        <v>0</v>
      </c>
      <c r="G14" s="19">
        <v>0</v>
      </c>
      <c r="H14" s="19">
        <v>0</v>
      </c>
      <c r="I14" s="23"/>
      <c r="J14" s="19">
        <v>0</v>
      </c>
      <c r="K14" s="19">
        <v>0</v>
      </c>
      <c r="L14" s="19">
        <v>0</v>
      </c>
      <c r="M14" s="19">
        <v>0</v>
      </c>
      <c r="N14" s="23"/>
      <c r="O14" s="19">
        <v>10903.846931181328</v>
      </c>
      <c r="P14" s="19">
        <v>812.62294405667831</v>
      </c>
      <c r="Q14" s="19">
        <v>1336858.0441640378</v>
      </c>
      <c r="R14" s="19" t="e">
        <v>#DIV/0!</v>
      </c>
      <c r="S14" s="19" t="e">
        <v>#REF!</v>
      </c>
      <c r="T14" s="23"/>
      <c r="U14" s="24"/>
      <c r="V14" s="19">
        <v>10031.622673398946</v>
      </c>
      <c r="W14" s="19">
        <v>9266.2942551331653</v>
      </c>
      <c r="X14" s="19">
        <v>8732.154774211278</v>
      </c>
      <c r="Y14" s="19">
        <v>8732.154774211278</v>
      </c>
      <c r="Z14" s="23"/>
      <c r="AA14" s="19">
        <v>187.62900717059762</v>
      </c>
      <c r="AB14" s="19">
        <v>-1779.4753974180776</v>
      </c>
      <c r="AC14" s="19">
        <v>39540.782717048816</v>
      </c>
      <c r="AD14" s="19">
        <v>39540.782717048816</v>
      </c>
      <c r="AE14" s="23"/>
      <c r="AF14" s="19">
        <v>8699979.6334012225</v>
      </c>
      <c r="AG14" s="19">
        <v>10892.517817003371</v>
      </c>
      <c r="AH14" s="19" t="e">
        <v>#DIV/0!</v>
      </c>
      <c r="AI14" s="19" t="e">
        <v>#DIV/0!</v>
      </c>
      <c r="AJ14" s="19" t="e">
        <v>#REF!</v>
      </c>
      <c r="AK14" s="26" t="e">
        <v>#DIV/0!</v>
      </c>
      <c r="AL14" s="24"/>
      <c r="AN14" s="13">
        <v>0</v>
      </c>
      <c r="AO14" s="13">
        <v>0</v>
      </c>
    </row>
    <row r="15" spans="1:41" s="15" customFormat="1">
      <c r="A15" s="166" t="s">
        <v>24</v>
      </c>
      <c r="B15" s="3" t="s">
        <v>5</v>
      </c>
      <c r="C15" s="26"/>
      <c r="D15" s="26"/>
      <c r="E15" s="27">
        <v>0</v>
      </c>
      <c r="F15" s="27">
        <v>0</v>
      </c>
      <c r="G15" s="27"/>
      <c r="H15" s="27"/>
      <c r="I15" s="26">
        <v>0</v>
      </c>
      <c r="J15" s="27"/>
      <c r="K15" s="27"/>
      <c r="L15" s="27"/>
      <c r="M15" s="27"/>
      <c r="N15" s="26">
        <v>0</v>
      </c>
      <c r="O15" s="27"/>
      <c r="P15" s="27"/>
      <c r="Q15" s="27"/>
      <c r="R15" s="27"/>
      <c r="S15" s="27"/>
      <c r="T15" s="26">
        <v>0</v>
      </c>
      <c r="U15" s="28">
        <v>0</v>
      </c>
      <c r="V15" s="27"/>
      <c r="W15" s="27"/>
      <c r="X15" s="27"/>
      <c r="Y15" s="27"/>
      <c r="Z15" s="26">
        <v>0</v>
      </c>
      <c r="AA15" s="27"/>
      <c r="AB15" s="27"/>
      <c r="AC15" s="27"/>
      <c r="AD15" s="27"/>
      <c r="AE15" s="26">
        <v>0</v>
      </c>
      <c r="AF15" s="27"/>
      <c r="AG15" s="27"/>
      <c r="AH15" s="27"/>
      <c r="AI15" s="27"/>
      <c r="AJ15" s="27"/>
      <c r="AK15" s="26">
        <v>0</v>
      </c>
      <c r="AL15" s="28">
        <v>0</v>
      </c>
      <c r="AM15" s="204">
        <v>8</v>
      </c>
      <c r="AN15" s="13">
        <v>0</v>
      </c>
      <c r="AO15" s="13">
        <v>0</v>
      </c>
    </row>
    <row r="16" spans="1:41" s="15" customFormat="1">
      <c r="A16" s="167"/>
      <c r="B16" s="12" t="s">
        <v>6</v>
      </c>
      <c r="C16" s="26"/>
      <c r="D16" s="26"/>
      <c r="E16" s="27">
        <v>0</v>
      </c>
      <c r="F16" s="27">
        <v>0</v>
      </c>
      <c r="G16" s="27"/>
      <c r="H16" s="27"/>
      <c r="I16" s="26">
        <v>0</v>
      </c>
      <c r="J16" s="27"/>
      <c r="K16" s="27"/>
      <c r="L16" s="27"/>
      <c r="M16" s="27"/>
      <c r="N16" s="26">
        <v>0</v>
      </c>
      <c r="O16" s="27"/>
      <c r="P16" s="27"/>
      <c r="Q16" s="27"/>
      <c r="R16" s="27"/>
      <c r="S16" s="27"/>
      <c r="T16" s="26">
        <v>0</v>
      </c>
      <c r="U16" s="28"/>
      <c r="V16" s="27"/>
      <c r="W16" s="27"/>
      <c r="X16" s="27"/>
      <c r="Y16" s="27"/>
      <c r="Z16" s="26">
        <v>0</v>
      </c>
      <c r="AA16" s="27"/>
      <c r="AB16" s="27"/>
      <c r="AC16" s="27"/>
      <c r="AD16" s="27"/>
      <c r="AE16" s="26">
        <v>0</v>
      </c>
      <c r="AF16" s="27"/>
      <c r="AG16" s="27"/>
      <c r="AH16" s="27"/>
      <c r="AI16" s="27"/>
      <c r="AJ16" s="27"/>
      <c r="AK16" s="26">
        <v>0</v>
      </c>
      <c r="AL16" s="28"/>
      <c r="AM16" s="204"/>
      <c r="AN16" s="13">
        <v>0</v>
      </c>
      <c r="AO16" s="13">
        <v>0</v>
      </c>
    </row>
    <row r="17" spans="1:41" s="15" customFormat="1">
      <c r="A17" s="167"/>
      <c r="B17" s="12" t="s">
        <v>10</v>
      </c>
      <c r="C17" s="26"/>
      <c r="D17" s="26"/>
      <c r="E17" s="27"/>
      <c r="F17" s="27"/>
      <c r="G17" s="27">
        <v>0</v>
      </c>
      <c r="H17" s="27"/>
      <c r="I17" s="26">
        <v>0</v>
      </c>
      <c r="J17" s="27"/>
      <c r="K17" s="27"/>
      <c r="L17" s="27"/>
      <c r="M17" s="27"/>
      <c r="N17" s="26">
        <v>0</v>
      </c>
      <c r="O17" s="27"/>
      <c r="P17" s="27"/>
      <c r="Q17" s="27"/>
      <c r="R17" s="27"/>
      <c r="S17" s="27"/>
      <c r="T17" s="26">
        <v>0</v>
      </c>
      <c r="U17" s="28">
        <v>0</v>
      </c>
      <c r="V17" s="27"/>
      <c r="W17" s="27"/>
      <c r="X17" s="27"/>
      <c r="Y17" s="27"/>
      <c r="Z17" s="26">
        <v>0</v>
      </c>
      <c r="AA17" s="27"/>
      <c r="AB17" s="27"/>
      <c r="AC17" s="27"/>
      <c r="AD17" s="27"/>
      <c r="AE17" s="26">
        <v>0</v>
      </c>
      <c r="AF17" s="27"/>
      <c r="AG17" s="27"/>
      <c r="AH17" s="27"/>
      <c r="AI17" s="27"/>
      <c r="AJ17" s="27"/>
      <c r="AK17" s="26">
        <v>0</v>
      </c>
      <c r="AL17" s="28">
        <v>0</v>
      </c>
      <c r="AM17" s="204"/>
      <c r="AN17" s="13">
        <v>0</v>
      </c>
      <c r="AO17" s="13">
        <v>0</v>
      </c>
    </row>
    <row r="18" spans="1:41" s="15" customFormat="1">
      <c r="A18" s="167"/>
      <c r="B18" s="12" t="s">
        <v>7</v>
      </c>
      <c r="C18" s="26"/>
      <c r="D18" s="26"/>
      <c r="E18" s="27">
        <v>0</v>
      </c>
      <c r="F18" s="27">
        <v>0</v>
      </c>
      <c r="G18" s="27">
        <v>0</v>
      </c>
      <c r="H18" s="27">
        <v>0</v>
      </c>
      <c r="I18" s="26">
        <v>0</v>
      </c>
      <c r="J18" s="32">
        <v>0</v>
      </c>
      <c r="K18" s="27">
        <v>0</v>
      </c>
      <c r="L18" s="27">
        <v>0</v>
      </c>
      <c r="M18" s="27">
        <v>0</v>
      </c>
      <c r="N18" s="26">
        <v>0</v>
      </c>
      <c r="O18" s="27">
        <v>0</v>
      </c>
      <c r="P18" s="27">
        <v>0</v>
      </c>
      <c r="Q18" s="27">
        <v>0</v>
      </c>
      <c r="R18" s="27">
        <v>0</v>
      </c>
      <c r="S18" s="27">
        <v>0</v>
      </c>
      <c r="T18" s="26">
        <v>0</v>
      </c>
      <c r="U18" s="28">
        <v>0</v>
      </c>
      <c r="V18" s="27">
        <v>0</v>
      </c>
      <c r="W18" s="27">
        <v>0</v>
      </c>
      <c r="X18" s="27">
        <v>0</v>
      </c>
      <c r="Y18" s="27">
        <v>0</v>
      </c>
      <c r="Z18" s="26">
        <v>0</v>
      </c>
      <c r="AA18" s="32">
        <v>0</v>
      </c>
      <c r="AB18" s="27">
        <v>0</v>
      </c>
      <c r="AC18" s="27">
        <v>0</v>
      </c>
      <c r="AD18" s="27">
        <v>0</v>
      </c>
      <c r="AE18" s="26">
        <v>0</v>
      </c>
      <c r="AF18" s="32">
        <v>0</v>
      </c>
      <c r="AG18" s="27">
        <v>0</v>
      </c>
      <c r="AH18" s="27">
        <v>0</v>
      </c>
      <c r="AI18" s="27">
        <v>0</v>
      </c>
      <c r="AJ18" s="27">
        <v>0</v>
      </c>
      <c r="AK18" s="26">
        <v>0</v>
      </c>
      <c r="AL18" s="28">
        <v>0</v>
      </c>
      <c r="AM18" s="204"/>
      <c r="AN18" s="13">
        <v>0</v>
      </c>
      <c r="AO18" s="13">
        <v>0</v>
      </c>
    </row>
    <row r="19" spans="1:41" s="15" customFormat="1" ht="17" thickBot="1">
      <c r="A19" s="168"/>
      <c r="B19" s="4" t="s">
        <v>8</v>
      </c>
      <c r="C19" s="26"/>
      <c r="D19" s="37">
        <v>0</v>
      </c>
      <c r="E19" s="21">
        <v>0</v>
      </c>
      <c r="F19" s="21">
        <v>0</v>
      </c>
      <c r="G19" s="21">
        <v>0</v>
      </c>
      <c r="H19" s="21">
        <v>0</v>
      </c>
      <c r="I19" s="20">
        <v>0</v>
      </c>
      <c r="J19" s="21">
        <v>0</v>
      </c>
      <c r="K19" s="21">
        <v>0</v>
      </c>
      <c r="L19" s="21">
        <v>0</v>
      </c>
      <c r="M19" s="21">
        <v>0</v>
      </c>
      <c r="N19" s="20">
        <v>0</v>
      </c>
      <c r="O19" s="21">
        <v>0</v>
      </c>
      <c r="P19" s="21">
        <v>0</v>
      </c>
      <c r="Q19" s="21">
        <v>0</v>
      </c>
      <c r="R19" s="21">
        <v>0</v>
      </c>
      <c r="S19" s="21">
        <v>0</v>
      </c>
      <c r="T19" s="20">
        <v>0</v>
      </c>
      <c r="U19" s="22">
        <v>0</v>
      </c>
      <c r="V19" s="21">
        <v>0</v>
      </c>
      <c r="W19" s="21">
        <v>0</v>
      </c>
      <c r="X19" s="21">
        <v>0</v>
      </c>
      <c r="Y19" s="21">
        <v>0</v>
      </c>
      <c r="Z19" s="20">
        <v>0</v>
      </c>
      <c r="AA19" s="21">
        <v>0</v>
      </c>
      <c r="AB19" s="21">
        <v>0</v>
      </c>
      <c r="AC19" s="21">
        <v>0</v>
      </c>
      <c r="AD19" s="21">
        <v>0</v>
      </c>
      <c r="AE19" s="20">
        <v>0</v>
      </c>
      <c r="AF19" s="21">
        <v>0</v>
      </c>
      <c r="AG19" s="21">
        <v>0</v>
      </c>
      <c r="AH19" s="21">
        <v>0</v>
      </c>
      <c r="AI19" s="21">
        <v>0</v>
      </c>
      <c r="AJ19" s="21">
        <v>0</v>
      </c>
      <c r="AK19" s="20">
        <v>0</v>
      </c>
      <c r="AL19" s="22">
        <v>0</v>
      </c>
      <c r="AM19" s="204"/>
      <c r="AN19" s="13">
        <v>0</v>
      </c>
      <c r="AO19" s="13">
        <v>0</v>
      </c>
    </row>
    <row r="20" spans="1:41" s="15" customFormat="1" ht="17" thickBot="1">
      <c r="A20" s="46"/>
      <c r="B20" s="12" t="s">
        <v>9</v>
      </c>
      <c r="C20" s="26"/>
      <c r="D20" s="26"/>
      <c r="E20" s="19" t="e">
        <v>#DIV/0!</v>
      </c>
      <c r="F20" s="19" t="e">
        <v>#DIV/0!</v>
      </c>
      <c r="G20" s="19" t="e">
        <v>#DIV/0!</v>
      </c>
      <c r="H20" s="19" t="e">
        <v>#DIV/0!</v>
      </c>
      <c r="I20" s="23"/>
      <c r="J20" s="19" t="e">
        <v>#DIV/0!</v>
      </c>
      <c r="K20" s="19" t="e">
        <v>#DIV/0!</v>
      </c>
      <c r="L20" s="19" t="e">
        <v>#DIV/0!</v>
      </c>
      <c r="M20" s="19" t="e">
        <v>#DIV/0!</v>
      </c>
      <c r="N20" s="23"/>
      <c r="O20" s="19" t="e">
        <v>#DIV/0!</v>
      </c>
      <c r="P20" s="19" t="e">
        <v>#DIV/0!</v>
      </c>
      <c r="Q20" s="19" t="e">
        <v>#DIV/0!</v>
      </c>
      <c r="R20" s="19" t="e">
        <v>#DIV/0!</v>
      </c>
      <c r="S20" s="19" t="e">
        <v>#REF!</v>
      </c>
      <c r="T20" s="23"/>
      <c r="U20" s="24"/>
      <c r="V20" s="19" t="e">
        <v>#DIV/0!</v>
      </c>
      <c r="W20" s="19" t="e">
        <v>#DIV/0!</v>
      </c>
      <c r="X20" s="19" t="e">
        <v>#DIV/0!</v>
      </c>
      <c r="Y20" s="19" t="e">
        <v>#DIV/0!</v>
      </c>
      <c r="Z20" s="23"/>
      <c r="AA20" s="19" t="e">
        <v>#DIV/0!</v>
      </c>
      <c r="AB20" s="19" t="e">
        <v>#DIV/0!</v>
      </c>
      <c r="AC20" s="19" t="e">
        <v>#DIV/0!</v>
      </c>
      <c r="AD20" s="19" t="e">
        <v>#DIV/0!</v>
      </c>
      <c r="AE20" s="23"/>
      <c r="AF20" s="19" t="e">
        <v>#DIV/0!</v>
      </c>
      <c r="AG20" s="19" t="e">
        <v>#DIV/0!</v>
      </c>
      <c r="AH20" s="19" t="e">
        <v>#DIV/0!</v>
      </c>
      <c r="AI20" s="19" t="e">
        <v>#DIV/0!</v>
      </c>
      <c r="AJ20" s="19" t="e">
        <v>#REF!</v>
      </c>
      <c r="AK20" s="26" t="e">
        <v>#DIV/0!</v>
      </c>
      <c r="AL20" s="24"/>
      <c r="AN20" s="13">
        <v>0</v>
      </c>
      <c r="AO20" s="13">
        <v>0</v>
      </c>
    </row>
    <row r="21" spans="1:41" s="11" customFormat="1">
      <c r="A21" s="187" t="s">
        <v>33</v>
      </c>
      <c r="B21" s="1" t="s">
        <v>5</v>
      </c>
      <c r="C21" s="20"/>
      <c r="D21" s="20"/>
      <c r="E21" s="27">
        <v>20000</v>
      </c>
      <c r="F21" s="27">
        <v>1757158</v>
      </c>
      <c r="G21" s="27">
        <v>-1503975</v>
      </c>
      <c r="H21" s="27">
        <v>976397</v>
      </c>
      <c r="I21" s="26">
        <v>1249580</v>
      </c>
      <c r="J21" s="27">
        <v>1079683</v>
      </c>
      <c r="K21" s="27">
        <v>410642</v>
      </c>
      <c r="L21" s="27">
        <v>400608</v>
      </c>
      <c r="M21" s="27">
        <v>738616</v>
      </c>
      <c r="N21" s="26">
        <v>2629549</v>
      </c>
      <c r="O21" s="27">
        <v>398638</v>
      </c>
      <c r="P21" s="27">
        <v>164150</v>
      </c>
      <c r="Q21" s="27">
        <v>891718</v>
      </c>
      <c r="R21" s="27">
        <v>420008</v>
      </c>
      <c r="S21" s="27">
        <v>73908</v>
      </c>
      <c r="T21" s="26">
        <v>1948422</v>
      </c>
      <c r="U21" s="28">
        <v>7450764</v>
      </c>
      <c r="V21" s="27">
        <v>30575</v>
      </c>
      <c r="W21" s="27">
        <v>0</v>
      </c>
      <c r="X21" s="27">
        <v>0</v>
      </c>
      <c r="Y21" s="27">
        <v>39199</v>
      </c>
      <c r="Z21" s="26">
        <v>69774</v>
      </c>
      <c r="AA21" s="27">
        <v>5999</v>
      </c>
      <c r="AB21" s="27">
        <v>0</v>
      </c>
      <c r="AC21" s="27">
        <v>10000</v>
      </c>
      <c r="AD21" s="27">
        <v>0</v>
      </c>
      <c r="AE21" s="26">
        <v>15999</v>
      </c>
      <c r="AF21" s="27">
        <v>0</v>
      </c>
      <c r="AG21" s="27">
        <v>0</v>
      </c>
      <c r="AH21" s="27">
        <v>0</v>
      </c>
      <c r="AI21" s="27">
        <v>0</v>
      </c>
      <c r="AJ21" s="27">
        <v>0</v>
      </c>
      <c r="AK21" s="26">
        <v>0</v>
      </c>
      <c r="AL21" s="28">
        <v>85773</v>
      </c>
      <c r="AM21" s="205">
        <v>16</v>
      </c>
      <c r="AN21" s="13">
        <v>119212224</v>
      </c>
      <c r="AO21" s="13">
        <v>1372368</v>
      </c>
    </row>
    <row r="22" spans="1:41" s="11" customFormat="1">
      <c r="A22" s="188"/>
      <c r="B22" s="6" t="s">
        <v>6</v>
      </c>
      <c r="C22" s="26"/>
      <c r="D22" s="20"/>
      <c r="E22" s="27">
        <v>20000</v>
      </c>
      <c r="F22" s="27">
        <v>1757158</v>
      </c>
      <c r="G22" s="27">
        <v>356574</v>
      </c>
      <c r="H22" s="27">
        <v>0</v>
      </c>
      <c r="I22" s="26">
        <v>2133732</v>
      </c>
      <c r="J22" s="27">
        <v>0</v>
      </c>
      <c r="K22" s="27">
        <v>0</v>
      </c>
      <c r="L22" s="27">
        <v>500000</v>
      </c>
      <c r="M22" s="27">
        <v>790000</v>
      </c>
      <c r="N22" s="26">
        <v>1290000</v>
      </c>
      <c r="O22" s="27">
        <v>560000</v>
      </c>
      <c r="P22" s="27">
        <v>0</v>
      </c>
      <c r="Q22" s="27">
        <v>500000</v>
      </c>
      <c r="R22" s="27">
        <v>400000</v>
      </c>
      <c r="S22" s="27">
        <v>0</v>
      </c>
      <c r="T22" s="26">
        <v>1460000</v>
      </c>
      <c r="U22" s="28"/>
      <c r="V22" s="27">
        <v>0</v>
      </c>
      <c r="W22" s="27">
        <v>0</v>
      </c>
      <c r="X22" s="27">
        <v>0</v>
      </c>
      <c r="Y22" s="27">
        <v>0</v>
      </c>
      <c r="Z22" s="26">
        <v>0</v>
      </c>
      <c r="AA22" s="27">
        <v>0</v>
      </c>
      <c r="AB22" s="27">
        <v>0</v>
      </c>
      <c r="AC22" s="27">
        <v>0</v>
      </c>
      <c r="AD22" s="27">
        <v>0</v>
      </c>
      <c r="AE22" s="26">
        <v>0</v>
      </c>
      <c r="AF22" s="27">
        <v>0</v>
      </c>
      <c r="AG22" s="27">
        <v>0</v>
      </c>
      <c r="AH22" s="27">
        <v>0</v>
      </c>
      <c r="AI22" s="27">
        <v>0</v>
      </c>
      <c r="AJ22" s="27">
        <v>0</v>
      </c>
      <c r="AK22" s="26">
        <v>0</v>
      </c>
      <c r="AL22" s="28"/>
      <c r="AM22" s="205"/>
      <c r="AN22" s="13">
        <v>0</v>
      </c>
      <c r="AO22" s="13">
        <v>0</v>
      </c>
    </row>
    <row r="23" spans="1:41" s="11" customFormat="1">
      <c r="A23" s="188"/>
      <c r="B23" s="6" t="s">
        <v>10</v>
      </c>
      <c r="C23" s="26">
        <v>1532853</v>
      </c>
      <c r="D23" s="20"/>
      <c r="E23" s="27"/>
      <c r="F23" s="27"/>
      <c r="G23" s="27">
        <v>1532853</v>
      </c>
      <c r="H23" s="27"/>
      <c r="I23" s="26">
        <v>0</v>
      </c>
      <c r="J23" s="27"/>
      <c r="K23" s="27"/>
      <c r="L23" s="27"/>
      <c r="M23" s="27"/>
      <c r="N23" s="26">
        <v>257600</v>
      </c>
      <c r="O23" s="27"/>
      <c r="P23" s="27"/>
      <c r="Q23" s="27"/>
      <c r="R23" s="27"/>
      <c r="S23" s="27"/>
      <c r="T23" s="26">
        <v>0</v>
      </c>
      <c r="U23" s="28">
        <v>257600</v>
      </c>
      <c r="V23" s="27"/>
      <c r="W23" s="27"/>
      <c r="X23" s="27"/>
      <c r="Y23" s="27"/>
      <c r="Z23" s="26">
        <v>0</v>
      </c>
      <c r="AA23" s="27"/>
      <c r="AB23" s="27"/>
      <c r="AC23" s="27"/>
      <c r="AD23" s="27"/>
      <c r="AE23" s="26">
        <v>0</v>
      </c>
      <c r="AF23" s="27"/>
      <c r="AG23" s="27"/>
      <c r="AH23" s="27"/>
      <c r="AI23" s="27"/>
      <c r="AJ23" s="27"/>
      <c r="AK23" s="26">
        <v>0</v>
      </c>
      <c r="AL23" s="28">
        <v>0</v>
      </c>
      <c r="AM23" s="205"/>
      <c r="AN23" s="13">
        <v>0</v>
      </c>
      <c r="AO23" s="13">
        <v>0</v>
      </c>
    </row>
    <row r="24" spans="1:41" s="11" customFormat="1">
      <c r="A24" s="188"/>
      <c r="B24" s="6" t="s">
        <v>7</v>
      </c>
      <c r="C24" s="26"/>
      <c r="D24" s="20"/>
      <c r="E24" s="27">
        <v>20000</v>
      </c>
      <c r="F24" s="27">
        <v>1757158</v>
      </c>
      <c r="G24" s="27">
        <v>1889427</v>
      </c>
      <c r="H24" s="27">
        <v>0</v>
      </c>
      <c r="I24" s="26">
        <v>3666585</v>
      </c>
      <c r="J24" s="32">
        <v>0</v>
      </c>
      <c r="K24" s="27">
        <v>0</v>
      </c>
      <c r="L24" s="27">
        <v>500000</v>
      </c>
      <c r="M24" s="27">
        <v>790000</v>
      </c>
      <c r="N24" s="26">
        <v>1290000</v>
      </c>
      <c r="O24" s="27">
        <v>560000</v>
      </c>
      <c r="P24" s="27">
        <v>0</v>
      </c>
      <c r="Q24" s="27">
        <v>500000</v>
      </c>
      <c r="R24" s="27">
        <v>400000</v>
      </c>
      <c r="S24" s="27">
        <v>0</v>
      </c>
      <c r="T24" s="26">
        <v>1460000</v>
      </c>
      <c r="U24" s="28">
        <v>8039798</v>
      </c>
      <c r="V24" s="27">
        <v>0</v>
      </c>
      <c r="W24" s="27">
        <v>0</v>
      </c>
      <c r="X24" s="27">
        <v>0</v>
      </c>
      <c r="Y24" s="27">
        <v>0</v>
      </c>
      <c r="Z24" s="26">
        <v>0</v>
      </c>
      <c r="AA24" s="32">
        <v>0</v>
      </c>
      <c r="AB24" s="27">
        <v>0</v>
      </c>
      <c r="AC24" s="27">
        <v>0</v>
      </c>
      <c r="AD24" s="27">
        <v>0</v>
      </c>
      <c r="AE24" s="26">
        <v>0</v>
      </c>
      <c r="AF24" s="32">
        <v>0</v>
      </c>
      <c r="AG24" s="27">
        <v>0</v>
      </c>
      <c r="AH24" s="27">
        <v>0</v>
      </c>
      <c r="AI24" s="27">
        <v>0</v>
      </c>
      <c r="AJ24" s="27">
        <v>0</v>
      </c>
      <c r="AK24" s="26">
        <v>0</v>
      </c>
      <c r="AL24" s="28">
        <v>589034</v>
      </c>
      <c r="AM24" s="205"/>
      <c r="AN24" s="13">
        <v>0</v>
      </c>
      <c r="AO24" s="13">
        <v>0</v>
      </c>
    </row>
    <row r="25" spans="1:41" s="11" customFormat="1" ht="17" thickBot="1">
      <c r="A25" s="189"/>
      <c r="B25" s="2" t="s">
        <v>8</v>
      </c>
      <c r="C25" s="26">
        <v>4014560</v>
      </c>
      <c r="D25" s="37">
        <v>1623213</v>
      </c>
      <c r="E25" s="21">
        <v>0</v>
      </c>
      <c r="F25" s="21">
        <v>0</v>
      </c>
      <c r="G25" s="21">
        <v>3393402</v>
      </c>
      <c r="H25" s="21">
        <v>2417005</v>
      </c>
      <c r="I25" s="20">
        <v>2417005</v>
      </c>
      <c r="J25" s="21">
        <v>1337322</v>
      </c>
      <c r="K25" s="21">
        <v>926680</v>
      </c>
      <c r="L25" s="21">
        <v>1026072</v>
      </c>
      <c r="M25" s="21">
        <v>1077456</v>
      </c>
      <c r="N25" s="20">
        <v>1077456</v>
      </c>
      <c r="O25" s="21">
        <v>1238818</v>
      </c>
      <c r="P25" s="21">
        <v>1074668</v>
      </c>
      <c r="Q25" s="21">
        <v>682950</v>
      </c>
      <c r="R25" s="21">
        <v>662942</v>
      </c>
      <c r="S25" s="21">
        <v>589034</v>
      </c>
      <c r="T25" s="20">
        <v>589034</v>
      </c>
      <c r="U25" s="22">
        <v>589034</v>
      </c>
      <c r="V25" s="21">
        <v>558459</v>
      </c>
      <c r="W25" s="21">
        <v>558459</v>
      </c>
      <c r="X25" s="21">
        <v>558459</v>
      </c>
      <c r="Y25" s="21">
        <v>519260</v>
      </c>
      <c r="Z25" s="20">
        <v>519260</v>
      </c>
      <c r="AA25" s="21">
        <v>513261</v>
      </c>
      <c r="AB25" s="21">
        <v>513261</v>
      </c>
      <c r="AC25" s="21">
        <v>503261</v>
      </c>
      <c r="AD25" s="21">
        <v>503261</v>
      </c>
      <c r="AE25" s="20">
        <v>503261</v>
      </c>
      <c r="AF25" s="21">
        <v>503261</v>
      </c>
      <c r="AG25" s="21">
        <v>503261</v>
      </c>
      <c r="AH25" s="21">
        <v>503261</v>
      </c>
      <c r="AI25" s="21">
        <v>503261</v>
      </c>
      <c r="AJ25" s="21">
        <v>503261</v>
      </c>
      <c r="AK25" s="20">
        <v>503261</v>
      </c>
      <c r="AL25" s="22">
        <v>503261</v>
      </c>
      <c r="AM25" s="205"/>
      <c r="AN25" s="13">
        <v>0</v>
      </c>
      <c r="AO25" s="13">
        <v>0</v>
      </c>
    </row>
    <row r="26" spans="1:41" s="11" customFormat="1" ht="17" thickBot="1">
      <c r="A26" s="14"/>
      <c r="B26" s="6" t="s">
        <v>9</v>
      </c>
      <c r="C26" s="20"/>
      <c r="D26" s="20"/>
      <c r="E26" s="19">
        <v>0</v>
      </c>
      <c r="F26" s="19">
        <v>0</v>
      </c>
      <c r="G26" s="19">
        <v>0</v>
      </c>
      <c r="H26" s="19">
        <v>0</v>
      </c>
      <c r="I26" s="23"/>
      <c r="J26" s="19">
        <v>0</v>
      </c>
      <c r="K26" s="19">
        <v>0</v>
      </c>
      <c r="L26" s="19">
        <v>1446.9191042469827</v>
      </c>
      <c r="M26" s="19">
        <v>1256.5991577956343</v>
      </c>
      <c r="N26" s="23"/>
      <c r="O26" s="19">
        <v>7289.3081446098431</v>
      </c>
      <c r="P26" s="19">
        <v>532.27138850911751</v>
      </c>
      <c r="Q26" s="19">
        <v>-3822.424464940681</v>
      </c>
      <c r="R26" s="19" t="e">
        <v>#DIV/0!</v>
      </c>
      <c r="S26" s="19" t="e">
        <v>#REF!</v>
      </c>
      <c r="T26" s="23"/>
      <c r="U26" s="24"/>
      <c r="V26" s="19">
        <v>-4749.9569944034783</v>
      </c>
      <c r="W26" s="19">
        <v>3570.3647524075827</v>
      </c>
      <c r="X26" s="19">
        <v>9122.6534643763098</v>
      </c>
      <c r="Y26" s="19">
        <v>9122.6534643763098</v>
      </c>
      <c r="Z26" s="23"/>
      <c r="AA26" s="19">
        <v>-4343.9228172655676</v>
      </c>
      <c r="AB26" s="19">
        <v>-8268.9298497188465</v>
      </c>
      <c r="AC26" s="19">
        <v>-6725.5359168834284</v>
      </c>
      <c r="AD26" s="19">
        <v>-6725.5359168834284</v>
      </c>
      <c r="AE26" s="23"/>
      <c r="AF26" s="19">
        <v>-201185.13132781969</v>
      </c>
      <c r="AG26" s="19">
        <v>-4143.140093116358</v>
      </c>
      <c r="AH26" s="19">
        <v>-51486878.306878306</v>
      </c>
      <c r="AI26" s="19" t="e">
        <v>#DIV/0!</v>
      </c>
      <c r="AJ26" s="19" t="e">
        <v>#REF!</v>
      </c>
      <c r="AK26" s="26" t="e">
        <v>#DIV/0!</v>
      </c>
      <c r="AL26" s="24"/>
      <c r="AN26" s="13">
        <v>0</v>
      </c>
      <c r="AO26" s="13">
        <v>0</v>
      </c>
    </row>
    <row r="27" spans="1:41" s="15" customFormat="1">
      <c r="A27" s="179" t="s">
        <v>13</v>
      </c>
      <c r="B27" s="3" t="s">
        <v>5</v>
      </c>
      <c r="C27" s="26"/>
      <c r="D27" s="26"/>
      <c r="E27" s="27">
        <v>0</v>
      </c>
      <c r="F27" s="27">
        <v>0</v>
      </c>
      <c r="G27" s="27">
        <v>-11834</v>
      </c>
      <c r="H27" s="27">
        <v>0</v>
      </c>
      <c r="I27" s="26">
        <v>-11834</v>
      </c>
      <c r="J27" s="27">
        <v>0</v>
      </c>
      <c r="K27" s="27">
        <v>0</v>
      </c>
      <c r="L27" s="27">
        <v>0</v>
      </c>
      <c r="M27" s="27">
        <v>0</v>
      </c>
      <c r="N27" s="26">
        <v>0</v>
      </c>
      <c r="O27" s="27">
        <v>0</v>
      </c>
      <c r="P27" s="27">
        <v>0</v>
      </c>
      <c r="Q27" s="27">
        <v>0</v>
      </c>
      <c r="R27" s="27">
        <v>0</v>
      </c>
      <c r="S27" s="27">
        <v>0</v>
      </c>
      <c r="T27" s="26">
        <v>0</v>
      </c>
      <c r="U27" s="28">
        <v>-2895</v>
      </c>
      <c r="V27" s="27">
        <v>0</v>
      </c>
      <c r="W27" s="27">
        <v>0</v>
      </c>
      <c r="X27" s="27">
        <v>0</v>
      </c>
      <c r="Y27" s="27">
        <v>0</v>
      </c>
      <c r="Z27" s="26">
        <v>0</v>
      </c>
      <c r="AA27" s="27">
        <v>0</v>
      </c>
      <c r="AB27" s="27">
        <v>0</v>
      </c>
      <c r="AC27" s="27">
        <v>0</v>
      </c>
      <c r="AD27" s="27">
        <v>0</v>
      </c>
      <c r="AE27" s="26">
        <v>0</v>
      </c>
      <c r="AF27" s="27">
        <v>0</v>
      </c>
      <c r="AG27" s="27">
        <v>0</v>
      </c>
      <c r="AH27" s="27">
        <v>0</v>
      </c>
      <c r="AI27" s="27">
        <v>0</v>
      </c>
      <c r="AJ27" s="27">
        <v>0</v>
      </c>
      <c r="AK27" s="26">
        <v>0</v>
      </c>
      <c r="AL27" s="28">
        <v>0</v>
      </c>
      <c r="AM27" s="205">
        <v>16</v>
      </c>
      <c r="AN27" s="13">
        <v>-46320</v>
      </c>
      <c r="AO27" s="13">
        <v>0</v>
      </c>
    </row>
    <row r="28" spans="1:41" s="15" customFormat="1">
      <c r="A28" s="180"/>
      <c r="B28" s="12" t="s">
        <v>6</v>
      </c>
      <c r="C28" s="26"/>
      <c r="D28" s="26"/>
      <c r="E28" s="27">
        <v>0</v>
      </c>
      <c r="F28" s="27">
        <v>0</v>
      </c>
      <c r="G28" s="27">
        <v>0</v>
      </c>
      <c r="H28" s="27">
        <v>0</v>
      </c>
      <c r="I28" s="26">
        <v>0</v>
      </c>
      <c r="J28" s="27">
        <v>0</v>
      </c>
      <c r="K28" s="27">
        <v>0</v>
      </c>
      <c r="L28" s="27">
        <v>0</v>
      </c>
      <c r="M28" s="27">
        <v>0</v>
      </c>
      <c r="N28" s="26">
        <v>0</v>
      </c>
      <c r="O28" s="27">
        <v>0</v>
      </c>
      <c r="P28" s="27">
        <v>0</v>
      </c>
      <c r="Q28" s="27">
        <v>0</v>
      </c>
      <c r="R28" s="27">
        <v>0</v>
      </c>
      <c r="S28" s="27">
        <v>0</v>
      </c>
      <c r="T28" s="26">
        <v>0</v>
      </c>
      <c r="U28" s="28"/>
      <c r="V28" s="27">
        <v>0</v>
      </c>
      <c r="W28" s="27">
        <v>0</v>
      </c>
      <c r="X28" s="27">
        <v>0</v>
      </c>
      <c r="Y28" s="27">
        <v>0</v>
      </c>
      <c r="Z28" s="26">
        <v>0</v>
      </c>
      <c r="AA28" s="27">
        <v>0</v>
      </c>
      <c r="AB28" s="27">
        <v>0</v>
      </c>
      <c r="AC28" s="27">
        <v>0</v>
      </c>
      <c r="AD28" s="27">
        <v>0</v>
      </c>
      <c r="AE28" s="26">
        <v>0</v>
      </c>
      <c r="AF28" s="27">
        <v>0</v>
      </c>
      <c r="AG28" s="27">
        <v>0</v>
      </c>
      <c r="AH28" s="27">
        <v>0</v>
      </c>
      <c r="AI28" s="27">
        <v>0</v>
      </c>
      <c r="AJ28" s="27">
        <v>0</v>
      </c>
      <c r="AK28" s="26">
        <v>0</v>
      </c>
      <c r="AL28" s="28"/>
      <c r="AM28" s="205"/>
      <c r="AN28" s="13">
        <v>0</v>
      </c>
      <c r="AO28" s="13">
        <v>0</v>
      </c>
    </row>
    <row r="29" spans="1:41" s="15" customFormat="1">
      <c r="A29" s="180"/>
      <c r="B29" s="12" t="s">
        <v>10</v>
      </c>
      <c r="C29" s="26">
        <v>0</v>
      </c>
      <c r="D29" s="26"/>
      <c r="E29" s="27"/>
      <c r="F29" s="27"/>
      <c r="G29" s="27">
        <v>0</v>
      </c>
      <c r="H29" s="27"/>
      <c r="I29" s="26">
        <v>0</v>
      </c>
      <c r="J29" s="27"/>
      <c r="K29" s="27"/>
      <c r="L29" s="27"/>
      <c r="M29" s="27"/>
      <c r="N29" s="26">
        <v>0</v>
      </c>
      <c r="O29" s="27"/>
      <c r="P29" s="27"/>
      <c r="Q29" s="27"/>
      <c r="R29" s="27"/>
      <c r="S29" s="27"/>
      <c r="T29" s="26">
        <v>0</v>
      </c>
      <c r="U29" s="28">
        <v>0</v>
      </c>
      <c r="V29" s="27"/>
      <c r="W29" s="27"/>
      <c r="X29" s="27"/>
      <c r="Y29" s="27"/>
      <c r="Z29" s="26">
        <v>0</v>
      </c>
      <c r="AA29" s="27"/>
      <c r="AB29" s="27"/>
      <c r="AC29" s="27"/>
      <c r="AD29" s="27"/>
      <c r="AE29" s="26">
        <v>0</v>
      </c>
      <c r="AF29" s="27"/>
      <c r="AG29" s="27"/>
      <c r="AH29" s="27"/>
      <c r="AI29" s="27"/>
      <c r="AJ29" s="27"/>
      <c r="AK29" s="26">
        <v>0</v>
      </c>
      <c r="AL29" s="28">
        <v>0</v>
      </c>
      <c r="AM29" s="205"/>
      <c r="AN29" s="13">
        <v>0</v>
      </c>
      <c r="AO29" s="13">
        <v>0</v>
      </c>
    </row>
    <row r="30" spans="1:41" s="15" customFormat="1">
      <c r="A30" s="180"/>
      <c r="B30" s="12" t="s">
        <v>7</v>
      </c>
      <c r="C30" s="26"/>
      <c r="D30" s="26"/>
      <c r="E30" s="27">
        <v>0</v>
      </c>
      <c r="F30" s="27">
        <v>0</v>
      </c>
      <c r="G30" s="27">
        <v>0</v>
      </c>
      <c r="H30" s="27">
        <v>0</v>
      </c>
      <c r="I30" s="26">
        <v>0</v>
      </c>
      <c r="J30" s="32">
        <v>0</v>
      </c>
      <c r="K30" s="27">
        <v>0</v>
      </c>
      <c r="L30" s="27">
        <v>0</v>
      </c>
      <c r="M30" s="27">
        <v>0</v>
      </c>
      <c r="N30" s="26">
        <v>0</v>
      </c>
      <c r="O30" s="27">
        <v>0</v>
      </c>
      <c r="P30" s="27">
        <v>0</v>
      </c>
      <c r="Q30" s="27">
        <v>0</v>
      </c>
      <c r="R30" s="27">
        <v>0</v>
      </c>
      <c r="S30" s="27">
        <v>0</v>
      </c>
      <c r="T30" s="26">
        <v>0</v>
      </c>
      <c r="U30" s="28">
        <v>8939</v>
      </c>
      <c r="V30" s="27">
        <v>0</v>
      </c>
      <c r="W30" s="27">
        <v>0</v>
      </c>
      <c r="X30" s="27">
        <v>0</v>
      </c>
      <c r="Y30" s="27">
        <v>0</v>
      </c>
      <c r="Z30" s="26">
        <v>0</v>
      </c>
      <c r="AA30" s="32">
        <v>0</v>
      </c>
      <c r="AB30" s="27">
        <v>0</v>
      </c>
      <c r="AC30" s="27">
        <v>0</v>
      </c>
      <c r="AD30" s="27">
        <v>0</v>
      </c>
      <c r="AE30" s="26">
        <v>0</v>
      </c>
      <c r="AF30" s="32">
        <v>0</v>
      </c>
      <c r="AG30" s="27">
        <v>0</v>
      </c>
      <c r="AH30" s="27">
        <v>0</v>
      </c>
      <c r="AI30" s="27">
        <v>0</v>
      </c>
      <c r="AJ30" s="27">
        <v>0</v>
      </c>
      <c r="AK30" s="26">
        <v>0</v>
      </c>
      <c r="AL30" s="28">
        <v>11834</v>
      </c>
      <c r="AM30" s="205"/>
      <c r="AN30" s="13">
        <v>0</v>
      </c>
      <c r="AO30" s="13">
        <v>0</v>
      </c>
    </row>
    <row r="31" spans="1:41" s="15" customFormat="1" ht="17" thickBot="1">
      <c r="A31" s="181"/>
      <c r="B31" s="4" t="s">
        <v>8</v>
      </c>
      <c r="C31" s="26">
        <v>11879</v>
      </c>
      <c r="D31" s="37">
        <v>8939</v>
      </c>
      <c r="E31" s="21">
        <v>0</v>
      </c>
      <c r="F31" s="21">
        <v>0</v>
      </c>
      <c r="G31" s="21">
        <v>11834</v>
      </c>
      <c r="H31" s="21">
        <v>11834</v>
      </c>
      <c r="I31" s="20">
        <v>11834</v>
      </c>
      <c r="J31" s="21">
        <v>11834</v>
      </c>
      <c r="K31" s="21">
        <v>11834</v>
      </c>
      <c r="L31" s="21">
        <v>11834</v>
      </c>
      <c r="M31" s="21">
        <v>11834</v>
      </c>
      <c r="N31" s="20">
        <v>11834</v>
      </c>
      <c r="O31" s="21">
        <v>11834</v>
      </c>
      <c r="P31" s="21">
        <v>11834</v>
      </c>
      <c r="Q31" s="21">
        <v>11834</v>
      </c>
      <c r="R31" s="21">
        <v>11834</v>
      </c>
      <c r="S31" s="21">
        <v>11834</v>
      </c>
      <c r="T31" s="20">
        <v>11834</v>
      </c>
      <c r="U31" s="22">
        <v>11834</v>
      </c>
      <c r="V31" s="21">
        <v>11834</v>
      </c>
      <c r="W31" s="21">
        <v>11834</v>
      </c>
      <c r="X31" s="21">
        <v>11834</v>
      </c>
      <c r="Y31" s="21">
        <v>11834</v>
      </c>
      <c r="Z31" s="20">
        <v>11834</v>
      </c>
      <c r="AA31" s="21">
        <v>11834</v>
      </c>
      <c r="AB31" s="21">
        <v>11834</v>
      </c>
      <c r="AC31" s="21">
        <v>11834</v>
      </c>
      <c r="AD31" s="21">
        <v>11834</v>
      </c>
      <c r="AE31" s="20">
        <v>11834</v>
      </c>
      <c r="AF31" s="21">
        <v>11834</v>
      </c>
      <c r="AG31" s="21">
        <v>11834</v>
      </c>
      <c r="AH31" s="21">
        <v>11834</v>
      </c>
      <c r="AI31" s="21">
        <v>11834</v>
      </c>
      <c r="AJ31" s="21">
        <v>11834</v>
      </c>
      <c r="AK31" s="20">
        <v>11834</v>
      </c>
      <c r="AL31" s="22">
        <v>11834</v>
      </c>
      <c r="AM31" s="205"/>
      <c r="AN31" s="13">
        <v>0</v>
      </c>
      <c r="AO31" s="13">
        <v>0</v>
      </c>
    </row>
    <row r="32" spans="1:41" s="15" customFormat="1" ht="17" thickBot="1">
      <c r="A32" s="46"/>
      <c r="B32" s="12" t="s">
        <v>9</v>
      </c>
      <c r="C32" s="26"/>
      <c r="D32" s="26"/>
      <c r="E32" s="19" t="e">
        <v>#DIV/0!</v>
      </c>
      <c r="F32" s="19" t="e">
        <v>#DIV/0!</v>
      </c>
      <c r="G32" s="19" t="e">
        <v>#DIV/0!</v>
      </c>
      <c r="H32" s="19" t="e">
        <v>#DIV/0!</v>
      </c>
      <c r="I32" s="23"/>
      <c r="J32" s="19">
        <v>0</v>
      </c>
      <c r="K32" s="19">
        <v>0</v>
      </c>
      <c r="L32" s="19">
        <v>0</v>
      </c>
      <c r="M32" s="19">
        <v>0</v>
      </c>
      <c r="N32" s="23"/>
      <c r="O32" s="19" t="e">
        <v>#DIV/0!</v>
      </c>
      <c r="P32" s="19">
        <v>-4.1698519702550554</v>
      </c>
      <c r="Q32" s="19" t="e">
        <v>#DIV/0!</v>
      </c>
      <c r="R32" s="19" t="e">
        <v>#DIV/0!</v>
      </c>
      <c r="S32" s="19" t="e">
        <v>#REF!</v>
      </c>
      <c r="T32" s="23"/>
      <c r="U32" s="24"/>
      <c r="V32" s="19" t="e">
        <v>#DIV/0!</v>
      </c>
      <c r="W32" s="19" t="e">
        <v>#DIV/0!</v>
      </c>
      <c r="X32" s="19" t="e">
        <v>#DIV/0!</v>
      </c>
      <c r="Y32" s="19" t="e">
        <v>#DIV/0!</v>
      </c>
      <c r="Z32" s="23"/>
      <c r="AA32" s="19" t="e">
        <v>#DIV/0!</v>
      </c>
      <c r="AB32" s="19" t="e">
        <v>#DIV/0!</v>
      </c>
      <c r="AC32" s="19" t="e">
        <v>#DIV/0!</v>
      </c>
      <c r="AD32" s="19" t="e">
        <v>#DIV/0!</v>
      </c>
      <c r="AE32" s="23"/>
      <c r="AF32" s="19" t="e">
        <v>#DIV/0!</v>
      </c>
      <c r="AG32" s="19" t="e">
        <v>#DIV/0!</v>
      </c>
      <c r="AH32" s="19" t="e">
        <v>#DIV/0!</v>
      </c>
      <c r="AI32" s="19" t="e">
        <v>#DIV/0!</v>
      </c>
      <c r="AJ32" s="19" t="e">
        <v>#REF!</v>
      </c>
      <c r="AK32" s="26" t="e">
        <v>#DIV/0!</v>
      </c>
      <c r="AL32" s="24"/>
      <c r="AN32" s="13">
        <v>0</v>
      </c>
      <c r="AO32" s="13">
        <v>0</v>
      </c>
    </row>
    <row r="33" spans="1:41" s="15" customFormat="1">
      <c r="A33" s="166" t="s">
        <v>14</v>
      </c>
      <c r="B33" s="3" t="s">
        <v>5</v>
      </c>
      <c r="C33" s="26"/>
      <c r="D33" s="26"/>
      <c r="E33" s="27">
        <v>0</v>
      </c>
      <c r="F33" s="27">
        <v>102000</v>
      </c>
      <c r="G33" s="27">
        <v>-695498</v>
      </c>
      <c r="H33" s="27">
        <v>54390</v>
      </c>
      <c r="I33" s="26">
        <v>-539108</v>
      </c>
      <c r="J33" s="27">
        <v>41421</v>
      </c>
      <c r="K33" s="27">
        <v>2725</v>
      </c>
      <c r="L33" s="27">
        <v>4124</v>
      </c>
      <c r="M33" s="27">
        <v>21710</v>
      </c>
      <c r="N33" s="26">
        <v>69980</v>
      </c>
      <c r="O33" s="27">
        <v>59920</v>
      </c>
      <c r="P33" s="27">
        <v>2087</v>
      </c>
      <c r="Q33" s="27">
        <v>15690</v>
      </c>
      <c r="R33" s="27">
        <v>60476</v>
      </c>
      <c r="S33" s="27">
        <v>0</v>
      </c>
      <c r="T33" s="26">
        <v>138173</v>
      </c>
      <c r="U33" s="28">
        <v>342893</v>
      </c>
      <c r="V33" s="27">
        <v>942</v>
      </c>
      <c r="W33" s="27">
        <v>0</v>
      </c>
      <c r="X33" s="27">
        <v>0</v>
      </c>
      <c r="Y33" s="27">
        <v>0</v>
      </c>
      <c r="Z33" s="26">
        <v>942</v>
      </c>
      <c r="AA33" s="27">
        <v>0</v>
      </c>
      <c r="AB33" s="27">
        <v>0</v>
      </c>
      <c r="AC33" s="27">
        <v>6600</v>
      </c>
      <c r="AD33" s="27">
        <v>0</v>
      </c>
      <c r="AE33" s="26">
        <v>6600</v>
      </c>
      <c r="AF33" s="27">
        <v>0</v>
      </c>
      <c r="AG33" s="27">
        <v>0</v>
      </c>
      <c r="AH33" s="27">
        <v>0</v>
      </c>
      <c r="AI33" s="27">
        <v>0</v>
      </c>
      <c r="AJ33" s="27">
        <v>0</v>
      </c>
      <c r="AK33" s="26">
        <v>0</v>
      </c>
      <c r="AL33" s="28">
        <v>7542</v>
      </c>
      <c r="AM33" s="205">
        <v>16</v>
      </c>
      <c r="AN33" s="13">
        <v>5486288</v>
      </c>
      <c r="AO33" s="13">
        <v>120672</v>
      </c>
    </row>
    <row r="34" spans="1:41" s="15" customFormat="1">
      <c r="A34" s="167"/>
      <c r="B34" s="12" t="s">
        <v>6</v>
      </c>
      <c r="C34" s="26"/>
      <c r="D34" s="26"/>
      <c r="E34" s="27">
        <v>0</v>
      </c>
      <c r="F34" s="27">
        <v>102000</v>
      </c>
      <c r="G34" s="27">
        <v>0</v>
      </c>
      <c r="H34" s="27">
        <v>0</v>
      </c>
      <c r="I34" s="26">
        <v>102000</v>
      </c>
      <c r="J34" s="27">
        <v>0</v>
      </c>
      <c r="K34" s="27">
        <v>0</v>
      </c>
      <c r="L34" s="27">
        <v>0</v>
      </c>
      <c r="M34" s="27">
        <v>100000</v>
      </c>
      <c r="N34" s="26">
        <v>100000</v>
      </c>
      <c r="O34" s="27">
        <v>0</v>
      </c>
      <c r="P34" s="27">
        <v>0</v>
      </c>
      <c r="Q34" s="27">
        <v>0</v>
      </c>
      <c r="R34" s="27">
        <v>50000</v>
      </c>
      <c r="S34" s="27">
        <v>0</v>
      </c>
      <c r="T34" s="26">
        <v>50000</v>
      </c>
      <c r="U34" s="28"/>
      <c r="V34" s="27">
        <v>0</v>
      </c>
      <c r="W34" s="27">
        <v>0</v>
      </c>
      <c r="X34" s="27">
        <v>0</v>
      </c>
      <c r="Y34" s="27">
        <v>0</v>
      </c>
      <c r="Z34" s="26">
        <v>0</v>
      </c>
      <c r="AA34" s="27">
        <v>0</v>
      </c>
      <c r="AB34" s="27">
        <v>0</v>
      </c>
      <c r="AC34" s="27">
        <v>0</v>
      </c>
      <c r="AD34" s="27">
        <v>0</v>
      </c>
      <c r="AE34" s="26">
        <v>0</v>
      </c>
      <c r="AF34" s="27">
        <v>0</v>
      </c>
      <c r="AG34" s="27">
        <v>0</v>
      </c>
      <c r="AH34" s="27">
        <v>0</v>
      </c>
      <c r="AI34" s="27">
        <v>0</v>
      </c>
      <c r="AJ34" s="27">
        <v>0</v>
      </c>
      <c r="AK34" s="26">
        <v>0</v>
      </c>
      <c r="AL34" s="28"/>
      <c r="AM34" s="205"/>
      <c r="AN34" s="13">
        <v>0</v>
      </c>
      <c r="AO34" s="13">
        <v>0</v>
      </c>
    </row>
    <row r="35" spans="1:41" s="15" customFormat="1">
      <c r="A35" s="167"/>
      <c r="B35" s="12" t="s">
        <v>10</v>
      </c>
      <c r="C35" s="26">
        <v>0</v>
      </c>
      <c r="D35" s="26"/>
      <c r="E35" s="27"/>
      <c r="F35" s="27"/>
      <c r="G35" s="27">
        <v>0</v>
      </c>
      <c r="H35" s="27"/>
      <c r="I35" s="26">
        <v>0</v>
      </c>
      <c r="J35" s="27"/>
      <c r="K35" s="27"/>
      <c r="L35" s="27"/>
      <c r="M35" s="27"/>
      <c r="N35" s="26">
        <v>0</v>
      </c>
      <c r="O35" s="27"/>
      <c r="P35" s="27"/>
      <c r="Q35" s="27"/>
      <c r="R35" s="27"/>
      <c r="S35" s="27"/>
      <c r="T35" s="26">
        <v>0</v>
      </c>
      <c r="U35" s="28">
        <v>0</v>
      </c>
      <c r="V35" s="27"/>
      <c r="W35" s="27"/>
      <c r="X35" s="27"/>
      <c r="Y35" s="27"/>
      <c r="Z35" s="26">
        <v>0</v>
      </c>
      <c r="AA35" s="27"/>
      <c r="AB35" s="27"/>
      <c r="AC35" s="27"/>
      <c r="AD35" s="27"/>
      <c r="AE35" s="26">
        <v>0</v>
      </c>
      <c r="AF35" s="27"/>
      <c r="AG35" s="27"/>
      <c r="AH35" s="27"/>
      <c r="AI35" s="27"/>
      <c r="AJ35" s="27"/>
      <c r="AK35" s="26">
        <v>0</v>
      </c>
      <c r="AL35" s="28">
        <v>0</v>
      </c>
      <c r="AM35" s="205"/>
      <c r="AN35" s="13">
        <v>0</v>
      </c>
      <c r="AO35" s="13">
        <v>0</v>
      </c>
    </row>
    <row r="36" spans="1:41" s="15" customFormat="1">
      <c r="A36" s="167"/>
      <c r="B36" s="12" t="s">
        <v>7</v>
      </c>
      <c r="C36" s="26"/>
      <c r="D36" s="26"/>
      <c r="E36" s="27">
        <v>0</v>
      </c>
      <c r="F36" s="27">
        <v>102000</v>
      </c>
      <c r="G36" s="27">
        <v>0</v>
      </c>
      <c r="H36" s="27">
        <v>0</v>
      </c>
      <c r="I36" s="26">
        <v>102000</v>
      </c>
      <c r="J36" s="32">
        <v>0</v>
      </c>
      <c r="K36" s="27">
        <v>0</v>
      </c>
      <c r="L36" s="27">
        <v>0</v>
      </c>
      <c r="M36" s="27">
        <v>100000</v>
      </c>
      <c r="N36" s="26">
        <v>100000</v>
      </c>
      <c r="O36" s="27">
        <v>0</v>
      </c>
      <c r="P36" s="27">
        <v>0</v>
      </c>
      <c r="Q36" s="27">
        <v>0</v>
      </c>
      <c r="R36" s="27">
        <v>50000</v>
      </c>
      <c r="S36" s="27">
        <v>0</v>
      </c>
      <c r="T36" s="26">
        <v>50000</v>
      </c>
      <c r="U36" s="28">
        <v>925848</v>
      </c>
      <c r="V36" s="27">
        <v>0</v>
      </c>
      <c r="W36" s="27">
        <v>0</v>
      </c>
      <c r="X36" s="27">
        <v>0</v>
      </c>
      <c r="Y36" s="27">
        <v>0</v>
      </c>
      <c r="Z36" s="26">
        <v>0</v>
      </c>
      <c r="AA36" s="32">
        <v>0</v>
      </c>
      <c r="AB36" s="27">
        <v>0</v>
      </c>
      <c r="AC36" s="27">
        <v>0</v>
      </c>
      <c r="AD36" s="27">
        <v>0</v>
      </c>
      <c r="AE36" s="26">
        <v>0</v>
      </c>
      <c r="AF36" s="32">
        <v>0</v>
      </c>
      <c r="AG36" s="27">
        <v>0</v>
      </c>
      <c r="AH36" s="27">
        <v>0</v>
      </c>
      <c r="AI36" s="27">
        <v>0</v>
      </c>
      <c r="AJ36" s="27">
        <v>0</v>
      </c>
      <c r="AK36" s="26">
        <v>0</v>
      </c>
      <c r="AL36" s="28">
        <v>582955</v>
      </c>
      <c r="AM36" s="205"/>
      <c r="AN36" s="13">
        <v>0</v>
      </c>
      <c r="AO36" s="13">
        <v>0</v>
      </c>
    </row>
    <row r="37" spans="1:41" s="15" customFormat="1" ht="17" thickBot="1">
      <c r="A37" s="168"/>
      <c r="B37" s="4" t="s">
        <v>8</v>
      </c>
      <c r="C37" s="26">
        <v>755285</v>
      </c>
      <c r="D37" s="37">
        <v>673848</v>
      </c>
      <c r="E37" s="21">
        <v>0</v>
      </c>
      <c r="F37" s="21">
        <v>0</v>
      </c>
      <c r="G37" s="21">
        <v>695498</v>
      </c>
      <c r="H37" s="21">
        <v>641108</v>
      </c>
      <c r="I37" s="20">
        <v>641108</v>
      </c>
      <c r="J37" s="21">
        <v>599687</v>
      </c>
      <c r="K37" s="21">
        <v>596962</v>
      </c>
      <c r="L37" s="21">
        <v>592838</v>
      </c>
      <c r="M37" s="21">
        <v>671128</v>
      </c>
      <c r="N37" s="20">
        <v>671128</v>
      </c>
      <c r="O37" s="21">
        <v>611208</v>
      </c>
      <c r="P37" s="21">
        <v>609121</v>
      </c>
      <c r="Q37" s="21">
        <v>593431</v>
      </c>
      <c r="R37" s="21">
        <v>582955</v>
      </c>
      <c r="S37" s="21">
        <v>582955</v>
      </c>
      <c r="T37" s="20">
        <v>582955</v>
      </c>
      <c r="U37" s="22">
        <v>582955</v>
      </c>
      <c r="V37" s="21">
        <v>582013</v>
      </c>
      <c r="W37" s="21">
        <v>582013</v>
      </c>
      <c r="X37" s="21">
        <v>582013</v>
      </c>
      <c r="Y37" s="21">
        <v>582013</v>
      </c>
      <c r="Z37" s="20">
        <v>582013</v>
      </c>
      <c r="AA37" s="21">
        <v>582013</v>
      </c>
      <c r="AB37" s="21">
        <v>582013</v>
      </c>
      <c r="AC37" s="21">
        <v>575413</v>
      </c>
      <c r="AD37" s="21">
        <v>575413</v>
      </c>
      <c r="AE37" s="20">
        <v>575413</v>
      </c>
      <c r="AF37" s="21">
        <v>575413</v>
      </c>
      <c r="AG37" s="21">
        <v>575413</v>
      </c>
      <c r="AH37" s="21">
        <v>575413</v>
      </c>
      <c r="AI37" s="21">
        <v>575413</v>
      </c>
      <c r="AJ37" s="21">
        <v>575413</v>
      </c>
      <c r="AK37" s="20">
        <v>575413</v>
      </c>
      <c r="AL37" s="22">
        <v>575413</v>
      </c>
      <c r="AM37" s="205"/>
      <c r="AN37" s="13">
        <v>0</v>
      </c>
      <c r="AO37" s="13">
        <v>0</v>
      </c>
    </row>
    <row r="38" spans="1:41" s="15" customFormat="1" ht="17" thickBot="1">
      <c r="A38" s="46"/>
      <c r="B38" s="12" t="s">
        <v>9</v>
      </c>
      <c r="C38" s="26"/>
      <c r="D38" s="26"/>
      <c r="E38" s="19">
        <v>0</v>
      </c>
      <c r="F38" s="19">
        <v>0</v>
      </c>
      <c r="G38" s="19">
        <v>0</v>
      </c>
      <c r="H38" s="19">
        <v>0</v>
      </c>
      <c r="I38" s="23"/>
      <c r="J38" s="19">
        <v>0</v>
      </c>
      <c r="K38" s="19">
        <v>0</v>
      </c>
      <c r="L38" s="19">
        <v>0</v>
      </c>
      <c r="M38" s="19">
        <v>0</v>
      </c>
      <c r="N38" s="23"/>
      <c r="O38" s="19">
        <v>14516.527486992147</v>
      </c>
      <c r="P38" s="19">
        <v>1210.3820269280097</v>
      </c>
      <c r="Q38" s="19">
        <v>-925.25524596429284</v>
      </c>
      <c r="R38" s="19" t="e">
        <v>#DIV/0!</v>
      </c>
      <c r="S38" s="19" t="e">
        <v>#REF!</v>
      </c>
      <c r="T38" s="23"/>
      <c r="U38" s="24"/>
      <c r="V38" s="19">
        <v>92631.266846361192</v>
      </c>
      <c r="W38" s="19">
        <v>94979.687239134058</v>
      </c>
      <c r="X38" s="19">
        <v>113271.7203184493</v>
      </c>
      <c r="Y38" s="19">
        <v>113271.7203184493</v>
      </c>
      <c r="Z38" s="23"/>
      <c r="AA38" s="19">
        <v>25837.591681269216</v>
      </c>
      <c r="AB38" s="19">
        <v>25837.591681269216</v>
      </c>
      <c r="AC38" s="19">
        <v>28193.278548496361</v>
      </c>
      <c r="AD38" s="19">
        <v>28193.278548496361</v>
      </c>
      <c r="AE38" s="23"/>
      <c r="AF38" s="19" t="e">
        <v>#DIV/0!</v>
      </c>
      <c r="AG38" s="19">
        <v>18119.480416617163</v>
      </c>
      <c r="AH38" s="19" t="e">
        <v>#DIV/0!</v>
      </c>
      <c r="AI38" s="19" t="e">
        <v>#DIV/0!</v>
      </c>
      <c r="AJ38" s="19" t="e">
        <v>#REF!</v>
      </c>
      <c r="AK38" s="26" t="e">
        <v>#DIV/0!</v>
      </c>
      <c r="AL38" s="24"/>
      <c r="AN38" s="13">
        <v>0</v>
      </c>
      <c r="AO38" s="13">
        <v>0</v>
      </c>
    </row>
    <row r="39" spans="1:41" s="15" customFormat="1">
      <c r="A39" s="166" t="s">
        <v>112</v>
      </c>
      <c r="B39" s="3" t="s">
        <v>5</v>
      </c>
      <c r="C39" s="26"/>
      <c r="D39" s="26"/>
      <c r="E39" s="27">
        <v>0</v>
      </c>
      <c r="F39" s="27">
        <v>0</v>
      </c>
      <c r="G39" s="27">
        <v>-1765</v>
      </c>
      <c r="H39" s="27">
        <v>0</v>
      </c>
      <c r="I39" s="26">
        <v>-1765</v>
      </c>
      <c r="J39" s="27">
        <v>2464</v>
      </c>
      <c r="K39" s="27">
        <v>0</v>
      </c>
      <c r="L39" s="27">
        <v>0</v>
      </c>
      <c r="M39" s="27">
        <v>0</v>
      </c>
      <c r="N39" s="26">
        <v>2464</v>
      </c>
      <c r="O39" s="27">
        <v>501</v>
      </c>
      <c r="P39" s="27">
        <v>501</v>
      </c>
      <c r="Q39" s="27">
        <v>0</v>
      </c>
      <c r="R39" s="27">
        <v>0</v>
      </c>
      <c r="S39" s="27">
        <v>0</v>
      </c>
      <c r="T39" s="26">
        <v>1002</v>
      </c>
      <c r="U39" s="28">
        <v>2597</v>
      </c>
      <c r="V39" s="27">
        <v>780</v>
      </c>
      <c r="W39" s="27">
        <v>0</v>
      </c>
      <c r="X39" s="27">
        <v>0</v>
      </c>
      <c r="Y39" s="27">
        <v>0</v>
      </c>
      <c r="Z39" s="26">
        <v>780</v>
      </c>
      <c r="AA39" s="27">
        <v>0</v>
      </c>
      <c r="AB39" s="27">
        <v>0</v>
      </c>
      <c r="AC39" s="27">
        <v>0</v>
      </c>
      <c r="AD39" s="27">
        <v>0</v>
      </c>
      <c r="AE39" s="26">
        <v>0</v>
      </c>
      <c r="AF39" s="27">
        <v>0</v>
      </c>
      <c r="AG39" s="27">
        <v>0</v>
      </c>
      <c r="AH39" s="27">
        <v>0</v>
      </c>
      <c r="AI39" s="27">
        <v>0</v>
      </c>
      <c r="AJ39" s="27">
        <v>0</v>
      </c>
      <c r="AK39" s="26">
        <v>0</v>
      </c>
      <c r="AL39" s="28">
        <v>780</v>
      </c>
      <c r="AM39" s="204">
        <v>32</v>
      </c>
      <c r="AN39" s="13">
        <v>83104</v>
      </c>
      <c r="AO39" s="13">
        <v>24960</v>
      </c>
    </row>
    <row r="40" spans="1:41" s="15" customFormat="1">
      <c r="A40" s="167"/>
      <c r="B40" s="12" t="s">
        <v>6</v>
      </c>
      <c r="C40" s="26"/>
      <c r="D40" s="26"/>
      <c r="E40" s="27">
        <v>0</v>
      </c>
      <c r="F40" s="27">
        <v>0</v>
      </c>
      <c r="G40" s="27">
        <v>0</v>
      </c>
      <c r="H40" s="27">
        <v>0</v>
      </c>
      <c r="I40" s="26">
        <v>0</v>
      </c>
      <c r="J40" s="27">
        <v>0</v>
      </c>
      <c r="K40" s="27">
        <v>0</v>
      </c>
      <c r="L40" s="27">
        <v>3000</v>
      </c>
      <c r="M40" s="27">
        <v>0</v>
      </c>
      <c r="N40" s="26">
        <v>3000</v>
      </c>
      <c r="O40" s="27">
        <v>0</v>
      </c>
      <c r="P40" s="27">
        <v>0</v>
      </c>
      <c r="Q40" s="27">
        <v>0</v>
      </c>
      <c r="R40" s="27">
        <v>0</v>
      </c>
      <c r="S40" s="27">
        <v>0</v>
      </c>
      <c r="T40" s="26">
        <v>0</v>
      </c>
      <c r="U40" s="28"/>
      <c r="V40" s="27">
        <v>0</v>
      </c>
      <c r="W40" s="27">
        <v>0</v>
      </c>
      <c r="X40" s="27">
        <v>0</v>
      </c>
      <c r="Y40" s="27">
        <v>0</v>
      </c>
      <c r="Z40" s="26">
        <v>0</v>
      </c>
      <c r="AA40" s="27">
        <v>0</v>
      </c>
      <c r="AB40" s="27">
        <v>0</v>
      </c>
      <c r="AC40" s="27">
        <v>0</v>
      </c>
      <c r="AD40" s="27">
        <v>0</v>
      </c>
      <c r="AE40" s="26">
        <v>0</v>
      </c>
      <c r="AF40" s="27">
        <v>0</v>
      </c>
      <c r="AG40" s="27">
        <v>0</v>
      </c>
      <c r="AH40" s="27">
        <v>0</v>
      </c>
      <c r="AI40" s="27">
        <v>0</v>
      </c>
      <c r="AJ40" s="27">
        <v>0</v>
      </c>
      <c r="AK40" s="26">
        <v>0</v>
      </c>
      <c r="AL40" s="28"/>
      <c r="AM40" s="204"/>
      <c r="AN40" s="13">
        <v>0</v>
      </c>
      <c r="AO40" s="13">
        <v>0</v>
      </c>
    </row>
    <row r="41" spans="1:41" s="15" customFormat="1">
      <c r="A41" s="167"/>
      <c r="B41" s="12" t="s">
        <v>10</v>
      </c>
      <c r="C41" s="26">
        <v>0</v>
      </c>
      <c r="D41" s="26"/>
      <c r="E41" s="27"/>
      <c r="F41" s="27"/>
      <c r="G41" s="27">
        <v>0</v>
      </c>
      <c r="H41" s="27"/>
      <c r="I41" s="26">
        <v>0</v>
      </c>
      <c r="J41" s="27"/>
      <c r="K41" s="27"/>
      <c r="L41" s="27"/>
      <c r="M41" s="27"/>
      <c r="N41" s="26">
        <v>0</v>
      </c>
      <c r="O41" s="27"/>
      <c r="P41" s="27"/>
      <c r="Q41" s="27"/>
      <c r="R41" s="27"/>
      <c r="S41" s="27"/>
      <c r="T41" s="26">
        <v>0</v>
      </c>
      <c r="U41" s="28">
        <v>0</v>
      </c>
      <c r="V41" s="27"/>
      <c r="W41" s="27"/>
      <c r="X41" s="27"/>
      <c r="Y41" s="27"/>
      <c r="Z41" s="26">
        <v>0</v>
      </c>
      <c r="AA41" s="27"/>
      <c r="AB41" s="27"/>
      <c r="AC41" s="27"/>
      <c r="AD41" s="27"/>
      <c r="AE41" s="26">
        <v>0</v>
      </c>
      <c r="AF41" s="27"/>
      <c r="AG41" s="27"/>
      <c r="AH41" s="27"/>
      <c r="AI41" s="27"/>
      <c r="AJ41" s="27"/>
      <c r="AK41" s="26">
        <v>0</v>
      </c>
      <c r="AL41" s="28">
        <v>0</v>
      </c>
      <c r="AM41" s="204"/>
      <c r="AN41" s="13">
        <v>0</v>
      </c>
      <c r="AO41" s="13">
        <v>0</v>
      </c>
    </row>
    <row r="42" spans="1:41" s="15" customFormat="1">
      <c r="A42" s="167"/>
      <c r="B42" s="12" t="s">
        <v>7</v>
      </c>
      <c r="C42" s="26"/>
      <c r="D42" s="26"/>
      <c r="E42" s="27">
        <v>0</v>
      </c>
      <c r="F42" s="27">
        <v>0</v>
      </c>
      <c r="G42" s="27">
        <v>0</v>
      </c>
      <c r="H42" s="27">
        <v>0</v>
      </c>
      <c r="I42" s="26">
        <v>0</v>
      </c>
      <c r="J42" s="32">
        <v>0</v>
      </c>
      <c r="K42" s="27">
        <v>0</v>
      </c>
      <c r="L42" s="27">
        <v>3000</v>
      </c>
      <c r="M42" s="27">
        <v>0</v>
      </c>
      <c r="N42" s="26">
        <v>3000</v>
      </c>
      <c r="O42" s="27">
        <v>0</v>
      </c>
      <c r="P42" s="27">
        <v>0</v>
      </c>
      <c r="Q42" s="27">
        <v>0</v>
      </c>
      <c r="R42" s="27">
        <v>0</v>
      </c>
      <c r="S42" s="27">
        <v>0</v>
      </c>
      <c r="T42" s="26">
        <v>0</v>
      </c>
      <c r="U42" s="28">
        <v>3896</v>
      </c>
      <c r="V42" s="27">
        <v>0</v>
      </c>
      <c r="W42" s="27">
        <v>0</v>
      </c>
      <c r="X42" s="27">
        <v>0</v>
      </c>
      <c r="Y42" s="27">
        <v>0</v>
      </c>
      <c r="Z42" s="26">
        <v>0</v>
      </c>
      <c r="AA42" s="32">
        <v>0</v>
      </c>
      <c r="AB42" s="27">
        <v>0</v>
      </c>
      <c r="AC42" s="27">
        <v>0</v>
      </c>
      <c r="AD42" s="27">
        <v>0</v>
      </c>
      <c r="AE42" s="26">
        <v>0</v>
      </c>
      <c r="AF42" s="32">
        <v>0</v>
      </c>
      <c r="AG42" s="27">
        <v>0</v>
      </c>
      <c r="AH42" s="27">
        <v>0</v>
      </c>
      <c r="AI42" s="27">
        <v>0</v>
      </c>
      <c r="AJ42" s="27">
        <v>0</v>
      </c>
      <c r="AK42" s="26">
        <v>0</v>
      </c>
      <c r="AL42" s="28">
        <v>1299</v>
      </c>
      <c r="AM42" s="204"/>
      <c r="AN42" s="13">
        <v>0</v>
      </c>
      <c r="AO42" s="13">
        <v>0</v>
      </c>
    </row>
    <row r="43" spans="1:41" s="15" customFormat="1" ht="17" thickBot="1">
      <c r="A43" s="168"/>
      <c r="B43" s="4" t="s">
        <v>8</v>
      </c>
      <c r="C43" s="26">
        <v>2869</v>
      </c>
      <c r="D43" s="37">
        <v>896</v>
      </c>
      <c r="E43" s="21">
        <v>0</v>
      </c>
      <c r="F43" s="21">
        <v>0</v>
      </c>
      <c r="G43" s="21">
        <v>1765</v>
      </c>
      <c r="H43" s="21">
        <v>1765</v>
      </c>
      <c r="I43" s="20">
        <v>1765</v>
      </c>
      <c r="J43" s="21">
        <v>-699</v>
      </c>
      <c r="K43" s="21">
        <v>-699</v>
      </c>
      <c r="L43" s="21">
        <v>2301</v>
      </c>
      <c r="M43" s="21">
        <v>2301</v>
      </c>
      <c r="N43" s="20">
        <v>2301</v>
      </c>
      <c r="O43" s="21">
        <v>1800</v>
      </c>
      <c r="P43" s="21">
        <v>1299</v>
      </c>
      <c r="Q43" s="21">
        <v>1299</v>
      </c>
      <c r="R43" s="21">
        <v>1299</v>
      </c>
      <c r="S43" s="21">
        <v>1299</v>
      </c>
      <c r="T43" s="20">
        <v>1299</v>
      </c>
      <c r="U43" s="22">
        <v>1299</v>
      </c>
      <c r="V43" s="21">
        <v>519</v>
      </c>
      <c r="W43" s="21">
        <v>519</v>
      </c>
      <c r="X43" s="21">
        <v>519</v>
      </c>
      <c r="Y43" s="21">
        <v>519</v>
      </c>
      <c r="Z43" s="20">
        <v>519</v>
      </c>
      <c r="AA43" s="21">
        <v>519</v>
      </c>
      <c r="AB43" s="21">
        <v>519</v>
      </c>
      <c r="AC43" s="21">
        <v>519</v>
      </c>
      <c r="AD43" s="21">
        <v>519</v>
      </c>
      <c r="AE43" s="20">
        <v>519</v>
      </c>
      <c r="AF43" s="21">
        <v>519</v>
      </c>
      <c r="AG43" s="21">
        <v>519</v>
      </c>
      <c r="AH43" s="21">
        <v>519</v>
      </c>
      <c r="AI43" s="21">
        <v>519</v>
      </c>
      <c r="AJ43" s="21">
        <v>519</v>
      </c>
      <c r="AK43" s="20">
        <v>519</v>
      </c>
      <c r="AL43" s="22">
        <v>519</v>
      </c>
      <c r="AM43" s="204"/>
      <c r="AN43" s="13">
        <v>0</v>
      </c>
      <c r="AO43" s="13">
        <v>0</v>
      </c>
    </row>
    <row r="44" spans="1:41" s="15" customFormat="1" ht="17" thickBot="1">
      <c r="A44" s="46"/>
      <c r="B44" s="12" t="s">
        <v>9</v>
      </c>
      <c r="C44" s="26"/>
      <c r="D44" s="26"/>
      <c r="E44" s="19" t="e">
        <v>#DIV/0!</v>
      </c>
      <c r="F44" s="19" t="e">
        <v>#DIV/0!</v>
      </c>
      <c r="G44" s="19" t="e">
        <v>#DIV/0!</v>
      </c>
      <c r="H44" s="19" t="e">
        <v>#DIV/0!</v>
      </c>
      <c r="I44" s="23"/>
      <c r="J44" s="19" t="e">
        <v>#DIV/0!</v>
      </c>
      <c r="K44" s="19" t="e">
        <v>#DIV/0!</v>
      </c>
      <c r="L44" s="19" t="e">
        <v>#DIV/0!</v>
      </c>
      <c r="M44" s="19" t="e">
        <v>#DIV/0!</v>
      </c>
      <c r="N44" s="23"/>
      <c r="O44" s="19" t="e">
        <v>#DIV/0!</v>
      </c>
      <c r="P44" s="19">
        <v>0</v>
      </c>
      <c r="Q44" s="19" t="e">
        <v>#DIV/0!</v>
      </c>
      <c r="R44" s="19" t="e">
        <v>#DIV/0!</v>
      </c>
      <c r="S44" s="19" t="e">
        <v>#REF!</v>
      </c>
      <c r="T44" s="23"/>
      <c r="U44" s="24"/>
      <c r="V44" s="19" t="e">
        <v>#DIV/0!</v>
      </c>
      <c r="W44" s="19" t="e">
        <v>#DIV/0!</v>
      </c>
      <c r="X44" s="19" t="e">
        <v>#DIV/0!</v>
      </c>
      <c r="Y44" s="19" t="e">
        <v>#DIV/0!</v>
      </c>
      <c r="Z44" s="23"/>
      <c r="AA44" s="19" t="e">
        <v>#DIV/0!</v>
      </c>
      <c r="AB44" s="19" t="e">
        <v>#DIV/0!</v>
      </c>
      <c r="AC44" s="19" t="e">
        <v>#DIV/0!</v>
      </c>
      <c r="AD44" s="19" t="e">
        <v>#DIV/0!</v>
      </c>
      <c r="AE44" s="23"/>
      <c r="AF44" s="19" t="e">
        <v>#DIV/0!</v>
      </c>
      <c r="AG44" s="19" t="e">
        <v>#DIV/0!</v>
      </c>
      <c r="AH44" s="19" t="e">
        <v>#DIV/0!</v>
      </c>
      <c r="AI44" s="19" t="e">
        <v>#DIV/0!</v>
      </c>
      <c r="AJ44" s="19" t="e">
        <v>#REF!</v>
      </c>
      <c r="AK44" s="26" t="e">
        <v>#DIV/0!</v>
      </c>
      <c r="AL44" s="24"/>
      <c r="AN44" s="13">
        <v>0</v>
      </c>
      <c r="AO44" s="13">
        <v>0</v>
      </c>
    </row>
    <row r="45" spans="1:41" s="15" customFormat="1">
      <c r="A45" s="166" t="s">
        <v>19</v>
      </c>
      <c r="B45" s="3" t="s">
        <v>5</v>
      </c>
      <c r="C45" s="26"/>
      <c r="D45" s="26"/>
      <c r="E45" s="27">
        <v>0</v>
      </c>
      <c r="F45" s="27">
        <v>0</v>
      </c>
      <c r="G45" s="27">
        <v>76508</v>
      </c>
      <c r="H45" s="27">
        <v>1801</v>
      </c>
      <c r="I45" s="26">
        <v>78309</v>
      </c>
      <c r="J45" s="27">
        <v>165573</v>
      </c>
      <c r="K45" s="27">
        <v>2741</v>
      </c>
      <c r="L45" s="27">
        <v>12338</v>
      </c>
      <c r="M45" s="27">
        <v>506</v>
      </c>
      <c r="N45" s="26">
        <v>181158</v>
      </c>
      <c r="O45" s="27">
        <v>72307</v>
      </c>
      <c r="P45" s="27">
        <v>10209</v>
      </c>
      <c r="Q45" s="27">
        <v>41004</v>
      </c>
      <c r="R45" s="27">
        <v>46650</v>
      </c>
      <c r="S45" s="27">
        <v>0</v>
      </c>
      <c r="T45" s="26">
        <v>170170</v>
      </c>
      <c r="U45" s="28">
        <v>434812</v>
      </c>
      <c r="V45" s="27">
        <v>5371</v>
      </c>
      <c r="W45" s="27">
        <v>0</v>
      </c>
      <c r="X45" s="27">
        <v>0</v>
      </c>
      <c r="Y45" s="27">
        <v>702</v>
      </c>
      <c r="Z45" s="26">
        <v>6073</v>
      </c>
      <c r="AA45" s="27">
        <v>0</v>
      </c>
      <c r="AB45" s="27">
        <v>0</v>
      </c>
      <c r="AC45" s="27">
        <v>0</v>
      </c>
      <c r="AD45" s="27">
        <v>0</v>
      </c>
      <c r="AE45" s="26">
        <v>0</v>
      </c>
      <c r="AF45" s="27">
        <v>0</v>
      </c>
      <c r="AG45" s="27">
        <v>0</v>
      </c>
      <c r="AH45" s="27">
        <v>0</v>
      </c>
      <c r="AI45" s="27">
        <v>0</v>
      </c>
      <c r="AJ45" s="27">
        <v>0</v>
      </c>
      <c r="AK45" s="26">
        <v>0</v>
      </c>
      <c r="AL45" s="28">
        <v>6073</v>
      </c>
      <c r="AM45" s="204">
        <v>16</v>
      </c>
      <c r="AN45" s="13">
        <v>6956992</v>
      </c>
      <c r="AO45" s="13">
        <v>97168</v>
      </c>
    </row>
    <row r="46" spans="1:41" s="15" customFormat="1">
      <c r="A46" s="167"/>
      <c r="B46" s="12" t="s">
        <v>6</v>
      </c>
      <c r="C46" s="26"/>
      <c r="D46" s="26"/>
      <c r="E46" s="27">
        <v>0</v>
      </c>
      <c r="F46" s="27">
        <v>0</v>
      </c>
      <c r="G46" s="27">
        <v>0</v>
      </c>
      <c r="H46" s="27">
        <v>0</v>
      </c>
      <c r="I46" s="26">
        <v>0</v>
      </c>
      <c r="J46" s="27">
        <v>0</v>
      </c>
      <c r="K46" s="27">
        <v>0</v>
      </c>
      <c r="L46" s="27">
        <v>0</v>
      </c>
      <c r="M46" s="27">
        <v>100000</v>
      </c>
      <c r="N46" s="26">
        <v>100000</v>
      </c>
      <c r="O46" s="27">
        <v>0</v>
      </c>
      <c r="P46" s="27">
        <v>0</v>
      </c>
      <c r="Q46" s="27">
        <v>0</v>
      </c>
      <c r="R46" s="27">
        <v>0</v>
      </c>
      <c r="S46" s="27">
        <v>0</v>
      </c>
      <c r="T46" s="26">
        <v>0</v>
      </c>
      <c r="U46" s="28"/>
      <c r="V46" s="27">
        <v>0</v>
      </c>
      <c r="W46" s="27">
        <v>0</v>
      </c>
      <c r="X46" s="27">
        <v>0</v>
      </c>
      <c r="Y46" s="27">
        <v>0</v>
      </c>
      <c r="Z46" s="26">
        <v>0</v>
      </c>
      <c r="AA46" s="27">
        <v>0</v>
      </c>
      <c r="AB46" s="27">
        <v>0</v>
      </c>
      <c r="AC46" s="27">
        <v>0</v>
      </c>
      <c r="AD46" s="27">
        <v>0</v>
      </c>
      <c r="AE46" s="26">
        <v>0</v>
      </c>
      <c r="AF46" s="27">
        <v>0</v>
      </c>
      <c r="AG46" s="27">
        <v>0</v>
      </c>
      <c r="AH46" s="27">
        <v>0</v>
      </c>
      <c r="AI46" s="27">
        <v>0</v>
      </c>
      <c r="AJ46" s="27">
        <v>0</v>
      </c>
      <c r="AK46" s="26">
        <v>0</v>
      </c>
      <c r="AL46" s="28"/>
      <c r="AM46" s="204"/>
      <c r="AN46" s="13">
        <v>0</v>
      </c>
      <c r="AO46" s="13">
        <v>0</v>
      </c>
    </row>
    <row r="47" spans="1:41" s="15" customFormat="1">
      <c r="A47" s="167"/>
      <c r="B47" s="12" t="s">
        <v>10</v>
      </c>
      <c r="C47" s="27">
        <v>0</v>
      </c>
      <c r="D47" s="26"/>
      <c r="E47" s="27"/>
      <c r="F47" s="27"/>
      <c r="G47" s="27">
        <v>0</v>
      </c>
      <c r="H47" s="27"/>
      <c r="I47" s="26">
        <v>0</v>
      </c>
      <c r="J47" s="27"/>
      <c r="K47" s="27"/>
      <c r="L47" s="27"/>
      <c r="M47" s="27"/>
      <c r="N47" s="26">
        <v>0</v>
      </c>
      <c r="O47" s="27"/>
      <c r="P47" s="27"/>
      <c r="Q47" s="27"/>
      <c r="R47" s="27"/>
      <c r="S47" s="27"/>
      <c r="T47" s="26">
        <v>0</v>
      </c>
      <c r="U47" s="28">
        <v>0</v>
      </c>
      <c r="V47" s="27"/>
      <c r="W47" s="27"/>
      <c r="X47" s="27"/>
      <c r="Y47" s="27"/>
      <c r="Z47" s="26">
        <v>0</v>
      </c>
      <c r="AA47" s="27"/>
      <c r="AB47" s="27"/>
      <c r="AC47" s="27"/>
      <c r="AD47" s="27"/>
      <c r="AE47" s="26">
        <v>0</v>
      </c>
      <c r="AF47" s="27"/>
      <c r="AG47" s="27"/>
      <c r="AH47" s="27"/>
      <c r="AI47" s="27"/>
      <c r="AJ47" s="27"/>
      <c r="AK47" s="26">
        <v>0</v>
      </c>
      <c r="AL47" s="28">
        <v>0</v>
      </c>
      <c r="AM47" s="204"/>
      <c r="AN47" s="13">
        <v>0</v>
      </c>
      <c r="AO47" s="13">
        <v>0</v>
      </c>
    </row>
    <row r="48" spans="1:41" s="15" customFormat="1">
      <c r="A48" s="167"/>
      <c r="B48" s="12" t="s">
        <v>7</v>
      </c>
      <c r="C48" s="26"/>
      <c r="D48" s="26"/>
      <c r="E48" s="27">
        <v>0</v>
      </c>
      <c r="F48" s="27">
        <v>0</v>
      </c>
      <c r="G48" s="27">
        <v>0</v>
      </c>
      <c r="H48" s="27">
        <v>0</v>
      </c>
      <c r="I48" s="26">
        <v>0</v>
      </c>
      <c r="J48" s="32">
        <v>0</v>
      </c>
      <c r="K48" s="27">
        <v>0</v>
      </c>
      <c r="L48" s="27">
        <v>0</v>
      </c>
      <c r="M48" s="27">
        <v>100000</v>
      </c>
      <c r="N48" s="26">
        <v>100000</v>
      </c>
      <c r="O48" s="27">
        <v>0</v>
      </c>
      <c r="P48" s="27">
        <v>0</v>
      </c>
      <c r="Q48" s="27">
        <v>0</v>
      </c>
      <c r="R48" s="27">
        <v>0</v>
      </c>
      <c r="S48" s="27">
        <v>0</v>
      </c>
      <c r="T48" s="26">
        <v>0</v>
      </c>
      <c r="U48" s="28">
        <v>105175</v>
      </c>
      <c r="V48" s="27">
        <v>0</v>
      </c>
      <c r="W48" s="27">
        <v>0</v>
      </c>
      <c r="X48" s="27">
        <v>0</v>
      </c>
      <c r="Y48" s="27">
        <v>0</v>
      </c>
      <c r="Z48" s="26">
        <v>0</v>
      </c>
      <c r="AA48" s="32">
        <v>0</v>
      </c>
      <c r="AB48" s="27">
        <v>0</v>
      </c>
      <c r="AC48" s="27">
        <v>0</v>
      </c>
      <c r="AD48" s="27">
        <v>0</v>
      </c>
      <c r="AE48" s="26">
        <v>0</v>
      </c>
      <c r="AF48" s="32">
        <v>0</v>
      </c>
      <c r="AG48" s="27">
        <v>0</v>
      </c>
      <c r="AH48" s="27">
        <v>0</v>
      </c>
      <c r="AI48" s="27">
        <v>0</v>
      </c>
      <c r="AJ48" s="27">
        <v>0</v>
      </c>
      <c r="AK48" s="26">
        <v>0</v>
      </c>
      <c r="AL48" s="28">
        <v>-329637</v>
      </c>
      <c r="AM48" s="204"/>
      <c r="AN48" s="13">
        <v>0</v>
      </c>
      <c r="AO48" s="13">
        <v>0</v>
      </c>
    </row>
    <row r="49" spans="1:41" s="15" customFormat="1" ht="17" thickBot="1">
      <c r="A49" s="168"/>
      <c r="B49" s="4" t="s">
        <v>8</v>
      </c>
      <c r="C49" s="26">
        <v>7006</v>
      </c>
      <c r="D49" s="37">
        <v>5175</v>
      </c>
      <c r="E49" s="21">
        <v>0</v>
      </c>
      <c r="F49" s="21">
        <v>0</v>
      </c>
      <c r="G49" s="21">
        <v>-76508</v>
      </c>
      <c r="H49" s="21">
        <v>-78309</v>
      </c>
      <c r="I49" s="20">
        <v>-78309</v>
      </c>
      <c r="J49" s="21">
        <v>-243882</v>
      </c>
      <c r="K49" s="21">
        <v>-246623</v>
      </c>
      <c r="L49" s="21">
        <v>-258961</v>
      </c>
      <c r="M49" s="21">
        <v>-159467</v>
      </c>
      <c r="N49" s="20">
        <v>-159467</v>
      </c>
      <c r="O49" s="21">
        <v>-231774</v>
      </c>
      <c r="P49" s="21">
        <v>-241983</v>
      </c>
      <c r="Q49" s="21">
        <v>-282987</v>
      </c>
      <c r="R49" s="21">
        <v>-329637</v>
      </c>
      <c r="S49" s="21">
        <v>-329637</v>
      </c>
      <c r="T49" s="20">
        <v>-329637</v>
      </c>
      <c r="U49" s="22">
        <v>-329637</v>
      </c>
      <c r="V49" s="21">
        <v>-335008</v>
      </c>
      <c r="W49" s="21">
        <v>-335008</v>
      </c>
      <c r="X49" s="21">
        <v>-335008</v>
      </c>
      <c r="Y49" s="21">
        <v>-335710</v>
      </c>
      <c r="Z49" s="20">
        <v>-335710</v>
      </c>
      <c r="AA49" s="21">
        <v>-335710</v>
      </c>
      <c r="AB49" s="21">
        <v>-335710</v>
      </c>
      <c r="AC49" s="21">
        <v>-335710</v>
      </c>
      <c r="AD49" s="21">
        <v>-335710</v>
      </c>
      <c r="AE49" s="20">
        <v>-335710</v>
      </c>
      <c r="AF49" s="21">
        <v>-335710</v>
      </c>
      <c r="AG49" s="21">
        <v>-335710</v>
      </c>
      <c r="AH49" s="21">
        <v>-335710</v>
      </c>
      <c r="AI49" s="21">
        <v>-335710</v>
      </c>
      <c r="AJ49" s="21">
        <v>-335710</v>
      </c>
      <c r="AK49" s="20">
        <v>-335710</v>
      </c>
      <c r="AL49" s="22">
        <v>-335710</v>
      </c>
      <c r="AM49" s="204"/>
      <c r="AN49" s="13">
        <v>0</v>
      </c>
      <c r="AO49" s="13">
        <v>0</v>
      </c>
    </row>
    <row r="50" spans="1:41" s="15" customFormat="1" ht="17" thickBot="1">
      <c r="A50" s="46"/>
      <c r="B50" s="12" t="s">
        <v>9</v>
      </c>
      <c r="C50" s="26"/>
      <c r="D50" s="26"/>
      <c r="E50" s="19">
        <v>0</v>
      </c>
      <c r="F50" s="19">
        <v>0</v>
      </c>
      <c r="G50" s="19">
        <v>0</v>
      </c>
      <c r="H50" s="19">
        <v>0</v>
      </c>
      <c r="I50" s="23"/>
      <c r="J50" s="19">
        <v>0</v>
      </c>
      <c r="K50" s="19">
        <v>0</v>
      </c>
      <c r="L50" s="19">
        <v>0</v>
      </c>
      <c r="M50" s="19">
        <v>0</v>
      </c>
      <c r="N50" s="23"/>
      <c r="O50" s="19">
        <v>-441427.21579047258</v>
      </c>
      <c r="P50" s="19">
        <v>-5963.3494624816367</v>
      </c>
      <c r="Q50" s="19" t="e">
        <v>#DIV/0!</v>
      </c>
      <c r="R50" s="19" t="e">
        <v>#DIV/0!</v>
      </c>
      <c r="S50" s="19" t="e">
        <v>#REF!</v>
      </c>
      <c r="T50" s="23"/>
      <c r="U50" s="24"/>
      <c r="V50" s="19">
        <v>-40542.23881424532</v>
      </c>
      <c r="W50" s="19">
        <v>-40656.58155424297</v>
      </c>
      <c r="X50" s="19">
        <v>-51036.419425139051</v>
      </c>
      <c r="Y50" s="19">
        <v>-51036.419425139051</v>
      </c>
      <c r="Z50" s="23"/>
      <c r="AA50" s="19">
        <v>-48961.509622594349</v>
      </c>
      <c r="AB50" s="19">
        <v>-48961.509622594349</v>
      </c>
      <c r="AC50" s="19">
        <v>-56030.004975314783</v>
      </c>
      <c r="AD50" s="19">
        <v>-56030.004975314783</v>
      </c>
      <c r="AE50" s="23"/>
      <c r="AF50" s="19" t="e">
        <v>#DIV/0!</v>
      </c>
      <c r="AG50" s="19">
        <v>-32823.071961009176</v>
      </c>
      <c r="AH50" s="19" t="e">
        <v>#DIV/0!</v>
      </c>
      <c r="AI50" s="19" t="e">
        <v>#DIV/0!</v>
      </c>
      <c r="AJ50" s="19" t="e">
        <v>#REF!</v>
      </c>
      <c r="AK50" s="26" t="e">
        <v>#DIV/0!</v>
      </c>
      <c r="AL50" s="24"/>
      <c r="AN50" s="13">
        <v>0</v>
      </c>
      <c r="AO50" s="13">
        <v>0</v>
      </c>
    </row>
    <row r="51" spans="1:41" s="15" customFormat="1">
      <c r="A51" s="166" t="s">
        <v>40</v>
      </c>
      <c r="B51" s="3" t="s">
        <v>5</v>
      </c>
      <c r="C51" s="26"/>
      <c r="D51" s="26"/>
      <c r="E51" s="27">
        <v>20000</v>
      </c>
      <c r="F51" s="27">
        <v>170000</v>
      </c>
      <c r="G51" s="27">
        <v>-180175</v>
      </c>
      <c r="H51" s="27">
        <v>128970</v>
      </c>
      <c r="I51" s="26">
        <v>138795</v>
      </c>
      <c r="J51" s="27">
        <v>68805</v>
      </c>
      <c r="K51" s="27">
        <v>1811</v>
      </c>
      <c r="L51" s="27">
        <v>48507</v>
      </c>
      <c r="M51" s="27">
        <v>12043</v>
      </c>
      <c r="N51" s="26">
        <v>131166</v>
      </c>
      <c r="O51" s="27">
        <v>184012</v>
      </c>
      <c r="P51" s="27">
        <v>138</v>
      </c>
      <c r="Q51" s="27">
        <v>97582</v>
      </c>
      <c r="R51" s="27">
        <v>195593</v>
      </c>
      <c r="S51" s="27">
        <v>6000</v>
      </c>
      <c r="T51" s="26">
        <v>483325</v>
      </c>
      <c r="U51" s="28">
        <v>948091</v>
      </c>
      <c r="V51" s="27">
        <v>542</v>
      </c>
      <c r="W51" s="27">
        <v>0</v>
      </c>
      <c r="X51" s="27">
        <v>0</v>
      </c>
      <c r="Y51" s="27">
        <v>13036</v>
      </c>
      <c r="Z51" s="26">
        <v>13578</v>
      </c>
      <c r="AA51" s="27">
        <v>0</v>
      </c>
      <c r="AB51" s="27">
        <v>0</v>
      </c>
      <c r="AC51" s="27">
        <v>0</v>
      </c>
      <c r="AD51" s="27">
        <v>0</v>
      </c>
      <c r="AE51" s="26">
        <v>0</v>
      </c>
      <c r="AF51" s="27">
        <v>0</v>
      </c>
      <c r="AG51" s="27">
        <v>0</v>
      </c>
      <c r="AH51" s="27">
        <v>0</v>
      </c>
      <c r="AI51" s="27">
        <v>0</v>
      </c>
      <c r="AJ51" s="27">
        <v>0</v>
      </c>
      <c r="AK51" s="26">
        <v>0</v>
      </c>
      <c r="AL51" s="28">
        <v>13578</v>
      </c>
      <c r="AM51" s="204">
        <v>16</v>
      </c>
      <c r="AN51" s="13">
        <v>15169456</v>
      </c>
      <c r="AO51" s="13">
        <v>217248</v>
      </c>
    </row>
    <row r="52" spans="1:41" s="15" customFormat="1">
      <c r="A52" s="167"/>
      <c r="B52" s="12" t="s">
        <v>6</v>
      </c>
      <c r="C52" s="26"/>
      <c r="D52" s="26"/>
      <c r="E52" s="27">
        <v>20000</v>
      </c>
      <c r="F52" s="27">
        <v>170000</v>
      </c>
      <c r="G52" s="27">
        <v>215217</v>
      </c>
      <c r="H52" s="27">
        <v>0</v>
      </c>
      <c r="I52" s="26">
        <v>405217</v>
      </c>
      <c r="J52" s="27">
        <v>0</v>
      </c>
      <c r="K52" s="27">
        <v>0</v>
      </c>
      <c r="L52" s="27">
        <v>0</v>
      </c>
      <c r="M52" s="27">
        <v>350000</v>
      </c>
      <c r="N52" s="26">
        <v>350000</v>
      </c>
      <c r="O52" s="27">
        <v>0</v>
      </c>
      <c r="P52" s="27">
        <v>0</v>
      </c>
      <c r="Q52" s="27">
        <v>0</v>
      </c>
      <c r="R52" s="27">
        <v>200000</v>
      </c>
      <c r="S52" s="27">
        <v>0</v>
      </c>
      <c r="T52" s="26">
        <v>200000</v>
      </c>
      <c r="U52" s="28"/>
      <c r="V52" s="27">
        <v>0</v>
      </c>
      <c r="W52" s="27">
        <v>0</v>
      </c>
      <c r="X52" s="27">
        <v>0</v>
      </c>
      <c r="Y52" s="27">
        <v>0</v>
      </c>
      <c r="Z52" s="26">
        <v>0</v>
      </c>
      <c r="AA52" s="27">
        <v>0</v>
      </c>
      <c r="AB52" s="27">
        <v>0</v>
      </c>
      <c r="AC52" s="27">
        <v>0</v>
      </c>
      <c r="AD52" s="27">
        <v>0</v>
      </c>
      <c r="AE52" s="26">
        <v>0</v>
      </c>
      <c r="AF52" s="27">
        <v>0</v>
      </c>
      <c r="AG52" s="27">
        <v>0</v>
      </c>
      <c r="AH52" s="27">
        <v>0</v>
      </c>
      <c r="AI52" s="27">
        <v>0</v>
      </c>
      <c r="AJ52" s="27">
        <v>0</v>
      </c>
      <c r="AK52" s="26">
        <v>0</v>
      </c>
      <c r="AL52" s="28"/>
      <c r="AM52" s="204"/>
      <c r="AN52" s="13">
        <v>0</v>
      </c>
      <c r="AO52" s="13">
        <v>0</v>
      </c>
    </row>
    <row r="53" spans="1:41" s="15" customFormat="1">
      <c r="A53" s="167"/>
      <c r="B53" s="12" t="s">
        <v>10</v>
      </c>
      <c r="C53" s="27">
        <v>260000</v>
      </c>
      <c r="D53" s="26"/>
      <c r="E53" s="27"/>
      <c r="F53" s="27"/>
      <c r="G53" s="27">
        <v>260000</v>
      </c>
      <c r="H53" s="27"/>
      <c r="I53" s="26">
        <v>0</v>
      </c>
      <c r="J53" s="27"/>
      <c r="K53" s="27"/>
      <c r="L53" s="27"/>
      <c r="M53" s="27"/>
      <c r="N53" s="26">
        <v>220000</v>
      </c>
      <c r="O53" s="27"/>
      <c r="P53" s="27"/>
      <c r="Q53" s="27"/>
      <c r="R53" s="27"/>
      <c r="S53" s="27"/>
      <c r="T53" s="26">
        <v>0</v>
      </c>
      <c r="U53" s="28">
        <v>220000</v>
      </c>
      <c r="V53" s="27"/>
      <c r="W53" s="27"/>
      <c r="X53" s="27"/>
      <c r="Y53" s="27"/>
      <c r="Z53" s="26">
        <v>0</v>
      </c>
      <c r="AA53" s="27"/>
      <c r="AB53" s="27"/>
      <c r="AC53" s="27"/>
      <c r="AD53" s="27"/>
      <c r="AE53" s="26">
        <v>0</v>
      </c>
      <c r="AF53" s="27"/>
      <c r="AG53" s="27"/>
      <c r="AH53" s="27"/>
      <c r="AI53" s="27"/>
      <c r="AJ53" s="27"/>
      <c r="AK53" s="26">
        <v>0</v>
      </c>
      <c r="AL53" s="28">
        <v>0</v>
      </c>
      <c r="AM53" s="204"/>
      <c r="AN53" s="13">
        <v>0</v>
      </c>
      <c r="AO53" s="13">
        <v>0</v>
      </c>
    </row>
    <row r="54" spans="1:41" s="15" customFormat="1">
      <c r="A54" s="167"/>
      <c r="B54" s="12" t="s">
        <v>7</v>
      </c>
      <c r="C54" s="26"/>
      <c r="D54" s="26"/>
      <c r="E54" s="27">
        <v>20000</v>
      </c>
      <c r="F54" s="27">
        <v>170000</v>
      </c>
      <c r="G54" s="27">
        <v>475217</v>
      </c>
      <c r="H54" s="27">
        <v>0</v>
      </c>
      <c r="I54" s="26">
        <v>665217</v>
      </c>
      <c r="J54" s="32">
        <v>0</v>
      </c>
      <c r="K54" s="27">
        <v>0</v>
      </c>
      <c r="L54" s="27">
        <v>0</v>
      </c>
      <c r="M54" s="27">
        <v>350000</v>
      </c>
      <c r="N54" s="26">
        <v>350000</v>
      </c>
      <c r="O54" s="27">
        <v>0</v>
      </c>
      <c r="P54" s="27">
        <v>0</v>
      </c>
      <c r="Q54" s="27">
        <v>0</v>
      </c>
      <c r="R54" s="27">
        <v>200000</v>
      </c>
      <c r="S54" s="27">
        <v>0</v>
      </c>
      <c r="T54" s="26">
        <v>200000</v>
      </c>
      <c r="U54" s="28">
        <v>1410022</v>
      </c>
      <c r="V54" s="27">
        <v>0</v>
      </c>
      <c r="W54" s="27">
        <v>0</v>
      </c>
      <c r="X54" s="27">
        <v>0</v>
      </c>
      <c r="Y54" s="27">
        <v>0</v>
      </c>
      <c r="Z54" s="26">
        <v>0</v>
      </c>
      <c r="AA54" s="32">
        <v>0</v>
      </c>
      <c r="AB54" s="27">
        <v>0</v>
      </c>
      <c r="AC54" s="27">
        <v>0</v>
      </c>
      <c r="AD54" s="27">
        <v>0</v>
      </c>
      <c r="AE54" s="26">
        <v>0</v>
      </c>
      <c r="AF54" s="32">
        <v>0</v>
      </c>
      <c r="AG54" s="27">
        <v>0</v>
      </c>
      <c r="AH54" s="27">
        <v>0</v>
      </c>
      <c r="AI54" s="27">
        <v>0</v>
      </c>
      <c r="AJ54" s="27">
        <v>0</v>
      </c>
      <c r="AK54" s="26">
        <v>0</v>
      </c>
      <c r="AL54" s="28">
        <v>461931</v>
      </c>
      <c r="AM54" s="204"/>
      <c r="AN54" s="13">
        <v>0</v>
      </c>
      <c r="AO54" s="13">
        <v>0</v>
      </c>
    </row>
    <row r="55" spans="1:41" s="15" customFormat="1" ht="17" thickBot="1">
      <c r="A55" s="168"/>
      <c r="B55" s="4" t="s">
        <v>8</v>
      </c>
      <c r="C55" s="26">
        <v>609983</v>
      </c>
      <c r="D55" s="37">
        <v>194805</v>
      </c>
      <c r="E55" s="21">
        <v>0</v>
      </c>
      <c r="F55" s="21">
        <v>0</v>
      </c>
      <c r="G55" s="21">
        <v>655392</v>
      </c>
      <c r="H55" s="21">
        <v>526422</v>
      </c>
      <c r="I55" s="20">
        <v>526422</v>
      </c>
      <c r="J55" s="21">
        <v>457617</v>
      </c>
      <c r="K55" s="21">
        <v>455806</v>
      </c>
      <c r="L55" s="21">
        <v>407299</v>
      </c>
      <c r="M55" s="21">
        <v>745256</v>
      </c>
      <c r="N55" s="20">
        <v>745256</v>
      </c>
      <c r="O55" s="21">
        <v>561244</v>
      </c>
      <c r="P55" s="21">
        <v>561106</v>
      </c>
      <c r="Q55" s="21">
        <v>463524</v>
      </c>
      <c r="R55" s="21">
        <v>467931</v>
      </c>
      <c r="S55" s="21">
        <v>461931</v>
      </c>
      <c r="T55" s="20">
        <v>461931</v>
      </c>
      <c r="U55" s="22">
        <v>461931</v>
      </c>
      <c r="V55" s="21">
        <v>461389</v>
      </c>
      <c r="W55" s="21">
        <v>461389</v>
      </c>
      <c r="X55" s="21">
        <v>461389</v>
      </c>
      <c r="Y55" s="21">
        <v>448353</v>
      </c>
      <c r="Z55" s="20">
        <v>448353</v>
      </c>
      <c r="AA55" s="21">
        <v>448353</v>
      </c>
      <c r="AB55" s="21">
        <v>448353</v>
      </c>
      <c r="AC55" s="21">
        <v>448353</v>
      </c>
      <c r="AD55" s="21">
        <v>448353</v>
      </c>
      <c r="AE55" s="20">
        <v>448353</v>
      </c>
      <c r="AF55" s="21">
        <v>448353</v>
      </c>
      <c r="AG55" s="21">
        <v>448353</v>
      </c>
      <c r="AH55" s="21">
        <v>448353</v>
      </c>
      <c r="AI55" s="21">
        <v>448353</v>
      </c>
      <c r="AJ55" s="21">
        <v>448353</v>
      </c>
      <c r="AK55" s="20">
        <v>448353</v>
      </c>
      <c r="AL55" s="22">
        <v>448353</v>
      </c>
      <c r="AM55" s="204"/>
      <c r="AN55" s="13">
        <v>0</v>
      </c>
      <c r="AO55" s="13">
        <v>0</v>
      </c>
    </row>
    <row r="56" spans="1:41" s="15" customFormat="1" ht="17" thickBot="1">
      <c r="A56" s="46"/>
      <c r="B56" s="12" t="s">
        <v>9</v>
      </c>
      <c r="C56" s="26"/>
      <c r="D56" s="26"/>
      <c r="E56" s="19">
        <v>0</v>
      </c>
      <c r="F56" s="19">
        <v>0</v>
      </c>
      <c r="G56" s="19">
        <v>0</v>
      </c>
      <c r="H56" s="19">
        <v>0</v>
      </c>
      <c r="I56" s="23"/>
      <c r="J56" s="19">
        <v>0</v>
      </c>
      <c r="K56" s="19">
        <v>0</v>
      </c>
      <c r="L56" s="19">
        <v>19364.15167411893</v>
      </c>
      <c r="M56" s="19">
        <v>13655.097075326481</v>
      </c>
      <c r="N56" s="23"/>
      <c r="O56" s="19">
        <v>42037.182508510086</v>
      </c>
      <c r="P56" s="19">
        <v>8375.9973459957037</v>
      </c>
      <c r="Q56" s="19">
        <v>103742.31578947368</v>
      </c>
      <c r="R56" s="19" t="e">
        <v>#DIV/0!</v>
      </c>
      <c r="S56" s="19" t="e">
        <v>#REF!</v>
      </c>
      <c r="T56" s="23"/>
      <c r="U56" s="24"/>
      <c r="V56" s="19">
        <v>124569.97295097033</v>
      </c>
      <c r="W56" s="19">
        <v>123728.97302100302</v>
      </c>
      <c r="X56" s="19">
        <v>139166.83292765651</v>
      </c>
      <c r="Y56" s="19">
        <v>139166.83292765651</v>
      </c>
      <c r="Z56" s="23"/>
      <c r="AA56" s="19">
        <v>84689.798188572488</v>
      </c>
      <c r="AB56" s="19">
        <v>85554.063363277688</v>
      </c>
      <c r="AC56" s="19">
        <v>103189.89800874211</v>
      </c>
      <c r="AD56" s="19">
        <v>103189.89800874211</v>
      </c>
      <c r="AE56" s="23"/>
      <c r="AF56" s="19">
        <v>2539176.6499673272</v>
      </c>
      <c r="AG56" s="19">
        <v>52020.884466062736</v>
      </c>
      <c r="AH56" s="19" t="e">
        <v>#DIV/0!</v>
      </c>
      <c r="AI56" s="19" t="e">
        <v>#DIV/0!</v>
      </c>
      <c r="AJ56" s="19" t="e">
        <v>#REF!</v>
      </c>
      <c r="AK56" s="26" t="e">
        <v>#DIV/0!</v>
      </c>
      <c r="AL56" s="24"/>
      <c r="AN56" s="13">
        <v>0</v>
      </c>
      <c r="AO56" s="13">
        <v>0</v>
      </c>
    </row>
    <row r="57" spans="1:41" s="15" customFormat="1">
      <c r="A57" s="166" t="s">
        <v>36</v>
      </c>
      <c r="B57" s="3" t="s">
        <v>32</v>
      </c>
      <c r="C57" s="26"/>
      <c r="D57" s="26"/>
      <c r="E57" s="27">
        <v>0</v>
      </c>
      <c r="F57" s="27">
        <v>98800</v>
      </c>
      <c r="G57" s="27">
        <v>-86943</v>
      </c>
      <c r="H57" s="27">
        <v>4215</v>
      </c>
      <c r="I57" s="26">
        <v>16072</v>
      </c>
      <c r="J57" s="27">
        <v>160231</v>
      </c>
      <c r="K57" s="27">
        <v>3145</v>
      </c>
      <c r="L57" s="27">
        <v>13492</v>
      </c>
      <c r="M57" s="27">
        <v>515</v>
      </c>
      <c r="N57" s="26">
        <v>177383</v>
      </c>
      <c r="O57" s="27">
        <v>69658</v>
      </c>
      <c r="P57" s="27">
        <v>10233</v>
      </c>
      <c r="Q57" s="27">
        <v>41847</v>
      </c>
      <c r="R57" s="27">
        <v>60042</v>
      </c>
      <c r="S57" s="27">
        <v>0</v>
      </c>
      <c r="T57" s="26">
        <v>181780</v>
      </c>
      <c r="U57" s="28">
        <v>545089</v>
      </c>
      <c r="V57" s="27">
        <v>5371</v>
      </c>
      <c r="W57" s="27">
        <v>0</v>
      </c>
      <c r="X57" s="27">
        <v>0</v>
      </c>
      <c r="Y57" s="27">
        <v>702</v>
      </c>
      <c r="Z57" s="26">
        <v>6073</v>
      </c>
      <c r="AA57" s="27">
        <v>0</v>
      </c>
      <c r="AB57" s="27">
        <v>0</v>
      </c>
      <c r="AC57" s="27">
        <v>0</v>
      </c>
      <c r="AD57" s="27">
        <v>0</v>
      </c>
      <c r="AE57" s="26">
        <v>0</v>
      </c>
      <c r="AF57" s="27">
        <v>0</v>
      </c>
      <c r="AG57" s="27">
        <v>0</v>
      </c>
      <c r="AH57" s="27">
        <v>0</v>
      </c>
      <c r="AI57" s="27">
        <v>0</v>
      </c>
      <c r="AJ57" s="27">
        <v>0</v>
      </c>
      <c r="AK57" s="26">
        <v>0</v>
      </c>
      <c r="AL57" s="28">
        <v>6073</v>
      </c>
      <c r="AM57" s="204">
        <v>16</v>
      </c>
      <c r="AN57" s="13">
        <v>8721424</v>
      </c>
      <c r="AO57" s="13">
        <v>97168</v>
      </c>
    </row>
    <row r="58" spans="1:41" s="15" customFormat="1">
      <c r="A58" s="167"/>
      <c r="B58" s="12" t="s">
        <v>6</v>
      </c>
      <c r="C58" s="26"/>
      <c r="D58" s="26"/>
      <c r="E58" s="27">
        <v>0</v>
      </c>
      <c r="F58" s="27">
        <v>98800</v>
      </c>
      <c r="G58" s="27">
        <v>0</v>
      </c>
      <c r="H58" s="27">
        <v>0</v>
      </c>
      <c r="I58" s="26">
        <v>98800</v>
      </c>
      <c r="J58" s="27">
        <v>0</v>
      </c>
      <c r="K58" s="27">
        <v>0</v>
      </c>
      <c r="L58" s="27">
        <v>0</v>
      </c>
      <c r="M58" s="27">
        <v>150000</v>
      </c>
      <c r="N58" s="26">
        <v>150000</v>
      </c>
      <c r="O58" s="27">
        <v>0</v>
      </c>
      <c r="P58" s="27">
        <v>0</v>
      </c>
      <c r="Q58" s="27">
        <v>0</v>
      </c>
      <c r="R58" s="27">
        <v>50000</v>
      </c>
      <c r="S58" s="27">
        <v>0</v>
      </c>
      <c r="T58" s="26">
        <v>50000</v>
      </c>
      <c r="U58" s="28"/>
      <c r="V58" s="27">
        <v>0</v>
      </c>
      <c r="W58" s="27">
        <v>0</v>
      </c>
      <c r="X58" s="27">
        <v>0</v>
      </c>
      <c r="Y58" s="27">
        <v>100000</v>
      </c>
      <c r="Z58" s="26">
        <v>100000</v>
      </c>
      <c r="AA58" s="27">
        <v>0</v>
      </c>
      <c r="AB58" s="27">
        <v>0</v>
      </c>
      <c r="AC58" s="27">
        <v>0</v>
      </c>
      <c r="AD58" s="27">
        <v>0</v>
      </c>
      <c r="AE58" s="26">
        <v>0</v>
      </c>
      <c r="AF58" s="27">
        <v>0</v>
      </c>
      <c r="AG58" s="27">
        <v>0</v>
      </c>
      <c r="AH58" s="27">
        <v>0</v>
      </c>
      <c r="AI58" s="27">
        <v>0</v>
      </c>
      <c r="AJ58" s="27">
        <v>0</v>
      </c>
      <c r="AK58" s="26">
        <v>0</v>
      </c>
      <c r="AL58" s="28"/>
      <c r="AM58" s="204"/>
      <c r="AN58" s="13">
        <v>0</v>
      </c>
      <c r="AO58" s="13">
        <v>0</v>
      </c>
    </row>
    <row r="59" spans="1:41" s="15" customFormat="1">
      <c r="A59" s="167"/>
      <c r="B59" s="12" t="s">
        <v>10</v>
      </c>
      <c r="C59" s="27">
        <v>0</v>
      </c>
      <c r="D59" s="26"/>
      <c r="E59" s="27"/>
      <c r="F59" s="27"/>
      <c r="G59" s="27">
        <v>0</v>
      </c>
      <c r="H59" s="27"/>
      <c r="I59" s="26">
        <v>0</v>
      </c>
      <c r="J59" s="27"/>
      <c r="K59" s="27"/>
      <c r="L59" s="27"/>
      <c r="M59" s="27"/>
      <c r="N59" s="26">
        <v>0</v>
      </c>
      <c r="O59" s="27"/>
      <c r="P59" s="27"/>
      <c r="Q59" s="27"/>
      <c r="R59" s="27"/>
      <c r="S59" s="27"/>
      <c r="T59" s="26">
        <v>0</v>
      </c>
      <c r="U59" s="28">
        <v>0</v>
      </c>
      <c r="V59" s="27"/>
      <c r="W59" s="27"/>
      <c r="X59" s="27"/>
      <c r="Y59" s="27"/>
      <c r="Z59" s="26">
        <v>0</v>
      </c>
      <c r="AA59" s="27"/>
      <c r="AB59" s="27"/>
      <c r="AC59" s="27"/>
      <c r="AD59" s="27"/>
      <c r="AE59" s="26">
        <v>0</v>
      </c>
      <c r="AF59" s="27"/>
      <c r="AG59" s="27"/>
      <c r="AH59" s="27"/>
      <c r="AI59" s="27"/>
      <c r="AJ59" s="27"/>
      <c r="AK59" s="26">
        <v>0</v>
      </c>
      <c r="AL59" s="28">
        <v>0</v>
      </c>
      <c r="AM59" s="204"/>
      <c r="AN59" s="13">
        <v>0</v>
      </c>
      <c r="AO59" s="13">
        <v>0</v>
      </c>
    </row>
    <row r="60" spans="1:41" s="15" customFormat="1">
      <c r="A60" s="167"/>
      <c r="B60" s="12" t="s">
        <v>7</v>
      </c>
      <c r="C60" s="26"/>
      <c r="D60" s="26"/>
      <c r="E60" s="27">
        <v>0</v>
      </c>
      <c r="F60" s="27">
        <v>98800</v>
      </c>
      <c r="G60" s="27">
        <v>0</v>
      </c>
      <c r="H60" s="27">
        <v>0</v>
      </c>
      <c r="I60" s="26">
        <v>98800</v>
      </c>
      <c r="J60" s="32">
        <v>0</v>
      </c>
      <c r="K60" s="27">
        <v>0</v>
      </c>
      <c r="L60" s="27">
        <v>0</v>
      </c>
      <c r="M60" s="27">
        <v>150000</v>
      </c>
      <c r="N60" s="26">
        <v>150000</v>
      </c>
      <c r="O60" s="27">
        <v>0</v>
      </c>
      <c r="P60" s="27">
        <v>0</v>
      </c>
      <c r="Q60" s="27">
        <v>0</v>
      </c>
      <c r="R60" s="27">
        <v>50000</v>
      </c>
      <c r="S60" s="27">
        <v>0</v>
      </c>
      <c r="T60" s="26">
        <v>50000</v>
      </c>
      <c r="U60" s="28">
        <v>468654</v>
      </c>
      <c r="V60" s="27">
        <v>0</v>
      </c>
      <c r="W60" s="27">
        <v>0</v>
      </c>
      <c r="X60" s="27">
        <v>0</v>
      </c>
      <c r="Y60" s="27">
        <v>100000</v>
      </c>
      <c r="Z60" s="26">
        <v>100000</v>
      </c>
      <c r="AA60" s="32">
        <v>0</v>
      </c>
      <c r="AB60" s="27">
        <v>0</v>
      </c>
      <c r="AC60" s="27">
        <v>0</v>
      </c>
      <c r="AD60" s="27">
        <v>0</v>
      </c>
      <c r="AE60" s="26">
        <v>0</v>
      </c>
      <c r="AF60" s="32">
        <v>0</v>
      </c>
      <c r="AG60" s="27">
        <v>0</v>
      </c>
      <c r="AH60" s="27">
        <v>0</v>
      </c>
      <c r="AI60" s="27">
        <v>0</v>
      </c>
      <c r="AJ60" s="27">
        <v>0</v>
      </c>
      <c r="AK60" s="26">
        <v>0</v>
      </c>
      <c r="AL60" s="28">
        <v>23565</v>
      </c>
      <c r="AM60" s="204"/>
      <c r="AN60" s="13">
        <v>0</v>
      </c>
      <c r="AO60" s="13">
        <v>0</v>
      </c>
    </row>
    <row r="61" spans="1:41" s="15" customFormat="1" ht="17" thickBot="1">
      <c r="A61" s="168"/>
      <c r="B61" s="4" t="s">
        <v>8</v>
      </c>
      <c r="C61" s="26">
        <v>167995</v>
      </c>
      <c r="D61" s="37">
        <v>169854</v>
      </c>
      <c r="E61" s="21">
        <v>0</v>
      </c>
      <c r="F61" s="21">
        <v>0</v>
      </c>
      <c r="G61" s="21">
        <v>86943</v>
      </c>
      <c r="H61" s="21">
        <v>82728</v>
      </c>
      <c r="I61" s="20">
        <v>82728</v>
      </c>
      <c r="J61" s="21">
        <v>-77503</v>
      </c>
      <c r="K61" s="21">
        <v>-80648</v>
      </c>
      <c r="L61" s="21">
        <v>-94140</v>
      </c>
      <c r="M61" s="21">
        <v>55345</v>
      </c>
      <c r="N61" s="20">
        <v>55345</v>
      </c>
      <c r="O61" s="21">
        <v>-14313</v>
      </c>
      <c r="P61" s="21">
        <v>-24546</v>
      </c>
      <c r="Q61" s="21">
        <v>-66393</v>
      </c>
      <c r="R61" s="21">
        <v>-76435</v>
      </c>
      <c r="S61" s="21">
        <v>-76435</v>
      </c>
      <c r="T61" s="20">
        <v>-76435</v>
      </c>
      <c r="U61" s="22">
        <v>-76435</v>
      </c>
      <c r="V61" s="21">
        <v>-81806</v>
      </c>
      <c r="W61" s="21">
        <v>-81806</v>
      </c>
      <c r="X61" s="21">
        <v>-81806</v>
      </c>
      <c r="Y61" s="21">
        <v>17492</v>
      </c>
      <c r="Z61" s="20">
        <v>17492</v>
      </c>
      <c r="AA61" s="21">
        <v>17492</v>
      </c>
      <c r="AB61" s="21">
        <v>17492</v>
      </c>
      <c r="AC61" s="21">
        <v>17492</v>
      </c>
      <c r="AD61" s="21">
        <v>17492</v>
      </c>
      <c r="AE61" s="20">
        <v>17492</v>
      </c>
      <c r="AF61" s="21">
        <v>17492</v>
      </c>
      <c r="AG61" s="21">
        <v>17492</v>
      </c>
      <c r="AH61" s="21">
        <v>17492</v>
      </c>
      <c r="AI61" s="21">
        <v>17492</v>
      </c>
      <c r="AJ61" s="21">
        <v>17492</v>
      </c>
      <c r="AK61" s="20">
        <v>17492</v>
      </c>
      <c r="AL61" s="22">
        <v>17492</v>
      </c>
      <c r="AM61" s="204"/>
      <c r="AN61" s="13">
        <v>0</v>
      </c>
      <c r="AO61" s="13">
        <v>0</v>
      </c>
    </row>
    <row r="62" spans="1:41" s="15" customFormat="1" ht="17" thickBot="1">
      <c r="A62" s="46"/>
      <c r="B62" s="12" t="s">
        <v>9</v>
      </c>
      <c r="C62" s="26"/>
      <c r="D62" s="26"/>
      <c r="E62" s="19">
        <v>0</v>
      </c>
      <c r="F62" s="19">
        <v>0</v>
      </c>
      <c r="G62" s="19">
        <v>0</v>
      </c>
      <c r="H62" s="19">
        <v>0</v>
      </c>
      <c r="I62" s="23"/>
      <c r="J62" s="19">
        <v>0</v>
      </c>
      <c r="K62" s="19">
        <v>0</v>
      </c>
      <c r="L62" s="19">
        <v>0</v>
      </c>
      <c r="M62" s="19">
        <v>0</v>
      </c>
      <c r="N62" s="23"/>
      <c r="O62" s="19">
        <v>113172.03276814632</v>
      </c>
      <c r="P62" s="19">
        <v>884.84440157944198</v>
      </c>
      <c r="Q62" s="19" t="e">
        <v>#DIV/0!</v>
      </c>
      <c r="R62" s="19" t="e">
        <v>#DIV/0!</v>
      </c>
      <c r="S62" s="19" t="e">
        <v>#REF!</v>
      </c>
      <c r="T62" s="23"/>
      <c r="U62" s="24"/>
      <c r="V62" s="19">
        <v>21090.588595953403</v>
      </c>
      <c r="W62" s="19">
        <v>21102.474045762101</v>
      </c>
      <c r="X62" s="19">
        <v>21420.821407175667</v>
      </c>
      <c r="Y62" s="19">
        <v>21420.821407175667</v>
      </c>
      <c r="Z62" s="23"/>
      <c r="AA62" s="19">
        <v>212.05987572961777</v>
      </c>
      <c r="AB62" s="19">
        <v>212.05987572961777</v>
      </c>
      <c r="AC62" s="19">
        <v>-2656.2289471556765</v>
      </c>
      <c r="AD62" s="19">
        <v>-2656.2289471556765</v>
      </c>
      <c r="AE62" s="23"/>
      <c r="AF62" s="19" t="e">
        <v>#DIV/0!</v>
      </c>
      <c r="AG62" s="19">
        <v>-1487.5086461440058</v>
      </c>
      <c r="AH62" s="19" t="e">
        <v>#DIV/0!</v>
      </c>
      <c r="AI62" s="19" t="e">
        <v>#DIV/0!</v>
      </c>
      <c r="AJ62" s="19" t="e">
        <v>#REF!</v>
      </c>
      <c r="AK62" s="26" t="e">
        <v>#DIV/0!</v>
      </c>
      <c r="AL62" s="24"/>
      <c r="AN62" s="13">
        <v>0</v>
      </c>
      <c r="AO62" s="13">
        <v>0</v>
      </c>
    </row>
    <row r="63" spans="1:41" s="15" customFormat="1">
      <c r="A63" s="166" t="s">
        <v>20</v>
      </c>
      <c r="B63" s="3" t="s">
        <v>5</v>
      </c>
      <c r="C63" s="26"/>
      <c r="D63" s="26"/>
      <c r="E63" s="27">
        <v>0</v>
      </c>
      <c r="F63" s="27">
        <v>0</v>
      </c>
      <c r="G63" s="27">
        <v>-2951</v>
      </c>
      <c r="H63" s="27">
        <v>0</v>
      </c>
      <c r="I63" s="26">
        <v>-2951</v>
      </c>
      <c r="J63" s="27">
        <v>0</v>
      </c>
      <c r="K63" s="27">
        <v>0</v>
      </c>
      <c r="L63" s="27">
        <v>0</v>
      </c>
      <c r="M63" s="27">
        <v>0</v>
      </c>
      <c r="N63" s="26">
        <v>0</v>
      </c>
      <c r="O63" s="27">
        <v>0</v>
      </c>
      <c r="P63" s="27">
        <v>0</v>
      </c>
      <c r="Q63" s="27">
        <v>0</v>
      </c>
      <c r="R63" s="27">
        <v>0</v>
      </c>
      <c r="S63" s="27">
        <v>0</v>
      </c>
      <c r="T63" s="26">
        <v>0</v>
      </c>
      <c r="U63" s="28">
        <v>-2358</v>
      </c>
      <c r="V63" s="27">
        <v>0</v>
      </c>
      <c r="W63" s="27">
        <v>0</v>
      </c>
      <c r="X63" s="27">
        <v>0</v>
      </c>
      <c r="Y63" s="27">
        <v>0</v>
      </c>
      <c r="Z63" s="26">
        <v>0</v>
      </c>
      <c r="AA63" s="27">
        <v>0</v>
      </c>
      <c r="AB63" s="27">
        <v>0</v>
      </c>
      <c r="AC63" s="27">
        <v>0</v>
      </c>
      <c r="AD63" s="27">
        <v>0</v>
      </c>
      <c r="AE63" s="26">
        <v>0</v>
      </c>
      <c r="AF63" s="27">
        <v>0</v>
      </c>
      <c r="AG63" s="27">
        <v>0</v>
      </c>
      <c r="AH63" s="27">
        <v>0</v>
      </c>
      <c r="AI63" s="27">
        <v>0</v>
      </c>
      <c r="AJ63" s="27">
        <v>0</v>
      </c>
      <c r="AK63" s="26">
        <v>0</v>
      </c>
      <c r="AL63" s="28">
        <v>0</v>
      </c>
      <c r="AM63" s="204">
        <v>32</v>
      </c>
      <c r="AN63" s="13">
        <v>-75456</v>
      </c>
      <c r="AO63" s="13">
        <v>0</v>
      </c>
    </row>
    <row r="64" spans="1:41" s="15" customFormat="1">
      <c r="A64" s="167"/>
      <c r="B64" s="12" t="s">
        <v>6</v>
      </c>
      <c r="C64" s="26"/>
      <c r="D64" s="26"/>
      <c r="E64" s="27">
        <v>0</v>
      </c>
      <c r="F64" s="27">
        <v>0</v>
      </c>
      <c r="G64" s="27">
        <v>0</v>
      </c>
      <c r="H64" s="27">
        <v>0</v>
      </c>
      <c r="I64" s="26">
        <v>0</v>
      </c>
      <c r="J64" s="27">
        <v>0</v>
      </c>
      <c r="K64" s="27">
        <v>0</v>
      </c>
      <c r="L64" s="27">
        <v>0</v>
      </c>
      <c r="M64" s="27">
        <v>0</v>
      </c>
      <c r="N64" s="26">
        <v>0</v>
      </c>
      <c r="O64" s="27">
        <v>0</v>
      </c>
      <c r="P64" s="27">
        <v>0</v>
      </c>
      <c r="Q64" s="27">
        <v>0</v>
      </c>
      <c r="R64" s="27">
        <v>0</v>
      </c>
      <c r="S64" s="27">
        <v>0</v>
      </c>
      <c r="T64" s="26">
        <v>0</v>
      </c>
      <c r="U64" s="28"/>
      <c r="V64" s="27">
        <v>0</v>
      </c>
      <c r="W64" s="27">
        <v>0</v>
      </c>
      <c r="X64" s="27">
        <v>0</v>
      </c>
      <c r="Y64" s="27">
        <v>0</v>
      </c>
      <c r="Z64" s="26">
        <v>0</v>
      </c>
      <c r="AA64" s="27">
        <v>0</v>
      </c>
      <c r="AB64" s="27">
        <v>0</v>
      </c>
      <c r="AC64" s="27">
        <v>0</v>
      </c>
      <c r="AD64" s="27">
        <v>0</v>
      </c>
      <c r="AE64" s="26">
        <v>0</v>
      </c>
      <c r="AF64" s="27">
        <v>0</v>
      </c>
      <c r="AG64" s="27">
        <v>0</v>
      </c>
      <c r="AH64" s="27">
        <v>0</v>
      </c>
      <c r="AI64" s="27">
        <v>0</v>
      </c>
      <c r="AJ64" s="27">
        <v>0</v>
      </c>
      <c r="AK64" s="26">
        <v>0</v>
      </c>
      <c r="AL64" s="28"/>
      <c r="AM64" s="204"/>
      <c r="AN64" s="13">
        <v>0</v>
      </c>
      <c r="AO64" s="13">
        <v>0</v>
      </c>
    </row>
    <row r="65" spans="1:41" s="15" customFormat="1">
      <c r="A65" s="167"/>
      <c r="B65" s="12" t="s">
        <v>10</v>
      </c>
      <c r="C65" s="27">
        <v>0</v>
      </c>
      <c r="D65" s="26"/>
      <c r="E65" s="27"/>
      <c r="F65" s="27"/>
      <c r="G65" s="27">
        <v>0</v>
      </c>
      <c r="H65" s="27"/>
      <c r="I65" s="26">
        <v>0</v>
      </c>
      <c r="J65" s="27"/>
      <c r="K65" s="27"/>
      <c r="L65" s="27"/>
      <c r="M65" s="27"/>
      <c r="N65" s="26">
        <v>0</v>
      </c>
      <c r="O65" s="27"/>
      <c r="P65" s="27"/>
      <c r="Q65" s="27"/>
      <c r="R65" s="27"/>
      <c r="S65" s="27"/>
      <c r="T65" s="26">
        <v>0</v>
      </c>
      <c r="U65" s="28">
        <v>0</v>
      </c>
      <c r="V65" s="27"/>
      <c r="W65" s="27"/>
      <c r="X65" s="27"/>
      <c r="Y65" s="27"/>
      <c r="Z65" s="26">
        <v>0</v>
      </c>
      <c r="AA65" s="27"/>
      <c r="AB65" s="27"/>
      <c r="AC65" s="27"/>
      <c r="AD65" s="27"/>
      <c r="AE65" s="26">
        <v>0</v>
      </c>
      <c r="AF65" s="27"/>
      <c r="AG65" s="27"/>
      <c r="AH65" s="27"/>
      <c r="AI65" s="27"/>
      <c r="AJ65" s="27"/>
      <c r="AK65" s="26">
        <v>0</v>
      </c>
      <c r="AL65" s="28">
        <v>0</v>
      </c>
      <c r="AM65" s="204"/>
      <c r="AN65" s="13">
        <v>0</v>
      </c>
      <c r="AO65" s="13">
        <v>0</v>
      </c>
    </row>
    <row r="66" spans="1:41" s="15" customFormat="1">
      <c r="A66" s="167"/>
      <c r="B66" s="12" t="s">
        <v>7</v>
      </c>
      <c r="C66" s="26"/>
      <c r="D66" s="26"/>
      <c r="E66" s="27">
        <v>0</v>
      </c>
      <c r="F66" s="27">
        <v>0</v>
      </c>
      <c r="G66" s="27">
        <v>0</v>
      </c>
      <c r="H66" s="27">
        <v>0</v>
      </c>
      <c r="I66" s="26">
        <v>0</v>
      </c>
      <c r="J66" s="32">
        <v>0</v>
      </c>
      <c r="K66" s="27">
        <v>0</v>
      </c>
      <c r="L66" s="27">
        <v>0</v>
      </c>
      <c r="M66" s="27">
        <v>0</v>
      </c>
      <c r="N66" s="26">
        <v>0</v>
      </c>
      <c r="O66" s="27">
        <v>0</v>
      </c>
      <c r="P66" s="27">
        <v>0</v>
      </c>
      <c r="Q66" s="27">
        <v>0</v>
      </c>
      <c r="R66" s="27">
        <v>0</v>
      </c>
      <c r="S66" s="27">
        <v>0</v>
      </c>
      <c r="T66" s="26">
        <v>0</v>
      </c>
      <c r="U66" s="28">
        <v>593</v>
      </c>
      <c r="V66" s="27">
        <v>0</v>
      </c>
      <c r="W66" s="27">
        <v>0</v>
      </c>
      <c r="X66" s="27">
        <v>0</v>
      </c>
      <c r="Y66" s="27">
        <v>0</v>
      </c>
      <c r="Z66" s="26">
        <v>0</v>
      </c>
      <c r="AA66" s="32">
        <v>0</v>
      </c>
      <c r="AB66" s="27">
        <v>0</v>
      </c>
      <c r="AC66" s="27">
        <v>0</v>
      </c>
      <c r="AD66" s="27">
        <v>0</v>
      </c>
      <c r="AE66" s="26">
        <v>0</v>
      </c>
      <c r="AF66" s="32">
        <v>0</v>
      </c>
      <c r="AG66" s="27">
        <v>0</v>
      </c>
      <c r="AH66" s="27">
        <v>0</v>
      </c>
      <c r="AI66" s="27">
        <v>0</v>
      </c>
      <c r="AJ66" s="27">
        <v>0</v>
      </c>
      <c r="AK66" s="26">
        <v>0</v>
      </c>
      <c r="AL66" s="28">
        <v>2951</v>
      </c>
      <c r="AM66" s="204"/>
      <c r="AN66" s="13">
        <v>0</v>
      </c>
      <c r="AO66" s="13">
        <v>0</v>
      </c>
    </row>
    <row r="67" spans="1:41" s="15" customFormat="1" ht="17" thickBot="1">
      <c r="A67" s="168"/>
      <c r="B67" s="4" t="s">
        <v>8</v>
      </c>
      <c r="C67" s="26">
        <v>2985</v>
      </c>
      <c r="D67" s="37">
        <v>593</v>
      </c>
      <c r="E67" s="21">
        <v>0</v>
      </c>
      <c r="F67" s="21">
        <v>0</v>
      </c>
      <c r="G67" s="21">
        <v>2951</v>
      </c>
      <c r="H67" s="21">
        <v>2951</v>
      </c>
      <c r="I67" s="20">
        <v>2951</v>
      </c>
      <c r="J67" s="21">
        <v>2951</v>
      </c>
      <c r="K67" s="21">
        <v>2951</v>
      </c>
      <c r="L67" s="21">
        <v>2951</v>
      </c>
      <c r="M67" s="21">
        <v>2951</v>
      </c>
      <c r="N67" s="20">
        <v>2951</v>
      </c>
      <c r="O67" s="21">
        <v>2951</v>
      </c>
      <c r="P67" s="21">
        <v>2951</v>
      </c>
      <c r="Q67" s="21">
        <v>2951</v>
      </c>
      <c r="R67" s="21">
        <v>2951</v>
      </c>
      <c r="S67" s="21">
        <v>2951</v>
      </c>
      <c r="T67" s="20">
        <v>2951</v>
      </c>
      <c r="U67" s="22">
        <v>2951</v>
      </c>
      <c r="V67" s="21">
        <v>2951</v>
      </c>
      <c r="W67" s="21">
        <v>2951</v>
      </c>
      <c r="X67" s="21">
        <v>2951</v>
      </c>
      <c r="Y67" s="21">
        <v>2951</v>
      </c>
      <c r="Z67" s="20">
        <v>2951</v>
      </c>
      <c r="AA67" s="21">
        <v>2951</v>
      </c>
      <c r="AB67" s="21">
        <v>2951</v>
      </c>
      <c r="AC67" s="21">
        <v>2951</v>
      </c>
      <c r="AD67" s="21">
        <v>2951</v>
      </c>
      <c r="AE67" s="20">
        <v>2951</v>
      </c>
      <c r="AF67" s="21">
        <v>2951</v>
      </c>
      <c r="AG67" s="21">
        <v>2951</v>
      </c>
      <c r="AH67" s="21">
        <v>2951</v>
      </c>
      <c r="AI67" s="21">
        <v>2951</v>
      </c>
      <c r="AJ67" s="21">
        <v>2951</v>
      </c>
      <c r="AK67" s="20">
        <v>2951</v>
      </c>
      <c r="AL67" s="22">
        <v>2951</v>
      </c>
      <c r="AM67" s="204"/>
      <c r="AN67" s="13">
        <v>0</v>
      </c>
      <c r="AO67" s="13">
        <v>0</v>
      </c>
    </row>
    <row r="68" spans="1:41" s="15" customFormat="1" ht="17" thickBot="1">
      <c r="A68" s="46"/>
      <c r="B68" s="12" t="s">
        <v>9</v>
      </c>
      <c r="C68" s="26"/>
      <c r="D68" s="26"/>
      <c r="E68" s="19" t="e">
        <v>#DIV/0!</v>
      </c>
      <c r="F68" s="19" t="e">
        <v>#DIV/0!</v>
      </c>
      <c r="G68" s="19" t="e">
        <v>#DIV/0!</v>
      </c>
      <c r="H68" s="19" t="e">
        <v>#DIV/0!</v>
      </c>
      <c r="I68" s="23"/>
      <c r="J68" s="19" t="e">
        <v>#DIV/0!</v>
      </c>
      <c r="K68" s="19" t="e">
        <v>#DIV/0!</v>
      </c>
      <c r="L68" s="19" t="e">
        <v>#DIV/0!</v>
      </c>
      <c r="M68" s="19" t="e">
        <v>#DIV/0!</v>
      </c>
      <c r="N68" s="23"/>
      <c r="O68" s="19" t="e">
        <v>#DIV/0!</v>
      </c>
      <c r="P68" s="19">
        <v>0</v>
      </c>
      <c r="Q68" s="19" t="e">
        <v>#DIV/0!</v>
      </c>
      <c r="R68" s="19" t="e">
        <v>#DIV/0!</v>
      </c>
      <c r="S68" s="19" t="e">
        <v>#REF!</v>
      </c>
      <c r="T68" s="23"/>
      <c r="U68" s="24"/>
      <c r="V68" s="19" t="e">
        <v>#DIV/0!</v>
      </c>
      <c r="W68" s="19" t="e">
        <v>#DIV/0!</v>
      </c>
      <c r="X68" s="19" t="e">
        <v>#DIV/0!</v>
      </c>
      <c r="Y68" s="19" t="e">
        <v>#DIV/0!</v>
      </c>
      <c r="Z68" s="23"/>
      <c r="AA68" s="19" t="e">
        <v>#DIV/0!</v>
      </c>
      <c r="AB68" s="19" t="e">
        <v>#DIV/0!</v>
      </c>
      <c r="AC68" s="19" t="e">
        <v>#DIV/0!</v>
      </c>
      <c r="AD68" s="19" t="e">
        <v>#DIV/0!</v>
      </c>
      <c r="AE68" s="23"/>
      <c r="AF68" s="19" t="e">
        <v>#DIV/0!</v>
      </c>
      <c r="AG68" s="19" t="e">
        <v>#DIV/0!</v>
      </c>
      <c r="AH68" s="19" t="e">
        <v>#DIV/0!</v>
      </c>
      <c r="AI68" s="19" t="e">
        <v>#DIV/0!</v>
      </c>
      <c r="AJ68" s="19" t="e">
        <v>#REF!</v>
      </c>
      <c r="AK68" s="26" t="e">
        <v>#DIV/0!</v>
      </c>
      <c r="AL68" s="24"/>
      <c r="AN68" s="13">
        <v>0</v>
      </c>
      <c r="AO68" s="13">
        <v>0</v>
      </c>
    </row>
    <row r="69" spans="1:41" s="15" customFormat="1">
      <c r="A69" s="166" t="s">
        <v>37</v>
      </c>
      <c r="B69" s="3" t="s">
        <v>32</v>
      </c>
      <c r="C69" s="26"/>
      <c r="D69" s="26"/>
      <c r="E69" s="27">
        <v>0</v>
      </c>
      <c r="F69" s="27">
        <v>1805</v>
      </c>
      <c r="G69" s="27">
        <v>-8342</v>
      </c>
      <c r="H69" s="27">
        <v>1910</v>
      </c>
      <c r="I69" s="26">
        <v>-4627</v>
      </c>
      <c r="J69" s="27">
        <v>12606</v>
      </c>
      <c r="K69" s="27">
        <v>7686</v>
      </c>
      <c r="L69" s="27">
        <v>1696</v>
      </c>
      <c r="M69" s="27">
        <v>800</v>
      </c>
      <c r="N69" s="26">
        <v>22788</v>
      </c>
      <c r="O69" s="27">
        <v>31243</v>
      </c>
      <c r="P69" s="27">
        <v>21</v>
      </c>
      <c r="Q69" s="27">
        <v>7172</v>
      </c>
      <c r="R69" s="27">
        <v>1333</v>
      </c>
      <c r="S69" s="27">
        <v>0</v>
      </c>
      <c r="T69" s="26">
        <v>39769</v>
      </c>
      <c r="U69" s="28">
        <v>81992</v>
      </c>
      <c r="V69" s="27">
        <v>4444</v>
      </c>
      <c r="W69" s="27">
        <v>0</v>
      </c>
      <c r="X69" s="27">
        <v>0</v>
      </c>
      <c r="Y69" s="27">
        <v>0</v>
      </c>
      <c r="Z69" s="26">
        <v>4444</v>
      </c>
      <c r="AA69" s="27">
        <v>0</v>
      </c>
      <c r="AB69" s="27">
        <v>0</v>
      </c>
      <c r="AC69" s="27">
        <v>0</v>
      </c>
      <c r="AD69" s="27">
        <v>0</v>
      </c>
      <c r="AE69" s="26">
        <v>0</v>
      </c>
      <c r="AF69" s="27">
        <v>0</v>
      </c>
      <c r="AG69" s="27">
        <v>0</v>
      </c>
      <c r="AH69" s="27">
        <v>0</v>
      </c>
      <c r="AI69" s="27">
        <v>0</v>
      </c>
      <c r="AJ69" s="27">
        <v>0</v>
      </c>
      <c r="AK69" s="26">
        <v>0</v>
      </c>
      <c r="AL69" s="28">
        <v>4444</v>
      </c>
      <c r="AM69" s="204">
        <v>32</v>
      </c>
      <c r="AN69" s="13">
        <v>2623744</v>
      </c>
      <c r="AO69" s="13">
        <v>142208</v>
      </c>
    </row>
    <row r="70" spans="1:41" s="15" customFormat="1">
      <c r="A70" s="167"/>
      <c r="B70" s="12" t="s">
        <v>6</v>
      </c>
      <c r="C70" s="26"/>
      <c r="D70" s="26"/>
      <c r="E70" s="27">
        <v>0</v>
      </c>
      <c r="F70" s="27">
        <v>1805</v>
      </c>
      <c r="G70" s="27">
        <v>0</v>
      </c>
      <c r="H70" s="27">
        <v>0</v>
      </c>
      <c r="I70" s="26">
        <v>1805</v>
      </c>
      <c r="J70" s="27">
        <v>0</v>
      </c>
      <c r="K70" s="27">
        <v>0</v>
      </c>
      <c r="L70" s="27">
        <v>10000</v>
      </c>
      <c r="M70" s="27">
        <v>10000</v>
      </c>
      <c r="N70" s="26">
        <v>20000</v>
      </c>
      <c r="O70" s="27">
        <v>0</v>
      </c>
      <c r="P70" s="27">
        <v>0</v>
      </c>
      <c r="Q70" s="27">
        <v>40000</v>
      </c>
      <c r="R70" s="27">
        <v>0</v>
      </c>
      <c r="S70" s="27">
        <v>0</v>
      </c>
      <c r="T70" s="26">
        <v>40000</v>
      </c>
      <c r="U70" s="28"/>
      <c r="V70" s="27">
        <v>0</v>
      </c>
      <c r="W70" s="27">
        <v>0</v>
      </c>
      <c r="X70" s="27">
        <v>0</v>
      </c>
      <c r="Y70" s="27">
        <v>0</v>
      </c>
      <c r="Z70" s="26">
        <v>0</v>
      </c>
      <c r="AA70" s="27">
        <v>0</v>
      </c>
      <c r="AB70" s="27">
        <v>0</v>
      </c>
      <c r="AC70" s="27">
        <v>0</v>
      </c>
      <c r="AD70" s="27">
        <v>0</v>
      </c>
      <c r="AE70" s="26">
        <v>0</v>
      </c>
      <c r="AF70" s="27">
        <v>0</v>
      </c>
      <c r="AG70" s="27">
        <v>0</v>
      </c>
      <c r="AH70" s="27">
        <v>0</v>
      </c>
      <c r="AI70" s="27">
        <v>0</v>
      </c>
      <c r="AJ70" s="27">
        <v>0</v>
      </c>
      <c r="AK70" s="26">
        <v>0</v>
      </c>
      <c r="AL70" s="28"/>
      <c r="AM70" s="204"/>
      <c r="AN70" s="13">
        <v>0</v>
      </c>
      <c r="AO70" s="13">
        <v>0</v>
      </c>
    </row>
    <row r="71" spans="1:41" s="15" customFormat="1">
      <c r="A71" s="167"/>
      <c r="B71" s="12" t="s">
        <v>10</v>
      </c>
      <c r="C71" s="27">
        <v>0</v>
      </c>
      <c r="D71" s="26"/>
      <c r="E71" s="27"/>
      <c r="F71" s="27"/>
      <c r="G71" s="27">
        <v>0</v>
      </c>
      <c r="H71" s="27"/>
      <c r="I71" s="26">
        <v>0</v>
      </c>
      <c r="J71" s="27"/>
      <c r="K71" s="27"/>
      <c r="L71" s="27"/>
      <c r="M71" s="27"/>
      <c r="N71" s="26">
        <v>0</v>
      </c>
      <c r="O71" s="27"/>
      <c r="P71" s="27"/>
      <c r="Q71" s="27"/>
      <c r="R71" s="27"/>
      <c r="S71" s="27"/>
      <c r="T71" s="26">
        <v>0</v>
      </c>
      <c r="U71" s="28">
        <v>0</v>
      </c>
      <c r="V71" s="27"/>
      <c r="W71" s="27"/>
      <c r="X71" s="27"/>
      <c r="Y71" s="27"/>
      <c r="Z71" s="26">
        <v>0</v>
      </c>
      <c r="AA71" s="27"/>
      <c r="AB71" s="27"/>
      <c r="AC71" s="27"/>
      <c r="AD71" s="27"/>
      <c r="AE71" s="26">
        <v>0</v>
      </c>
      <c r="AF71" s="27"/>
      <c r="AG71" s="27"/>
      <c r="AH71" s="27"/>
      <c r="AI71" s="27"/>
      <c r="AJ71" s="27"/>
      <c r="AK71" s="26">
        <v>0</v>
      </c>
      <c r="AL71" s="28">
        <v>0</v>
      </c>
      <c r="AM71" s="204"/>
      <c r="AN71" s="13">
        <v>0</v>
      </c>
      <c r="AO71" s="13">
        <v>0</v>
      </c>
    </row>
    <row r="72" spans="1:41" s="15" customFormat="1">
      <c r="A72" s="167"/>
      <c r="B72" s="12" t="s">
        <v>7</v>
      </c>
      <c r="C72" s="26"/>
      <c r="D72" s="26"/>
      <c r="E72" s="27">
        <v>0</v>
      </c>
      <c r="F72" s="27">
        <v>1805</v>
      </c>
      <c r="G72" s="27">
        <v>0</v>
      </c>
      <c r="H72" s="27">
        <v>0</v>
      </c>
      <c r="I72" s="26">
        <v>1805</v>
      </c>
      <c r="J72" s="32">
        <v>0</v>
      </c>
      <c r="K72" s="27">
        <v>0</v>
      </c>
      <c r="L72" s="27">
        <v>10000</v>
      </c>
      <c r="M72" s="27">
        <v>10000</v>
      </c>
      <c r="N72" s="26">
        <v>20000</v>
      </c>
      <c r="O72" s="27">
        <v>0</v>
      </c>
      <c r="P72" s="27">
        <v>0</v>
      </c>
      <c r="Q72" s="27">
        <v>40000</v>
      </c>
      <c r="R72" s="27">
        <v>0</v>
      </c>
      <c r="S72" s="27">
        <v>0</v>
      </c>
      <c r="T72" s="26">
        <v>40000</v>
      </c>
      <c r="U72" s="28">
        <v>85867</v>
      </c>
      <c r="V72" s="27">
        <v>0</v>
      </c>
      <c r="W72" s="27">
        <v>0</v>
      </c>
      <c r="X72" s="27">
        <v>0</v>
      </c>
      <c r="Y72" s="27">
        <v>0</v>
      </c>
      <c r="Z72" s="26">
        <v>0</v>
      </c>
      <c r="AA72" s="32">
        <v>0</v>
      </c>
      <c r="AB72" s="27">
        <v>0</v>
      </c>
      <c r="AC72" s="27">
        <v>0</v>
      </c>
      <c r="AD72" s="27">
        <v>0</v>
      </c>
      <c r="AE72" s="26">
        <v>0</v>
      </c>
      <c r="AF72" s="32">
        <v>0</v>
      </c>
      <c r="AG72" s="27">
        <v>0</v>
      </c>
      <c r="AH72" s="27">
        <v>0</v>
      </c>
      <c r="AI72" s="27">
        <v>0</v>
      </c>
      <c r="AJ72" s="27">
        <v>0</v>
      </c>
      <c r="AK72" s="26">
        <v>0</v>
      </c>
      <c r="AL72" s="28">
        <v>3875</v>
      </c>
      <c r="AM72" s="204"/>
      <c r="AN72" s="13">
        <v>0</v>
      </c>
      <c r="AO72" s="13">
        <v>0</v>
      </c>
    </row>
    <row r="73" spans="1:41" s="15" customFormat="1" ht="17" thickBot="1">
      <c r="A73" s="168"/>
      <c r="B73" s="4" t="s">
        <v>8</v>
      </c>
      <c r="C73" s="26">
        <v>24474</v>
      </c>
      <c r="D73" s="37">
        <v>24062</v>
      </c>
      <c r="E73" s="21">
        <v>0</v>
      </c>
      <c r="F73" s="21">
        <v>0</v>
      </c>
      <c r="G73" s="21">
        <v>8342</v>
      </c>
      <c r="H73" s="21">
        <v>6432</v>
      </c>
      <c r="I73" s="20">
        <v>6432</v>
      </c>
      <c r="J73" s="21">
        <v>-6174</v>
      </c>
      <c r="K73" s="21">
        <v>-13860</v>
      </c>
      <c r="L73" s="21">
        <v>-5556</v>
      </c>
      <c r="M73" s="21">
        <v>3644</v>
      </c>
      <c r="N73" s="20">
        <v>3644</v>
      </c>
      <c r="O73" s="21">
        <v>-27599</v>
      </c>
      <c r="P73" s="21">
        <v>-27620</v>
      </c>
      <c r="Q73" s="21">
        <v>5208</v>
      </c>
      <c r="R73" s="21">
        <v>3875</v>
      </c>
      <c r="S73" s="21">
        <v>3875</v>
      </c>
      <c r="T73" s="20">
        <v>3875</v>
      </c>
      <c r="U73" s="22">
        <v>3875</v>
      </c>
      <c r="V73" s="21">
        <v>-569</v>
      </c>
      <c r="W73" s="21">
        <v>-569</v>
      </c>
      <c r="X73" s="21">
        <v>-569</v>
      </c>
      <c r="Y73" s="21">
        <v>-569</v>
      </c>
      <c r="Z73" s="20">
        <v>-569</v>
      </c>
      <c r="AA73" s="21">
        <v>-569</v>
      </c>
      <c r="AB73" s="21">
        <v>-569</v>
      </c>
      <c r="AC73" s="21">
        <v>-569</v>
      </c>
      <c r="AD73" s="21">
        <v>-569</v>
      </c>
      <c r="AE73" s="20">
        <v>-569</v>
      </c>
      <c r="AF73" s="21">
        <v>-569</v>
      </c>
      <c r="AG73" s="21">
        <v>-569</v>
      </c>
      <c r="AH73" s="21">
        <v>-569</v>
      </c>
      <c r="AI73" s="21">
        <v>-569</v>
      </c>
      <c r="AJ73" s="21">
        <v>-569</v>
      </c>
      <c r="AK73" s="20">
        <v>-569</v>
      </c>
      <c r="AL73" s="22">
        <v>-569</v>
      </c>
      <c r="AM73" s="204"/>
      <c r="AN73" s="13">
        <v>0</v>
      </c>
      <c r="AO73" s="13">
        <v>0</v>
      </c>
    </row>
    <row r="74" spans="1:41" s="15" customFormat="1" ht="17" thickBot="1">
      <c r="A74" s="46"/>
      <c r="B74" s="12" t="s">
        <v>9</v>
      </c>
      <c r="C74" s="26"/>
      <c r="D74" s="26"/>
      <c r="E74" s="19">
        <v>0</v>
      </c>
      <c r="F74" s="19">
        <v>0</v>
      </c>
      <c r="G74" s="19">
        <v>0</v>
      </c>
      <c r="H74" s="19">
        <v>0</v>
      </c>
      <c r="I74" s="23"/>
      <c r="J74" s="19">
        <v>0</v>
      </c>
      <c r="K74" s="19">
        <v>0</v>
      </c>
      <c r="L74" s="19">
        <v>0</v>
      </c>
      <c r="M74" s="19">
        <v>0</v>
      </c>
      <c r="N74" s="23"/>
      <c r="O74" s="19">
        <v>-14374.903415237211</v>
      </c>
      <c r="P74" s="19">
        <v>-1282.0841706215174</v>
      </c>
      <c r="Q74" s="19" t="e">
        <v>#DIV/0!</v>
      </c>
      <c r="R74" s="19" t="e">
        <v>#DIV/0!</v>
      </c>
      <c r="S74" s="19" t="e">
        <v>#REF!</v>
      </c>
      <c r="T74" s="23"/>
      <c r="U74" s="24"/>
      <c r="V74" s="19">
        <v>7679.5425239670349</v>
      </c>
      <c r="W74" s="19">
        <v>4906.5934065934071</v>
      </c>
      <c r="X74" s="19">
        <v>4709.1566935708324</v>
      </c>
      <c r="Y74" s="19">
        <v>4709.1566935708324</v>
      </c>
      <c r="Z74" s="23"/>
      <c r="AA74" s="19">
        <v>-9342.2795091374592</v>
      </c>
      <c r="AB74" s="19">
        <v>-9342.2795091374592</v>
      </c>
      <c r="AC74" s="19">
        <v>-13232.676732326769</v>
      </c>
      <c r="AD74" s="19">
        <v>-13232.676732326769</v>
      </c>
      <c r="AE74" s="23"/>
      <c r="AF74" s="19" t="e">
        <v>#DIV/0!</v>
      </c>
      <c r="AG74" s="19">
        <v>-5429.7788536495291</v>
      </c>
      <c r="AH74" s="19" t="e">
        <v>#DIV/0!</v>
      </c>
      <c r="AI74" s="19" t="e">
        <v>#DIV/0!</v>
      </c>
      <c r="AJ74" s="19" t="e">
        <v>#REF!</v>
      </c>
      <c r="AK74" s="26" t="e">
        <v>#DIV/0!</v>
      </c>
      <c r="AL74" s="24"/>
      <c r="AN74" s="13">
        <v>0</v>
      </c>
      <c r="AO74" s="13">
        <v>0</v>
      </c>
    </row>
    <row r="75" spans="1:41" s="15" customFormat="1">
      <c r="A75" s="166" t="s">
        <v>38</v>
      </c>
      <c r="B75" s="3" t="s">
        <v>5</v>
      </c>
      <c r="C75" s="26"/>
      <c r="D75" s="26"/>
      <c r="E75" s="27">
        <v>0</v>
      </c>
      <c r="F75" s="27">
        <v>0</v>
      </c>
      <c r="G75" s="27">
        <v>16</v>
      </c>
      <c r="H75" s="27">
        <v>0</v>
      </c>
      <c r="I75" s="26">
        <v>16</v>
      </c>
      <c r="J75" s="27">
        <v>0</v>
      </c>
      <c r="K75" s="27">
        <v>0</v>
      </c>
      <c r="L75" s="27">
        <v>0</v>
      </c>
      <c r="M75" s="27">
        <v>0</v>
      </c>
      <c r="N75" s="26">
        <v>0</v>
      </c>
      <c r="O75" s="27">
        <v>0</v>
      </c>
      <c r="P75" s="27">
        <v>0</v>
      </c>
      <c r="Q75" s="27">
        <v>0</v>
      </c>
      <c r="R75" s="27">
        <v>0</v>
      </c>
      <c r="S75" s="27">
        <v>0</v>
      </c>
      <c r="T75" s="26">
        <v>0</v>
      </c>
      <c r="U75" s="28">
        <v>116</v>
      </c>
      <c r="V75" s="27">
        <v>0</v>
      </c>
      <c r="W75" s="27">
        <v>0</v>
      </c>
      <c r="X75" s="27">
        <v>0</v>
      </c>
      <c r="Y75" s="27">
        <v>0</v>
      </c>
      <c r="Z75" s="26">
        <v>0</v>
      </c>
      <c r="AA75" s="27">
        <v>0</v>
      </c>
      <c r="AB75" s="27">
        <v>0</v>
      </c>
      <c r="AC75" s="27">
        <v>0</v>
      </c>
      <c r="AD75" s="27">
        <v>0</v>
      </c>
      <c r="AE75" s="26">
        <v>0</v>
      </c>
      <c r="AF75" s="27">
        <v>0</v>
      </c>
      <c r="AG75" s="27">
        <v>0</v>
      </c>
      <c r="AH75" s="27">
        <v>0</v>
      </c>
      <c r="AI75" s="27">
        <v>0</v>
      </c>
      <c r="AJ75" s="27">
        <v>0</v>
      </c>
      <c r="AK75" s="26">
        <v>0</v>
      </c>
      <c r="AL75" s="28">
        <v>0</v>
      </c>
      <c r="AM75" s="204">
        <v>32</v>
      </c>
      <c r="AN75" s="13">
        <v>3712</v>
      </c>
      <c r="AO75" s="13">
        <v>0</v>
      </c>
    </row>
    <row r="76" spans="1:41" s="15" customFormat="1">
      <c r="A76" s="167"/>
      <c r="B76" s="12" t="s">
        <v>6</v>
      </c>
      <c r="C76" s="26"/>
      <c r="D76" s="26"/>
      <c r="E76" s="27">
        <v>0</v>
      </c>
      <c r="F76" s="27">
        <v>0</v>
      </c>
      <c r="G76" s="27">
        <v>0</v>
      </c>
      <c r="H76" s="27">
        <v>0</v>
      </c>
      <c r="I76" s="26">
        <v>0</v>
      </c>
      <c r="J76" s="27">
        <v>0</v>
      </c>
      <c r="K76" s="27">
        <v>0</v>
      </c>
      <c r="L76" s="27">
        <v>0</v>
      </c>
      <c r="M76" s="27">
        <v>0</v>
      </c>
      <c r="N76" s="26">
        <v>0</v>
      </c>
      <c r="O76" s="27">
        <v>0</v>
      </c>
      <c r="P76" s="27">
        <v>0</v>
      </c>
      <c r="Q76" s="27">
        <v>0</v>
      </c>
      <c r="R76" s="27">
        <v>0</v>
      </c>
      <c r="S76" s="27">
        <v>0</v>
      </c>
      <c r="T76" s="26">
        <v>0</v>
      </c>
      <c r="U76" s="28"/>
      <c r="V76" s="27">
        <v>0</v>
      </c>
      <c r="W76" s="27">
        <v>0</v>
      </c>
      <c r="X76" s="27">
        <v>0</v>
      </c>
      <c r="Y76" s="27">
        <v>0</v>
      </c>
      <c r="Z76" s="26">
        <v>0</v>
      </c>
      <c r="AA76" s="27">
        <v>0</v>
      </c>
      <c r="AB76" s="27">
        <v>0</v>
      </c>
      <c r="AC76" s="27">
        <v>0</v>
      </c>
      <c r="AD76" s="27">
        <v>0</v>
      </c>
      <c r="AE76" s="26">
        <v>0</v>
      </c>
      <c r="AF76" s="27">
        <v>0</v>
      </c>
      <c r="AG76" s="27">
        <v>0</v>
      </c>
      <c r="AH76" s="27">
        <v>0</v>
      </c>
      <c r="AI76" s="27">
        <v>0</v>
      </c>
      <c r="AJ76" s="27">
        <v>0</v>
      </c>
      <c r="AK76" s="26">
        <v>0</v>
      </c>
      <c r="AL76" s="28"/>
      <c r="AM76" s="204"/>
      <c r="AN76" s="13">
        <v>0</v>
      </c>
      <c r="AO76" s="13">
        <v>0</v>
      </c>
    </row>
    <row r="77" spans="1:41" s="15" customFormat="1">
      <c r="A77" s="167"/>
      <c r="B77" s="12" t="s">
        <v>10</v>
      </c>
      <c r="C77" s="27">
        <v>0</v>
      </c>
      <c r="D77" s="26"/>
      <c r="E77" s="27"/>
      <c r="F77" s="27"/>
      <c r="G77" s="27">
        <v>0</v>
      </c>
      <c r="H77" s="27"/>
      <c r="I77" s="26">
        <v>0</v>
      </c>
      <c r="J77" s="27"/>
      <c r="K77" s="27"/>
      <c r="L77" s="27"/>
      <c r="M77" s="27"/>
      <c r="N77" s="26">
        <v>0</v>
      </c>
      <c r="O77" s="27"/>
      <c r="P77" s="27"/>
      <c r="Q77" s="27"/>
      <c r="R77" s="27"/>
      <c r="S77" s="27"/>
      <c r="T77" s="26">
        <v>0</v>
      </c>
      <c r="U77" s="28">
        <v>0</v>
      </c>
      <c r="V77" s="27"/>
      <c r="W77" s="27"/>
      <c r="X77" s="27"/>
      <c r="Y77" s="27"/>
      <c r="Z77" s="26">
        <v>0</v>
      </c>
      <c r="AA77" s="27"/>
      <c r="AB77" s="27"/>
      <c r="AC77" s="27"/>
      <c r="AD77" s="27"/>
      <c r="AE77" s="26">
        <v>0</v>
      </c>
      <c r="AF77" s="27"/>
      <c r="AG77" s="27"/>
      <c r="AH77" s="27"/>
      <c r="AI77" s="27"/>
      <c r="AJ77" s="27"/>
      <c r="AK77" s="26">
        <v>0</v>
      </c>
      <c r="AL77" s="28">
        <v>0</v>
      </c>
      <c r="AM77" s="204"/>
      <c r="AN77" s="13">
        <v>0</v>
      </c>
      <c r="AO77" s="13">
        <v>0</v>
      </c>
    </row>
    <row r="78" spans="1:41" s="15" customFormat="1">
      <c r="A78" s="167"/>
      <c r="B78" s="12" t="s">
        <v>7</v>
      </c>
      <c r="C78" s="26"/>
      <c r="D78" s="26"/>
      <c r="E78" s="27">
        <v>0</v>
      </c>
      <c r="F78" s="27">
        <v>0</v>
      </c>
      <c r="G78" s="27">
        <v>0</v>
      </c>
      <c r="H78" s="27">
        <v>0</v>
      </c>
      <c r="I78" s="26">
        <v>0</v>
      </c>
      <c r="J78" s="32">
        <v>0</v>
      </c>
      <c r="K78" s="27">
        <v>0</v>
      </c>
      <c r="L78" s="27">
        <v>0</v>
      </c>
      <c r="M78" s="27">
        <v>0</v>
      </c>
      <c r="N78" s="26">
        <v>0</v>
      </c>
      <c r="O78" s="27">
        <v>0</v>
      </c>
      <c r="P78" s="27">
        <v>0</v>
      </c>
      <c r="Q78" s="27">
        <v>0</v>
      </c>
      <c r="R78" s="27">
        <v>0</v>
      </c>
      <c r="S78" s="27">
        <v>0</v>
      </c>
      <c r="T78" s="26">
        <v>0</v>
      </c>
      <c r="U78" s="28">
        <v>100</v>
      </c>
      <c r="V78" s="27">
        <v>0</v>
      </c>
      <c r="W78" s="27">
        <v>0</v>
      </c>
      <c r="X78" s="27">
        <v>0</v>
      </c>
      <c r="Y78" s="27">
        <v>0</v>
      </c>
      <c r="Z78" s="26">
        <v>0</v>
      </c>
      <c r="AA78" s="32">
        <v>0</v>
      </c>
      <c r="AB78" s="27">
        <v>0</v>
      </c>
      <c r="AC78" s="27">
        <v>0</v>
      </c>
      <c r="AD78" s="27">
        <v>0</v>
      </c>
      <c r="AE78" s="26">
        <v>0</v>
      </c>
      <c r="AF78" s="32">
        <v>0</v>
      </c>
      <c r="AG78" s="27">
        <v>0</v>
      </c>
      <c r="AH78" s="27">
        <v>0</v>
      </c>
      <c r="AI78" s="27">
        <v>0</v>
      </c>
      <c r="AJ78" s="27">
        <v>0</v>
      </c>
      <c r="AK78" s="26">
        <v>0</v>
      </c>
      <c r="AL78" s="28">
        <v>-16</v>
      </c>
      <c r="AM78" s="204"/>
      <c r="AN78" s="13">
        <v>0</v>
      </c>
      <c r="AO78" s="13">
        <v>0</v>
      </c>
    </row>
    <row r="79" spans="1:41" s="15" customFormat="1" ht="17" thickBot="1">
      <c r="A79" s="168"/>
      <c r="B79" s="4" t="s">
        <v>8</v>
      </c>
      <c r="C79" s="26">
        <v>0</v>
      </c>
      <c r="D79" s="37">
        <v>100</v>
      </c>
      <c r="E79" s="21">
        <v>0</v>
      </c>
      <c r="F79" s="21">
        <v>0</v>
      </c>
      <c r="G79" s="21">
        <v>-16</v>
      </c>
      <c r="H79" s="21">
        <v>-16</v>
      </c>
      <c r="I79" s="20">
        <v>-16</v>
      </c>
      <c r="J79" s="21">
        <v>-16</v>
      </c>
      <c r="K79" s="21">
        <v>-16</v>
      </c>
      <c r="L79" s="21">
        <v>-16</v>
      </c>
      <c r="M79" s="21">
        <v>-16</v>
      </c>
      <c r="N79" s="20">
        <v>-16</v>
      </c>
      <c r="O79" s="21">
        <v>-16</v>
      </c>
      <c r="P79" s="21">
        <v>-16</v>
      </c>
      <c r="Q79" s="21">
        <v>-16</v>
      </c>
      <c r="R79" s="21">
        <v>-16</v>
      </c>
      <c r="S79" s="21">
        <v>-16</v>
      </c>
      <c r="T79" s="20">
        <v>-16</v>
      </c>
      <c r="U79" s="22">
        <v>-16</v>
      </c>
      <c r="V79" s="21">
        <v>-16</v>
      </c>
      <c r="W79" s="21">
        <v>-16</v>
      </c>
      <c r="X79" s="21">
        <v>-16</v>
      </c>
      <c r="Y79" s="21">
        <v>-16</v>
      </c>
      <c r="Z79" s="20">
        <v>-16</v>
      </c>
      <c r="AA79" s="21">
        <v>-16</v>
      </c>
      <c r="AB79" s="21">
        <v>-16</v>
      </c>
      <c r="AC79" s="21">
        <v>-16</v>
      </c>
      <c r="AD79" s="21">
        <v>-16</v>
      </c>
      <c r="AE79" s="20">
        <v>-16</v>
      </c>
      <c r="AF79" s="21">
        <v>-16</v>
      </c>
      <c r="AG79" s="21">
        <v>-16</v>
      </c>
      <c r="AH79" s="21">
        <v>-16</v>
      </c>
      <c r="AI79" s="21">
        <v>-16</v>
      </c>
      <c r="AJ79" s="21">
        <v>-16</v>
      </c>
      <c r="AK79" s="20">
        <v>-16</v>
      </c>
      <c r="AL79" s="22">
        <v>-16</v>
      </c>
      <c r="AM79" s="204"/>
      <c r="AN79" s="13">
        <v>0</v>
      </c>
      <c r="AO79" s="13">
        <v>0</v>
      </c>
    </row>
    <row r="80" spans="1:41" s="15" customFormat="1" ht="17" thickBot="1">
      <c r="A80" s="46"/>
      <c r="B80" s="12" t="s">
        <v>9</v>
      </c>
      <c r="C80" s="26"/>
      <c r="D80" s="26"/>
      <c r="E80" s="19" t="e">
        <v>#DIV/0!</v>
      </c>
      <c r="F80" s="19" t="e">
        <v>#DIV/0!</v>
      </c>
      <c r="G80" s="19" t="e">
        <v>#DIV/0!</v>
      </c>
      <c r="H80" s="19" t="e">
        <v>#DIV/0!</v>
      </c>
      <c r="I80" s="23"/>
      <c r="J80" s="19">
        <v>0</v>
      </c>
      <c r="K80" s="19">
        <v>0</v>
      </c>
      <c r="L80" s="19">
        <v>0</v>
      </c>
      <c r="M80" s="19">
        <v>0</v>
      </c>
      <c r="N80" s="23"/>
      <c r="O80" s="19" t="e">
        <v>#DIV/0!</v>
      </c>
      <c r="P80" s="19">
        <v>-3902.4390243902444</v>
      </c>
      <c r="Q80" s="19" t="e">
        <v>#DIV/0!</v>
      </c>
      <c r="R80" s="19" t="e">
        <v>#DIV/0!</v>
      </c>
      <c r="S80" s="19" t="e">
        <v>#REF!</v>
      </c>
      <c r="T80" s="23"/>
      <c r="U80" s="24"/>
      <c r="V80" s="19" t="e">
        <v>#DIV/0!</v>
      </c>
      <c r="W80" s="19" t="e">
        <v>#DIV/0!</v>
      </c>
      <c r="X80" s="19" t="e">
        <v>#DIV/0!</v>
      </c>
      <c r="Y80" s="19" t="e">
        <v>#DIV/0!</v>
      </c>
      <c r="Z80" s="23"/>
      <c r="AA80" s="19" t="e">
        <v>#DIV/0!</v>
      </c>
      <c r="AB80" s="19" t="e">
        <v>#DIV/0!</v>
      </c>
      <c r="AC80" s="19" t="e">
        <v>#DIV/0!</v>
      </c>
      <c r="AD80" s="19" t="e">
        <v>#DIV/0!</v>
      </c>
      <c r="AE80" s="23"/>
      <c r="AF80" s="19" t="e">
        <v>#DIV/0!</v>
      </c>
      <c r="AG80" s="19" t="e">
        <v>#DIV/0!</v>
      </c>
      <c r="AH80" s="19" t="e">
        <v>#DIV/0!</v>
      </c>
      <c r="AI80" s="19" t="e">
        <v>#DIV/0!</v>
      </c>
      <c r="AJ80" s="19" t="e">
        <v>#REF!</v>
      </c>
      <c r="AK80" s="26" t="e">
        <v>#DIV/0!</v>
      </c>
      <c r="AL80" s="24"/>
      <c r="AN80" s="13">
        <v>0</v>
      </c>
      <c r="AO80" s="13">
        <v>0</v>
      </c>
    </row>
    <row r="81" spans="1:41" s="15" customFormat="1">
      <c r="A81" s="166" t="s">
        <v>39</v>
      </c>
      <c r="B81" s="3" t="s">
        <v>5</v>
      </c>
      <c r="C81" s="26"/>
      <c r="D81" s="26"/>
      <c r="E81" s="27">
        <v>0</v>
      </c>
      <c r="F81" s="27">
        <v>0</v>
      </c>
      <c r="G81" s="27">
        <v>-1914</v>
      </c>
      <c r="H81" s="27">
        <v>0</v>
      </c>
      <c r="I81" s="26">
        <v>-1914</v>
      </c>
      <c r="J81" s="27">
        <v>0</v>
      </c>
      <c r="K81" s="27">
        <v>0</v>
      </c>
      <c r="L81" s="27">
        <v>0</v>
      </c>
      <c r="M81" s="27">
        <v>0</v>
      </c>
      <c r="N81" s="26">
        <v>0</v>
      </c>
      <c r="O81" s="27">
        <v>0</v>
      </c>
      <c r="P81" s="27">
        <v>0</v>
      </c>
      <c r="Q81" s="27">
        <v>0</v>
      </c>
      <c r="R81" s="27">
        <v>0</v>
      </c>
      <c r="S81" s="27">
        <v>0</v>
      </c>
      <c r="T81" s="26">
        <v>0</v>
      </c>
      <c r="U81" s="28">
        <v>664</v>
      </c>
      <c r="V81" s="27">
        <v>0</v>
      </c>
      <c r="W81" s="27">
        <v>0</v>
      </c>
      <c r="X81" s="27">
        <v>0</v>
      </c>
      <c r="Y81" s="27">
        <v>0</v>
      </c>
      <c r="Z81" s="26">
        <v>0</v>
      </c>
      <c r="AA81" s="27">
        <v>0</v>
      </c>
      <c r="AB81" s="27">
        <v>0</v>
      </c>
      <c r="AC81" s="27">
        <v>0</v>
      </c>
      <c r="AD81" s="27">
        <v>0</v>
      </c>
      <c r="AE81" s="26">
        <v>0</v>
      </c>
      <c r="AF81" s="27">
        <v>0</v>
      </c>
      <c r="AG81" s="27">
        <v>0</v>
      </c>
      <c r="AH81" s="27">
        <v>0</v>
      </c>
      <c r="AI81" s="27">
        <v>0</v>
      </c>
      <c r="AJ81" s="27">
        <v>0</v>
      </c>
      <c r="AK81" s="26">
        <v>0</v>
      </c>
      <c r="AL81" s="28">
        <v>0</v>
      </c>
      <c r="AM81" s="204">
        <v>64</v>
      </c>
      <c r="AN81" s="13">
        <v>42496</v>
      </c>
      <c r="AO81" s="13">
        <v>0</v>
      </c>
    </row>
    <row r="82" spans="1:41" s="15" customFormat="1">
      <c r="A82" s="167"/>
      <c r="B82" s="12" t="s">
        <v>6</v>
      </c>
      <c r="C82" s="26"/>
      <c r="D82" s="26"/>
      <c r="E82" s="27">
        <v>0</v>
      </c>
      <c r="F82" s="27">
        <v>0</v>
      </c>
      <c r="G82" s="27">
        <v>0</v>
      </c>
      <c r="H82" s="27">
        <v>0</v>
      </c>
      <c r="I82" s="26">
        <v>0</v>
      </c>
      <c r="J82" s="27">
        <v>0</v>
      </c>
      <c r="K82" s="27">
        <v>0</v>
      </c>
      <c r="L82" s="27">
        <v>0</v>
      </c>
      <c r="M82" s="27">
        <v>0</v>
      </c>
      <c r="N82" s="26">
        <v>0</v>
      </c>
      <c r="O82" s="27">
        <v>0</v>
      </c>
      <c r="P82" s="27">
        <v>0</v>
      </c>
      <c r="Q82" s="27">
        <v>0</v>
      </c>
      <c r="R82" s="27">
        <v>0</v>
      </c>
      <c r="S82" s="27">
        <v>0</v>
      </c>
      <c r="T82" s="26">
        <v>0</v>
      </c>
      <c r="U82" s="28"/>
      <c r="V82" s="27">
        <v>0</v>
      </c>
      <c r="W82" s="27">
        <v>0</v>
      </c>
      <c r="X82" s="27">
        <v>0</v>
      </c>
      <c r="Y82" s="27">
        <v>0</v>
      </c>
      <c r="Z82" s="26">
        <v>0</v>
      </c>
      <c r="AA82" s="27">
        <v>0</v>
      </c>
      <c r="AB82" s="27">
        <v>0</v>
      </c>
      <c r="AC82" s="27">
        <v>0</v>
      </c>
      <c r="AD82" s="27">
        <v>0</v>
      </c>
      <c r="AE82" s="26">
        <v>0</v>
      </c>
      <c r="AF82" s="27">
        <v>0</v>
      </c>
      <c r="AG82" s="27">
        <v>0</v>
      </c>
      <c r="AH82" s="27">
        <v>0</v>
      </c>
      <c r="AI82" s="27">
        <v>0</v>
      </c>
      <c r="AJ82" s="27">
        <v>0</v>
      </c>
      <c r="AK82" s="26">
        <v>0</v>
      </c>
      <c r="AL82" s="28"/>
      <c r="AM82" s="204"/>
      <c r="AN82" s="13">
        <v>0</v>
      </c>
      <c r="AO82" s="13">
        <v>0</v>
      </c>
    </row>
    <row r="83" spans="1:41" s="15" customFormat="1">
      <c r="A83" s="167"/>
      <c r="B83" s="12" t="s">
        <v>10</v>
      </c>
      <c r="C83" s="27">
        <v>0</v>
      </c>
      <c r="D83" s="26"/>
      <c r="E83" s="27"/>
      <c r="F83" s="27"/>
      <c r="G83" s="27">
        <v>0</v>
      </c>
      <c r="H83" s="27"/>
      <c r="I83" s="26">
        <v>0</v>
      </c>
      <c r="J83" s="27"/>
      <c r="K83" s="27"/>
      <c r="L83" s="27"/>
      <c r="M83" s="27"/>
      <c r="N83" s="26">
        <v>0</v>
      </c>
      <c r="O83" s="27"/>
      <c r="P83" s="27"/>
      <c r="Q83" s="27"/>
      <c r="R83" s="27"/>
      <c r="S83" s="27"/>
      <c r="T83" s="26">
        <v>0</v>
      </c>
      <c r="U83" s="28">
        <v>0</v>
      </c>
      <c r="V83" s="27"/>
      <c r="W83" s="27"/>
      <c r="X83" s="27"/>
      <c r="Y83" s="27"/>
      <c r="Z83" s="26">
        <v>0</v>
      </c>
      <c r="AA83" s="27"/>
      <c r="AB83" s="27"/>
      <c r="AC83" s="27"/>
      <c r="AD83" s="27"/>
      <c r="AE83" s="26">
        <v>0</v>
      </c>
      <c r="AF83" s="27"/>
      <c r="AG83" s="27"/>
      <c r="AH83" s="27"/>
      <c r="AI83" s="27"/>
      <c r="AJ83" s="27"/>
      <c r="AK83" s="26">
        <v>0</v>
      </c>
      <c r="AL83" s="28">
        <v>0</v>
      </c>
      <c r="AM83" s="204"/>
      <c r="AN83" s="13">
        <v>0</v>
      </c>
      <c r="AO83" s="13">
        <v>0</v>
      </c>
    </row>
    <row r="84" spans="1:41" s="15" customFormat="1">
      <c r="A84" s="167"/>
      <c r="B84" s="12" t="s">
        <v>7</v>
      </c>
      <c r="C84" s="26"/>
      <c r="D84" s="26"/>
      <c r="E84" s="27">
        <v>0</v>
      </c>
      <c r="F84" s="27">
        <v>0</v>
      </c>
      <c r="G84" s="27">
        <v>0</v>
      </c>
      <c r="H84" s="27">
        <v>0</v>
      </c>
      <c r="I84" s="26">
        <v>0</v>
      </c>
      <c r="J84" s="32">
        <v>0</v>
      </c>
      <c r="K84" s="27">
        <v>0</v>
      </c>
      <c r="L84" s="27">
        <v>0</v>
      </c>
      <c r="M84" s="27">
        <v>0</v>
      </c>
      <c r="N84" s="26">
        <v>0</v>
      </c>
      <c r="O84" s="27">
        <v>0</v>
      </c>
      <c r="P84" s="27">
        <v>0</v>
      </c>
      <c r="Q84" s="27">
        <v>0</v>
      </c>
      <c r="R84" s="27">
        <v>0</v>
      </c>
      <c r="S84" s="27">
        <v>0</v>
      </c>
      <c r="T84" s="26">
        <v>0</v>
      </c>
      <c r="U84" s="28">
        <v>2578</v>
      </c>
      <c r="V84" s="27">
        <v>0</v>
      </c>
      <c r="W84" s="27">
        <v>0</v>
      </c>
      <c r="X84" s="27">
        <v>0</v>
      </c>
      <c r="Y84" s="27">
        <v>0</v>
      </c>
      <c r="Z84" s="26">
        <v>0</v>
      </c>
      <c r="AA84" s="32">
        <v>0</v>
      </c>
      <c r="AB84" s="27">
        <v>0</v>
      </c>
      <c r="AC84" s="27">
        <v>0</v>
      </c>
      <c r="AD84" s="27">
        <v>0</v>
      </c>
      <c r="AE84" s="26">
        <v>0</v>
      </c>
      <c r="AF84" s="32">
        <v>0</v>
      </c>
      <c r="AG84" s="27">
        <v>0</v>
      </c>
      <c r="AH84" s="27">
        <v>0</v>
      </c>
      <c r="AI84" s="27">
        <v>0</v>
      </c>
      <c r="AJ84" s="27">
        <v>0</v>
      </c>
      <c r="AK84" s="26">
        <v>0</v>
      </c>
      <c r="AL84" s="28">
        <v>1914</v>
      </c>
      <c r="AM84" s="204"/>
      <c r="AN84" s="13">
        <v>0</v>
      </c>
      <c r="AO84" s="13">
        <v>0</v>
      </c>
    </row>
    <row r="85" spans="1:41" s="15" customFormat="1" ht="17" thickBot="1">
      <c r="A85" s="168"/>
      <c r="B85" s="4" t="s">
        <v>8</v>
      </c>
      <c r="C85" s="26">
        <v>2476</v>
      </c>
      <c r="D85" s="37">
        <v>2578</v>
      </c>
      <c r="E85" s="21">
        <v>0</v>
      </c>
      <c r="F85" s="21">
        <v>0</v>
      </c>
      <c r="G85" s="21">
        <v>1914</v>
      </c>
      <c r="H85" s="21">
        <v>1914</v>
      </c>
      <c r="I85" s="20">
        <v>1914</v>
      </c>
      <c r="J85" s="21">
        <v>1914</v>
      </c>
      <c r="K85" s="21">
        <v>1914</v>
      </c>
      <c r="L85" s="21">
        <v>1914</v>
      </c>
      <c r="M85" s="21">
        <v>1914</v>
      </c>
      <c r="N85" s="20">
        <v>1914</v>
      </c>
      <c r="O85" s="21">
        <v>1914</v>
      </c>
      <c r="P85" s="21">
        <v>1914</v>
      </c>
      <c r="Q85" s="21">
        <v>1914</v>
      </c>
      <c r="R85" s="21">
        <v>1914</v>
      </c>
      <c r="S85" s="21">
        <v>1914</v>
      </c>
      <c r="T85" s="20">
        <v>1914</v>
      </c>
      <c r="U85" s="22">
        <v>1914</v>
      </c>
      <c r="V85" s="21">
        <v>1914</v>
      </c>
      <c r="W85" s="21">
        <v>1914</v>
      </c>
      <c r="X85" s="21">
        <v>1914</v>
      </c>
      <c r="Y85" s="21">
        <v>1914</v>
      </c>
      <c r="Z85" s="20">
        <v>1914</v>
      </c>
      <c r="AA85" s="21">
        <v>1914</v>
      </c>
      <c r="AB85" s="21">
        <v>1914</v>
      </c>
      <c r="AC85" s="21">
        <v>1914</v>
      </c>
      <c r="AD85" s="21">
        <v>1914</v>
      </c>
      <c r="AE85" s="20">
        <v>1914</v>
      </c>
      <c r="AF85" s="21">
        <v>1914</v>
      </c>
      <c r="AG85" s="21">
        <v>1914</v>
      </c>
      <c r="AH85" s="21">
        <v>1914</v>
      </c>
      <c r="AI85" s="21">
        <v>1914</v>
      </c>
      <c r="AJ85" s="21">
        <v>1914</v>
      </c>
      <c r="AK85" s="20">
        <v>1914</v>
      </c>
      <c r="AL85" s="22">
        <v>1914</v>
      </c>
      <c r="AM85" s="204"/>
      <c r="AN85" s="13">
        <v>0</v>
      </c>
      <c r="AO85" s="13">
        <v>0</v>
      </c>
    </row>
    <row r="86" spans="1:41" s="15" customFormat="1" ht="17" thickBot="1">
      <c r="A86" s="46"/>
      <c r="B86" s="12" t="s">
        <v>9</v>
      </c>
      <c r="C86" s="26"/>
      <c r="D86" s="26"/>
      <c r="E86" s="19" t="e">
        <v>#DIV/0!</v>
      </c>
      <c r="F86" s="19" t="e">
        <v>#DIV/0!</v>
      </c>
      <c r="G86" s="19" t="e">
        <v>#DIV/0!</v>
      </c>
      <c r="H86" s="19" t="e">
        <v>#DIV/0!</v>
      </c>
      <c r="I86" s="23"/>
      <c r="J86" s="19">
        <v>0</v>
      </c>
      <c r="K86" s="19">
        <v>0</v>
      </c>
      <c r="L86" s="19">
        <v>0</v>
      </c>
      <c r="M86" s="19">
        <v>0</v>
      </c>
      <c r="N86" s="23"/>
      <c r="O86" s="19" t="e">
        <v>#DIV/0!</v>
      </c>
      <c r="P86" s="19">
        <v>2823.2037827240224</v>
      </c>
      <c r="Q86" s="19" t="e">
        <v>#DIV/0!</v>
      </c>
      <c r="R86" s="19" t="e">
        <v>#DIV/0!</v>
      </c>
      <c r="S86" s="19" t="e">
        <v>#REF!</v>
      </c>
      <c r="T86" s="23"/>
      <c r="U86" s="24"/>
      <c r="V86" s="19" t="e">
        <v>#DIV/0!</v>
      </c>
      <c r="W86" s="19" t="e">
        <v>#DIV/0!</v>
      </c>
      <c r="X86" s="19" t="e">
        <v>#DIV/0!</v>
      </c>
      <c r="Y86" s="19" t="e">
        <v>#DIV/0!</v>
      </c>
      <c r="Z86" s="23"/>
      <c r="AA86" s="19" t="e">
        <v>#DIV/0!</v>
      </c>
      <c r="AB86" s="19" t="e">
        <v>#DIV/0!</v>
      </c>
      <c r="AC86" s="19" t="e">
        <v>#DIV/0!</v>
      </c>
      <c r="AD86" s="19" t="e">
        <v>#DIV/0!</v>
      </c>
      <c r="AE86" s="23"/>
      <c r="AF86" s="19" t="e">
        <v>#DIV/0!</v>
      </c>
      <c r="AG86" s="19" t="e">
        <v>#DIV/0!</v>
      </c>
      <c r="AH86" s="19" t="e">
        <v>#DIV/0!</v>
      </c>
      <c r="AI86" s="19" t="e">
        <v>#DIV/0!</v>
      </c>
      <c r="AJ86" s="19" t="e">
        <v>#REF!</v>
      </c>
      <c r="AK86" s="26" t="e">
        <v>#DIV/0!</v>
      </c>
      <c r="AL86" s="24"/>
      <c r="AN86" s="13">
        <v>0</v>
      </c>
      <c r="AO86" s="13">
        <v>0</v>
      </c>
    </row>
    <row r="87" spans="1:41" s="15" customFormat="1">
      <c r="A87" s="176" t="s">
        <v>41</v>
      </c>
      <c r="B87" s="3" t="s">
        <v>5</v>
      </c>
      <c r="C87" s="26"/>
      <c r="D87" s="26"/>
      <c r="E87" s="27">
        <v>34082</v>
      </c>
      <c r="F87" s="27">
        <v>11782</v>
      </c>
      <c r="G87" s="27">
        <v>-46638</v>
      </c>
      <c r="H87" s="27">
        <v>85834</v>
      </c>
      <c r="I87" s="26">
        <v>85060</v>
      </c>
      <c r="J87" s="27">
        <v>6407</v>
      </c>
      <c r="K87" s="27">
        <v>1652</v>
      </c>
      <c r="L87" s="27">
        <v>19348</v>
      </c>
      <c r="M87" s="27">
        <v>29657</v>
      </c>
      <c r="N87" s="26">
        <v>57064</v>
      </c>
      <c r="O87" s="27">
        <v>59713</v>
      </c>
      <c r="P87" s="27">
        <v>0</v>
      </c>
      <c r="Q87" s="27">
        <v>123731</v>
      </c>
      <c r="R87" s="27">
        <v>67367</v>
      </c>
      <c r="S87" s="27">
        <v>12910</v>
      </c>
      <c r="T87" s="26">
        <v>263721</v>
      </c>
      <c r="U87" s="28">
        <v>494897</v>
      </c>
      <c r="V87" s="27">
        <v>676</v>
      </c>
      <c r="W87" s="27">
        <v>0</v>
      </c>
      <c r="X87" s="27">
        <v>0</v>
      </c>
      <c r="Y87" s="27">
        <v>17001</v>
      </c>
      <c r="Z87" s="26">
        <v>17677</v>
      </c>
      <c r="AA87" s="27">
        <v>0</v>
      </c>
      <c r="AB87" s="27">
        <v>0</v>
      </c>
      <c r="AC87" s="27">
        <v>0</v>
      </c>
      <c r="AD87" s="27">
        <v>0</v>
      </c>
      <c r="AE87" s="26">
        <v>0</v>
      </c>
      <c r="AF87" s="27">
        <v>0</v>
      </c>
      <c r="AG87" s="27">
        <v>0</v>
      </c>
      <c r="AH87" s="27">
        <v>0</v>
      </c>
      <c r="AI87" s="27">
        <v>0</v>
      </c>
      <c r="AJ87" s="27">
        <v>0</v>
      </c>
      <c r="AK87" s="26">
        <v>0</v>
      </c>
      <c r="AL87" s="28">
        <v>17677</v>
      </c>
      <c r="AM87" s="204">
        <v>32</v>
      </c>
      <c r="AN87" s="13">
        <v>15836704</v>
      </c>
      <c r="AO87" s="13">
        <v>565664</v>
      </c>
    </row>
    <row r="88" spans="1:41" s="15" customFormat="1">
      <c r="A88" s="177"/>
      <c r="B88" s="12" t="s">
        <v>6</v>
      </c>
      <c r="C88" s="26"/>
      <c r="D88" s="26"/>
      <c r="E88" s="27">
        <v>34082</v>
      </c>
      <c r="F88" s="27">
        <v>11782</v>
      </c>
      <c r="G88" s="27">
        <v>1638</v>
      </c>
      <c r="H88" s="27">
        <v>0</v>
      </c>
      <c r="I88" s="26">
        <v>47502</v>
      </c>
      <c r="J88" s="27">
        <v>0</v>
      </c>
      <c r="K88" s="27">
        <v>0</v>
      </c>
      <c r="L88" s="27">
        <v>0</v>
      </c>
      <c r="M88" s="27">
        <v>100000</v>
      </c>
      <c r="N88" s="26">
        <v>100000</v>
      </c>
      <c r="O88" s="27">
        <v>0</v>
      </c>
      <c r="P88" s="27">
        <v>0</v>
      </c>
      <c r="Q88" s="27">
        <v>200000</v>
      </c>
      <c r="R88" s="27">
        <v>0</v>
      </c>
      <c r="S88" s="27">
        <v>0</v>
      </c>
      <c r="T88" s="26">
        <v>200000</v>
      </c>
      <c r="U88" s="28"/>
      <c r="V88" s="27">
        <v>0</v>
      </c>
      <c r="W88" s="27">
        <v>0</v>
      </c>
      <c r="X88" s="27">
        <v>0</v>
      </c>
      <c r="Y88" s="27">
        <v>0</v>
      </c>
      <c r="Z88" s="26">
        <v>0</v>
      </c>
      <c r="AA88" s="27">
        <v>0</v>
      </c>
      <c r="AB88" s="27">
        <v>0</v>
      </c>
      <c r="AC88" s="27">
        <v>0</v>
      </c>
      <c r="AD88" s="27">
        <v>0</v>
      </c>
      <c r="AE88" s="26">
        <v>0</v>
      </c>
      <c r="AF88" s="27">
        <v>0</v>
      </c>
      <c r="AG88" s="27">
        <v>0</v>
      </c>
      <c r="AH88" s="27">
        <v>0</v>
      </c>
      <c r="AI88" s="27">
        <v>0</v>
      </c>
      <c r="AJ88" s="27">
        <v>0</v>
      </c>
      <c r="AK88" s="26">
        <v>0</v>
      </c>
      <c r="AL88" s="28"/>
      <c r="AM88" s="204"/>
      <c r="AN88" s="13">
        <v>0</v>
      </c>
      <c r="AO88" s="13">
        <v>0</v>
      </c>
    </row>
    <row r="89" spans="1:41" s="15" customFormat="1">
      <c r="A89" s="177"/>
      <c r="B89" s="12" t="s">
        <v>10</v>
      </c>
      <c r="C89" s="27">
        <v>116040</v>
      </c>
      <c r="D89" s="26"/>
      <c r="E89" s="27"/>
      <c r="F89" s="27"/>
      <c r="G89" s="27">
        <v>116040</v>
      </c>
      <c r="H89" s="27"/>
      <c r="I89" s="26">
        <v>0</v>
      </c>
      <c r="J89" s="27"/>
      <c r="K89" s="27"/>
      <c r="L89" s="27"/>
      <c r="M89" s="27"/>
      <c r="N89" s="26">
        <v>44460</v>
      </c>
      <c r="O89" s="27"/>
      <c r="P89" s="27"/>
      <c r="Q89" s="27"/>
      <c r="R89" s="27"/>
      <c r="S89" s="27"/>
      <c r="T89" s="26">
        <v>0</v>
      </c>
      <c r="U89" s="28">
        <v>44460</v>
      </c>
      <c r="V89" s="27"/>
      <c r="W89" s="27"/>
      <c r="X89" s="27"/>
      <c r="Y89" s="27"/>
      <c r="Z89" s="26">
        <v>0</v>
      </c>
      <c r="AA89" s="27"/>
      <c r="AB89" s="27"/>
      <c r="AC89" s="27"/>
      <c r="AD89" s="27"/>
      <c r="AE89" s="26">
        <v>0</v>
      </c>
      <c r="AF89" s="27"/>
      <c r="AG89" s="27"/>
      <c r="AH89" s="27"/>
      <c r="AI89" s="27"/>
      <c r="AJ89" s="27"/>
      <c r="AK89" s="26">
        <v>0</v>
      </c>
      <c r="AL89" s="28">
        <v>0</v>
      </c>
      <c r="AM89" s="204"/>
      <c r="AN89" s="13">
        <v>0</v>
      </c>
      <c r="AO89" s="13">
        <v>0</v>
      </c>
    </row>
    <row r="90" spans="1:41" s="15" customFormat="1">
      <c r="A90" s="177"/>
      <c r="B90" s="12" t="s">
        <v>7</v>
      </c>
      <c r="C90" s="26"/>
      <c r="D90" s="26"/>
      <c r="E90" s="27">
        <v>34082</v>
      </c>
      <c r="F90" s="27">
        <v>11782</v>
      </c>
      <c r="G90" s="27">
        <v>117678</v>
      </c>
      <c r="H90" s="27">
        <v>0</v>
      </c>
      <c r="I90" s="26">
        <v>163542</v>
      </c>
      <c r="J90" s="32">
        <v>0</v>
      </c>
      <c r="K90" s="27">
        <v>0</v>
      </c>
      <c r="L90" s="27">
        <v>0</v>
      </c>
      <c r="M90" s="27">
        <v>100000</v>
      </c>
      <c r="N90" s="26">
        <v>100000</v>
      </c>
      <c r="O90" s="27">
        <v>0</v>
      </c>
      <c r="P90" s="27">
        <v>0</v>
      </c>
      <c r="Q90" s="27">
        <v>200000</v>
      </c>
      <c r="R90" s="27">
        <v>0</v>
      </c>
      <c r="S90" s="27">
        <v>0</v>
      </c>
      <c r="T90" s="26">
        <v>200000</v>
      </c>
      <c r="U90" s="28">
        <v>552594</v>
      </c>
      <c r="V90" s="27">
        <v>0</v>
      </c>
      <c r="W90" s="27">
        <v>0</v>
      </c>
      <c r="X90" s="27">
        <v>0</v>
      </c>
      <c r="Y90" s="27">
        <v>0</v>
      </c>
      <c r="Z90" s="26">
        <v>0</v>
      </c>
      <c r="AA90" s="32">
        <v>0</v>
      </c>
      <c r="AB90" s="27">
        <v>0</v>
      </c>
      <c r="AC90" s="27">
        <v>0</v>
      </c>
      <c r="AD90" s="27">
        <v>0</v>
      </c>
      <c r="AE90" s="26">
        <v>0</v>
      </c>
      <c r="AF90" s="32">
        <v>0</v>
      </c>
      <c r="AG90" s="27">
        <v>0</v>
      </c>
      <c r="AH90" s="27">
        <v>0</v>
      </c>
      <c r="AI90" s="27">
        <v>0</v>
      </c>
      <c r="AJ90" s="27">
        <v>0</v>
      </c>
      <c r="AK90" s="26">
        <v>0</v>
      </c>
      <c r="AL90" s="28">
        <v>57697</v>
      </c>
      <c r="AM90" s="204"/>
      <c r="AN90" s="13">
        <v>0</v>
      </c>
      <c r="AO90" s="13">
        <v>0</v>
      </c>
    </row>
    <row r="91" spans="1:41" s="15" customFormat="1" ht="17" thickBot="1">
      <c r="A91" s="178"/>
      <c r="B91" s="4" t="s">
        <v>8</v>
      </c>
      <c r="C91" s="26">
        <v>219201</v>
      </c>
      <c r="D91" s="37">
        <v>89052</v>
      </c>
      <c r="E91" s="21">
        <v>0</v>
      </c>
      <c r="F91" s="21">
        <v>0</v>
      </c>
      <c r="G91" s="21">
        <v>164316</v>
      </c>
      <c r="H91" s="21">
        <v>78482</v>
      </c>
      <c r="I91" s="20">
        <v>78482</v>
      </c>
      <c r="J91" s="21">
        <v>72075</v>
      </c>
      <c r="K91" s="21">
        <v>70423</v>
      </c>
      <c r="L91" s="21">
        <v>51075</v>
      </c>
      <c r="M91" s="21">
        <v>121418</v>
      </c>
      <c r="N91" s="20">
        <v>121418</v>
      </c>
      <c r="O91" s="21">
        <v>61705</v>
      </c>
      <c r="P91" s="21">
        <v>61705</v>
      </c>
      <c r="Q91" s="21">
        <v>137974</v>
      </c>
      <c r="R91" s="21">
        <v>70607</v>
      </c>
      <c r="S91" s="21">
        <v>57697</v>
      </c>
      <c r="T91" s="20">
        <v>57697</v>
      </c>
      <c r="U91" s="22">
        <v>57697</v>
      </c>
      <c r="V91" s="21">
        <v>57021</v>
      </c>
      <c r="W91" s="21">
        <v>57021</v>
      </c>
      <c r="X91" s="21">
        <v>57021</v>
      </c>
      <c r="Y91" s="21">
        <v>40020</v>
      </c>
      <c r="Z91" s="20">
        <v>40020</v>
      </c>
      <c r="AA91" s="21">
        <v>40020</v>
      </c>
      <c r="AB91" s="21">
        <v>40020</v>
      </c>
      <c r="AC91" s="21">
        <v>40020</v>
      </c>
      <c r="AD91" s="21">
        <v>40020</v>
      </c>
      <c r="AE91" s="20">
        <v>40020</v>
      </c>
      <c r="AF91" s="21">
        <v>40020</v>
      </c>
      <c r="AG91" s="21">
        <v>40020</v>
      </c>
      <c r="AH91" s="21">
        <v>40020</v>
      </c>
      <c r="AI91" s="21">
        <v>40020</v>
      </c>
      <c r="AJ91" s="21">
        <v>40020</v>
      </c>
      <c r="AK91" s="20">
        <v>40020</v>
      </c>
      <c r="AL91" s="22">
        <v>40020</v>
      </c>
      <c r="AM91" s="204"/>
      <c r="AN91" s="13">
        <v>0</v>
      </c>
      <c r="AO91" s="13">
        <v>0</v>
      </c>
    </row>
    <row r="92" spans="1:41" s="15" customFormat="1" ht="17" thickBot="1">
      <c r="A92" s="46"/>
      <c r="B92" s="12" t="s">
        <v>9</v>
      </c>
      <c r="C92" s="26"/>
      <c r="D92" s="26"/>
      <c r="E92" s="19">
        <v>0</v>
      </c>
      <c r="F92" s="19">
        <v>0</v>
      </c>
      <c r="G92" s="19">
        <v>0</v>
      </c>
      <c r="H92" s="19">
        <v>0</v>
      </c>
      <c r="I92" s="23"/>
      <c r="J92" s="19">
        <v>0</v>
      </c>
      <c r="K92" s="19">
        <v>0</v>
      </c>
      <c r="L92" s="19">
        <v>7483.1477694463374</v>
      </c>
      <c r="M92" s="19">
        <v>7483.1477694463374</v>
      </c>
      <c r="N92" s="23"/>
      <c r="O92" s="19">
        <v>27482.776739841196</v>
      </c>
      <c r="P92" s="19">
        <v>4805.7836615152619</v>
      </c>
      <c r="Q92" s="19" t="e">
        <v>#DIV/0!</v>
      </c>
      <c r="R92" s="19" t="e">
        <v>#DIV/0!</v>
      </c>
      <c r="S92" s="19" t="e">
        <v>#REF!</v>
      </c>
      <c r="T92" s="23"/>
      <c r="U92" s="24"/>
      <c r="V92" s="19">
        <v>22432.954850932554</v>
      </c>
      <c r="W92" s="19">
        <v>20470.79772079772</v>
      </c>
      <c r="X92" s="19">
        <v>22792.330860207156</v>
      </c>
      <c r="Y92" s="19">
        <v>22792.330860207156</v>
      </c>
      <c r="Z92" s="23"/>
      <c r="AA92" s="19">
        <v>-16.14895687400363</v>
      </c>
      <c r="AB92" s="19">
        <v>13446.255304590881</v>
      </c>
      <c r="AC92" s="19">
        <v>11910.0033245577</v>
      </c>
      <c r="AD92" s="19">
        <v>11910.0033245577</v>
      </c>
      <c r="AE92" s="23"/>
      <c r="AF92" s="19">
        <v>959857.14285714284</v>
      </c>
      <c r="AG92" s="19">
        <v>3147.9867689914636</v>
      </c>
      <c r="AH92" s="19" t="e">
        <v>#DIV/0!</v>
      </c>
      <c r="AI92" s="19" t="e">
        <v>#DIV/0!</v>
      </c>
      <c r="AJ92" s="19" t="e">
        <v>#REF!</v>
      </c>
      <c r="AK92" s="26" t="e">
        <v>#DIV/0!</v>
      </c>
      <c r="AL92" s="24"/>
      <c r="AN92" s="13">
        <v>0</v>
      </c>
      <c r="AO92" s="13">
        <v>0</v>
      </c>
    </row>
    <row r="93" spans="1:41" s="15" customFormat="1">
      <c r="A93" s="166" t="s">
        <v>21</v>
      </c>
      <c r="B93" s="3" t="s">
        <v>5</v>
      </c>
      <c r="C93" s="26"/>
      <c r="D93" s="26"/>
      <c r="E93" s="27">
        <v>0</v>
      </c>
      <c r="F93" s="27">
        <v>1700</v>
      </c>
      <c r="G93" s="27">
        <v>1548</v>
      </c>
      <c r="H93" s="27">
        <v>2196</v>
      </c>
      <c r="I93" s="26">
        <v>5444</v>
      </c>
      <c r="J93" s="27">
        <v>0</v>
      </c>
      <c r="K93" s="27">
        <v>36</v>
      </c>
      <c r="L93" s="27">
        <v>617</v>
      </c>
      <c r="M93" s="27">
        <v>424</v>
      </c>
      <c r="N93" s="26">
        <v>1077</v>
      </c>
      <c r="O93" s="27">
        <v>1596</v>
      </c>
      <c r="P93" s="27">
        <v>0</v>
      </c>
      <c r="Q93" s="27">
        <v>1399</v>
      </c>
      <c r="R93" s="27">
        <v>1597</v>
      </c>
      <c r="S93" s="27">
        <v>0</v>
      </c>
      <c r="T93" s="26">
        <v>4592</v>
      </c>
      <c r="U93" s="28">
        <v>11460</v>
      </c>
      <c r="V93" s="27">
        <v>0</v>
      </c>
      <c r="W93" s="27">
        <v>0</v>
      </c>
      <c r="X93" s="27">
        <v>0</v>
      </c>
      <c r="Y93" s="27">
        <v>0</v>
      </c>
      <c r="Z93" s="26">
        <v>0</v>
      </c>
      <c r="AA93" s="27">
        <v>0</v>
      </c>
      <c r="AB93" s="27">
        <v>0</v>
      </c>
      <c r="AC93" s="27">
        <v>0</v>
      </c>
      <c r="AD93" s="27">
        <v>0</v>
      </c>
      <c r="AE93" s="26">
        <v>0</v>
      </c>
      <c r="AF93" s="27">
        <v>0</v>
      </c>
      <c r="AG93" s="27">
        <v>0</v>
      </c>
      <c r="AH93" s="27">
        <v>0</v>
      </c>
      <c r="AI93" s="27">
        <v>0</v>
      </c>
      <c r="AJ93" s="27">
        <v>0</v>
      </c>
      <c r="AK93" s="26">
        <v>0</v>
      </c>
      <c r="AL93" s="28">
        <v>0</v>
      </c>
      <c r="AM93" s="204">
        <v>64</v>
      </c>
      <c r="AN93" s="13">
        <v>733440</v>
      </c>
      <c r="AO93" s="13">
        <v>0</v>
      </c>
    </row>
    <row r="94" spans="1:41" s="15" customFormat="1">
      <c r="A94" s="167"/>
      <c r="B94" s="12" t="s">
        <v>6</v>
      </c>
      <c r="C94" s="26"/>
      <c r="D94" s="26"/>
      <c r="E94" s="27">
        <v>0</v>
      </c>
      <c r="F94" s="27">
        <v>1700</v>
      </c>
      <c r="G94" s="27">
        <v>0</v>
      </c>
      <c r="H94" s="27">
        <v>0</v>
      </c>
      <c r="I94" s="26">
        <v>1700</v>
      </c>
      <c r="J94" s="27">
        <v>0</v>
      </c>
      <c r="K94" s="27">
        <v>0</v>
      </c>
      <c r="L94" s="27">
        <v>0</v>
      </c>
      <c r="M94" s="27">
        <v>0</v>
      </c>
      <c r="N94" s="26">
        <v>0</v>
      </c>
      <c r="O94" s="27">
        <v>0</v>
      </c>
      <c r="P94" s="27">
        <v>0</v>
      </c>
      <c r="Q94" s="27">
        <v>0</v>
      </c>
      <c r="R94" s="27">
        <v>0</v>
      </c>
      <c r="S94" s="27">
        <v>0</v>
      </c>
      <c r="T94" s="26">
        <v>0</v>
      </c>
      <c r="U94" s="28"/>
      <c r="V94" s="27">
        <v>0</v>
      </c>
      <c r="W94" s="27">
        <v>0</v>
      </c>
      <c r="X94" s="27">
        <v>0</v>
      </c>
      <c r="Y94" s="27">
        <v>0</v>
      </c>
      <c r="Z94" s="26">
        <v>0</v>
      </c>
      <c r="AA94" s="27">
        <v>0</v>
      </c>
      <c r="AB94" s="27">
        <v>0</v>
      </c>
      <c r="AC94" s="27">
        <v>0</v>
      </c>
      <c r="AD94" s="27">
        <v>0</v>
      </c>
      <c r="AE94" s="26">
        <v>0</v>
      </c>
      <c r="AF94" s="27">
        <v>0</v>
      </c>
      <c r="AG94" s="27">
        <v>0</v>
      </c>
      <c r="AH94" s="27">
        <v>0</v>
      </c>
      <c r="AI94" s="27">
        <v>0</v>
      </c>
      <c r="AJ94" s="27">
        <v>0</v>
      </c>
      <c r="AK94" s="26">
        <v>0</v>
      </c>
      <c r="AL94" s="28"/>
      <c r="AM94" s="204"/>
      <c r="AN94" s="13">
        <v>0</v>
      </c>
      <c r="AO94" s="13">
        <v>0</v>
      </c>
    </row>
    <row r="95" spans="1:41" s="15" customFormat="1">
      <c r="A95" s="167"/>
      <c r="B95" s="12" t="s">
        <v>10</v>
      </c>
      <c r="C95" s="27">
        <v>5000</v>
      </c>
      <c r="D95" s="26"/>
      <c r="E95" s="27"/>
      <c r="F95" s="27"/>
      <c r="G95" s="27">
        <v>5000</v>
      </c>
      <c r="H95" s="27"/>
      <c r="I95" s="26">
        <v>0</v>
      </c>
      <c r="J95" s="27"/>
      <c r="K95" s="27"/>
      <c r="L95" s="27"/>
      <c r="M95" s="27"/>
      <c r="N95" s="26">
        <v>0</v>
      </c>
      <c r="O95" s="27"/>
      <c r="P95" s="27"/>
      <c r="Q95" s="27"/>
      <c r="R95" s="27"/>
      <c r="S95" s="27"/>
      <c r="T95" s="26">
        <v>0</v>
      </c>
      <c r="U95" s="28">
        <v>0</v>
      </c>
      <c r="V95" s="27"/>
      <c r="W95" s="27"/>
      <c r="X95" s="27"/>
      <c r="Y95" s="27"/>
      <c r="Z95" s="26">
        <v>0</v>
      </c>
      <c r="AA95" s="27"/>
      <c r="AB95" s="27"/>
      <c r="AC95" s="27"/>
      <c r="AD95" s="27"/>
      <c r="AE95" s="26">
        <v>0</v>
      </c>
      <c r="AF95" s="27"/>
      <c r="AG95" s="27"/>
      <c r="AH95" s="27"/>
      <c r="AI95" s="27"/>
      <c r="AJ95" s="27"/>
      <c r="AK95" s="26">
        <v>0</v>
      </c>
      <c r="AL95" s="28">
        <v>0</v>
      </c>
      <c r="AM95" s="204"/>
      <c r="AN95" s="13">
        <v>0</v>
      </c>
      <c r="AO95" s="13">
        <v>0</v>
      </c>
    </row>
    <row r="96" spans="1:41" s="15" customFormat="1">
      <c r="A96" s="167"/>
      <c r="B96" s="12" t="s">
        <v>7</v>
      </c>
      <c r="C96" s="26"/>
      <c r="D96" s="26"/>
      <c r="E96" s="27">
        <v>0</v>
      </c>
      <c r="F96" s="27">
        <v>1700</v>
      </c>
      <c r="G96" s="27">
        <v>5000</v>
      </c>
      <c r="H96" s="27">
        <v>0</v>
      </c>
      <c r="I96" s="26">
        <v>6700</v>
      </c>
      <c r="J96" s="32">
        <v>0</v>
      </c>
      <c r="K96" s="27">
        <v>0</v>
      </c>
      <c r="L96" s="27">
        <v>0</v>
      </c>
      <c r="M96" s="27">
        <v>0</v>
      </c>
      <c r="N96" s="26">
        <v>0</v>
      </c>
      <c r="O96" s="27">
        <v>0</v>
      </c>
      <c r="P96" s="27">
        <v>0</v>
      </c>
      <c r="Q96" s="27">
        <v>0</v>
      </c>
      <c r="R96" s="27">
        <v>0</v>
      </c>
      <c r="S96" s="27">
        <v>0</v>
      </c>
      <c r="T96" s="26">
        <v>0</v>
      </c>
      <c r="U96" s="28">
        <v>7047</v>
      </c>
      <c r="V96" s="27">
        <v>0</v>
      </c>
      <c r="W96" s="27">
        <v>0</v>
      </c>
      <c r="X96" s="27">
        <v>0</v>
      </c>
      <c r="Y96" s="27">
        <v>0</v>
      </c>
      <c r="Z96" s="26">
        <v>0</v>
      </c>
      <c r="AA96" s="32">
        <v>0</v>
      </c>
      <c r="AB96" s="27">
        <v>0</v>
      </c>
      <c r="AC96" s="27">
        <v>0</v>
      </c>
      <c r="AD96" s="27">
        <v>0</v>
      </c>
      <c r="AE96" s="26">
        <v>0</v>
      </c>
      <c r="AF96" s="32">
        <v>0</v>
      </c>
      <c r="AG96" s="27">
        <v>0</v>
      </c>
      <c r="AH96" s="27">
        <v>0</v>
      </c>
      <c r="AI96" s="27">
        <v>0</v>
      </c>
      <c r="AJ96" s="27">
        <v>0</v>
      </c>
      <c r="AK96" s="26">
        <v>0</v>
      </c>
      <c r="AL96" s="28">
        <v>-4413</v>
      </c>
      <c r="AM96" s="204"/>
      <c r="AN96" s="13">
        <v>0</v>
      </c>
      <c r="AO96" s="13">
        <v>0</v>
      </c>
    </row>
    <row r="97" spans="1:41" s="15" customFormat="1" ht="17" thickBot="1">
      <c r="A97" s="168"/>
      <c r="B97" s="4" t="s">
        <v>8</v>
      </c>
      <c r="C97" s="26">
        <v>7034</v>
      </c>
      <c r="D97" s="37">
        <v>347</v>
      </c>
      <c r="E97" s="21">
        <v>0</v>
      </c>
      <c r="F97" s="21">
        <v>0</v>
      </c>
      <c r="G97" s="21">
        <v>3452</v>
      </c>
      <c r="H97" s="21">
        <v>1256</v>
      </c>
      <c r="I97" s="20">
        <v>1256</v>
      </c>
      <c r="J97" s="21">
        <v>1256</v>
      </c>
      <c r="K97" s="21">
        <v>1220</v>
      </c>
      <c r="L97" s="21">
        <v>603</v>
      </c>
      <c r="M97" s="21">
        <v>179</v>
      </c>
      <c r="N97" s="20">
        <v>179</v>
      </c>
      <c r="O97" s="21">
        <v>-1417</v>
      </c>
      <c r="P97" s="21">
        <v>-1417</v>
      </c>
      <c r="Q97" s="21">
        <v>-2816</v>
      </c>
      <c r="R97" s="21">
        <v>-4413</v>
      </c>
      <c r="S97" s="21">
        <v>-4413</v>
      </c>
      <c r="T97" s="20">
        <v>-4413</v>
      </c>
      <c r="U97" s="22">
        <v>-4413</v>
      </c>
      <c r="V97" s="21">
        <v>-4413</v>
      </c>
      <c r="W97" s="21">
        <v>-4413</v>
      </c>
      <c r="X97" s="21">
        <v>-4413</v>
      </c>
      <c r="Y97" s="21">
        <v>-4413</v>
      </c>
      <c r="Z97" s="20">
        <v>-4413</v>
      </c>
      <c r="AA97" s="21">
        <v>-4413</v>
      </c>
      <c r="AB97" s="21">
        <v>-4413</v>
      </c>
      <c r="AC97" s="21">
        <v>-4413</v>
      </c>
      <c r="AD97" s="21">
        <v>-4413</v>
      </c>
      <c r="AE97" s="20">
        <v>-4413</v>
      </c>
      <c r="AF97" s="21">
        <v>-4413</v>
      </c>
      <c r="AG97" s="21">
        <v>-4413</v>
      </c>
      <c r="AH97" s="21">
        <v>-4413</v>
      </c>
      <c r="AI97" s="21">
        <v>-4413</v>
      </c>
      <c r="AJ97" s="21">
        <v>-4413</v>
      </c>
      <c r="AK97" s="20">
        <v>-4413</v>
      </c>
      <c r="AL97" s="22">
        <v>-4413</v>
      </c>
      <c r="AM97" s="204"/>
      <c r="AN97" s="13">
        <v>0</v>
      </c>
      <c r="AO97" s="13">
        <v>0</v>
      </c>
    </row>
    <row r="98" spans="1:41" s="15" customFormat="1" ht="17" thickBot="1">
      <c r="A98" s="46"/>
      <c r="B98" s="12" t="s">
        <v>9</v>
      </c>
      <c r="C98" s="26"/>
      <c r="D98" s="26"/>
      <c r="E98" s="19">
        <v>0</v>
      </c>
      <c r="F98" s="19" t="e">
        <v>#DIV/0!</v>
      </c>
      <c r="G98" s="19" t="e">
        <v>#DIV/0!</v>
      </c>
      <c r="H98" s="19" t="e">
        <v>#DIV/0!</v>
      </c>
      <c r="I98" s="23"/>
      <c r="J98" s="19">
        <v>0</v>
      </c>
      <c r="K98" s="19">
        <v>0</v>
      </c>
      <c r="L98" s="19">
        <v>0</v>
      </c>
      <c r="M98" s="19">
        <v>0</v>
      </c>
      <c r="N98" s="23"/>
      <c r="O98" s="19">
        <v>-43201.621073961498</v>
      </c>
      <c r="P98" s="19">
        <v>-4099.0146599375148</v>
      </c>
      <c r="Q98" s="19" t="e">
        <v>#DIV/0!</v>
      </c>
      <c r="R98" s="19" t="e">
        <v>#DIV/0!</v>
      </c>
      <c r="S98" s="19" t="e">
        <v>#REF!</v>
      </c>
      <c r="T98" s="23"/>
      <c r="U98" s="24"/>
      <c r="V98" s="19">
        <v>-51788.371452190688</v>
      </c>
      <c r="W98" s="19">
        <v>-51788.371452190688</v>
      </c>
      <c r="X98" s="19">
        <v>-56758.986446670599</v>
      </c>
      <c r="Y98" s="19">
        <v>-56758.986446670599</v>
      </c>
      <c r="Z98" s="23"/>
      <c r="AA98" s="19">
        <v>-57420.486948892307</v>
      </c>
      <c r="AB98" s="19">
        <v>-57420.486948892307</v>
      </c>
      <c r="AC98" s="19">
        <v>-68063.872255489012</v>
      </c>
      <c r="AD98" s="19">
        <v>-68063.872255489012</v>
      </c>
      <c r="AE98" s="23"/>
      <c r="AF98" s="19" t="e">
        <v>#DIV/0!</v>
      </c>
      <c r="AG98" s="19">
        <v>-36854.904079978383</v>
      </c>
      <c r="AH98" s="19" t="e">
        <v>#DIV/0!</v>
      </c>
      <c r="AI98" s="19" t="e">
        <v>#DIV/0!</v>
      </c>
      <c r="AJ98" s="19" t="e">
        <v>#REF!</v>
      </c>
      <c r="AK98" s="26" t="e">
        <v>#DIV/0!</v>
      </c>
      <c r="AL98" s="24"/>
      <c r="AN98" s="13">
        <v>0</v>
      </c>
      <c r="AO98" s="13">
        <v>0</v>
      </c>
    </row>
    <row r="99" spans="1:41" s="15" customFormat="1">
      <c r="A99" s="166" t="s">
        <v>35</v>
      </c>
      <c r="B99" s="3" t="s">
        <v>5</v>
      </c>
      <c r="C99" s="26"/>
      <c r="D99" s="26"/>
      <c r="E99" s="27">
        <v>2000</v>
      </c>
      <c r="F99" s="27">
        <v>0</v>
      </c>
      <c r="G99" s="27">
        <v>-2330</v>
      </c>
      <c r="H99" s="27">
        <v>954</v>
      </c>
      <c r="I99" s="26">
        <v>624</v>
      </c>
      <c r="J99" s="27">
        <v>0</v>
      </c>
      <c r="K99" s="27">
        <v>9</v>
      </c>
      <c r="L99" s="27">
        <v>2059</v>
      </c>
      <c r="M99" s="27">
        <v>506</v>
      </c>
      <c r="N99" s="26">
        <v>2574</v>
      </c>
      <c r="O99" s="27">
        <v>8703</v>
      </c>
      <c r="P99" s="27">
        <v>0</v>
      </c>
      <c r="Q99" s="27">
        <v>6327</v>
      </c>
      <c r="R99" s="27">
        <v>403</v>
      </c>
      <c r="S99" s="27">
        <v>0</v>
      </c>
      <c r="T99" s="26">
        <v>15433</v>
      </c>
      <c r="U99" s="28">
        <v>19324</v>
      </c>
      <c r="V99" s="27">
        <v>0</v>
      </c>
      <c r="W99" s="27">
        <v>0</v>
      </c>
      <c r="X99" s="27">
        <v>0</v>
      </c>
      <c r="Y99" s="27">
        <v>0</v>
      </c>
      <c r="Z99" s="26">
        <v>0</v>
      </c>
      <c r="AA99" s="27">
        <v>0</v>
      </c>
      <c r="AB99" s="27">
        <v>0</v>
      </c>
      <c r="AC99" s="27">
        <v>0</v>
      </c>
      <c r="AD99" s="27">
        <v>0</v>
      </c>
      <c r="AE99" s="26">
        <v>0</v>
      </c>
      <c r="AF99" s="27">
        <v>0</v>
      </c>
      <c r="AG99" s="27">
        <v>0</v>
      </c>
      <c r="AH99" s="27">
        <v>0</v>
      </c>
      <c r="AI99" s="27">
        <v>0</v>
      </c>
      <c r="AJ99" s="27">
        <v>0</v>
      </c>
      <c r="AK99" s="26">
        <v>0</v>
      </c>
      <c r="AL99" s="28">
        <v>0</v>
      </c>
      <c r="AM99" s="204">
        <v>64</v>
      </c>
      <c r="AN99" s="13">
        <v>1236736</v>
      </c>
      <c r="AO99" s="13">
        <v>0</v>
      </c>
    </row>
    <row r="100" spans="1:41" s="15" customFormat="1">
      <c r="A100" s="167"/>
      <c r="B100" s="12" t="s">
        <v>6</v>
      </c>
      <c r="C100" s="26"/>
      <c r="D100" s="26"/>
      <c r="E100" s="27">
        <v>2000</v>
      </c>
      <c r="F100" s="27">
        <v>0</v>
      </c>
      <c r="G100" s="27">
        <v>0</v>
      </c>
      <c r="H100" s="27">
        <v>0</v>
      </c>
      <c r="I100" s="26">
        <v>2000</v>
      </c>
      <c r="J100" s="27">
        <v>0</v>
      </c>
      <c r="K100" s="27">
        <v>0</v>
      </c>
      <c r="L100" s="27">
        <v>0</v>
      </c>
      <c r="M100" s="27">
        <v>14000</v>
      </c>
      <c r="N100" s="26">
        <v>14000</v>
      </c>
      <c r="O100" s="27">
        <v>0</v>
      </c>
      <c r="P100" s="27">
        <v>0</v>
      </c>
      <c r="Q100" s="27">
        <v>0</v>
      </c>
      <c r="R100" s="27">
        <v>8000</v>
      </c>
      <c r="S100" s="27">
        <v>0</v>
      </c>
      <c r="T100" s="26">
        <v>8000</v>
      </c>
      <c r="U100" s="28"/>
      <c r="V100" s="27">
        <v>0</v>
      </c>
      <c r="W100" s="27">
        <v>0</v>
      </c>
      <c r="X100" s="27">
        <v>0</v>
      </c>
      <c r="Y100" s="27">
        <v>0</v>
      </c>
      <c r="Z100" s="26">
        <v>0</v>
      </c>
      <c r="AA100" s="27">
        <v>0</v>
      </c>
      <c r="AB100" s="27">
        <v>0</v>
      </c>
      <c r="AC100" s="27">
        <v>0</v>
      </c>
      <c r="AD100" s="27">
        <v>0</v>
      </c>
      <c r="AE100" s="26">
        <v>0</v>
      </c>
      <c r="AF100" s="27">
        <v>0</v>
      </c>
      <c r="AG100" s="27">
        <v>0</v>
      </c>
      <c r="AH100" s="27">
        <v>0</v>
      </c>
      <c r="AI100" s="27">
        <v>0</v>
      </c>
      <c r="AJ100" s="27">
        <v>0</v>
      </c>
      <c r="AK100" s="26">
        <v>0</v>
      </c>
      <c r="AL100" s="28"/>
      <c r="AM100" s="204"/>
      <c r="AN100" s="13">
        <v>0</v>
      </c>
      <c r="AO100" s="13">
        <v>0</v>
      </c>
    </row>
    <row r="101" spans="1:41" s="15" customFormat="1">
      <c r="A101" s="167"/>
      <c r="B101" s="12" t="s">
        <v>10</v>
      </c>
      <c r="C101" s="27">
        <v>0</v>
      </c>
      <c r="D101" s="26"/>
      <c r="E101" s="27"/>
      <c r="F101" s="27"/>
      <c r="G101" s="27">
        <v>0</v>
      </c>
      <c r="H101" s="27"/>
      <c r="I101" s="26">
        <v>0</v>
      </c>
      <c r="J101" s="27"/>
      <c r="K101" s="27"/>
      <c r="L101" s="27"/>
      <c r="M101" s="27"/>
      <c r="N101" s="26">
        <v>0</v>
      </c>
      <c r="O101" s="27"/>
      <c r="P101" s="27"/>
      <c r="Q101" s="27"/>
      <c r="R101" s="27"/>
      <c r="S101" s="27"/>
      <c r="T101" s="26">
        <v>0</v>
      </c>
      <c r="U101" s="28">
        <v>0</v>
      </c>
      <c r="V101" s="27"/>
      <c r="W101" s="27"/>
      <c r="X101" s="27"/>
      <c r="Y101" s="27"/>
      <c r="Z101" s="26">
        <v>0</v>
      </c>
      <c r="AA101" s="27"/>
      <c r="AB101" s="27"/>
      <c r="AC101" s="27"/>
      <c r="AD101" s="27"/>
      <c r="AE101" s="26">
        <v>0</v>
      </c>
      <c r="AF101" s="27"/>
      <c r="AG101" s="27"/>
      <c r="AH101" s="27"/>
      <c r="AI101" s="27"/>
      <c r="AJ101" s="27"/>
      <c r="AK101" s="26">
        <v>0</v>
      </c>
      <c r="AL101" s="28">
        <v>0</v>
      </c>
      <c r="AM101" s="204"/>
      <c r="AN101" s="13">
        <v>0</v>
      </c>
      <c r="AO101" s="13">
        <v>0</v>
      </c>
    </row>
    <row r="102" spans="1:41" s="15" customFormat="1">
      <c r="A102" s="167"/>
      <c r="B102" s="12" t="s">
        <v>7</v>
      </c>
      <c r="C102" s="26"/>
      <c r="D102" s="26"/>
      <c r="E102" s="27">
        <v>2000</v>
      </c>
      <c r="F102" s="27">
        <v>0</v>
      </c>
      <c r="G102" s="27">
        <v>0</v>
      </c>
      <c r="H102" s="27">
        <v>0</v>
      </c>
      <c r="I102" s="26">
        <v>2000</v>
      </c>
      <c r="J102" s="32">
        <v>0</v>
      </c>
      <c r="K102" s="27">
        <v>0</v>
      </c>
      <c r="L102" s="27">
        <v>0</v>
      </c>
      <c r="M102" s="27">
        <v>14000</v>
      </c>
      <c r="N102" s="26">
        <v>14000</v>
      </c>
      <c r="O102" s="27">
        <v>0</v>
      </c>
      <c r="P102" s="27">
        <v>0</v>
      </c>
      <c r="Q102" s="27">
        <v>0</v>
      </c>
      <c r="R102" s="27">
        <v>8000</v>
      </c>
      <c r="S102" s="27">
        <v>0</v>
      </c>
      <c r="T102" s="26">
        <v>8000</v>
      </c>
      <c r="U102" s="28">
        <v>24693</v>
      </c>
      <c r="V102" s="27">
        <v>0</v>
      </c>
      <c r="W102" s="27">
        <v>0</v>
      </c>
      <c r="X102" s="27">
        <v>0</v>
      </c>
      <c r="Y102" s="27">
        <v>0</v>
      </c>
      <c r="Z102" s="26">
        <v>0</v>
      </c>
      <c r="AA102" s="32">
        <v>0</v>
      </c>
      <c r="AB102" s="27">
        <v>0</v>
      </c>
      <c r="AC102" s="27">
        <v>0</v>
      </c>
      <c r="AD102" s="27">
        <v>0</v>
      </c>
      <c r="AE102" s="26">
        <v>0</v>
      </c>
      <c r="AF102" s="32">
        <v>0</v>
      </c>
      <c r="AG102" s="27">
        <v>0</v>
      </c>
      <c r="AH102" s="27">
        <v>0</v>
      </c>
      <c r="AI102" s="27">
        <v>0</v>
      </c>
      <c r="AJ102" s="27">
        <v>0</v>
      </c>
      <c r="AK102" s="26">
        <v>0</v>
      </c>
      <c r="AL102" s="28">
        <v>5369</v>
      </c>
      <c r="AM102" s="204"/>
      <c r="AN102" s="13">
        <v>0</v>
      </c>
      <c r="AO102" s="13">
        <v>0</v>
      </c>
    </row>
    <row r="103" spans="1:41" s="15" customFormat="1" ht="17" thickBot="1">
      <c r="A103" s="168"/>
      <c r="B103" s="4" t="s">
        <v>8</v>
      </c>
      <c r="C103" s="26">
        <v>4900</v>
      </c>
      <c r="D103" s="37">
        <v>693</v>
      </c>
      <c r="E103" s="21">
        <v>0</v>
      </c>
      <c r="F103" s="21">
        <v>0</v>
      </c>
      <c r="G103" s="21">
        <v>2330</v>
      </c>
      <c r="H103" s="21">
        <v>1376</v>
      </c>
      <c r="I103" s="20">
        <v>1376</v>
      </c>
      <c r="J103" s="21">
        <v>1376</v>
      </c>
      <c r="K103" s="21">
        <v>1367</v>
      </c>
      <c r="L103" s="21">
        <v>-692</v>
      </c>
      <c r="M103" s="21">
        <v>12802</v>
      </c>
      <c r="N103" s="20">
        <v>12802</v>
      </c>
      <c r="O103" s="21">
        <v>4099</v>
      </c>
      <c r="P103" s="21">
        <v>4099</v>
      </c>
      <c r="Q103" s="21">
        <v>-2228</v>
      </c>
      <c r="R103" s="21">
        <v>5369</v>
      </c>
      <c r="S103" s="21">
        <v>5369</v>
      </c>
      <c r="T103" s="20">
        <v>5369</v>
      </c>
      <c r="U103" s="22">
        <v>5369</v>
      </c>
      <c r="V103" s="21">
        <v>5369</v>
      </c>
      <c r="W103" s="21">
        <v>5369</v>
      </c>
      <c r="X103" s="21">
        <v>5369</v>
      </c>
      <c r="Y103" s="21">
        <v>5369</v>
      </c>
      <c r="Z103" s="20">
        <v>5369</v>
      </c>
      <c r="AA103" s="21">
        <v>5369</v>
      </c>
      <c r="AB103" s="21">
        <v>5369</v>
      </c>
      <c r="AC103" s="21">
        <v>5369</v>
      </c>
      <c r="AD103" s="21">
        <v>5369</v>
      </c>
      <c r="AE103" s="20">
        <v>5369</v>
      </c>
      <c r="AF103" s="21">
        <v>5369</v>
      </c>
      <c r="AG103" s="21">
        <v>5369</v>
      </c>
      <c r="AH103" s="21">
        <v>5369</v>
      </c>
      <c r="AI103" s="21">
        <v>5369</v>
      </c>
      <c r="AJ103" s="21">
        <v>5369</v>
      </c>
      <c r="AK103" s="20">
        <v>5369</v>
      </c>
      <c r="AL103" s="22">
        <v>5369</v>
      </c>
      <c r="AM103" s="204"/>
      <c r="AN103" s="13">
        <v>0</v>
      </c>
      <c r="AO103" s="13">
        <v>0</v>
      </c>
    </row>
    <row r="104" spans="1:41" s="15" customFormat="1" ht="17" thickBot="1">
      <c r="A104" s="46"/>
      <c r="B104" s="12" t="s">
        <v>9</v>
      </c>
      <c r="C104" s="26"/>
      <c r="D104" s="26"/>
      <c r="E104" s="19">
        <v>0</v>
      </c>
      <c r="F104" s="19">
        <v>0</v>
      </c>
      <c r="G104" s="19" t="e">
        <v>#DIV/0!</v>
      </c>
      <c r="H104" s="19" t="e">
        <v>#DIV/0!</v>
      </c>
      <c r="I104" s="23"/>
      <c r="J104" s="19" t="e">
        <v>#DIV/0!</v>
      </c>
      <c r="K104" s="19" t="e">
        <v>#DIV/0!</v>
      </c>
      <c r="L104" s="19">
        <v>0</v>
      </c>
      <c r="M104" s="19">
        <v>0</v>
      </c>
      <c r="N104" s="23"/>
      <c r="O104" s="19">
        <v>200000</v>
      </c>
      <c r="P104" s="19">
        <v>12068.79211505582</v>
      </c>
      <c r="Q104" s="19" t="e">
        <v>#DIV/0!</v>
      </c>
      <c r="R104" s="19" t="e">
        <v>#DIV/0!</v>
      </c>
      <c r="S104" s="19" t="e">
        <v>#REF!</v>
      </c>
      <c r="T104" s="23"/>
      <c r="U104" s="24"/>
      <c r="V104" s="19">
        <v>35890.410958904111</v>
      </c>
      <c r="W104" s="19">
        <v>35890.410958904111</v>
      </c>
      <c r="X104" s="19">
        <v>49589.04109589041</v>
      </c>
      <c r="Y104" s="19">
        <v>49589.04109589041</v>
      </c>
      <c r="Z104" s="23"/>
      <c r="AA104" s="19">
        <v>342000</v>
      </c>
      <c r="AB104" s="19">
        <v>342000</v>
      </c>
      <c r="AC104" s="19">
        <v>342000</v>
      </c>
      <c r="AD104" s="19">
        <v>342000</v>
      </c>
      <c r="AE104" s="23"/>
      <c r="AF104" s="19" t="e">
        <v>#DIV/0!</v>
      </c>
      <c r="AG104" s="19">
        <v>41204.819277108436</v>
      </c>
      <c r="AH104" s="19" t="e">
        <v>#DIV/0!</v>
      </c>
      <c r="AI104" s="19" t="e">
        <v>#DIV/0!</v>
      </c>
      <c r="AJ104" s="19" t="e">
        <v>#REF!</v>
      </c>
      <c r="AK104" s="26" t="e">
        <v>#DIV/0!</v>
      </c>
      <c r="AL104" s="24"/>
      <c r="AN104" s="13">
        <v>0</v>
      </c>
      <c r="AO104" s="13">
        <v>0</v>
      </c>
    </row>
    <row r="105" spans="1:41" s="15" customFormat="1">
      <c r="A105" s="166" t="s">
        <v>29</v>
      </c>
      <c r="B105" s="3" t="s">
        <v>5</v>
      </c>
      <c r="C105" s="26"/>
      <c r="D105" s="26"/>
      <c r="E105" s="27">
        <v>14592</v>
      </c>
      <c r="F105" s="27">
        <v>63982</v>
      </c>
      <c r="G105" s="27">
        <v>-70551</v>
      </c>
      <c r="H105" s="27">
        <v>31900</v>
      </c>
      <c r="I105" s="26">
        <v>39923</v>
      </c>
      <c r="J105" s="27">
        <v>9930</v>
      </c>
      <c r="K105" s="27">
        <v>11890</v>
      </c>
      <c r="L105" s="27">
        <v>34810</v>
      </c>
      <c r="M105" s="27">
        <v>3194</v>
      </c>
      <c r="N105" s="26">
        <v>59824</v>
      </c>
      <c r="O105" s="27">
        <v>72772</v>
      </c>
      <c r="P105" s="27">
        <v>4188</v>
      </c>
      <c r="Q105" s="27">
        <v>61696</v>
      </c>
      <c r="R105" s="27">
        <v>39160</v>
      </c>
      <c r="S105" s="27">
        <v>176800</v>
      </c>
      <c r="T105" s="26">
        <v>354616</v>
      </c>
      <c r="U105" s="28">
        <v>527268</v>
      </c>
      <c r="V105" s="27">
        <v>40</v>
      </c>
      <c r="W105" s="27">
        <v>0</v>
      </c>
      <c r="X105" s="27">
        <v>760</v>
      </c>
      <c r="Y105" s="27">
        <v>122000</v>
      </c>
      <c r="Z105" s="26">
        <v>122800</v>
      </c>
      <c r="AA105" s="27">
        <v>0</v>
      </c>
      <c r="AB105" s="27">
        <v>0</v>
      </c>
      <c r="AC105" s="27">
        <v>0</v>
      </c>
      <c r="AD105" s="27">
        <v>0</v>
      </c>
      <c r="AE105" s="26">
        <v>0</v>
      </c>
      <c r="AF105" s="27">
        <v>0</v>
      </c>
      <c r="AG105" s="27">
        <v>0</v>
      </c>
      <c r="AH105" s="27">
        <v>0</v>
      </c>
      <c r="AI105" s="27">
        <v>0</v>
      </c>
      <c r="AJ105" s="27">
        <v>0</v>
      </c>
      <c r="AK105" s="26">
        <v>0</v>
      </c>
      <c r="AL105" s="28">
        <v>122800</v>
      </c>
      <c r="AM105" s="204">
        <v>16</v>
      </c>
      <c r="AN105" s="13">
        <v>8436288</v>
      </c>
      <c r="AO105" s="13">
        <v>1964800</v>
      </c>
    </row>
    <row r="106" spans="1:41" s="15" customFormat="1">
      <c r="A106" s="167"/>
      <c r="B106" s="12" t="s">
        <v>6</v>
      </c>
      <c r="C106" s="26"/>
      <c r="D106" s="26"/>
      <c r="E106" s="27">
        <v>14592</v>
      </c>
      <c r="F106" s="27">
        <v>63982</v>
      </c>
      <c r="G106" s="27">
        <v>14258</v>
      </c>
      <c r="H106" s="27">
        <v>0</v>
      </c>
      <c r="I106" s="26">
        <v>92832</v>
      </c>
      <c r="J106" s="27">
        <v>0</v>
      </c>
      <c r="K106" s="27">
        <v>0</v>
      </c>
      <c r="L106" s="27">
        <v>0</v>
      </c>
      <c r="M106" s="27">
        <v>90000</v>
      </c>
      <c r="N106" s="26">
        <v>90000</v>
      </c>
      <c r="O106" s="27">
        <v>0</v>
      </c>
      <c r="P106" s="27">
        <v>0</v>
      </c>
      <c r="Q106" s="27">
        <v>0</v>
      </c>
      <c r="R106" s="27">
        <v>400000</v>
      </c>
      <c r="S106" s="27">
        <v>0</v>
      </c>
      <c r="T106" s="26">
        <v>400000</v>
      </c>
      <c r="U106" s="28"/>
      <c r="V106" s="27">
        <v>0</v>
      </c>
      <c r="W106" s="27">
        <v>0</v>
      </c>
      <c r="X106" s="27">
        <v>0</v>
      </c>
      <c r="Y106" s="27">
        <v>0</v>
      </c>
      <c r="Z106" s="26">
        <v>0</v>
      </c>
      <c r="AA106" s="27">
        <v>0</v>
      </c>
      <c r="AB106" s="27">
        <v>0</v>
      </c>
      <c r="AC106" s="27">
        <v>0</v>
      </c>
      <c r="AD106" s="27">
        <v>0</v>
      </c>
      <c r="AE106" s="26">
        <v>0</v>
      </c>
      <c r="AF106" s="27">
        <v>0</v>
      </c>
      <c r="AG106" s="27">
        <v>0</v>
      </c>
      <c r="AH106" s="27">
        <v>0</v>
      </c>
      <c r="AI106" s="27">
        <v>0</v>
      </c>
      <c r="AJ106" s="27">
        <v>0</v>
      </c>
      <c r="AK106" s="26">
        <v>0</v>
      </c>
      <c r="AL106" s="28"/>
      <c r="AM106" s="204"/>
      <c r="AN106" s="13">
        <v>0</v>
      </c>
      <c r="AO106" s="13">
        <v>0</v>
      </c>
    </row>
    <row r="107" spans="1:41" s="15" customFormat="1">
      <c r="A107" s="167"/>
      <c r="B107" s="12" t="s">
        <v>10</v>
      </c>
      <c r="C107" s="26">
        <v>37168</v>
      </c>
      <c r="D107" s="26"/>
      <c r="E107" s="27"/>
      <c r="F107" s="27"/>
      <c r="G107" s="27">
        <v>37168</v>
      </c>
      <c r="H107" s="27"/>
      <c r="I107" s="26">
        <v>0</v>
      </c>
      <c r="J107" s="27"/>
      <c r="K107" s="27"/>
      <c r="L107" s="27"/>
      <c r="M107" s="27"/>
      <c r="N107" s="26">
        <v>30880</v>
      </c>
      <c r="O107" s="27"/>
      <c r="P107" s="27"/>
      <c r="Q107" s="27"/>
      <c r="R107" s="27"/>
      <c r="S107" s="27"/>
      <c r="T107" s="26">
        <v>0</v>
      </c>
      <c r="U107" s="28">
        <v>30880</v>
      </c>
      <c r="V107" s="27"/>
      <c r="W107" s="27"/>
      <c r="X107" s="27"/>
      <c r="Y107" s="27"/>
      <c r="Z107" s="26">
        <v>0</v>
      </c>
      <c r="AA107" s="27"/>
      <c r="AB107" s="27"/>
      <c r="AC107" s="27"/>
      <c r="AD107" s="27"/>
      <c r="AE107" s="26">
        <v>0</v>
      </c>
      <c r="AF107" s="27"/>
      <c r="AG107" s="27"/>
      <c r="AH107" s="27"/>
      <c r="AI107" s="27"/>
      <c r="AJ107" s="27"/>
      <c r="AK107" s="26">
        <v>0</v>
      </c>
      <c r="AL107" s="28">
        <v>0</v>
      </c>
      <c r="AM107" s="204"/>
      <c r="AN107" s="13">
        <v>0</v>
      </c>
      <c r="AO107" s="13">
        <v>0</v>
      </c>
    </row>
    <row r="108" spans="1:41" s="15" customFormat="1">
      <c r="A108" s="167"/>
      <c r="B108" s="12" t="s">
        <v>7</v>
      </c>
      <c r="C108" s="26"/>
      <c r="D108" s="26"/>
      <c r="E108" s="27">
        <v>14592</v>
      </c>
      <c r="F108" s="27">
        <v>63982</v>
      </c>
      <c r="G108" s="27">
        <v>51426</v>
      </c>
      <c r="H108" s="27">
        <v>0</v>
      </c>
      <c r="I108" s="26">
        <v>130000</v>
      </c>
      <c r="J108" s="32">
        <v>0</v>
      </c>
      <c r="K108" s="27">
        <v>0</v>
      </c>
      <c r="L108" s="27">
        <v>0</v>
      </c>
      <c r="M108" s="27">
        <v>90000</v>
      </c>
      <c r="N108" s="26">
        <v>90000</v>
      </c>
      <c r="O108" s="27">
        <v>0</v>
      </c>
      <c r="P108" s="27">
        <v>0</v>
      </c>
      <c r="Q108" s="27">
        <v>0</v>
      </c>
      <c r="R108" s="27">
        <v>400000</v>
      </c>
      <c r="S108" s="27">
        <v>0</v>
      </c>
      <c r="T108" s="26">
        <v>400000</v>
      </c>
      <c r="U108" s="28">
        <v>692905</v>
      </c>
      <c r="V108" s="27">
        <v>0</v>
      </c>
      <c r="W108" s="27">
        <v>0</v>
      </c>
      <c r="X108" s="27">
        <v>0</v>
      </c>
      <c r="Y108" s="27">
        <v>0</v>
      </c>
      <c r="Z108" s="26">
        <v>0</v>
      </c>
      <c r="AA108" s="32">
        <v>0</v>
      </c>
      <c r="AB108" s="27">
        <v>0</v>
      </c>
      <c r="AC108" s="27">
        <v>0</v>
      </c>
      <c r="AD108" s="27">
        <v>0</v>
      </c>
      <c r="AE108" s="26">
        <v>0</v>
      </c>
      <c r="AF108" s="32">
        <v>0</v>
      </c>
      <c r="AG108" s="27">
        <v>0</v>
      </c>
      <c r="AH108" s="27">
        <v>0</v>
      </c>
      <c r="AI108" s="27">
        <v>0</v>
      </c>
      <c r="AJ108" s="27">
        <v>0</v>
      </c>
      <c r="AK108" s="26">
        <v>0</v>
      </c>
      <c r="AL108" s="28">
        <v>165637</v>
      </c>
      <c r="AM108" s="204"/>
      <c r="AN108" s="13">
        <v>0</v>
      </c>
      <c r="AO108" s="13">
        <v>0</v>
      </c>
    </row>
    <row r="109" spans="1:41" s="15" customFormat="1" ht="17" thickBot="1">
      <c r="A109" s="168"/>
      <c r="B109" s="4" t="s">
        <v>8</v>
      </c>
      <c r="C109" s="26">
        <v>153699</v>
      </c>
      <c r="D109" s="37">
        <v>72905</v>
      </c>
      <c r="E109" s="21">
        <v>0</v>
      </c>
      <c r="F109" s="21">
        <v>0</v>
      </c>
      <c r="G109" s="21">
        <v>121977</v>
      </c>
      <c r="H109" s="21">
        <v>90077</v>
      </c>
      <c r="I109" s="20">
        <v>90077</v>
      </c>
      <c r="J109" s="21">
        <v>80147</v>
      </c>
      <c r="K109" s="21">
        <v>68257</v>
      </c>
      <c r="L109" s="21">
        <v>33447</v>
      </c>
      <c r="M109" s="21">
        <v>120253</v>
      </c>
      <c r="N109" s="20">
        <v>120253</v>
      </c>
      <c r="O109" s="21">
        <v>47481</v>
      </c>
      <c r="P109" s="21">
        <v>43293</v>
      </c>
      <c r="Q109" s="21">
        <v>-18403</v>
      </c>
      <c r="R109" s="21">
        <v>342437</v>
      </c>
      <c r="S109" s="21">
        <v>165637</v>
      </c>
      <c r="T109" s="20">
        <v>165637</v>
      </c>
      <c r="U109" s="22">
        <v>165637</v>
      </c>
      <c r="V109" s="21">
        <v>165597</v>
      </c>
      <c r="W109" s="21">
        <v>165597</v>
      </c>
      <c r="X109" s="21">
        <v>164837</v>
      </c>
      <c r="Y109" s="21">
        <v>42837</v>
      </c>
      <c r="Z109" s="20">
        <v>42837</v>
      </c>
      <c r="AA109" s="21">
        <v>42837</v>
      </c>
      <c r="AB109" s="21">
        <v>42837</v>
      </c>
      <c r="AC109" s="21">
        <v>42837</v>
      </c>
      <c r="AD109" s="21">
        <v>42837</v>
      </c>
      <c r="AE109" s="20">
        <v>42837</v>
      </c>
      <c r="AF109" s="21">
        <v>42837</v>
      </c>
      <c r="AG109" s="21">
        <v>42837</v>
      </c>
      <c r="AH109" s="21">
        <v>42837</v>
      </c>
      <c r="AI109" s="21">
        <v>42837</v>
      </c>
      <c r="AJ109" s="21">
        <v>42837</v>
      </c>
      <c r="AK109" s="20">
        <v>42837</v>
      </c>
      <c r="AL109" s="22">
        <v>42837</v>
      </c>
      <c r="AM109" s="204"/>
      <c r="AN109" s="13">
        <v>0</v>
      </c>
      <c r="AO109" s="13">
        <v>0</v>
      </c>
    </row>
    <row r="110" spans="1:41" s="15" customFormat="1" ht="17" thickBot="1">
      <c r="A110" s="46"/>
      <c r="B110" s="12" t="s">
        <v>9</v>
      </c>
      <c r="C110" s="26"/>
      <c r="D110" s="26"/>
      <c r="E110" s="19">
        <v>0</v>
      </c>
      <c r="F110" s="19">
        <v>0</v>
      </c>
      <c r="G110" s="19">
        <v>0</v>
      </c>
      <c r="H110" s="19">
        <v>0</v>
      </c>
      <c r="I110" s="23"/>
      <c r="J110" s="19">
        <v>0</v>
      </c>
      <c r="K110" s="19">
        <v>0</v>
      </c>
      <c r="L110" s="19">
        <v>21130.422882167783</v>
      </c>
      <c r="M110" s="19">
        <v>21130.422882167783</v>
      </c>
      <c r="N110" s="23"/>
      <c r="O110" s="19">
        <v>113039.38859494416</v>
      </c>
      <c r="P110" s="19">
        <v>2422.6142662395882</v>
      </c>
      <c r="Q110" s="19" t="e">
        <v>#DIV/0!</v>
      </c>
      <c r="R110" s="19" t="e">
        <v>#DIV/0!</v>
      </c>
      <c r="S110" s="19" t="e">
        <v>#REF!</v>
      </c>
      <c r="T110" s="23"/>
      <c r="U110" s="24"/>
      <c r="V110" s="19">
        <v>17534.098496168888</v>
      </c>
      <c r="W110" s="19">
        <v>13214.040965506738</v>
      </c>
      <c r="X110" s="19">
        <v>53223.122636412743</v>
      </c>
      <c r="Y110" s="19">
        <v>53223.122636412743</v>
      </c>
      <c r="Z110" s="23"/>
      <c r="AA110" s="19">
        <v>9151.8948655256736</v>
      </c>
      <c r="AB110" s="19">
        <v>7898.3513138348389</v>
      </c>
      <c r="AC110" s="19">
        <v>3915.5203107298917</v>
      </c>
      <c r="AD110" s="19">
        <v>3915.5203107298917</v>
      </c>
      <c r="AE110" s="23"/>
      <c r="AF110" s="19" t="e">
        <v>#DIV/0!</v>
      </c>
      <c r="AG110" s="19">
        <v>839.08199141032617</v>
      </c>
      <c r="AH110" s="19" t="e">
        <v>#DIV/0!</v>
      </c>
      <c r="AI110" s="19" t="e">
        <v>#DIV/0!</v>
      </c>
      <c r="AJ110" s="19" t="e">
        <v>#REF!</v>
      </c>
      <c r="AK110" s="26" t="e">
        <v>#DIV/0!</v>
      </c>
      <c r="AL110" s="24"/>
      <c r="AN110" s="13">
        <v>0</v>
      </c>
      <c r="AO110" s="13">
        <v>0</v>
      </c>
    </row>
    <row r="111" spans="1:41" s="15" customFormat="1">
      <c r="A111" s="166" t="s">
        <v>30</v>
      </c>
      <c r="B111" s="3" t="s">
        <v>5</v>
      </c>
      <c r="C111" s="26"/>
      <c r="D111" s="26"/>
      <c r="E111" s="27">
        <v>40000</v>
      </c>
      <c r="F111" s="27">
        <v>410000</v>
      </c>
      <c r="G111" s="27">
        <v>-347325</v>
      </c>
      <c r="H111" s="27">
        <v>670735</v>
      </c>
      <c r="I111" s="26">
        <v>773410</v>
      </c>
      <c r="J111" s="27">
        <v>511436</v>
      </c>
      <c r="K111" s="27">
        <v>70315</v>
      </c>
      <c r="L111" s="27">
        <v>85145</v>
      </c>
      <c r="M111" s="27">
        <v>601389</v>
      </c>
      <c r="N111" s="26">
        <v>1268285</v>
      </c>
      <c r="O111" s="27">
        <v>179676</v>
      </c>
      <c r="P111" s="27">
        <v>18508</v>
      </c>
      <c r="Q111" s="27">
        <v>203297</v>
      </c>
      <c r="R111" s="27">
        <v>296049</v>
      </c>
      <c r="S111" s="27">
        <v>80632</v>
      </c>
      <c r="T111" s="26">
        <v>778162</v>
      </c>
      <c r="U111" s="28">
        <v>3062024</v>
      </c>
      <c r="V111" s="27">
        <v>6865</v>
      </c>
      <c r="W111" s="27">
        <v>0</v>
      </c>
      <c r="X111" s="27">
        <v>3240</v>
      </c>
      <c r="Y111" s="27">
        <v>90980</v>
      </c>
      <c r="Z111" s="26">
        <v>101085</v>
      </c>
      <c r="AA111" s="27">
        <v>0</v>
      </c>
      <c r="AB111" s="27">
        <v>0</v>
      </c>
      <c r="AC111" s="27">
        <v>6104</v>
      </c>
      <c r="AD111" s="27">
        <v>0</v>
      </c>
      <c r="AE111" s="26">
        <v>6104</v>
      </c>
      <c r="AF111" s="27">
        <v>0</v>
      </c>
      <c r="AG111" s="27">
        <v>0</v>
      </c>
      <c r="AH111" s="27">
        <v>0</v>
      </c>
      <c r="AI111" s="27">
        <v>0</v>
      </c>
      <c r="AJ111" s="27">
        <v>0</v>
      </c>
      <c r="AK111" s="26">
        <v>0</v>
      </c>
      <c r="AL111" s="28">
        <v>107189</v>
      </c>
      <c r="AM111" s="204">
        <v>32</v>
      </c>
      <c r="AN111" s="13">
        <v>97984768</v>
      </c>
      <c r="AO111" s="13">
        <v>3430048</v>
      </c>
    </row>
    <row r="112" spans="1:41" s="15" customFormat="1">
      <c r="A112" s="167"/>
      <c r="B112" s="12" t="s">
        <v>6</v>
      </c>
      <c r="C112" s="26"/>
      <c r="D112" s="26"/>
      <c r="E112" s="27">
        <v>40000</v>
      </c>
      <c r="F112" s="27">
        <v>410000</v>
      </c>
      <c r="G112" s="27">
        <v>107760</v>
      </c>
      <c r="H112" s="27">
        <v>0</v>
      </c>
      <c r="I112" s="26">
        <v>557760</v>
      </c>
      <c r="J112" s="27">
        <v>0</v>
      </c>
      <c r="K112" s="27">
        <v>0</v>
      </c>
      <c r="L112" s="27">
        <v>200000</v>
      </c>
      <c r="M112" s="27">
        <v>400000</v>
      </c>
      <c r="N112" s="26">
        <v>600000</v>
      </c>
      <c r="O112" s="27">
        <v>300000</v>
      </c>
      <c r="P112" s="27">
        <v>0</v>
      </c>
      <c r="Q112" s="27">
        <v>0</v>
      </c>
      <c r="R112" s="27">
        <v>400000</v>
      </c>
      <c r="S112" s="27">
        <v>0</v>
      </c>
      <c r="T112" s="26">
        <v>700000</v>
      </c>
      <c r="U112" s="28"/>
      <c r="V112" s="27">
        <v>0</v>
      </c>
      <c r="W112" s="27">
        <v>0</v>
      </c>
      <c r="X112" s="27">
        <v>0</v>
      </c>
      <c r="Y112" s="27">
        <v>0</v>
      </c>
      <c r="Z112" s="26">
        <v>0</v>
      </c>
      <c r="AA112" s="27">
        <v>0</v>
      </c>
      <c r="AB112" s="27">
        <v>0</v>
      </c>
      <c r="AC112" s="27">
        <v>0</v>
      </c>
      <c r="AD112" s="27">
        <v>0</v>
      </c>
      <c r="AE112" s="26">
        <v>0</v>
      </c>
      <c r="AF112" s="27">
        <v>0</v>
      </c>
      <c r="AG112" s="27">
        <v>0</v>
      </c>
      <c r="AH112" s="27">
        <v>0</v>
      </c>
      <c r="AI112" s="27">
        <v>0</v>
      </c>
      <c r="AJ112" s="27">
        <v>0</v>
      </c>
      <c r="AK112" s="26">
        <v>0</v>
      </c>
      <c r="AL112" s="28"/>
      <c r="AM112" s="204"/>
      <c r="AN112" s="13">
        <v>0</v>
      </c>
      <c r="AO112" s="13">
        <v>0</v>
      </c>
    </row>
    <row r="113" spans="1:41" s="15" customFormat="1">
      <c r="A113" s="167"/>
      <c r="B113" s="12" t="s">
        <v>10</v>
      </c>
      <c r="C113" s="26">
        <v>711214</v>
      </c>
      <c r="D113" s="26"/>
      <c r="E113" s="27"/>
      <c r="F113" s="27"/>
      <c r="G113" s="27">
        <v>711214</v>
      </c>
      <c r="H113" s="27"/>
      <c r="I113" s="26">
        <v>0</v>
      </c>
      <c r="J113" s="27"/>
      <c r="K113" s="27"/>
      <c r="L113" s="27"/>
      <c r="M113" s="27"/>
      <c r="N113" s="26">
        <v>42198</v>
      </c>
      <c r="O113" s="27"/>
      <c r="P113" s="27"/>
      <c r="Q113" s="27"/>
      <c r="R113" s="27"/>
      <c r="S113" s="27"/>
      <c r="T113" s="26">
        <v>0</v>
      </c>
      <c r="U113" s="28">
        <v>42198</v>
      </c>
      <c r="V113" s="27"/>
      <c r="W113" s="27"/>
      <c r="X113" s="27"/>
      <c r="Y113" s="27"/>
      <c r="Z113" s="26">
        <v>0</v>
      </c>
      <c r="AA113" s="27"/>
      <c r="AB113" s="27"/>
      <c r="AC113" s="27"/>
      <c r="AD113" s="27"/>
      <c r="AE113" s="26">
        <v>0</v>
      </c>
      <c r="AF113" s="27"/>
      <c r="AG113" s="27"/>
      <c r="AH113" s="27"/>
      <c r="AI113" s="27"/>
      <c r="AJ113" s="27"/>
      <c r="AK113" s="26">
        <v>0</v>
      </c>
      <c r="AL113" s="28">
        <v>0</v>
      </c>
      <c r="AM113" s="204"/>
      <c r="AN113" s="13">
        <v>0</v>
      </c>
      <c r="AO113" s="13">
        <v>0</v>
      </c>
    </row>
    <row r="114" spans="1:41" s="15" customFormat="1">
      <c r="A114" s="167"/>
      <c r="B114" s="12" t="s">
        <v>7</v>
      </c>
      <c r="C114" s="26"/>
      <c r="D114" s="26"/>
      <c r="E114" s="27">
        <v>40000</v>
      </c>
      <c r="F114" s="27">
        <v>410000</v>
      </c>
      <c r="G114" s="27">
        <v>818974</v>
      </c>
      <c r="H114" s="27">
        <v>0</v>
      </c>
      <c r="I114" s="26">
        <v>1268974</v>
      </c>
      <c r="J114" s="32">
        <v>0</v>
      </c>
      <c r="K114" s="27">
        <v>0</v>
      </c>
      <c r="L114" s="27">
        <v>200000</v>
      </c>
      <c r="M114" s="27">
        <v>400000</v>
      </c>
      <c r="N114" s="26">
        <v>600000</v>
      </c>
      <c r="O114" s="27">
        <v>300000</v>
      </c>
      <c r="P114" s="27">
        <v>0</v>
      </c>
      <c r="Q114" s="27">
        <v>0</v>
      </c>
      <c r="R114" s="27">
        <v>400000</v>
      </c>
      <c r="S114" s="27">
        <v>0</v>
      </c>
      <c r="T114" s="26">
        <v>700000</v>
      </c>
      <c r="U114" s="28">
        <v>2811141</v>
      </c>
      <c r="V114" s="27">
        <v>0</v>
      </c>
      <c r="W114" s="27">
        <v>0</v>
      </c>
      <c r="X114" s="27">
        <v>0</v>
      </c>
      <c r="Y114" s="27">
        <v>0</v>
      </c>
      <c r="Z114" s="26">
        <v>0</v>
      </c>
      <c r="AA114" s="32">
        <v>0</v>
      </c>
      <c r="AB114" s="27">
        <v>0</v>
      </c>
      <c r="AC114" s="27">
        <v>0</v>
      </c>
      <c r="AD114" s="27">
        <v>0</v>
      </c>
      <c r="AE114" s="26">
        <v>0</v>
      </c>
      <c r="AF114" s="32">
        <v>0</v>
      </c>
      <c r="AG114" s="27">
        <v>0</v>
      </c>
      <c r="AH114" s="27">
        <v>0</v>
      </c>
      <c r="AI114" s="27">
        <v>0</v>
      </c>
      <c r="AJ114" s="27">
        <v>0</v>
      </c>
      <c r="AK114" s="26">
        <v>0</v>
      </c>
      <c r="AL114" s="28">
        <v>-250883</v>
      </c>
      <c r="AM114" s="204"/>
      <c r="AN114" s="13">
        <v>0</v>
      </c>
      <c r="AO114" s="13">
        <v>0</v>
      </c>
    </row>
    <row r="115" spans="1:41" s="15" customFormat="1" ht="17" thickBot="1">
      <c r="A115" s="168"/>
      <c r="B115" s="4" t="s">
        <v>8</v>
      </c>
      <c r="C115" s="26">
        <v>1380387</v>
      </c>
      <c r="D115" s="37">
        <v>242167</v>
      </c>
      <c r="E115" s="21">
        <v>0</v>
      </c>
      <c r="F115" s="21">
        <v>0</v>
      </c>
      <c r="G115" s="21">
        <v>1166299</v>
      </c>
      <c r="H115" s="21">
        <v>495564</v>
      </c>
      <c r="I115" s="20">
        <v>495564</v>
      </c>
      <c r="J115" s="21">
        <v>-15872</v>
      </c>
      <c r="K115" s="21">
        <v>-86187</v>
      </c>
      <c r="L115" s="21">
        <v>28668</v>
      </c>
      <c r="M115" s="21">
        <v>-172721</v>
      </c>
      <c r="N115" s="20">
        <v>-172721</v>
      </c>
      <c r="O115" s="21">
        <v>-52397</v>
      </c>
      <c r="P115" s="21">
        <v>-70905</v>
      </c>
      <c r="Q115" s="21">
        <v>-274202</v>
      </c>
      <c r="R115" s="21">
        <v>-170251</v>
      </c>
      <c r="S115" s="21">
        <v>-250883</v>
      </c>
      <c r="T115" s="20">
        <v>-250883</v>
      </c>
      <c r="U115" s="22">
        <v>-250883</v>
      </c>
      <c r="V115" s="21">
        <v>-257748</v>
      </c>
      <c r="W115" s="21">
        <v>-257748</v>
      </c>
      <c r="X115" s="21">
        <v>-260988</v>
      </c>
      <c r="Y115" s="21">
        <v>-351968</v>
      </c>
      <c r="Z115" s="20">
        <v>-351968</v>
      </c>
      <c r="AA115" s="21">
        <v>-351968</v>
      </c>
      <c r="AB115" s="21">
        <v>-351968</v>
      </c>
      <c r="AC115" s="21">
        <v>-358072</v>
      </c>
      <c r="AD115" s="21">
        <v>-358072</v>
      </c>
      <c r="AE115" s="20">
        <v>-358072</v>
      </c>
      <c r="AF115" s="21">
        <v>-358072</v>
      </c>
      <c r="AG115" s="21">
        <v>-358072</v>
      </c>
      <c r="AH115" s="21">
        <v>-358072</v>
      </c>
      <c r="AI115" s="21">
        <v>-358072</v>
      </c>
      <c r="AJ115" s="21">
        <v>-358072</v>
      </c>
      <c r="AK115" s="20">
        <v>-358072</v>
      </c>
      <c r="AL115" s="22">
        <v>-358072</v>
      </c>
      <c r="AM115" s="204"/>
      <c r="AN115" s="13">
        <v>0</v>
      </c>
      <c r="AO115" s="13">
        <v>0</v>
      </c>
    </row>
    <row r="116" spans="1:41" s="15" customFormat="1" ht="17" thickBot="1">
      <c r="A116" s="46"/>
      <c r="B116" s="12" t="s">
        <v>9</v>
      </c>
      <c r="C116" s="26"/>
      <c r="D116" s="26"/>
      <c r="E116" s="19">
        <v>0</v>
      </c>
      <c r="F116" s="19">
        <v>0</v>
      </c>
      <c r="G116" s="19">
        <v>0</v>
      </c>
      <c r="H116" s="19">
        <v>0</v>
      </c>
      <c r="I116" s="23"/>
      <c r="J116" s="19">
        <v>0</v>
      </c>
      <c r="K116" s="19">
        <v>0</v>
      </c>
      <c r="L116" s="19">
        <v>1890.9980640998062</v>
      </c>
      <c r="M116" s="19">
        <v>1533.9874294314161</v>
      </c>
      <c r="N116" s="23"/>
      <c r="O116" s="19">
        <v>6565.1779269138124</v>
      </c>
      <c r="P116" s="19">
        <v>517.43955022675846</v>
      </c>
      <c r="Q116" s="19">
        <v>-16194.473861557717</v>
      </c>
      <c r="R116" s="19" t="e">
        <v>#DIV/0!</v>
      </c>
      <c r="S116" s="19" t="e">
        <v>#REF!</v>
      </c>
      <c r="T116" s="23"/>
      <c r="U116" s="24"/>
      <c r="V116" s="19">
        <v>-7197.1788506600469</v>
      </c>
      <c r="W116" s="19">
        <v>-7761.7145320864274</v>
      </c>
      <c r="X116" s="19">
        <v>3286.8720685483199</v>
      </c>
      <c r="Y116" s="19">
        <v>3286.8720685483199</v>
      </c>
      <c r="Z116" s="23"/>
      <c r="AA116" s="19">
        <v>-4719.8943762433119</v>
      </c>
      <c r="AB116" s="19">
        <v>-5320.8935378069318</v>
      </c>
      <c r="AC116" s="19">
        <v>-5196.923143971585</v>
      </c>
      <c r="AD116" s="19">
        <v>-5196.923143971585</v>
      </c>
      <c r="AE116" s="23"/>
      <c r="AF116" s="19">
        <v>-1029811.0661268557</v>
      </c>
      <c r="AG116" s="19">
        <v>-4135.8591631216232</v>
      </c>
      <c r="AH116" s="19">
        <v>-14588638.497652583</v>
      </c>
      <c r="AI116" s="19" t="e">
        <v>#DIV/0!</v>
      </c>
      <c r="AJ116" s="19" t="e">
        <v>#REF!</v>
      </c>
      <c r="AK116" s="26" t="e">
        <v>#DIV/0!</v>
      </c>
      <c r="AL116" s="24"/>
      <c r="AN116" s="13">
        <v>0</v>
      </c>
      <c r="AO116" s="13">
        <v>0</v>
      </c>
    </row>
    <row r="117" spans="1:41" s="15" customFormat="1">
      <c r="A117" s="166" t="s">
        <v>31</v>
      </c>
      <c r="B117" s="3" t="s">
        <v>5</v>
      </c>
      <c r="C117" s="26"/>
      <c r="D117" s="26"/>
      <c r="E117" s="27">
        <v>0</v>
      </c>
      <c r="F117" s="27">
        <v>2000</v>
      </c>
      <c r="G117" s="27">
        <v>-20052</v>
      </c>
      <c r="H117" s="27">
        <v>84930</v>
      </c>
      <c r="I117" s="26">
        <v>66878</v>
      </c>
      <c r="J117" s="27">
        <v>84907</v>
      </c>
      <c r="K117" s="27">
        <v>8490</v>
      </c>
      <c r="L117" s="27">
        <v>4238</v>
      </c>
      <c r="M117" s="27">
        <v>90016</v>
      </c>
      <c r="N117" s="26">
        <v>187651</v>
      </c>
      <c r="O117" s="27">
        <v>11021</v>
      </c>
      <c r="P117" s="27">
        <v>2174</v>
      </c>
      <c r="Q117" s="27">
        <v>8640</v>
      </c>
      <c r="R117" s="27">
        <v>28208</v>
      </c>
      <c r="S117" s="27">
        <v>0</v>
      </c>
      <c r="T117" s="26">
        <v>50043</v>
      </c>
      <c r="U117" s="28">
        <v>340988</v>
      </c>
      <c r="V117" s="27">
        <v>0</v>
      </c>
      <c r="W117" s="27">
        <v>0</v>
      </c>
      <c r="X117" s="27">
        <v>0</v>
      </c>
      <c r="Y117" s="27">
        <v>0</v>
      </c>
      <c r="Z117" s="26">
        <v>0</v>
      </c>
      <c r="AA117" s="27">
        <v>0</v>
      </c>
      <c r="AB117" s="27">
        <v>0</v>
      </c>
      <c r="AC117" s="27">
        <v>104</v>
      </c>
      <c r="AD117" s="27">
        <v>0</v>
      </c>
      <c r="AE117" s="26">
        <v>104</v>
      </c>
      <c r="AF117" s="27">
        <v>0</v>
      </c>
      <c r="AG117" s="27">
        <v>0</v>
      </c>
      <c r="AH117" s="27">
        <v>0</v>
      </c>
      <c r="AI117" s="27">
        <v>0</v>
      </c>
      <c r="AJ117" s="27">
        <v>0</v>
      </c>
      <c r="AK117" s="26">
        <v>0</v>
      </c>
      <c r="AL117" s="28">
        <v>104</v>
      </c>
      <c r="AM117" s="204">
        <v>64</v>
      </c>
      <c r="AN117" s="13">
        <v>21823232</v>
      </c>
      <c r="AO117" s="13">
        <v>6656</v>
      </c>
    </row>
    <row r="118" spans="1:41" s="15" customFormat="1">
      <c r="A118" s="167"/>
      <c r="B118" s="12" t="s">
        <v>6</v>
      </c>
      <c r="C118" s="26"/>
      <c r="D118" s="26"/>
      <c r="E118" s="27">
        <v>0</v>
      </c>
      <c r="F118" s="27">
        <v>2000</v>
      </c>
      <c r="G118" s="27">
        <v>28560</v>
      </c>
      <c r="H118" s="27">
        <v>0</v>
      </c>
      <c r="I118" s="26">
        <v>30560</v>
      </c>
      <c r="J118" s="27">
        <v>0</v>
      </c>
      <c r="K118" s="27">
        <v>0</v>
      </c>
      <c r="L118" s="27">
        <v>80000</v>
      </c>
      <c r="M118" s="27">
        <v>100000</v>
      </c>
      <c r="N118" s="26">
        <v>180000</v>
      </c>
      <c r="O118" s="27">
        <v>0</v>
      </c>
      <c r="P118" s="27">
        <v>0</v>
      </c>
      <c r="Q118" s="27">
        <v>0</v>
      </c>
      <c r="R118" s="27">
        <v>80000</v>
      </c>
      <c r="S118" s="27">
        <v>0</v>
      </c>
      <c r="T118" s="26">
        <v>80000</v>
      </c>
      <c r="U118" s="28"/>
      <c r="V118" s="27">
        <v>0</v>
      </c>
      <c r="W118" s="27">
        <v>0</v>
      </c>
      <c r="X118" s="27">
        <v>0</v>
      </c>
      <c r="Y118" s="27">
        <v>0</v>
      </c>
      <c r="Z118" s="26">
        <v>0</v>
      </c>
      <c r="AA118" s="27">
        <v>0</v>
      </c>
      <c r="AB118" s="27">
        <v>0</v>
      </c>
      <c r="AC118" s="27">
        <v>0</v>
      </c>
      <c r="AD118" s="27">
        <v>0</v>
      </c>
      <c r="AE118" s="26">
        <v>0</v>
      </c>
      <c r="AF118" s="27">
        <v>0</v>
      </c>
      <c r="AG118" s="27">
        <v>0</v>
      </c>
      <c r="AH118" s="27">
        <v>0</v>
      </c>
      <c r="AI118" s="27">
        <v>0</v>
      </c>
      <c r="AJ118" s="27">
        <v>0</v>
      </c>
      <c r="AK118" s="26">
        <v>0</v>
      </c>
      <c r="AL118" s="28"/>
      <c r="AM118" s="204"/>
      <c r="AN118" s="13">
        <v>0</v>
      </c>
      <c r="AO118" s="13">
        <v>0</v>
      </c>
    </row>
    <row r="119" spans="1:41" s="15" customFormat="1">
      <c r="A119" s="167"/>
      <c r="B119" s="12" t="s">
        <v>10</v>
      </c>
      <c r="C119" s="26">
        <v>58716</v>
      </c>
      <c r="D119" s="26"/>
      <c r="E119" s="27"/>
      <c r="F119" s="27"/>
      <c r="G119" s="27">
        <v>58716</v>
      </c>
      <c r="H119" s="27"/>
      <c r="I119" s="26">
        <v>0</v>
      </c>
      <c r="J119" s="27"/>
      <c r="K119" s="27"/>
      <c r="L119" s="27"/>
      <c r="M119" s="27"/>
      <c r="N119" s="26">
        <v>0</v>
      </c>
      <c r="O119" s="27"/>
      <c r="P119" s="27"/>
      <c r="Q119" s="27"/>
      <c r="R119" s="27"/>
      <c r="S119" s="27"/>
      <c r="T119" s="26">
        <v>0</v>
      </c>
      <c r="U119" s="28">
        <v>0</v>
      </c>
      <c r="V119" s="27"/>
      <c r="W119" s="27"/>
      <c r="X119" s="27"/>
      <c r="Y119" s="27"/>
      <c r="Z119" s="26">
        <v>0</v>
      </c>
      <c r="AA119" s="27"/>
      <c r="AB119" s="27"/>
      <c r="AC119" s="27"/>
      <c r="AD119" s="27"/>
      <c r="AE119" s="26">
        <v>0</v>
      </c>
      <c r="AF119" s="27"/>
      <c r="AG119" s="27"/>
      <c r="AH119" s="27"/>
      <c r="AI119" s="27"/>
      <c r="AJ119" s="27"/>
      <c r="AK119" s="26">
        <v>0</v>
      </c>
      <c r="AL119" s="28">
        <v>0</v>
      </c>
      <c r="AM119" s="204"/>
      <c r="AN119" s="13">
        <v>0</v>
      </c>
      <c r="AO119" s="13">
        <v>0</v>
      </c>
    </row>
    <row r="120" spans="1:41" s="15" customFormat="1">
      <c r="A120" s="167"/>
      <c r="B120" s="12" t="s">
        <v>7</v>
      </c>
      <c r="C120" s="26"/>
      <c r="D120" s="26"/>
      <c r="E120" s="27">
        <v>0</v>
      </c>
      <c r="F120" s="27">
        <v>2000</v>
      </c>
      <c r="G120" s="27">
        <v>87276</v>
      </c>
      <c r="H120" s="27">
        <v>0</v>
      </c>
      <c r="I120" s="26">
        <v>89276</v>
      </c>
      <c r="J120" s="32">
        <v>0</v>
      </c>
      <c r="K120" s="27">
        <v>0</v>
      </c>
      <c r="L120" s="27">
        <v>80000</v>
      </c>
      <c r="M120" s="27">
        <v>100000</v>
      </c>
      <c r="N120" s="26">
        <v>180000</v>
      </c>
      <c r="O120" s="27">
        <v>0</v>
      </c>
      <c r="P120" s="27">
        <v>0</v>
      </c>
      <c r="Q120" s="27">
        <v>0</v>
      </c>
      <c r="R120" s="27">
        <v>80000</v>
      </c>
      <c r="S120" s="27">
        <v>0</v>
      </c>
      <c r="T120" s="26">
        <v>80000</v>
      </c>
      <c r="U120" s="28">
        <v>385692</v>
      </c>
      <c r="V120" s="27">
        <v>0</v>
      </c>
      <c r="W120" s="27">
        <v>0</v>
      </c>
      <c r="X120" s="27">
        <v>0</v>
      </c>
      <c r="Y120" s="27">
        <v>0</v>
      </c>
      <c r="Z120" s="26">
        <v>0</v>
      </c>
      <c r="AA120" s="32">
        <v>0</v>
      </c>
      <c r="AB120" s="27">
        <v>0</v>
      </c>
      <c r="AC120" s="27">
        <v>0</v>
      </c>
      <c r="AD120" s="27">
        <v>0</v>
      </c>
      <c r="AE120" s="26">
        <v>0</v>
      </c>
      <c r="AF120" s="32">
        <v>0</v>
      </c>
      <c r="AG120" s="27">
        <v>0</v>
      </c>
      <c r="AH120" s="27">
        <v>0</v>
      </c>
      <c r="AI120" s="27">
        <v>0</v>
      </c>
      <c r="AJ120" s="27">
        <v>0</v>
      </c>
      <c r="AK120" s="26">
        <v>0</v>
      </c>
      <c r="AL120" s="28">
        <v>44704</v>
      </c>
      <c r="AM120" s="204"/>
      <c r="AN120" s="13">
        <v>0</v>
      </c>
      <c r="AO120" s="13">
        <v>0</v>
      </c>
    </row>
    <row r="121" spans="1:41" s="15" customFormat="1" ht="17" thickBot="1">
      <c r="A121" s="168"/>
      <c r="B121" s="4" t="s">
        <v>8</v>
      </c>
      <c r="C121" s="26">
        <v>91922</v>
      </c>
      <c r="D121" s="37">
        <v>36416</v>
      </c>
      <c r="E121" s="21">
        <v>0</v>
      </c>
      <c r="F121" s="21">
        <v>0</v>
      </c>
      <c r="G121" s="21">
        <v>107328</v>
      </c>
      <c r="H121" s="21">
        <v>22398</v>
      </c>
      <c r="I121" s="20">
        <v>22398</v>
      </c>
      <c r="J121" s="21">
        <v>-62509</v>
      </c>
      <c r="K121" s="21">
        <v>-70999</v>
      </c>
      <c r="L121" s="21">
        <v>4763</v>
      </c>
      <c r="M121" s="21">
        <v>14747</v>
      </c>
      <c r="N121" s="20">
        <v>14747</v>
      </c>
      <c r="O121" s="21">
        <v>3726</v>
      </c>
      <c r="P121" s="21">
        <v>1552</v>
      </c>
      <c r="Q121" s="21">
        <v>-7088</v>
      </c>
      <c r="R121" s="21">
        <v>44704</v>
      </c>
      <c r="S121" s="21">
        <v>44704</v>
      </c>
      <c r="T121" s="20">
        <v>44704</v>
      </c>
      <c r="U121" s="22">
        <v>44704</v>
      </c>
      <c r="V121" s="21">
        <v>44704</v>
      </c>
      <c r="W121" s="21">
        <v>44704</v>
      </c>
      <c r="X121" s="21">
        <v>44704</v>
      </c>
      <c r="Y121" s="21">
        <v>44704</v>
      </c>
      <c r="Z121" s="20">
        <v>44704</v>
      </c>
      <c r="AA121" s="21">
        <v>44704</v>
      </c>
      <c r="AB121" s="21">
        <v>44704</v>
      </c>
      <c r="AC121" s="21">
        <v>44600</v>
      </c>
      <c r="AD121" s="21">
        <v>44600</v>
      </c>
      <c r="AE121" s="20">
        <v>44600</v>
      </c>
      <c r="AF121" s="21">
        <v>44600</v>
      </c>
      <c r="AG121" s="21">
        <v>44600</v>
      </c>
      <c r="AH121" s="21">
        <v>44600</v>
      </c>
      <c r="AI121" s="21">
        <v>44600</v>
      </c>
      <c r="AJ121" s="21">
        <v>44600</v>
      </c>
      <c r="AK121" s="20">
        <v>44600</v>
      </c>
      <c r="AL121" s="22">
        <v>44600</v>
      </c>
      <c r="AM121" s="204"/>
      <c r="AN121" s="13">
        <v>0</v>
      </c>
      <c r="AO121" s="13">
        <v>0</v>
      </c>
    </row>
    <row r="122" spans="1:41" s="15" customFormat="1" ht="17" thickBot="1">
      <c r="A122" s="46"/>
      <c r="B122" s="12" t="s">
        <v>9</v>
      </c>
      <c r="C122" s="26"/>
      <c r="D122" s="26"/>
      <c r="E122" s="19">
        <v>0</v>
      </c>
      <c r="F122" s="19">
        <v>0</v>
      </c>
      <c r="G122" s="19">
        <v>0</v>
      </c>
      <c r="H122" s="19">
        <v>0</v>
      </c>
      <c r="I122" s="23"/>
      <c r="J122" s="19">
        <v>0</v>
      </c>
      <c r="K122" s="19">
        <v>0</v>
      </c>
      <c r="L122" s="19">
        <v>0</v>
      </c>
      <c r="M122" s="19">
        <v>0</v>
      </c>
      <c r="N122" s="23"/>
      <c r="O122" s="19">
        <v>114549.13880445794</v>
      </c>
      <c r="P122" s="19">
        <v>4972.1875</v>
      </c>
      <c r="Q122" s="19" t="e">
        <v>#DIV/0!</v>
      </c>
      <c r="R122" s="19" t="e">
        <v>#DIV/0!</v>
      </c>
      <c r="S122" s="19" t="e">
        <v>#REF!</v>
      </c>
      <c r="T122" s="23"/>
      <c r="U122" s="24"/>
      <c r="V122" s="19">
        <v>69978.807145019673</v>
      </c>
      <c r="W122" s="19">
        <v>66284.216656959819</v>
      </c>
      <c r="X122" s="19">
        <v>77479.108635097495</v>
      </c>
      <c r="Y122" s="19">
        <v>77479.108635097495</v>
      </c>
      <c r="Z122" s="23"/>
      <c r="AA122" s="19">
        <v>-684.13193973123384</v>
      </c>
      <c r="AB122" s="19">
        <v>-1123.0353804611232</v>
      </c>
      <c r="AC122" s="19">
        <v>-3119.4052495827641</v>
      </c>
      <c r="AD122" s="19">
        <v>-3119.4052495827641</v>
      </c>
      <c r="AE122" s="23"/>
      <c r="AF122" s="19">
        <v>-906956.52173913049</v>
      </c>
      <c r="AG122" s="19">
        <v>-2601.4851485148515</v>
      </c>
      <c r="AH122" s="19">
        <v>-3025714.2857142859</v>
      </c>
      <c r="AI122" s="19" t="e">
        <v>#DIV/0!</v>
      </c>
      <c r="AJ122" s="19" t="e">
        <v>#REF!</v>
      </c>
      <c r="AK122" s="26" t="e">
        <v>#DIV/0!</v>
      </c>
      <c r="AL122" s="24"/>
      <c r="AN122" s="13">
        <v>0</v>
      </c>
      <c r="AO122" s="13">
        <v>0</v>
      </c>
    </row>
    <row r="123" spans="1:41" s="15" customFormat="1">
      <c r="A123" s="166" t="s">
        <v>34</v>
      </c>
      <c r="B123" s="3" t="s">
        <v>5</v>
      </c>
      <c r="C123" s="26"/>
      <c r="D123" s="26"/>
      <c r="E123" s="27">
        <v>0</v>
      </c>
      <c r="F123" s="27">
        <v>0</v>
      </c>
      <c r="G123" s="27">
        <v>20906</v>
      </c>
      <c r="H123" s="27">
        <v>3756</v>
      </c>
      <c r="I123" s="26">
        <v>24662</v>
      </c>
      <c r="J123" s="27">
        <v>140</v>
      </c>
      <c r="K123" s="27">
        <v>140</v>
      </c>
      <c r="L123" s="27">
        <v>176</v>
      </c>
      <c r="M123" s="27">
        <v>56</v>
      </c>
      <c r="N123" s="26">
        <v>512</v>
      </c>
      <c r="O123" s="27">
        <v>56</v>
      </c>
      <c r="P123" s="27">
        <v>56</v>
      </c>
      <c r="Q123" s="27">
        <v>116</v>
      </c>
      <c r="R123" s="27">
        <v>0</v>
      </c>
      <c r="S123" s="27">
        <v>0</v>
      </c>
      <c r="T123" s="26">
        <v>228</v>
      </c>
      <c r="U123" s="28">
        <v>46376</v>
      </c>
      <c r="V123" s="27">
        <v>0</v>
      </c>
      <c r="W123" s="27">
        <v>0</v>
      </c>
      <c r="X123" s="27">
        <v>0</v>
      </c>
      <c r="Y123" s="27">
        <v>0</v>
      </c>
      <c r="Z123" s="26">
        <v>0</v>
      </c>
      <c r="AA123" s="27">
        <v>0</v>
      </c>
      <c r="AB123" s="27">
        <v>0</v>
      </c>
      <c r="AC123" s="27">
        <v>0</v>
      </c>
      <c r="AD123" s="27">
        <v>0</v>
      </c>
      <c r="AE123" s="26">
        <v>0</v>
      </c>
      <c r="AF123" s="27">
        <v>0</v>
      </c>
      <c r="AG123" s="27">
        <v>0</v>
      </c>
      <c r="AH123" s="27">
        <v>0</v>
      </c>
      <c r="AI123" s="27">
        <v>0</v>
      </c>
      <c r="AJ123" s="27">
        <v>0</v>
      </c>
      <c r="AK123" s="26">
        <v>0</v>
      </c>
      <c r="AL123" s="28">
        <v>0</v>
      </c>
      <c r="AM123" s="204">
        <v>16</v>
      </c>
      <c r="AN123" s="13">
        <v>742016</v>
      </c>
      <c r="AO123" s="13">
        <v>0</v>
      </c>
    </row>
    <row r="124" spans="1:41" s="15" customFormat="1">
      <c r="A124" s="167"/>
      <c r="B124" s="12" t="s">
        <v>6</v>
      </c>
      <c r="C124" s="26"/>
      <c r="D124" s="26"/>
      <c r="E124" s="27">
        <v>0</v>
      </c>
      <c r="F124" s="27">
        <v>0</v>
      </c>
      <c r="G124" s="27">
        <v>0</v>
      </c>
      <c r="H124" s="27">
        <v>0</v>
      </c>
      <c r="I124" s="26">
        <v>0</v>
      </c>
      <c r="J124" s="27">
        <v>0</v>
      </c>
      <c r="K124" s="27">
        <v>0</v>
      </c>
      <c r="L124" s="27">
        <v>0</v>
      </c>
      <c r="M124" s="27">
        <v>30000</v>
      </c>
      <c r="N124" s="26">
        <v>30000</v>
      </c>
      <c r="O124" s="27">
        <v>0</v>
      </c>
      <c r="P124" s="27">
        <v>0</v>
      </c>
      <c r="Q124" s="27">
        <v>0</v>
      </c>
      <c r="R124" s="27">
        <v>0</v>
      </c>
      <c r="S124" s="27">
        <v>0</v>
      </c>
      <c r="T124" s="26">
        <v>0</v>
      </c>
      <c r="U124" s="28"/>
      <c r="V124" s="27">
        <v>0</v>
      </c>
      <c r="W124" s="27">
        <v>0</v>
      </c>
      <c r="X124" s="27">
        <v>0</v>
      </c>
      <c r="Y124" s="27">
        <v>0</v>
      </c>
      <c r="Z124" s="26">
        <v>0</v>
      </c>
      <c r="AA124" s="27">
        <v>0</v>
      </c>
      <c r="AB124" s="27">
        <v>0</v>
      </c>
      <c r="AC124" s="27">
        <v>0</v>
      </c>
      <c r="AD124" s="27">
        <v>0</v>
      </c>
      <c r="AE124" s="26">
        <v>0</v>
      </c>
      <c r="AF124" s="27">
        <v>0</v>
      </c>
      <c r="AG124" s="27">
        <v>0</v>
      </c>
      <c r="AH124" s="27">
        <v>0</v>
      </c>
      <c r="AI124" s="27">
        <v>0</v>
      </c>
      <c r="AJ124" s="27">
        <v>0</v>
      </c>
      <c r="AK124" s="26">
        <v>0</v>
      </c>
      <c r="AL124" s="28"/>
      <c r="AM124" s="204"/>
      <c r="AN124" s="13">
        <v>0</v>
      </c>
      <c r="AO124" s="13">
        <v>0</v>
      </c>
    </row>
    <row r="125" spans="1:41" s="15" customFormat="1">
      <c r="A125" s="167"/>
      <c r="B125" s="12" t="s">
        <v>10</v>
      </c>
      <c r="C125" s="26">
        <v>0</v>
      </c>
      <c r="D125" s="26"/>
      <c r="E125" s="27"/>
      <c r="F125" s="27"/>
      <c r="G125" s="27">
        <v>0</v>
      </c>
      <c r="H125" s="27"/>
      <c r="I125" s="26">
        <v>0</v>
      </c>
      <c r="J125" s="27"/>
      <c r="K125" s="27"/>
      <c r="L125" s="27"/>
      <c r="M125" s="27"/>
      <c r="N125" s="26">
        <v>0</v>
      </c>
      <c r="O125" s="27"/>
      <c r="P125" s="27"/>
      <c r="Q125" s="27"/>
      <c r="R125" s="27"/>
      <c r="S125" s="27"/>
      <c r="T125" s="26">
        <v>0</v>
      </c>
      <c r="U125" s="28">
        <v>0</v>
      </c>
      <c r="V125" s="27"/>
      <c r="W125" s="27"/>
      <c r="X125" s="27"/>
      <c r="Y125" s="27"/>
      <c r="Z125" s="26">
        <v>0</v>
      </c>
      <c r="AA125" s="27"/>
      <c r="AB125" s="27"/>
      <c r="AC125" s="27"/>
      <c r="AD125" s="27"/>
      <c r="AE125" s="26">
        <v>0</v>
      </c>
      <c r="AF125" s="27"/>
      <c r="AG125" s="27"/>
      <c r="AH125" s="27"/>
      <c r="AI125" s="27"/>
      <c r="AJ125" s="27"/>
      <c r="AK125" s="26">
        <v>0</v>
      </c>
      <c r="AL125" s="28">
        <v>0</v>
      </c>
      <c r="AM125" s="204"/>
      <c r="AN125" s="13">
        <v>0</v>
      </c>
      <c r="AO125" s="13">
        <v>0</v>
      </c>
    </row>
    <row r="126" spans="1:41" s="15" customFormat="1">
      <c r="A126" s="167"/>
      <c r="B126" s="12" t="s">
        <v>7</v>
      </c>
      <c r="C126" s="26"/>
      <c r="D126" s="26"/>
      <c r="E126" s="27">
        <v>0</v>
      </c>
      <c r="F126" s="27">
        <v>0</v>
      </c>
      <c r="G126" s="27">
        <v>0</v>
      </c>
      <c r="H126" s="27">
        <v>0</v>
      </c>
      <c r="I126" s="26">
        <v>0</v>
      </c>
      <c r="J126" s="32">
        <v>0</v>
      </c>
      <c r="K126" s="27">
        <v>0</v>
      </c>
      <c r="L126" s="27">
        <v>0</v>
      </c>
      <c r="M126" s="27">
        <v>30000</v>
      </c>
      <c r="N126" s="26">
        <v>30000</v>
      </c>
      <c r="O126" s="27">
        <v>0</v>
      </c>
      <c r="P126" s="27">
        <v>0</v>
      </c>
      <c r="Q126" s="27">
        <v>0</v>
      </c>
      <c r="R126" s="27">
        <v>0</v>
      </c>
      <c r="S126" s="27">
        <v>0</v>
      </c>
      <c r="T126" s="26">
        <v>0</v>
      </c>
      <c r="U126" s="28">
        <v>50974</v>
      </c>
      <c r="V126" s="27">
        <v>0</v>
      </c>
      <c r="W126" s="27">
        <v>0</v>
      </c>
      <c r="X126" s="27">
        <v>0</v>
      </c>
      <c r="Y126" s="27">
        <v>0</v>
      </c>
      <c r="Z126" s="26">
        <v>0</v>
      </c>
      <c r="AA126" s="32">
        <v>0</v>
      </c>
      <c r="AB126" s="27">
        <v>0</v>
      </c>
      <c r="AC126" s="27">
        <v>0</v>
      </c>
      <c r="AD126" s="27">
        <v>0</v>
      </c>
      <c r="AE126" s="26">
        <v>0</v>
      </c>
      <c r="AF126" s="32">
        <v>0</v>
      </c>
      <c r="AG126" s="27">
        <v>0</v>
      </c>
      <c r="AH126" s="27">
        <v>0</v>
      </c>
      <c r="AI126" s="27">
        <v>0</v>
      </c>
      <c r="AJ126" s="27">
        <v>0</v>
      </c>
      <c r="AK126" s="26">
        <v>0</v>
      </c>
      <c r="AL126" s="28">
        <v>4598</v>
      </c>
      <c r="AM126" s="204"/>
      <c r="AN126" s="13">
        <v>0</v>
      </c>
      <c r="AO126" s="13">
        <v>0</v>
      </c>
    </row>
    <row r="127" spans="1:41" s="15" customFormat="1" ht="17" thickBot="1">
      <c r="A127" s="168"/>
      <c r="B127" s="4" t="s">
        <v>8</v>
      </c>
      <c r="C127" s="34">
        <v>18186</v>
      </c>
      <c r="D127" s="37">
        <v>20974</v>
      </c>
      <c r="E127" s="21">
        <v>0</v>
      </c>
      <c r="F127" s="21">
        <v>0</v>
      </c>
      <c r="G127" s="21">
        <v>-20906</v>
      </c>
      <c r="H127" s="21">
        <v>-24662</v>
      </c>
      <c r="I127" s="20">
        <v>-24662</v>
      </c>
      <c r="J127" s="21">
        <v>-24802</v>
      </c>
      <c r="K127" s="21">
        <v>-24942</v>
      </c>
      <c r="L127" s="21">
        <v>-25118</v>
      </c>
      <c r="M127" s="21">
        <v>4826</v>
      </c>
      <c r="N127" s="20">
        <v>4826</v>
      </c>
      <c r="O127" s="21">
        <v>4770</v>
      </c>
      <c r="P127" s="21">
        <v>4714</v>
      </c>
      <c r="Q127" s="21">
        <v>4598</v>
      </c>
      <c r="R127" s="21">
        <v>4598</v>
      </c>
      <c r="S127" s="21">
        <v>4598</v>
      </c>
      <c r="T127" s="20">
        <v>4598</v>
      </c>
      <c r="U127" s="22">
        <v>4598</v>
      </c>
      <c r="V127" s="21">
        <v>4598</v>
      </c>
      <c r="W127" s="21">
        <v>4598</v>
      </c>
      <c r="X127" s="21">
        <v>4598</v>
      </c>
      <c r="Y127" s="21">
        <v>4598</v>
      </c>
      <c r="Z127" s="20">
        <v>4598</v>
      </c>
      <c r="AA127" s="21">
        <v>4598</v>
      </c>
      <c r="AB127" s="21">
        <v>4598</v>
      </c>
      <c r="AC127" s="21">
        <v>4598</v>
      </c>
      <c r="AD127" s="21">
        <v>4598</v>
      </c>
      <c r="AE127" s="20">
        <v>4598</v>
      </c>
      <c r="AF127" s="21">
        <v>4598</v>
      </c>
      <c r="AG127" s="21">
        <v>4598</v>
      </c>
      <c r="AH127" s="21">
        <v>4598</v>
      </c>
      <c r="AI127" s="21">
        <v>4598</v>
      </c>
      <c r="AJ127" s="21">
        <v>4598</v>
      </c>
      <c r="AK127" s="20">
        <v>4598</v>
      </c>
      <c r="AL127" s="22">
        <v>4598</v>
      </c>
      <c r="AM127" s="204"/>
      <c r="AN127" s="13">
        <v>0</v>
      </c>
      <c r="AO127" s="13">
        <v>0</v>
      </c>
    </row>
    <row r="128" spans="1:41" s="15" customFormat="1" ht="17" thickBot="1">
      <c r="A128" s="46"/>
      <c r="B128" s="12"/>
      <c r="C128" s="26"/>
      <c r="D128" s="26"/>
      <c r="E128" s="19" t="e">
        <v>#DIV/0!</v>
      </c>
      <c r="F128" s="19" t="e">
        <v>#DIV/0!</v>
      </c>
      <c r="G128" s="19">
        <v>0</v>
      </c>
      <c r="H128" s="19">
        <v>0</v>
      </c>
      <c r="I128" s="23"/>
      <c r="J128" s="19">
        <v>0</v>
      </c>
      <c r="K128" s="19">
        <v>0</v>
      </c>
      <c r="L128" s="19" t="e">
        <v>#DIV/0!</v>
      </c>
      <c r="M128" s="19" t="e">
        <v>#DIV/0!</v>
      </c>
      <c r="N128" s="23"/>
      <c r="O128" s="19" t="e">
        <v>#DIV/0!</v>
      </c>
      <c r="P128" s="19">
        <v>0</v>
      </c>
      <c r="Q128" s="19" t="e">
        <v>#DIV/0!</v>
      </c>
      <c r="R128" s="19" t="e">
        <v>#DIV/0!</v>
      </c>
      <c r="S128" s="19" t="e">
        <v>#REF!</v>
      </c>
      <c r="T128" s="23"/>
      <c r="U128" s="24"/>
      <c r="V128" s="19" t="e">
        <v>#DIV/0!</v>
      </c>
      <c r="W128" s="19" t="e">
        <v>#DIV/0!</v>
      </c>
      <c r="X128" s="19" t="e">
        <v>#DIV/0!</v>
      </c>
      <c r="Y128" s="19" t="e">
        <v>#DIV/0!</v>
      </c>
      <c r="Z128" s="23"/>
      <c r="AA128" s="19" t="e">
        <v>#DIV/0!</v>
      </c>
      <c r="AB128" s="19" t="e">
        <v>#DIV/0!</v>
      </c>
      <c r="AC128" s="19" t="e">
        <v>#DIV/0!</v>
      </c>
      <c r="AD128" s="19" t="e">
        <v>#DIV/0!</v>
      </c>
      <c r="AE128" s="23"/>
      <c r="AF128" s="19" t="e">
        <v>#DIV/0!</v>
      </c>
      <c r="AG128" s="19" t="e">
        <v>#DIV/0!</v>
      </c>
      <c r="AH128" s="19" t="e">
        <v>#DIV/0!</v>
      </c>
      <c r="AI128" s="19" t="e">
        <v>#DIV/0!</v>
      </c>
      <c r="AJ128" s="19" t="e">
        <v>#REF!</v>
      </c>
      <c r="AK128" s="26" t="e">
        <v>#DIV/0!</v>
      </c>
      <c r="AL128" s="24"/>
      <c r="AN128" s="13">
        <v>0</v>
      </c>
      <c r="AO128" s="13">
        <v>0</v>
      </c>
    </row>
    <row r="129" spans="1:41" s="29" customFormat="1" ht="13.25" customHeight="1">
      <c r="A129" s="166" t="s">
        <v>42</v>
      </c>
      <c r="B129" s="25" t="s">
        <v>5</v>
      </c>
      <c r="C129" s="26"/>
      <c r="D129" s="26"/>
      <c r="E129" s="27">
        <v>14889</v>
      </c>
      <c r="F129" s="27">
        <v>727693</v>
      </c>
      <c r="G129" s="27">
        <v>-768895</v>
      </c>
      <c r="H129" s="27">
        <v>116909</v>
      </c>
      <c r="I129" s="26">
        <v>90596</v>
      </c>
      <c r="J129" s="27">
        <v>138143</v>
      </c>
      <c r="K129" s="27">
        <v>45191</v>
      </c>
      <c r="L129" s="27">
        <v>33395</v>
      </c>
      <c r="M129" s="27">
        <v>195135</v>
      </c>
      <c r="N129" s="26">
        <v>411864</v>
      </c>
      <c r="O129" s="27">
        <v>91507</v>
      </c>
      <c r="P129" s="27">
        <v>31592</v>
      </c>
      <c r="Q129" s="27">
        <v>150524</v>
      </c>
      <c r="R129" s="27">
        <v>221857</v>
      </c>
      <c r="S129" s="27">
        <v>23298</v>
      </c>
      <c r="T129" s="26">
        <v>518778</v>
      </c>
      <c r="U129" s="28">
        <v>1189199</v>
      </c>
      <c r="V129" s="27">
        <v>2152</v>
      </c>
      <c r="W129" s="27">
        <v>0</v>
      </c>
      <c r="X129" s="27">
        <v>0</v>
      </c>
      <c r="Y129" s="27">
        <v>4400</v>
      </c>
      <c r="Z129" s="26">
        <v>6552</v>
      </c>
      <c r="AA129" s="27">
        <v>0</v>
      </c>
      <c r="AB129" s="27">
        <v>0</v>
      </c>
      <c r="AC129" s="27">
        <v>12000</v>
      </c>
      <c r="AD129" s="27">
        <v>0</v>
      </c>
      <c r="AE129" s="26">
        <v>12000</v>
      </c>
      <c r="AF129" s="27">
        <v>0</v>
      </c>
      <c r="AG129" s="27">
        <v>0</v>
      </c>
      <c r="AH129" s="27">
        <v>0</v>
      </c>
      <c r="AI129" s="27">
        <v>0</v>
      </c>
      <c r="AJ129" s="27">
        <v>0</v>
      </c>
      <c r="AK129" s="26">
        <v>0</v>
      </c>
      <c r="AL129" s="28">
        <v>18552</v>
      </c>
      <c r="AM129" s="206">
        <v>32</v>
      </c>
      <c r="AN129" s="30">
        <v>38054368</v>
      </c>
      <c r="AO129" s="30">
        <v>593664</v>
      </c>
    </row>
    <row r="130" spans="1:41" s="29" customFormat="1" ht="13.25" customHeight="1">
      <c r="A130" s="167"/>
      <c r="B130" s="31" t="s">
        <v>6</v>
      </c>
      <c r="C130" s="26"/>
      <c r="D130" s="26"/>
      <c r="E130" s="27">
        <v>14889</v>
      </c>
      <c r="F130" s="27">
        <v>727693</v>
      </c>
      <c r="G130" s="27">
        <v>235716</v>
      </c>
      <c r="H130" s="27">
        <v>0</v>
      </c>
      <c r="I130" s="26">
        <v>978298</v>
      </c>
      <c r="J130" s="27">
        <v>0</v>
      </c>
      <c r="K130" s="27">
        <v>0</v>
      </c>
      <c r="L130" s="27">
        <v>500000</v>
      </c>
      <c r="M130" s="27">
        <v>500000</v>
      </c>
      <c r="N130" s="26">
        <v>1000000</v>
      </c>
      <c r="O130" s="27">
        <v>0</v>
      </c>
      <c r="P130" s="27">
        <v>0</v>
      </c>
      <c r="Q130" s="27">
        <v>0</v>
      </c>
      <c r="R130" s="27">
        <v>300000</v>
      </c>
      <c r="S130" s="27">
        <v>0</v>
      </c>
      <c r="T130" s="26">
        <v>300000</v>
      </c>
      <c r="U130" s="28"/>
      <c r="V130" s="27">
        <v>0</v>
      </c>
      <c r="W130" s="27">
        <v>0</v>
      </c>
      <c r="X130" s="27">
        <v>0</v>
      </c>
      <c r="Y130" s="27">
        <v>0</v>
      </c>
      <c r="Z130" s="26">
        <v>0</v>
      </c>
      <c r="AA130" s="27">
        <v>0</v>
      </c>
      <c r="AB130" s="27">
        <v>0</v>
      </c>
      <c r="AC130" s="27">
        <v>0</v>
      </c>
      <c r="AD130" s="27">
        <v>0</v>
      </c>
      <c r="AE130" s="26">
        <v>0</v>
      </c>
      <c r="AF130" s="27">
        <v>0</v>
      </c>
      <c r="AG130" s="27">
        <v>0</v>
      </c>
      <c r="AH130" s="27">
        <v>0</v>
      </c>
      <c r="AI130" s="27">
        <v>0</v>
      </c>
      <c r="AJ130" s="27">
        <v>0</v>
      </c>
      <c r="AK130" s="26">
        <v>0</v>
      </c>
      <c r="AL130" s="28"/>
      <c r="AM130" s="206"/>
      <c r="AN130" s="30">
        <v>0</v>
      </c>
      <c r="AO130" s="30">
        <v>0</v>
      </c>
    </row>
    <row r="131" spans="1:41" s="29" customFormat="1" ht="13.25" customHeight="1">
      <c r="A131" s="167"/>
      <c r="B131" s="31" t="s">
        <v>10</v>
      </c>
      <c r="C131" s="26">
        <v>0</v>
      </c>
      <c r="D131" s="26"/>
      <c r="E131" s="27"/>
      <c r="F131" s="27"/>
      <c r="G131" s="27">
        <v>0</v>
      </c>
      <c r="H131" s="27"/>
      <c r="I131" s="26">
        <v>0</v>
      </c>
      <c r="J131" s="27"/>
      <c r="K131" s="27"/>
      <c r="L131" s="27"/>
      <c r="M131" s="27"/>
      <c r="N131" s="26">
        <v>0</v>
      </c>
      <c r="O131" s="27"/>
      <c r="P131" s="27"/>
      <c r="Q131" s="27"/>
      <c r="R131" s="27"/>
      <c r="S131" s="27"/>
      <c r="T131" s="26">
        <v>0</v>
      </c>
      <c r="U131" s="28">
        <v>0</v>
      </c>
      <c r="V131" s="27"/>
      <c r="W131" s="27"/>
      <c r="X131" s="27"/>
      <c r="Y131" s="27"/>
      <c r="Z131" s="26">
        <v>0</v>
      </c>
      <c r="AA131" s="27"/>
      <c r="AB131" s="27"/>
      <c r="AC131" s="27"/>
      <c r="AD131" s="27"/>
      <c r="AE131" s="26">
        <v>0</v>
      </c>
      <c r="AF131" s="27"/>
      <c r="AG131" s="27"/>
      <c r="AH131" s="27"/>
      <c r="AI131" s="27"/>
      <c r="AJ131" s="27"/>
      <c r="AK131" s="26">
        <v>0</v>
      </c>
      <c r="AL131" s="28">
        <v>0</v>
      </c>
      <c r="AM131" s="206"/>
      <c r="AN131" s="30">
        <v>0</v>
      </c>
      <c r="AO131" s="30">
        <v>0</v>
      </c>
    </row>
    <row r="132" spans="1:41" s="29" customFormat="1" ht="13.25" customHeight="1">
      <c r="A132" s="167"/>
      <c r="B132" s="31" t="s">
        <v>7</v>
      </c>
      <c r="C132" s="26"/>
      <c r="D132" s="26"/>
      <c r="E132" s="27">
        <v>14889</v>
      </c>
      <c r="F132" s="27">
        <v>727693</v>
      </c>
      <c r="G132" s="27">
        <v>235716</v>
      </c>
      <c r="H132" s="27">
        <v>0</v>
      </c>
      <c r="I132" s="26">
        <v>978298</v>
      </c>
      <c r="J132" s="32">
        <v>0</v>
      </c>
      <c r="K132" s="27">
        <v>0</v>
      </c>
      <c r="L132" s="27">
        <v>500000</v>
      </c>
      <c r="M132" s="27">
        <v>500000</v>
      </c>
      <c r="N132" s="26">
        <v>1000000</v>
      </c>
      <c r="O132" s="27">
        <v>0</v>
      </c>
      <c r="P132" s="27">
        <v>0</v>
      </c>
      <c r="Q132" s="27">
        <v>0</v>
      </c>
      <c r="R132" s="27">
        <v>300000</v>
      </c>
      <c r="S132" s="27">
        <v>0</v>
      </c>
      <c r="T132" s="26">
        <v>300000</v>
      </c>
      <c r="U132" s="28">
        <v>2446259</v>
      </c>
      <c r="V132" s="27">
        <v>0</v>
      </c>
      <c r="W132" s="27">
        <v>0</v>
      </c>
      <c r="X132" s="27">
        <v>0</v>
      </c>
      <c r="Y132" s="27">
        <v>0</v>
      </c>
      <c r="Z132" s="26">
        <v>0</v>
      </c>
      <c r="AA132" s="32">
        <v>0</v>
      </c>
      <c r="AB132" s="27">
        <v>0</v>
      </c>
      <c r="AC132" s="27">
        <v>0</v>
      </c>
      <c r="AD132" s="27">
        <v>0</v>
      </c>
      <c r="AE132" s="26">
        <v>0</v>
      </c>
      <c r="AF132" s="32">
        <v>0</v>
      </c>
      <c r="AG132" s="27">
        <v>0</v>
      </c>
      <c r="AH132" s="27">
        <v>0</v>
      </c>
      <c r="AI132" s="27">
        <v>0</v>
      </c>
      <c r="AJ132" s="27">
        <v>0</v>
      </c>
      <c r="AK132" s="26">
        <v>0</v>
      </c>
      <c r="AL132" s="28">
        <v>1257060</v>
      </c>
      <c r="AM132" s="206"/>
      <c r="AN132" s="30">
        <v>0</v>
      </c>
      <c r="AO132" s="30">
        <v>0</v>
      </c>
    </row>
    <row r="133" spans="1:41" s="29" customFormat="1" ht="13.75" customHeight="1" thickBot="1">
      <c r="A133" s="168"/>
      <c r="B133" s="33" t="s">
        <v>8</v>
      </c>
      <c r="C133" s="34">
        <v>821353</v>
      </c>
      <c r="D133" s="37">
        <v>167961</v>
      </c>
      <c r="E133" s="21">
        <v>0</v>
      </c>
      <c r="F133" s="21">
        <v>0</v>
      </c>
      <c r="G133" s="21">
        <v>1004611</v>
      </c>
      <c r="H133" s="21">
        <v>887702</v>
      </c>
      <c r="I133" s="20">
        <v>887702</v>
      </c>
      <c r="J133" s="21">
        <v>749559</v>
      </c>
      <c r="K133" s="21">
        <v>704368</v>
      </c>
      <c r="L133" s="21">
        <v>1170973</v>
      </c>
      <c r="M133" s="21">
        <v>1475838</v>
      </c>
      <c r="N133" s="20">
        <v>1475838</v>
      </c>
      <c r="O133" s="21">
        <v>1384331</v>
      </c>
      <c r="P133" s="21">
        <v>1352739</v>
      </c>
      <c r="Q133" s="21">
        <v>1202215</v>
      </c>
      <c r="R133" s="21">
        <v>1280358</v>
      </c>
      <c r="S133" s="21">
        <v>1257060</v>
      </c>
      <c r="T133" s="20">
        <v>1257060</v>
      </c>
      <c r="U133" s="22">
        <v>1257060</v>
      </c>
      <c r="V133" s="21">
        <v>1254908</v>
      </c>
      <c r="W133" s="21">
        <v>1254908</v>
      </c>
      <c r="X133" s="21">
        <v>1254908</v>
      </c>
      <c r="Y133" s="21">
        <v>1250508</v>
      </c>
      <c r="Z133" s="20">
        <v>1250508</v>
      </c>
      <c r="AA133" s="21">
        <v>1250508</v>
      </c>
      <c r="AB133" s="21">
        <v>1250508</v>
      </c>
      <c r="AC133" s="21">
        <v>1238508</v>
      </c>
      <c r="AD133" s="21">
        <v>1238508</v>
      </c>
      <c r="AE133" s="20">
        <v>1238508</v>
      </c>
      <c r="AF133" s="21">
        <v>1238508</v>
      </c>
      <c r="AG133" s="21">
        <v>1238508</v>
      </c>
      <c r="AH133" s="21">
        <v>1238508</v>
      </c>
      <c r="AI133" s="21">
        <v>1238508</v>
      </c>
      <c r="AJ133" s="21">
        <v>1238508</v>
      </c>
      <c r="AK133" s="20">
        <v>1238508</v>
      </c>
      <c r="AL133" s="22">
        <v>1238508</v>
      </c>
      <c r="AM133" s="206"/>
      <c r="AN133" s="30">
        <v>0</v>
      </c>
      <c r="AO133" s="30">
        <v>0</v>
      </c>
    </row>
    <row r="134" spans="1:41" s="29" customFormat="1" ht="17" thickBot="1">
      <c r="A134" s="46"/>
      <c r="B134" s="31" t="s">
        <v>9</v>
      </c>
      <c r="C134" s="26"/>
      <c r="D134" s="26"/>
      <c r="E134" s="19">
        <v>0</v>
      </c>
      <c r="F134" s="19">
        <v>0</v>
      </c>
      <c r="G134" s="19">
        <v>0</v>
      </c>
      <c r="H134" s="19">
        <v>0</v>
      </c>
      <c r="I134" s="23"/>
      <c r="J134" s="19">
        <v>0</v>
      </c>
      <c r="K134" s="19">
        <v>0</v>
      </c>
      <c r="L134" s="19">
        <v>0</v>
      </c>
      <c r="M134" s="19">
        <v>0</v>
      </c>
      <c r="N134" s="23"/>
      <c r="O134" s="19">
        <v>3632.3651339485955</v>
      </c>
      <c r="P134" s="19">
        <v>-211.59367385695856</v>
      </c>
      <c r="Q134" s="19">
        <v>-14584.628109617051</v>
      </c>
      <c r="R134" s="19" t="e">
        <v>#DIV/0!</v>
      </c>
      <c r="S134" s="19" t="e">
        <v>#REF!</v>
      </c>
      <c r="T134" s="23"/>
      <c r="U134" s="24"/>
      <c r="V134" s="19">
        <v>43495.937405958473</v>
      </c>
      <c r="W134" s="19">
        <v>41024.721590577814</v>
      </c>
      <c r="X134" s="19">
        <v>45726.383076872378</v>
      </c>
      <c r="Y134" s="19">
        <v>45726.383076872378</v>
      </c>
      <c r="Z134" s="23"/>
      <c r="AA134" s="19">
        <v>40169.186210794011</v>
      </c>
      <c r="AB134" s="19">
        <v>42509.072262543392</v>
      </c>
      <c r="AC134" s="19">
        <v>47966.989910862962</v>
      </c>
      <c r="AD134" s="19">
        <v>47966.989910862962</v>
      </c>
      <c r="AE134" s="23"/>
      <c r="AF134" s="19">
        <v>3757192.3076923075</v>
      </c>
      <c r="AG134" s="19">
        <v>19000.0778300969</v>
      </c>
      <c r="AH134" s="19">
        <v>44186818.18181818</v>
      </c>
      <c r="AI134" s="19" t="e">
        <v>#DIV/0!</v>
      </c>
      <c r="AJ134" s="19" t="e">
        <v>#REF!</v>
      </c>
      <c r="AK134" s="26" t="e">
        <v>#DIV/0!</v>
      </c>
      <c r="AL134" s="24"/>
      <c r="AN134" s="30">
        <v>0</v>
      </c>
      <c r="AO134" s="30">
        <v>0</v>
      </c>
    </row>
    <row r="135" spans="1:41" s="29" customFormat="1" ht="13.25" customHeight="1">
      <c r="A135" s="166" t="s">
        <v>43</v>
      </c>
      <c r="B135" s="25" t="s">
        <v>5</v>
      </c>
      <c r="C135" s="26"/>
      <c r="D135" s="26"/>
      <c r="E135" s="27">
        <v>0</v>
      </c>
      <c r="F135" s="27">
        <v>50000</v>
      </c>
      <c r="G135" s="27">
        <v>-57383</v>
      </c>
      <c r="H135" s="27">
        <v>36956</v>
      </c>
      <c r="I135" s="26">
        <v>29573</v>
      </c>
      <c r="J135" s="27">
        <v>10519</v>
      </c>
      <c r="K135" s="27">
        <v>6806</v>
      </c>
      <c r="L135" s="27">
        <v>10458</v>
      </c>
      <c r="M135" s="27">
        <v>1794</v>
      </c>
      <c r="N135" s="26">
        <v>29577</v>
      </c>
      <c r="O135" s="27">
        <v>13121</v>
      </c>
      <c r="P135" s="27">
        <v>1136</v>
      </c>
      <c r="Q135" s="27">
        <v>14342</v>
      </c>
      <c r="R135" s="27">
        <v>886</v>
      </c>
      <c r="S135" s="27">
        <v>0</v>
      </c>
      <c r="T135" s="26">
        <v>29485</v>
      </c>
      <c r="U135" s="28">
        <v>108253</v>
      </c>
      <c r="V135" s="27">
        <v>0</v>
      </c>
      <c r="W135" s="27">
        <v>0</v>
      </c>
      <c r="X135" s="27">
        <v>0</v>
      </c>
      <c r="Y135" s="27">
        <v>0</v>
      </c>
      <c r="Z135" s="26">
        <v>0</v>
      </c>
      <c r="AA135" s="27">
        <v>0</v>
      </c>
      <c r="AB135" s="27">
        <v>0</v>
      </c>
      <c r="AC135" s="27">
        <v>0</v>
      </c>
      <c r="AD135" s="27">
        <v>0</v>
      </c>
      <c r="AE135" s="26">
        <v>0</v>
      </c>
      <c r="AF135" s="27">
        <v>0</v>
      </c>
      <c r="AG135" s="27">
        <v>0</v>
      </c>
      <c r="AH135" s="27">
        <v>0</v>
      </c>
      <c r="AI135" s="27">
        <v>0</v>
      </c>
      <c r="AJ135" s="27">
        <v>0</v>
      </c>
      <c r="AK135" s="26">
        <v>0</v>
      </c>
      <c r="AL135" s="28">
        <v>0</v>
      </c>
      <c r="AM135" s="206">
        <v>64</v>
      </c>
      <c r="AN135" s="30">
        <v>6928192</v>
      </c>
      <c r="AO135" s="30">
        <v>0</v>
      </c>
    </row>
    <row r="136" spans="1:41" s="29" customFormat="1" ht="15.5" customHeight="1">
      <c r="A136" s="167"/>
      <c r="B136" s="31" t="s">
        <v>6</v>
      </c>
      <c r="C136" s="26"/>
      <c r="D136" s="26"/>
      <c r="E136" s="27">
        <v>0</v>
      </c>
      <c r="F136" s="27">
        <v>50000</v>
      </c>
      <c r="G136" s="27">
        <v>0</v>
      </c>
      <c r="H136" s="27">
        <v>0</v>
      </c>
      <c r="I136" s="26">
        <v>50000</v>
      </c>
      <c r="J136" s="27">
        <v>0</v>
      </c>
      <c r="K136" s="27">
        <v>0</v>
      </c>
      <c r="L136" s="27">
        <v>0</v>
      </c>
      <c r="M136" s="27">
        <v>30000</v>
      </c>
      <c r="N136" s="26">
        <v>30000</v>
      </c>
      <c r="O136" s="27">
        <v>0</v>
      </c>
      <c r="P136" s="27">
        <v>0</v>
      </c>
      <c r="Q136" s="27">
        <v>0</v>
      </c>
      <c r="R136" s="27">
        <v>10000</v>
      </c>
      <c r="S136" s="27">
        <v>0</v>
      </c>
      <c r="T136" s="26">
        <v>10000</v>
      </c>
      <c r="U136" s="28"/>
      <c r="V136" s="27">
        <v>0</v>
      </c>
      <c r="W136" s="27">
        <v>0</v>
      </c>
      <c r="X136" s="27">
        <v>0</v>
      </c>
      <c r="Y136" s="27">
        <v>0</v>
      </c>
      <c r="Z136" s="26">
        <v>0</v>
      </c>
      <c r="AA136" s="27">
        <v>0</v>
      </c>
      <c r="AB136" s="27">
        <v>0</v>
      </c>
      <c r="AC136" s="27">
        <v>0</v>
      </c>
      <c r="AD136" s="27">
        <v>0</v>
      </c>
      <c r="AE136" s="26">
        <v>0</v>
      </c>
      <c r="AF136" s="27">
        <v>0</v>
      </c>
      <c r="AG136" s="27">
        <v>0</v>
      </c>
      <c r="AH136" s="27">
        <v>0</v>
      </c>
      <c r="AI136" s="27">
        <v>0</v>
      </c>
      <c r="AJ136" s="27">
        <v>0</v>
      </c>
      <c r="AK136" s="26">
        <v>0</v>
      </c>
      <c r="AL136" s="28"/>
      <c r="AM136" s="206"/>
      <c r="AN136" s="30">
        <v>0</v>
      </c>
      <c r="AO136" s="30">
        <v>0</v>
      </c>
    </row>
    <row r="137" spans="1:41" s="29" customFormat="1" ht="13.25" customHeight="1">
      <c r="A137" s="167"/>
      <c r="B137" s="31" t="s">
        <v>10</v>
      </c>
      <c r="C137" s="26">
        <v>0</v>
      </c>
      <c r="D137" s="26"/>
      <c r="E137" s="27"/>
      <c r="F137" s="27"/>
      <c r="G137" s="27">
        <v>0</v>
      </c>
      <c r="H137" s="27"/>
      <c r="I137" s="26">
        <v>0</v>
      </c>
      <c r="J137" s="27"/>
      <c r="K137" s="27"/>
      <c r="L137" s="27"/>
      <c r="M137" s="27"/>
      <c r="N137" s="26">
        <v>1000338</v>
      </c>
      <c r="O137" s="27"/>
      <c r="P137" s="27"/>
      <c r="Q137" s="27"/>
      <c r="R137" s="27"/>
      <c r="S137" s="27"/>
      <c r="T137" s="26">
        <v>0</v>
      </c>
      <c r="U137" s="28">
        <v>1000338</v>
      </c>
      <c r="V137" s="27"/>
      <c r="W137" s="27"/>
      <c r="X137" s="27"/>
      <c r="Y137" s="27"/>
      <c r="Z137" s="26">
        <v>0</v>
      </c>
      <c r="AA137" s="27"/>
      <c r="AB137" s="27"/>
      <c r="AC137" s="27"/>
      <c r="AD137" s="27"/>
      <c r="AE137" s="26">
        <v>0</v>
      </c>
      <c r="AF137" s="27"/>
      <c r="AG137" s="27"/>
      <c r="AH137" s="27"/>
      <c r="AI137" s="27"/>
      <c r="AJ137" s="27"/>
      <c r="AK137" s="26">
        <v>0</v>
      </c>
      <c r="AL137" s="28">
        <v>0</v>
      </c>
      <c r="AM137" s="206"/>
      <c r="AN137" s="30">
        <v>0</v>
      </c>
      <c r="AO137" s="30">
        <v>0</v>
      </c>
    </row>
    <row r="138" spans="1:41" s="29" customFormat="1" ht="13.25" customHeight="1">
      <c r="A138" s="167"/>
      <c r="B138" s="31" t="s">
        <v>7</v>
      </c>
      <c r="C138" s="26"/>
      <c r="D138" s="26"/>
      <c r="E138" s="27">
        <v>0</v>
      </c>
      <c r="F138" s="27">
        <v>50000</v>
      </c>
      <c r="G138" s="27">
        <v>0</v>
      </c>
      <c r="H138" s="27">
        <v>0</v>
      </c>
      <c r="I138" s="26">
        <v>50000</v>
      </c>
      <c r="J138" s="32">
        <v>0</v>
      </c>
      <c r="K138" s="27">
        <v>0</v>
      </c>
      <c r="L138" s="27">
        <v>0</v>
      </c>
      <c r="M138" s="27">
        <v>30000</v>
      </c>
      <c r="N138" s="26">
        <v>30000</v>
      </c>
      <c r="O138" s="27">
        <v>0</v>
      </c>
      <c r="P138" s="27">
        <v>0</v>
      </c>
      <c r="Q138" s="27">
        <v>0</v>
      </c>
      <c r="R138" s="27">
        <v>10000</v>
      </c>
      <c r="S138" s="27">
        <v>0</v>
      </c>
      <c r="T138" s="26">
        <v>10000</v>
      </c>
      <c r="U138" s="28">
        <v>109618</v>
      </c>
      <c r="V138" s="27">
        <v>0</v>
      </c>
      <c r="W138" s="27">
        <v>0</v>
      </c>
      <c r="X138" s="27">
        <v>0</v>
      </c>
      <c r="Y138" s="27">
        <v>0</v>
      </c>
      <c r="Z138" s="26">
        <v>0</v>
      </c>
      <c r="AA138" s="32">
        <v>0</v>
      </c>
      <c r="AB138" s="27">
        <v>0</v>
      </c>
      <c r="AC138" s="27">
        <v>0</v>
      </c>
      <c r="AD138" s="27">
        <v>0</v>
      </c>
      <c r="AE138" s="26">
        <v>0</v>
      </c>
      <c r="AF138" s="32">
        <v>0</v>
      </c>
      <c r="AG138" s="27">
        <v>0</v>
      </c>
      <c r="AH138" s="27">
        <v>0</v>
      </c>
      <c r="AI138" s="27">
        <v>0</v>
      </c>
      <c r="AJ138" s="27">
        <v>0</v>
      </c>
      <c r="AK138" s="26">
        <v>0</v>
      </c>
      <c r="AL138" s="28">
        <v>1365</v>
      </c>
      <c r="AM138" s="206"/>
      <c r="AN138" s="30">
        <v>0</v>
      </c>
      <c r="AO138" s="30">
        <v>0</v>
      </c>
    </row>
    <row r="139" spans="1:41" s="29" customFormat="1" ht="13.75" customHeight="1" thickBot="1">
      <c r="A139" s="168"/>
      <c r="B139" s="33" t="s">
        <v>8</v>
      </c>
      <c r="C139" s="34">
        <v>66095</v>
      </c>
      <c r="D139" s="37">
        <v>19618</v>
      </c>
      <c r="E139" s="21">
        <v>0</v>
      </c>
      <c r="F139" s="21">
        <v>0</v>
      </c>
      <c r="G139" s="21">
        <v>57383</v>
      </c>
      <c r="H139" s="21">
        <v>20427</v>
      </c>
      <c r="I139" s="20">
        <v>20427</v>
      </c>
      <c r="J139" s="21">
        <v>9908</v>
      </c>
      <c r="K139" s="21">
        <v>3102</v>
      </c>
      <c r="L139" s="21">
        <v>-7356</v>
      </c>
      <c r="M139" s="21">
        <v>20850</v>
      </c>
      <c r="N139" s="20">
        <v>20850</v>
      </c>
      <c r="O139" s="21">
        <v>7729</v>
      </c>
      <c r="P139" s="21">
        <v>6593</v>
      </c>
      <c r="Q139" s="21">
        <v>-7749</v>
      </c>
      <c r="R139" s="21">
        <v>1365</v>
      </c>
      <c r="S139" s="21">
        <v>1365</v>
      </c>
      <c r="T139" s="20">
        <v>1365</v>
      </c>
      <c r="U139" s="22">
        <v>1365</v>
      </c>
      <c r="V139" s="21">
        <v>1365</v>
      </c>
      <c r="W139" s="21">
        <v>1365</v>
      </c>
      <c r="X139" s="21">
        <v>1365</v>
      </c>
      <c r="Y139" s="21">
        <v>1365</v>
      </c>
      <c r="Z139" s="20">
        <v>1365</v>
      </c>
      <c r="AA139" s="21">
        <v>1365</v>
      </c>
      <c r="AB139" s="21">
        <v>1365</v>
      </c>
      <c r="AC139" s="21">
        <v>1365</v>
      </c>
      <c r="AD139" s="21">
        <v>1365</v>
      </c>
      <c r="AE139" s="20">
        <v>1365</v>
      </c>
      <c r="AF139" s="21">
        <v>1365</v>
      </c>
      <c r="AG139" s="21">
        <v>1365</v>
      </c>
      <c r="AH139" s="21">
        <v>1365</v>
      </c>
      <c r="AI139" s="21">
        <v>1365</v>
      </c>
      <c r="AJ139" s="21">
        <v>1365</v>
      </c>
      <c r="AK139" s="20">
        <v>1365</v>
      </c>
      <c r="AL139" s="22">
        <v>1365</v>
      </c>
      <c r="AM139" s="206"/>
      <c r="AN139" s="30">
        <v>0</v>
      </c>
      <c r="AO139" s="30">
        <v>0</v>
      </c>
    </row>
    <row r="140" spans="1:41" s="29" customFormat="1" ht="17" thickBot="1">
      <c r="A140" s="46"/>
      <c r="B140" s="31" t="s">
        <v>9</v>
      </c>
      <c r="C140" s="26"/>
      <c r="D140" s="26"/>
      <c r="E140" s="19">
        <v>0</v>
      </c>
      <c r="F140" s="19">
        <v>0</v>
      </c>
      <c r="G140" s="19">
        <v>0</v>
      </c>
      <c r="H140" s="19">
        <v>0</v>
      </c>
      <c r="I140" s="23"/>
      <c r="J140" s="19">
        <v>0</v>
      </c>
      <c r="K140" s="19">
        <v>0</v>
      </c>
      <c r="L140" s="19">
        <v>743220.77343140531</v>
      </c>
      <c r="M140" s="19">
        <v>743220.77343140531</v>
      </c>
      <c r="N140" s="23"/>
      <c r="O140" s="19">
        <v>2250380.9097019937</v>
      </c>
      <c r="P140" s="19">
        <v>119034.60207612457</v>
      </c>
      <c r="Q140" s="19" t="e">
        <v>#DIV/0!</v>
      </c>
      <c r="R140" s="19" t="e">
        <v>#DIV/0!</v>
      </c>
      <c r="S140" s="19" t="e">
        <v>#REF!</v>
      </c>
      <c r="T140" s="23"/>
      <c r="U140" s="24"/>
      <c r="V140" s="19">
        <v>3249662.7426026091</v>
      </c>
      <c r="W140" s="19">
        <v>3178234.7447073474</v>
      </c>
      <c r="X140" s="19">
        <v>3948339.7832817342</v>
      </c>
      <c r="Y140" s="19">
        <v>3948339.7832817342</v>
      </c>
      <c r="Z140" s="23"/>
      <c r="AA140" s="19">
        <v>4728858.4686774937</v>
      </c>
      <c r="AB140" s="19">
        <v>5540865.0707290526</v>
      </c>
      <c r="AC140" s="19">
        <v>7410815.7319737794</v>
      </c>
      <c r="AD140" s="19">
        <v>7410815.7319737794</v>
      </c>
      <c r="AE140" s="23"/>
      <c r="AF140" s="19">
        <v>282625833.33333331</v>
      </c>
      <c r="AG140" s="19">
        <v>2516519.9109572098</v>
      </c>
      <c r="AH140" s="19">
        <v>847837500</v>
      </c>
      <c r="AI140" s="19" t="e">
        <v>#DIV/0!</v>
      </c>
      <c r="AJ140" s="19" t="e">
        <v>#REF!</v>
      </c>
      <c r="AK140" s="26" t="e">
        <v>#DIV/0!</v>
      </c>
      <c r="AL140" s="24"/>
      <c r="AN140" s="30">
        <v>0</v>
      </c>
      <c r="AO140" s="30">
        <v>0</v>
      </c>
    </row>
    <row r="141" spans="1:41" s="29" customFormat="1" ht="13.25" customHeight="1">
      <c r="A141" s="166" t="s">
        <v>49</v>
      </c>
      <c r="B141" s="25" t="s">
        <v>5</v>
      </c>
      <c r="C141" s="26"/>
      <c r="D141" s="26"/>
      <c r="E141" s="27">
        <v>0</v>
      </c>
      <c r="F141" s="27">
        <v>1200</v>
      </c>
      <c r="G141" s="27">
        <v>-884</v>
      </c>
      <c r="H141" s="27">
        <v>320</v>
      </c>
      <c r="I141" s="26">
        <v>636</v>
      </c>
      <c r="J141" s="27">
        <v>0</v>
      </c>
      <c r="K141" s="27">
        <v>0</v>
      </c>
      <c r="L141" s="27">
        <v>0</v>
      </c>
      <c r="M141" s="27">
        <v>3</v>
      </c>
      <c r="N141" s="26">
        <v>3</v>
      </c>
      <c r="O141" s="27">
        <v>804</v>
      </c>
      <c r="P141" s="27">
        <v>3</v>
      </c>
      <c r="Q141" s="27">
        <v>6251</v>
      </c>
      <c r="R141" s="27">
        <v>1340</v>
      </c>
      <c r="S141" s="27">
        <v>46938</v>
      </c>
      <c r="T141" s="26">
        <v>55336</v>
      </c>
      <c r="U141" s="28">
        <v>69643</v>
      </c>
      <c r="V141" s="27">
        <v>0</v>
      </c>
      <c r="W141" s="27">
        <v>0</v>
      </c>
      <c r="X141" s="27">
        <v>0</v>
      </c>
      <c r="Y141" s="27">
        <v>340</v>
      </c>
      <c r="Z141" s="26">
        <v>340</v>
      </c>
      <c r="AA141" s="27">
        <v>0</v>
      </c>
      <c r="AB141" s="27">
        <v>0</v>
      </c>
      <c r="AC141" s="27">
        <v>0</v>
      </c>
      <c r="AD141" s="27">
        <v>0</v>
      </c>
      <c r="AE141" s="26">
        <v>0</v>
      </c>
      <c r="AF141" s="27">
        <v>0</v>
      </c>
      <c r="AG141" s="27">
        <v>0</v>
      </c>
      <c r="AH141" s="27">
        <v>0</v>
      </c>
      <c r="AI141" s="27">
        <v>0</v>
      </c>
      <c r="AJ141" s="27">
        <v>0</v>
      </c>
      <c r="AK141" s="26">
        <v>0</v>
      </c>
      <c r="AL141" s="28">
        <v>340</v>
      </c>
      <c r="AM141" s="206">
        <v>32</v>
      </c>
      <c r="AN141" s="30">
        <v>2228576</v>
      </c>
      <c r="AO141" s="30">
        <v>10880</v>
      </c>
    </row>
    <row r="142" spans="1:41" s="29" customFormat="1" ht="13.25" customHeight="1">
      <c r="A142" s="167"/>
      <c r="B142" s="31" t="s">
        <v>6</v>
      </c>
      <c r="C142" s="26"/>
      <c r="D142" s="26"/>
      <c r="E142" s="27">
        <v>0</v>
      </c>
      <c r="F142" s="27">
        <v>1200</v>
      </c>
      <c r="G142" s="27">
        <v>0</v>
      </c>
      <c r="H142" s="27">
        <v>0</v>
      </c>
      <c r="I142" s="26">
        <v>1200</v>
      </c>
      <c r="J142" s="27">
        <v>0</v>
      </c>
      <c r="K142" s="27">
        <v>0</v>
      </c>
      <c r="L142" s="27">
        <v>0</v>
      </c>
      <c r="M142" s="27">
        <v>10000</v>
      </c>
      <c r="N142" s="26">
        <v>10000</v>
      </c>
      <c r="O142" s="27">
        <v>0</v>
      </c>
      <c r="P142" s="27">
        <v>0</v>
      </c>
      <c r="Q142" s="27">
        <v>0</v>
      </c>
      <c r="R142" s="27">
        <v>25000</v>
      </c>
      <c r="S142" s="27">
        <v>0</v>
      </c>
      <c r="T142" s="26">
        <v>25000</v>
      </c>
      <c r="U142" s="28"/>
      <c r="V142" s="27">
        <v>0</v>
      </c>
      <c r="W142" s="27">
        <v>0</v>
      </c>
      <c r="X142" s="27">
        <v>22000</v>
      </c>
      <c r="Y142" s="27">
        <v>0</v>
      </c>
      <c r="Z142" s="26">
        <v>22000</v>
      </c>
      <c r="AA142" s="27">
        <v>0</v>
      </c>
      <c r="AB142" s="27">
        <v>0</v>
      </c>
      <c r="AC142" s="27">
        <v>0</v>
      </c>
      <c r="AD142" s="27">
        <v>0</v>
      </c>
      <c r="AE142" s="26">
        <v>0</v>
      </c>
      <c r="AF142" s="27">
        <v>0</v>
      </c>
      <c r="AG142" s="27">
        <v>0</v>
      </c>
      <c r="AH142" s="27">
        <v>0</v>
      </c>
      <c r="AI142" s="27">
        <v>0</v>
      </c>
      <c r="AJ142" s="27">
        <v>0</v>
      </c>
      <c r="AK142" s="26">
        <v>0</v>
      </c>
      <c r="AL142" s="28"/>
      <c r="AM142" s="206"/>
      <c r="AN142" s="30">
        <v>0</v>
      </c>
      <c r="AO142" s="30">
        <v>0</v>
      </c>
    </row>
    <row r="143" spans="1:41" s="29" customFormat="1" ht="13.25" customHeight="1">
      <c r="A143" s="167"/>
      <c r="B143" s="31" t="s">
        <v>10</v>
      </c>
      <c r="C143" s="26">
        <v>0</v>
      </c>
      <c r="D143" s="26"/>
      <c r="E143" s="27"/>
      <c r="F143" s="27"/>
      <c r="G143" s="27">
        <v>0</v>
      </c>
      <c r="H143" s="27"/>
      <c r="I143" s="26">
        <v>0</v>
      </c>
      <c r="J143" s="27"/>
      <c r="K143" s="27"/>
      <c r="L143" s="27"/>
      <c r="M143" s="27"/>
      <c r="N143" s="26">
        <v>0</v>
      </c>
      <c r="O143" s="27"/>
      <c r="P143" s="27"/>
      <c r="Q143" s="27"/>
      <c r="R143" s="27"/>
      <c r="S143" s="27"/>
      <c r="T143" s="26">
        <v>0</v>
      </c>
      <c r="U143" s="28">
        <v>0</v>
      </c>
      <c r="V143" s="27"/>
      <c r="W143" s="27"/>
      <c r="X143" s="27"/>
      <c r="Y143" s="27"/>
      <c r="Z143" s="26">
        <v>0</v>
      </c>
      <c r="AA143" s="27"/>
      <c r="AB143" s="27"/>
      <c r="AC143" s="27"/>
      <c r="AD143" s="27"/>
      <c r="AE143" s="26">
        <v>0</v>
      </c>
      <c r="AF143" s="27"/>
      <c r="AG143" s="27"/>
      <c r="AH143" s="27"/>
      <c r="AI143" s="27"/>
      <c r="AJ143" s="27"/>
      <c r="AK143" s="26">
        <v>0</v>
      </c>
      <c r="AL143" s="28">
        <v>0</v>
      </c>
      <c r="AM143" s="206"/>
      <c r="AN143" s="30">
        <v>0</v>
      </c>
      <c r="AO143" s="30">
        <v>0</v>
      </c>
    </row>
    <row r="144" spans="1:41" s="29" customFormat="1" ht="13.25" customHeight="1">
      <c r="A144" s="167"/>
      <c r="B144" s="31" t="s">
        <v>7</v>
      </c>
      <c r="C144" s="26"/>
      <c r="D144" s="26"/>
      <c r="E144" s="27">
        <v>0</v>
      </c>
      <c r="F144" s="27">
        <v>1200</v>
      </c>
      <c r="G144" s="27">
        <v>0</v>
      </c>
      <c r="H144" s="27">
        <v>0</v>
      </c>
      <c r="I144" s="26">
        <v>1200</v>
      </c>
      <c r="J144" s="32">
        <v>0</v>
      </c>
      <c r="K144" s="27">
        <v>0</v>
      </c>
      <c r="L144" s="27">
        <v>0</v>
      </c>
      <c r="M144" s="27">
        <v>10000</v>
      </c>
      <c r="N144" s="26">
        <v>10000</v>
      </c>
      <c r="O144" s="27">
        <v>0</v>
      </c>
      <c r="P144" s="27">
        <v>0</v>
      </c>
      <c r="Q144" s="27">
        <v>0</v>
      </c>
      <c r="R144" s="27">
        <v>25000</v>
      </c>
      <c r="S144" s="27">
        <v>0</v>
      </c>
      <c r="T144" s="26">
        <v>25000</v>
      </c>
      <c r="U144" s="28">
        <v>49868</v>
      </c>
      <c r="V144" s="27">
        <v>0</v>
      </c>
      <c r="W144" s="27">
        <v>0</v>
      </c>
      <c r="X144" s="27">
        <v>22000</v>
      </c>
      <c r="Y144" s="27">
        <v>0</v>
      </c>
      <c r="Z144" s="26">
        <v>22000</v>
      </c>
      <c r="AA144" s="32">
        <v>0</v>
      </c>
      <c r="AB144" s="27">
        <v>0</v>
      </c>
      <c r="AC144" s="27">
        <v>0</v>
      </c>
      <c r="AD144" s="27">
        <v>0</v>
      </c>
      <c r="AE144" s="26">
        <v>0</v>
      </c>
      <c r="AF144" s="32">
        <v>0</v>
      </c>
      <c r="AG144" s="27">
        <v>0</v>
      </c>
      <c r="AH144" s="27">
        <v>0</v>
      </c>
      <c r="AI144" s="27">
        <v>0</v>
      </c>
      <c r="AJ144" s="27">
        <v>0</v>
      </c>
      <c r="AK144" s="26">
        <v>0</v>
      </c>
      <c r="AL144" s="28">
        <v>2225</v>
      </c>
      <c r="AM144" s="206"/>
      <c r="AN144" s="30">
        <v>0</v>
      </c>
      <c r="AO144" s="30">
        <v>0</v>
      </c>
    </row>
    <row r="145" spans="1:41" s="29" customFormat="1" ht="13.75" customHeight="1" thickBot="1">
      <c r="A145" s="168"/>
      <c r="B145" s="33" t="s">
        <v>8</v>
      </c>
      <c r="C145" s="34">
        <v>884</v>
      </c>
      <c r="D145" s="37">
        <v>13668</v>
      </c>
      <c r="E145" s="21">
        <v>0</v>
      </c>
      <c r="F145" s="21">
        <v>0</v>
      </c>
      <c r="G145" s="21">
        <v>884</v>
      </c>
      <c r="H145" s="21">
        <v>564</v>
      </c>
      <c r="I145" s="20">
        <v>564</v>
      </c>
      <c r="J145" s="21">
        <v>564</v>
      </c>
      <c r="K145" s="21">
        <v>564</v>
      </c>
      <c r="L145" s="21">
        <v>564</v>
      </c>
      <c r="M145" s="21">
        <v>10561</v>
      </c>
      <c r="N145" s="20">
        <v>10561</v>
      </c>
      <c r="O145" s="21">
        <v>9757</v>
      </c>
      <c r="P145" s="21">
        <v>9754</v>
      </c>
      <c r="Q145" s="21">
        <v>3503</v>
      </c>
      <c r="R145" s="21">
        <v>27163</v>
      </c>
      <c r="S145" s="21">
        <v>-19775</v>
      </c>
      <c r="T145" s="20">
        <v>-19775</v>
      </c>
      <c r="U145" s="22">
        <v>-19775</v>
      </c>
      <c r="V145" s="21">
        <v>-19775</v>
      </c>
      <c r="W145" s="21">
        <v>-19775</v>
      </c>
      <c r="X145" s="21">
        <v>2225</v>
      </c>
      <c r="Y145" s="21">
        <v>1885</v>
      </c>
      <c r="Z145" s="20">
        <v>1885</v>
      </c>
      <c r="AA145" s="21">
        <v>1885</v>
      </c>
      <c r="AB145" s="21">
        <v>1885</v>
      </c>
      <c r="AC145" s="21">
        <v>1885</v>
      </c>
      <c r="AD145" s="21">
        <v>1885</v>
      </c>
      <c r="AE145" s="20">
        <v>1885</v>
      </c>
      <c r="AF145" s="21">
        <v>1885</v>
      </c>
      <c r="AG145" s="21">
        <v>1885</v>
      </c>
      <c r="AH145" s="21">
        <v>1885</v>
      </c>
      <c r="AI145" s="21">
        <v>1885</v>
      </c>
      <c r="AJ145" s="21">
        <v>1885</v>
      </c>
      <c r="AK145" s="20">
        <v>1885</v>
      </c>
      <c r="AL145" s="22">
        <v>1885</v>
      </c>
      <c r="AM145" s="206"/>
      <c r="AN145" s="30">
        <v>0</v>
      </c>
      <c r="AO145" s="30">
        <v>0</v>
      </c>
    </row>
    <row r="146" spans="1:41" s="29" customFormat="1" ht="17" thickBot="1">
      <c r="A146" s="46"/>
      <c r="B146" s="31" t="s">
        <v>9</v>
      </c>
      <c r="C146" s="26"/>
      <c r="D146" s="26"/>
      <c r="E146" s="19" t="e">
        <v>#DIV/0!</v>
      </c>
      <c r="F146" s="19" t="e">
        <v>#DIV/0!</v>
      </c>
      <c r="G146" s="19" t="e">
        <v>#DIV/0!</v>
      </c>
      <c r="H146" s="19" t="e">
        <v>#DIV/0!</v>
      </c>
      <c r="I146" s="23"/>
      <c r="J146" s="19" t="e">
        <v>#DIV/0!</v>
      </c>
      <c r="K146" s="19" t="e">
        <v>#DIV/0!</v>
      </c>
      <c r="L146" s="19" t="e">
        <v>#DIV/0!</v>
      </c>
      <c r="M146" s="19" t="e">
        <v>#DIV/0!</v>
      </c>
      <c r="N146" s="23"/>
      <c r="O146" s="19" t="e">
        <v>#DIV/0!</v>
      </c>
      <c r="P146" s="19" t="e">
        <v>#DIV/0!</v>
      </c>
      <c r="Q146" s="19" t="e">
        <v>#DIV/0!</v>
      </c>
      <c r="R146" s="19" t="e">
        <v>#DIV/0!</v>
      </c>
      <c r="S146" s="19" t="e">
        <v>#REF!</v>
      </c>
      <c r="T146" s="23"/>
      <c r="U146" s="24"/>
      <c r="V146" s="19">
        <v>311.44211238997968</v>
      </c>
      <c r="W146" s="19">
        <v>311.44211238997968</v>
      </c>
      <c r="X146" s="19">
        <v>311.44211238997968</v>
      </c>
      <c r="Y146" s="19">
        <v>311.44211238997968</v>
      </c>
      <c r="Z146" s="23"/>
      <c r="AA146" s="19">
        <v>13867.291090673136</v>
      </c>
      <c r="AB146" s="19">
        <v>13866.117520945583</v>
      </c>
      <c r="AC146" s="19">
        <v>13867.291090673136</v>
      </c>
      <c r="AD146" s="19">
        <v>13867.291090673136</v>
      </c>
      <c r="AE146" s="23"/>
      <c r="AF146" s="19">
        <v>1695555.5555555555</v>
      </c>
      <c r="AG146" s="19">
        <v>250.19752436133791</v>
      </c>
      <c r="AH146" s="19">
        <v>5046666.666666667</v>
      </c>
      <c r="AI146" s="19" t="e">
        <v>#DIV/0!</v>
      </c>
      <c r="AJ146" s="19" t="e">
        <v>#REF!</v>
      </c>
      <c r="AK146" s="26" t="e">
        <v>#DIV/0!</v>
      </c>
      <c r="AL146" s="24"/>
      <c r="AN146" s="30">
        <v>0</v>
      </c>
      <c r="AO146" s="30">
        <v>0</v>
      </c>
    </row>
    <row r="147" spans="1:41" s="29" customFormat="1" ht="13.25" customHeight="1">
      <c r="A147" s="166" t="s">
        <v>50</v>
      </c>
      <c r="B147" s="25" t="s">
        <v>5</v>
      </c>
      <c r="C147" s="26"/>
      <c r="D147" s="26"/>
      <c r="E147" s="27">
        <v>0</v>
      </c>
      <c r="F147" s="27">
        <v>200</v>
      </c>
      <c r="G147" s="27">
        <v>-64</v>
      </c>
      <c r="H147" s="27">
        <v>6800</v>
      </c>
      <c r="I147" s="26">
        <v>6936</v>
      </c>
      <c r="J147" s="27">
        <v>0</v>
      </c>
      <c r="K147" s="27">
        <v>5538</v>
      </c>
      <c r="L147" s="27">
        <v>0</v>
      </c>
      <c r="M147" s="27">
        <v>3200</v>
      </c>
      <c r="N147" s="26">
        <v>8738</v>
      </c>
      <c r="O147" s="27">
        <v>80</v>
      </c>
      <c r="P147" s="27">
        <v>1846</v>
      </c>
      <c r="Q147" s="27">
        <v>120</v>
      </c>
      <c r="R147" s="27">
        <v>4440</v>
      </c>
      <c r="S147" s="27">
        <v>40000</v>
      </c>
      <c r="T147" s="26">
        <v>46486</v>
      </c>
      <c r="U147" s="28">
        <v>69452</v>
      </c>
      <c r="V147" s="27">
        <v>0</v>
      </c>
      <c r="W147" s="27">
        <v>0</v>
      </c>
      <c r="X147" s="27">
        <v>0</v>
      </c>
      <c r="Y147" s="27">
        <v>0</v>
      </c>
      <c r="Z147" s="26">
        <v>0</v>
      </c>
      <c r="AA147" s="27">
        <v>0</v>
      </c>
      <c r="AB147" s="27">
        <v>0</v>
      </c>
      <c r="AC147" s="27">
        <v>0</v>
      </c>
      <c r="AD147" s="27">
        <v>0</v>
      </c>
      <c r="AE147" s="26">
        <v>0</v>
      </c>
      <c r="AF147" s="27">
        <v>0</v>
      </c>
      <c r="AG147" s="27">
        <v>0</v>
      </c>
      <c r="AH147" s="27">
        <v>0</v>
      </c>
      <c r="AI147" s="27">
        <v>0</v>
      </c>
      <c r="AJ147" s="27">
        <v>0</v>
      </c>
      <c r="AK147" s="26">
        <v>0</v>
      </c>
      <c r="AL147" s="28">
        <v>0</v>
      </c>
      <c r="AM147" s="206">
        <v>64</v>
      </c>
      <c r="AN147" s="30">
        <v>4444928</v>
      </c>
      <c r="AO147" s="30">
        <v>0</v>
      </c>
    </row>
    <row r="148" spans="1:41" s="29" customFormat="1" ht="13.25" customHeight="1">
      <c r="A148" s="167"/>
      <c r="B148" s="31" t="s">
        <v>6</v>
      </c>
      <c r="C148" s="26"/>
      <c r="D148" s="26"/>
      <c r="E148" s="27">
        <v>0</v>
      </c>
      <c r="F148" s="27">
        <v>200</v>
      </c>
      <c r="G148" s="27">
        <v>0</v>
      </c>
      <c r="H148" s="27">
        <v>0</v>
      </c>
      <c r="I148" s="26">
        <v>200</v>
      </c>
      <c r="J148" s="27">
        <v>0</v>
      </c>
      <c r="K148" s="27">
        <v>0</v>
      </c>
      <c r="L148" s="27">
        <v>0</v>
      </c>
      <c r="M148" s="27">
        <v>20000</v>
      </c>
      <c r="N148" s="26">
        <v>20000</v>
      </c>
      <c r="O148" s="27">
        <v>0</v>
      </c>
      <c r="P148" s="27">
        <v>0</v>
      </c>
      <c r="Q148" s="27">
        <v>0</v>
      </c>
      <c r="R148" s="27">
        <v>2000</v>
      </c>
      <c r="S148" s="27">
        <v>0</v>
      </c>
      <c r="T148" s="26">
        <v>2000</v>
      </c>
      <c r="U148" s="28"/>
      <c r="V148" s="27">
        <v>0</v>
      </c>
      <c r="W148" s="27">
        <v>0</v>
      </c>
      <c r="X148" s="27">
        <v>40000</v>
      </c>
      <c r="Y148" s="27">
        <v>0</v>
      </c>
      <c r="Z148" s="26">
        <v>40000</v>
      </c>
      <c r="AA148" s="27">
        <v>0</v>
      </c>
      <c r="AB148" s="27">
        <v>0</v>
      </c>
      <c r="AC148" s="27">
        <v>0</v>
      </c>
      <c r="AD148" s="27">
        <v>0</v>
      </c>
      <c r="AE148" s="26">
        <v>0</v>
      </c>
      <c r="AF148" s="27">
        <v>0</v>
      </c>
      <c r="AG148" s="27">
        <v>0</v>
      </c>
      <c r="AH148" s="27">
        <v>0</v>
      </c>
      <c r="AI148" s="27">
        <v>0</v>
      </c>
      <c r="AJ148" s="27">
        <v>0</v>
      </c>
      <c r="AK148" s="26">
        <v>0</v>
      </c>
      <c r="AL148" s="28"/>
      <c r="AM148" s="206"/>
      <c r="AN148" s="30">
        <v>0</v>
      </c>
      <c r="AO148" s="30">
        <v>0</v>
      </c>
    </row>
    <row r="149" spans="1:41" s="29" customFormat="1" ht="13.25" customHeight="1">
      <c r="A149" s="167"/>
      <c r="B149" s="31" t="s">
        <v>10</v>
      </c>
      <c r="C149" s="26">
        <v>0</v>
      </c>
      <c r="D149" s="26"/>
      <c r="E149" s="27"/>
      <c r="F149" s="27"/>
      <c r="G149" s="27">
        <v>0</v>
      </c>
      <c r="H149" s="27"/>
      <c r="I149" s="26">
        <v>0</v>
      </c>
      <c r="J149" s="27"/>
      <c r="K149" s="27"/>
      <c r="L149" s="27"/>
      <c r="M149" s="27"/>
      <c r="N149" s="26">
        <v>0</v>
      </c>
      <c r="O149" s="27"/>
      <c r="P149" s="27"/>
      <c r="Q149" s="27"/>
      <c r="R149" s="27"/>
      <c r="S149" s="27"/>
      <c r="T149" s="26">
        <v>0</v>
      </c>
      <c r="U149" s="28">
        <v>0</v>
      </c>
      <c r="V149" s="27"/>
      <c r="W149" s="27"/>
      <c r="X149" s="27"/>
      <c r="Y149" s="27"/>
      <c r="Z149" s="26">
        <v>0</v>
      </c>
      <c r="AA149" s="27"/>
      <c r="AB149" s="27"/>
      <c r="AC149" s="27"/>
      <c r="AD149" s="27"/>
      <c r="AE149" s="26">
        <v>0</v>
      </c>
      <c r="AF149" s="27"/>
      <c r="AG149" s="27"/>
      <c r="AH149" s="27"/>
      <c r="AI149" s="27"/>
      <c r="AJ149" s="27"/>
      <c r="AK149" s="26">
        <v>0</v>
      </c>
      <c r="AL149" s="28">
        <v>0</v>
      </c>
      <c r="AM149" s="206"/>
      <c r="AN149" s="30">
        <v>0</v>
      </c>
      <c r="AO149" s="30">
        <v>0</v>
      </c>
    </row>
    <row r="150" spans="1:41" s="29" customFormat="1" ht="13.25" customHeight="1">
      <c r="A150" s="167"/>
      <c r="B150" s="31" t="s">
        <v>7</v>
      </c>
      <c r="C150" s="26"/>
      <c r="D150" s="26"/>
      <c r="E150" s="27">
        <v>0</v>
      </c>
      <c r="F150" s="27">
        <v>200</v>
      </c>
      <c r="G150" s="27">
        <v>0</v>
      </c>
      <c r="H150" s="27">
        <v>0</v>
      </c>
      <c r="I150" s="26">
        <v>200</v>
      </c>
      <c r="J150" s="32">
        <v>0</v>
      </c>
      <c r="K150" s="27">
        <v>0</v>
      </c>
      <c r="L150" s="27">
        <v>0</v>
      </c>
      <c r="M150" s="27">
        <v>20000</v>
      </c>
      <c r="N150" s="26">
        <v>20000</v>
      </c>
      <c r="O150" s="27">
        <v>0</v>
      </c>
      <c r="P150" s="27">
        <v>0</v>
      </c>
      <c r="Q150" s="27">
        <v>0</v>
      </c>
      <c r="R150" s="27">
        <v>2000</v>
      </c>
      <c r="S150" s="27">
        <v>0</v>
      </c>
      <c r="T150" s="26">
        <v>2000</v>
      </c>
      <c r="U150" s="28">
        <v>29492</v>
      </c>
      <c r="V150" s="27">
        <v>0</v>
      </c>
      <c r="W150" s="27">
        <v>0</v>
      </c>
      <c r="X150" s="27">
        <v>40000</v>
      </c>
      <c r="Y150" s="27">
        <v>0</v>
      </c>
      <c r="Z150" s="26">
        <v>40000</v>
      </c>
      <c r="AA150" s="32">
        <v>0</v>
      </c>
      <c r="AB150" s="27">
        <v>0</v>
      </c>
      <c r="AC150" s="27">
        <v>0</v>
      </c>
      <c r="AD150" s="27">
        <v>0</v>
      </c>
      <c r="AE150" s="26">
        <v>0</v>
      </c>
      <c r="AF150" s="32">
        <v>0</v>
      </c>
      <c r="AG150" s="27">
        <v>0</v>
      </c>
      <c r="AH150" s="27">
        <v>0</v>
      </c>
      <c r="AI150" s="27">
        <v>0</v>
      </c>
      <c r="AJ150" s="27">
        <v>0</v>
      </c>
      <c r="AK150" s="26">
        <v>0</v>
      </c>
      <c r="AL150" s="28">
        <v>40</v>
      </c>
      <c r="AM150" s="206"/>
      <c r="AN150" s="30">
        <v>0</v>
      </c>
      <c r="AO150" s="30">
        <v>0</v>
      </c>
    </row>
    <row r="151" spans="1:41" s="29" customFormat="1" ht="13.75" customHeight="1" thickBot="1">
      <c r="A151" s="168"/>
      <c r="B151" s="33" t="s">
        <v>8</v>
      </c>
      <c r="C151" s="34">
        <v>64</v>
      </c>
      <c r="D151" s="37">
        <v>7292</v>
      </c>
      <c r="E151" s="21">
        <v>0</v>
      </c>
      <c r="F151" s="21">
        <v>0</v>
      </c>
      <c r="G151" s="21">
        <v>64</v>
      </c>
      <c r="H151" s="21">
        <v>-6736</v>
      </c>
      <c r="I151" s="20">
        <v>-6736</v>
      </c>
      <c r="J151" s="21">
        <v>-6736</v>
      </c>
      <c r="K151" s="21">
        <v>-12274</v>
      </c>
      <c r="L151" s="21">
        <v>-12274</v>
      </c>
      <c r="M151" s="21">
        <v>4526</v>
      </c>
      <c r="N151" s="20">
        <v>4526</v>
      </c>
      <c r="O151" s="21">
        <v>4446</v>
      </c>
      <c r="P151" s="21">
        <v>2600</v>
      </c>
      <c r="Q151" s="21">
        <v>2480</v>
      </c>
      <c r="R151" s="21">
        <v>40</v>
      </c>
      <c r="S151" s="21">
        <v>-39960</v>
      </c>
      <c r="T151" s="20">
        <v>-39960</v>
      </c>
      <c r="U151" s="22">
        <v>-39960</v>
      </c>
      <c r="V151" s="21">
        <v>-39960</v>
      </c>
      <c r="W151" s="21">
        <v>-39960</v>
      </c>
      <c r="X151" s="21">
        <v>40</v>
      </c>
      <c r="Y151" s="21">
        <v>40</v>
      </c>
      <c r="Z151" s="20">
        <v>40</v>
      </c>
      <c r="AA151" s="21">
        <v>40</v>
      </c>
      <c r="AB151" s="21">
        <v>40</v>
      </c>
      <c r="AC151" s="21">
        <v>40</v>
      </c>
      <c r="AD151" s="21">
        <v>40</v>
      </c>
      <c r="AE151" s="20">
        <v>40</v>
      </c>
      <c r="AF151" s="21">
        <v>40</v>
      </c>
      <c r="AG151" s="21">
        <v>40</v>
      </c>
      <c r="AH151" s="21">
        <v>40</v>
      </c>
      <c r="AI151" s="21">
        <v>40</v>
      </c>
      <c r="AJ151" s="21">
        <v>40</v>
      </c>
      <c r="AK151" s="20">
        <v>40</v>
      </c>
      <c r="AL151" s="22">
        <v>40</v>
      </c>
      <c r="AM151" s="206"/>
      <c r="AN151" s="30">
        <v>0</v>
      </c>
      <c r="AO151" s="30">
        <v>0</v>
      </c>
    </row>
    <row r="152" spans="1:41" s="29" customFormat="1">
      <c r="A152" s="46"/>
      <c r="B152" s="31" t="s">
        <v>9</v>
      </c>
      <c r="C152" s="26"/>
      <c r="D152" s="26"/>
      <c r="E152" s="59">
        <v>0</v>
      </c>
      <c r="F152" s="59">
        <v>0</v>
      </c>
      <c r="G152" s="59">
        <v>0</v>
      </c>
      <c r="H152" s="59">
        <v>0</v>
      </c>
      <c r="I152" s="60"/>
      <c r="J152" s="59">
        <v>0</v>
      </c>
      <c r="K152" s="59">
        <v>0</v>
      </c>
      <c r="L152" s="59">
        <v>0</v>
      </c>
      <c r="M152" s="59">
        <v>0</v>
      </c>
      <c r="N152" s="60"/>
      <c r="O152" s="59"/>
      <c r="P152" s="59"/>
      <c r="Q152" s="59"/>
      <c r="R152" s="59"/>
      <c r="S152" s="59"/>
      <c r="T152" s="60"/>
      <c r="U152" s="61"/>
      <c r="V152" s="59">
        <v>0</v>
      </c>
      <c r="W152" s="59">
        <v>0</v>
      </c>
      <c r="X152" s="59">
        <v>0</v>
      </c>
      <c r="Y152" s="59">
        <v>0</v>
      </c>
      <c r="Z152" s="60"/>
      <c r="AA152" s="59">
        <v>0</v>
      </c>
      <c r="AB152" s="59">
        <v>0</v>
      </c>
      <c r="AC152" s="59">
        <v>0</v>
      </c>
      <c r="AD152" s="59">
        <v>0</v>
      </c>
      <c r="AE152" s="60"/>
      <c r="AF152" s="59">
        <v>0</v>
      </c>
      <c r="AG152" s="59">
        <v>0</v>
      </c>
      <c r="AH152" s="59" t="e">
        <v>#DIV/0!</v>
      </c>
      <c r="AI152" s="59" t="e">
        <v>#DIV/0!</v>
      </c>
      <c r="AJ152" s="59" t="e">
        <v>#REF!</v>
      </c>
      <c r="AK152" s="60"/>
      <c r="AL152" s="61"/>
      <c r="AN152" s="30">
        <v>0</v>
      </c>
      <c r="AO152" s="30">
        <v>0</v>
      </c>
    </row>
    <row r="153" spans="1:41" s="29" customFormat="1" ht="13.25" customHeight="1">
      <c r="A153" s="210" t="s">
        <v>113</v>
      </c>
      <c r="B153" s="110" t="s">
        <v>5</v>
      </c>
      <c r="C153" s="26"/>
      <c r="D153" s="26"/>
      <c r="E153" s="27">
        <v>0</v>
      </c>
      <c r="F153" s="27">
        <v>0</v>
      </c>
      <c r="G153" s="27">
        <v>0</v>
      </c>
      <c r="H153" s="27">
        <v>0</v>
      </c>
      <c r="I153" s="26">
        <v>0</v>
      </c>
      <c r="J153" s="27">
        <v>0</v>
      </c>
      <c r="K153" s="27">
        <v>0</v>
      </c>
      <c r="L153" s="27">
        <v>0</v>
      </c>
      <c r="M153" s="27">
        <v>1480</v>
      </c>
      <c r="N153" s="26">
        <v>1480</v>
      </c>
      <c r="O153" s="27">
        <v>11200</v>
      </c>
      <c r="P153" s="27">
        <v>6000</v>
      </c>
      <c r="Q153" s="27">
        <v>1191</v>
      </c>
      <c r="R153" s="27">
        <v>15191</v>
      </c>
      <c r="S153" s="27">
        <v>80000</v>
      </c>
      <c r="T153" s="26">
        <v>113582</v>
      </c>
      <c r="U153" s="28">
        <v>115062</v>
      </c>
      <c r="V153" s="27">
        <v>8000</v>
      </c>
      <c r="W153" s="27">
        <v>0</v>
      </c>
      <c r="X153" s="27">
        <v>0</v>
      </c>
      <c r="Y153" s="27">
        <v>0</v>
      </c>
      <c r="Z153" s="26">
        <v>8000</v>
      </c>
      <c r="AA153" s="27">
        <v>0</v>
      </c>
      <c r="AB153" s="27">
        <v>0</v>
      </c>
      <c r="AC153" s="27">
        <v>0</v>
      </c>
      <c r="AD153" s="27">
        <v>0</v>
      </c>
      <c r="AE153" s="26">
        <v>0</v>
      </c>
      <c r="AF153" s="27">
        <v>0</v>
      </c>
      <c r="AG153" s="27">
        <v>0</v>
      </c>
      <c r="AH153" s="27">
        <v>0</v>
      </c>
      <c r="AI153" s="27">
        <v>0</v>
      </c>
      <c r="AJ153" s="27">
        <v>0</v>
      </c>
      <c r="AK153" s="26">
        <v>0</v>
      </c>
      <c r="AL153" s="28">
        <v>8000</v>
      </c>
      <c r="AM153" s="206">
        <v>16</v>
      </c>
      <c r="AN153" s="30">
        <v>1840992</v>
      </c>
      <c r="AO153" s="30">
        <v>128000</v>
      </c>
    </row>
    <row r="154" spans="1:41" s="29" customFormat="1" ht="13.25" customHeight="1">
      <c r="A154" s="211"/>
      <c r="B154" s="111" t="s">
        <v>6</v>
      </c>
      <c r="C154" s="26"/>
      <c r="D154" s="26"/>
      <c r="E154" s="27">
        <v>0</v>
      </c>
      <c r="F154" s="27">
        <v>0</v>
      </c>
      <c r="G154" s="27">
        <v>0</v>
      </c>
      <c r="H154" s="27">
        <v>0</v>
      </c>
      <c r="I154" s="26">
        <v>0</v>
      </c>
      <c r="J154" s="27">
        <v>0</v>
      </c>
      <c r="K154" s="27">
        <v>0</v>
      </c>
      <c r="L154" s="27">
        <v>0</v>
      </c>
      <c r="M154" s="27">
        <v>10000</v>
      </c>
      <c r="N154" s="26">
        <v>10000</v>
      </c>
      <c r="O154" s="27">
        <v>0</v>
      </c>
      <c r="P154" s="27">
        <v>0</v>
      </c>
      <c r="Q154" s="27">
        <v>0</v>
      </c>
      <c r="R154" s="27">
        <v>30000</v>
      </c>
      <c r="S154" s="27">
        <v>0</v>
      </c>
      <c r="T154" s="26">
        <v>30000</v>
      </c>
      <c r="U154" s="28"/>
      <c r="V154" s="27">
        <v>0</v>
      </c>
      <c r="W154" s="27">
        <v>0</v>
      </c>
      <c r="X154" s="27">
        <v>100000</v>
      </c>
      <c r="Y154" s="27">
        <v>0</v>
      </c>
      <c r="Z154" s="26">
        <v>100000</v>
      </c>
      <c r="AA154" s="27">
        <v>0</v>
      </c>
      <c r="AB154" s="27">
        <v>0</v>
      </c>
      <c r="AC154" s="27">
        <v>0</v>
      </c>
      <c r="AD154" s="27">
        <v>0</v>
      </c>
      <c r="AE154" s="26">
        <v>0</v>
      </c>
      <c r="AF154" s="27">
        <v>0</v>
      </c>
      <c r="AG154" s="27">
        <v>0</v>
      </c>
      <c r="AH154" s="27">
        <v>0</v>
      </c>
      <c r="AI154" s="27">
        <v>0</v>
      </c>
      <c r="AJ154" s="27">
        <v>0</v>
      </c>
      <c r="AK154" s="26">
        <v>0</v>
      </c>
      <c r="AL154" s="28"/>
      <c r="AM154" s="206"/>
      <c r="AN154" s="30">
        <v>0</v>
      </c>
      <c r="AO154" s="30">
        <v>0</v>
      </c>
    </row>
    <row r="155" spans="1:41" s="29" customFormat="1" ht="13.25" customHeight="1">
      <c r="A155" s="211"/>
      <c r="B155" s="111" t="s">
        <v>10</v>
      </c>
      <c r="C155" s="26">
        <v>0</v>
      </c>
      <c r="D155" s="26"/>
      <c r="E155" s="27"/>
      <c r="F155" s="27"/>
      <c r="G155" s="27">
        <v>0</v>
      </c>
      <c r="H155" s="27"/>
      <c r="I155" s="26">
        <v>0</v>
      </c>
      <c r="J155" s="27"/>
      <c r="K155" s="27"/>
      <c r="L155" s="27"/>
      <c r="M155" s="27"/>
      <c r="N155" s="26">
        <v>0</v>
      </c>
      <c r="O155" s="27"/>
      <c r="P155" s="27"/>
      <c r="Q155" s="27"/>
      <c r="R155" s="27"/>
      <c r="S155" s="27"/>
      <c r="T155" s="26">
        <v>0</v>
      </c>
      <c r="U155" s="28">
        <v>0</v>
      </c>
      <c r="V155" s="27"/>
      <c r="W155" s="27"/>
      <c r="X155" s="27"/>
      <c r="Y155" s="27"/>
      <c r="Z155" s="26">
        <v>0</v>
      </c>
      <c r="AA155" s="27"/>
      <c r="AB155" s="27"/>
      <c r="AC155" s="27"/>
      <c r="AD155" s="27"/>
      <c r="AE155" s="26">
        <v>0</v>
      </c>
      <c r="AF155" s="27"/>
      <c r="AG155" s="27"/>
      <c r="AH155" s="27"/>
      <c r="AI155" s="27"/>
      <c r="AJ155" s="27"/>
      <c r="AK155" s="26">
        <v>0</v>
      </c>
      <c r="AL155" s="28">
        <v>0</v>
      </c>
      <c r="AM155" s="206"/>
      <c r="AN155" s="30">
        <v>0</v>
      </c>
      <c r="AO155" s="30">
        <v>0</v>
      </c>
    </row>
    <row r="156" spans="1:41" s="29" customFormat="1" ht="13.25" customHeight="1">
      <c r="A156" s="211"/>
      <c r="B156" s="111" t="s">
        <v>7</v>
      </c>
      <c r="C156" s="26"/>
      <c r="D156" s="26"/>
      <c r="E156" s="27">
        <v>0</v>
      </c>
      <c r="F156" s="27">
        <v>0</v>
      </c>
      <c r="G156" s="27">
        <v>0</v>
      </c>
      <c r="H156" s="27">
        <v>0</v>
      </c>
      <c r="I156" s="26">
        <v>0</v>
      </c>
      <c r="J156" s="32">
        <v>0</v>
      </c>
      <c r="K156" s="27">
        <v>0</v>
      </c>
      <c r="L156" s="27">
        <v>0</v>
      </c>
      <c r="M156" s="27">
        <v>10000</v>
      </c>
      <c r="N156" s="26">
        <v>10000</v>
      </c>
      <c r="O156" s="27">
        <v>0</v>
      </c>
      <c r="P156" s="27">
        <v>0</v>
      </c>
      <c r="Q156" s="27">
        <v>0</v>
      </c>
      <c r="R156" s="27">
        <v>30000</v>
      </c>
      <c r="S156" s="27">
        <v>0</v>
      </c>
      <c r="T156" s="26">
        <v>30000</v>
      </c>
      <c r="U156" s="28">
        <v>40000</v>
      </c>
      <c r="V156" s="27">
        <v>0</v>
      </c>
      <c r="W156" s="27">
        <v>0</v>
      </c>
      <c r="X156" s="27">
        <v>100000</v>
      </c>
      <c r="Y156" s="27">
        <v>0</v>
      </c>
      <c r="Z156" s="26">
        <v>100000</v>
      </c>
      <c r="AA156" s="32">
        <v>0</v>
      </c>
      <c r="AB156" s="27">
        <v>0</v>
      </c>
      <c r="AC156" s="27">
        <v>0</v>
      </c>
      <c r="AD156" s="27">
        <v>0</v>
      </c>
      <c r="AE156" s="26">
        <v>0</v>
      </c>
      <c r="AF156" s="32">
        <v>0</v>
      </c>
      <c r="AG156" s="27">
        <v>0</v>
      </c>
      <c r="AH156" s="27">
        <v>0</v>
      </c>
      <c r="AI156" s="27">
        <v>0</v>
      </c>
      <c r="AJ156" s="27">
        <v>0</v>
      </c>
      <c r="AK156" s="26">
        <v>0</v>
      </c>
      <c r="AL156" s="28">
        <v>24938</v>
      </c>
      <c r="AM156" s="206"/>
      <c r="AN156" s="30">
        <v>0</v>
      </c>
      <c r="AO156" s="30">
        <v>0</v>
      </c>
    </row>
    <row r="157" spans="1:41" s="29" customFormat="1" ht="13.75" customHeight="1" thickBot="1">
      <c r="A157" s="212"/>
      <c r="B157" s="112" t="s">
        <v>8</v>
      </c>
      <c r="C157" s="34">
        <v>0</v>
      </c>
      <c r="D157" s="37">
        <v>0</v>
      </c>
      <c r="E157" s="21">
        <v>0</v>
      </c>
      <c r="F157" s="21">
        <v>0</v>
      </c>
      <c r="G157" s="21">
        <v>0</v>
      </c>
      <c r="H157" s="21">
        <v>0</v>
      </c>
      <c r="I157" s="20">
        <v>0</v>
      </c>
      <c r="J157" s="21">
        <v>0</v>
      </c>
      <c r="K157" s="21">
        <v>0</v>
      </c>
      <c r="L157" s="21">
        <v>0</v>
      </c>
      <c r="M157" s="21">
        <v>8520</v>
      </c>
      <c r="N157" s="20">
        <v>8520</v>
      </c>
      <c r="O157" s="21">
        <v>-2680</v>
      </c>
      <c r="P157" s="21">
        <v>-8680</v>
      </c>
      <c r="Q157" s="21">
        <v>-9871</v>
      </c>
      <c r="R157" s="21">
        <v>4938</v>
      </c>
      <c r="S157" s="21">
        <v>-75062</v>
      </c>
      <c r="T157" s="20">
        <v>-75062</v>
      </c>
      <c r="U157" s="22">
        <v>-75062</v>
      </c>
      <c r="V157" s="21">
        <v>-83062</v>
      </c>
      <c r="W157" s="21">
        <v>-83062</v>
      </c>
      <c r="X157" s="21">
        <v>16938</v>
      </c>
      <c r="Y157" s="21">
        <v>16938</v>
      </c>
      <c r="Z157" s="20">
        <v>16938</v>
      </c>
      <c r="AA157" s="21">
        <v>16938</v>
      </c>
      <c r="AB157" s="21">
        <v>16938</v>
      </c>
      <c r="AC157" s="21">
        <v>16938</v>
      </c>
      <c r="AD157" s="21">
        <v>16938</v>
      </c>
      <c r="AE157" s="20">
        <v>16938</v>
      </c>
      <c r="AF157" s="21">
        <v>16938</v>
      </c>
      <c r="AG157" s="21">
        <v>16938</v>
      </c>
      <c r="AH157" s="21">
        <v>16938</v>
      </c>
      <c r="AI157" s="21">
        <v>16938</v>
      </c>
      <c r="AJ157" s="21">
        <v>16938</v>
      </c>
      <c r="AK157" s="20">
        <v>16938</v>
      </c>
      <c r="AL157" s="22">
        <v>16938</v>
      </c>
      <c r="AM157" s="206"/>
      <c r="AN157" s="30">
        <v>0</v>
      </c>
      <c r="AO157" s="30">
        <v>0</v>
      </c>
    </row>
    <row r="158" spans="1:41" s="29" customFormat="1">
      <c r="A158" s="113"/>
      <c r="B158" s="111" t="s">
        <v>9</v>
      </c>
      <c r="C158" s="26"/>
      <c r="D158" s="26"/>
      <c r="E158" s="59">
        <v>0</v>
      </c>
      <c r="F158" s="59">
        <v>0</v>
      </c>
      <c r="G158" s="59">
        <v>0</v>
      </c>
      <c r="H158" s="59">
        <v>0</v>
      </c>
      <c r="I158" s="60"/>
      <c r="J158" s="59">
        <v>0</v>
      </c>
      <c r="K158" s="59">
        <v>0</v>
      </c>
      <c r="L158" s="59">
        <v>0</v>
      </c>
      <c r="M158" s="59">
        <v>0</v>
      </c>
      <c r="N158" s="60"/>
      <c r="O158" s="59"/>
      <c r="P158" s="59"/>
      <c r="Q158" s="59"/>
      <c r="R158" s="59"/>
      <c r="S158" s="59"/>
      <c r="T158" s="60"/>
      <c r="U158" s="61"/>
      <c r="V158" s="59">
        <v>0</v>
      </c>
      <c r="W158" s="59">
        <v>0</v>
      </c>
      <c r="X158" s="59">
        <v>0</v>
      </c>
      <c r="Y158" s="59">
        <v>0</v>
      </c>
      <c r="Z158" s="60"/>
      <c r="AA158" s="59">
        <v>0</v>
      </c>
      <c r="AB158" s="59">
        <v>0</v>
      </c>
      <c r="AC158" s="59">
        <v>0</v>
      </c>
      <c r="AD158" s="59">
        <v>0</v>
      </c>
      <c r="AE158" s="60"/>
      <c r="AF158" s="59">
        <v>0</v>
      </c>
      <c r="AG158" s="59">
        <v>0</v>
      </c>
      <c r="AH158" s="59" t="e">
        <v>#DIV/0!</v>
      </c>
      <c r="AI158" s="59" t="e">
        <v>#DIV/0!</v>
      </c>
      <c r="AJ158" s="59" t="e">
        <v>#REF!</v>
      </c>
      <c r="AK158" s="60"/>
      <c r="AL158" s="61"/>
      <c r="AN158" s="30">
        <v>0</v>
      </c>
      <c r="AO158" s="30">
        <v>0</v>
      </c>
    </row>
    <row r="159" spans="1:41" s="29" customFormat="1" ht="13.25" customHeight="1">
      <c r="A159" s="210" t="s">
        <v>114</v>
      </c>
      <c r="B159" s="110" t="s">
        <v>5</v>
      </c>
      <c r="C159" s="26"/>
      <c r="D159" s="26"/>
      <c r="E159" s="27">
        <v>0</v>
      </c>
      <c r="F159" s="27">
        <v>0</v>
      </c>
      <c r="G159" s="27">
        <v>0</v>
      </c>
      <c r="H159" s="27">
        <v>0</v>
      </c>
      <c r="I159" s="26">
        <v>0</v>
      </c>
      <c r="J159" s="27">
        <v>0</v>
      </c>
      <c r="K159" s="27">
        <v>0</v>
      </c>
      <c r="L159" s="27">
        <v>0</v>
      </c>
      <c r="M159" s="27">
        <v>0</v>
      </c>
      <c r="N159" s="26">
        <v>0</v>
      </c>
      <c r="O159" s="27">
        <v>0</v>
      </c>
      <c r="P159" s="27">
        <v>0</v>
      </c>
      <c r="Q159" s="27">
        <v>2116</v>
      </c>
      <c r="R159" s="27">
        <v>420</v>
      </c>
      <c r="S159" s="27">
        <v>0</v>
      </c>
      <c r="T159" s="26">
        <v>2536</v>
      </c>
      <c r="U159" s="28">
        <v>2984</v>
      </c>
      <c r="V159" s="27">
        <v>0</v>
      </c>
      <c r="W159" s="27">
        <v>0</v>
      </c>
      <c r="X159" s="27">
        <v>0</v>
      </c>
      <c r="Y159" s="27">
        <v>0</v>
      </c>
      <c r="Z159" s="26">
        <v>0</v>
      </c>
      <c r="AA159" s="27">
        <v>0</v>
      </c>
      <c r="AB159" s="27">
        <v>0</v>
      </c>
      <c r="AC159" s="27">
        <v>0</v>
      </c>
      <c r="AD159" s="27">
        <v>0</v>
      </c>
      <c r="AE159" s="26">
        <v>0</v>
      </c>
      <c r="AF159" s="27">
        <v>0</v>
      </c>
      <c r="AG159" s="27">
        <v>0</v>
      </c>
      <c r="AH159" s="27">
        <v>0</v>
      </c>
      <c r="AI159" s="27">
        <v>0</v>
      </c>
      <c r="AJ159" s="27">
        <v>0</v>
      </c>
      <c r="AK159" s="26">
        <v>0</v>
      </c>
      <c r="AL159" s="28">
        <v>0</v>
      </c>
      <c r="AM159" s="206">
        <v>128</v>
      </c>
      <c r="AN159" s="30">
        <v>381952</v>
      </c>
      <c r="AO159" s="30">
        <v>0</v>
      </c>
    </row>
    <row r="160" spans="1:41" s="29" customFormat="1" ht="13.25" customHeight="1">
      <c r="A160" s="211"/>
      <c r="B160" s="111" t="s">
        <v>6</v>
      </c>
      <c r="C160" s="26"/>
      <c r="D160" s="26"/>
      <c r="E160" s="27">
        <v>0</v>
      </c>
      <c r="F160" s="27">
        <v>0</v>
      </c>
      <c r="G160" s="27">
        <v>0</v>
      </c>
      <c r="H160" s="27">
        <v>0</v>
      </c>
      <c r="I160" s="26">
        <v>0</v>
      </c>
      <c r="J160" s="27">
        <v>0</v>
      </c>
      <c r="K160" s="27">
        <v>0</v>
      </c>
      <c r="L160" s="27">
        <v>0</v>
      </c>
      <c r="M160" s="27">
        <v>0</v>
      </c>
      <c r="N160" s="26">
        <v>0</v>
      </c>
      <c r="O160" s="27">
        <v>0</v>
      </c>
      <c r="P160" s="27">
        <v>0</v>
      </c>
      <c r="Q160" s="27">
        <v>0</v>
      </c>
      <c r="R160" s="27">
        <v>2600</v>
      </c>
      <c r="S160" s="27">
        <v>0</v>
      </c>
      <c r="T160" s="26">
        <v>2600</v>
      </c>
      <c r="U160" s="28"/>
      <c r="V160" s="27">
        <v>0</v>
      </c>
      <c r="W160" s="27">
        <v>0</v>
      </c>
      <c r="X160" s="27">
        <v>0</v>
      </c>
      <c r="Y160" s="27">
        <v>0</v>
      </c>
      <c r="Z160" s="26">
        <v>0</v>
      </c>
      <c r="AA160" s="27">
        <v>0</v>
      </c>
      <c r="AB160" s="27">
        <v>0</v>
      </c>
      <c r="AC160" s="27">
        <v>0</v>
      </c>
      <c r="AD160" s="27">
        <v>0</v>
      </c>
      <c r="AE160" s="26">
        <v>0</v>
      </c>
      <c r="AF160" s="27">
        <v>0</v>
      </c>
      <c r="AG160" s="27">
        <v>0</v>
      </c>
      <c r="AH160" s="27">
        <v>0</v>
      </c>
      <c r="AI160" s="27">
        <v>0</v>
      </c>
      <c r="AJ160" s="27">
        <v>0</v>
      </c>
      <c r="AK160" s="26">
        <v>0</v>
      </c>
      <c r="AL160" s="28"/>
      <c r="AM160" s="206"/>
      <c r="AN160" s="30">
        <v>0</v>
      </c>
      <c r="AO160" s="30">
        <v>0</v>
      </c>
    </row>
    <row r="161" spans="1:42" s="29" customFormat="1" ht="13.25" customHeight="1">
      <c r="A161" s="211"/>
      <c r="B161" s="111" t="s">
        <v>10</v>
      </c>
      <c r="C161" s="26">
        <v>0</v>
      </c>
      <c r="D161" s="26"/>
      <c r="E161" s="27"/>
      <c r="F161" s="27"/>
      <c r="G161" s="27">
        <v>0</v>
      </c>
      <c r="H161" s="27"/>
      <c r="I161" s="26">
        <v>0</v>
      </c>
      <c r="J161" s="27"/>
      <c r="K161" s="27"/>
      <c r="L161" s="27"/>
      <c r="M161" s="27"/>
      <c r="N161" s="26">
        <v>0</v>
      </c>
      <c r="O161" s="27"/>
      <c r="P161" s="27"/>
      <c r="Q161" s="27"/>
      <c r="R161" s="27"/>
      <c r="S161" s="27"/>
      <c r="T161" s="26">
        <v>0</v>
      </c>
      <c r="U161" s="28">
        <v>0</v>
      </c>
      <c r="V161" s="27"/>
      <c r="W161" s="27"/>
      <c r="X161" s="27"/>
      <c r="Y161" s="27"/>
      <c r="Z161" s="26">
        <v>0</v>
      </c>
      <c r="AA161" s="27"/>
      <c r="AB161" s="27"/>
      <c r="AC161" s="27"/>
      <c r="AD161" s="27"/>
      <c r="AE161" s="26">
        <v>0</v>
      </c>
      <c r="AF161" s="27"/>
      <c r="AG161" s="27"/>
      <c r="AH161" s="27"/>
      <c r="AI161" s="27"/>
      <c r="AJ161" s="27"/>
      <c r="AK161" s="26">
        <v>0</v>
      </c>
      <c r="AL161" s="28">
        <v>0</v>
      </c>
      <c r="AM161" s="206"/>
      <c r="AN161" s="30">
        <v>0</v>
      </c>
      <c r="AO161" s="30">
        <v>0</v>
      </c>
    </row>
    <row r="162" spans="1:42" s="29" customFormat="1" ht="13.25" customHeight="1">
      <c r="A162" s="211"/>
      <c r="B162" s="111" t="s">
        <v>7</v>
      </c>
      <c r="C162" s="26"/>
      <c r="D162" s="26"/>
      <c r="E162" s="27">
        <v>0</v>
      </c>
      <c r="F162" s="27">
        <v>0</v>
      </c>
      <c r="G162" s="27">
        <v>0</v>
      </c>
      <c r="H162" s="27">
        <v>0</v>
      </c>
      <c r="I162" s="26">
        <v>0</v>
      </c>
      <c r="J162" s="32">
        <v>0</v>
      </c>
      <c r="K162" s="27">
        <v>0</v>
      </c>
      <c r="L162" s="27">
        <v>0</v>
      </c>
      <c r="M162" s="27">
        <v>0</v>
      </c>
      <c r="N162" s="26">
        <v>0</v>
      </c>
      <c r="O162" s="27">
        <v>0</v>
      </c>
      <c r="P162" s="27">
        <v>0</v>
      </c>
      <c r="Q162" s="27">
        <v>0</v>
      </c>
      <c r="R162" s="27">
        <v>2600</v>
      </c>
      <c r="S162" s="27">
        <v>0</v>
      </c>
      <c r="T162" s="26">
        <v>2600</v>
      </c>
      <c r="U162" s="28">
        <v>3048</v>
      </c>
      <c r="V162" s="27">
        <v>0</v>
      </c>
      <c r="W162" s="27">
        <v>0</v>
      </c>
      <c r="X162" s="27">
        <v>0</v>
      </c>
      <c r="Y162" s="27">
        <v>0</v>
      </c>
      <c r="Z162" s="26">
        <v>0</v>
      </c>
      <c r="AA162" s="32">
        <v>0</v>
      </c>
      <c r="AB162" s="27">
        <v>0</v>
      </c>
      <c r="AC162" s="27">
        <v>0</v>
      </c>
      <c r="AD162" s="27">
        <v>0</v>
      </c>
      <c r="AE162" s="26">
        <v>0</v>
      </c>
      <c r="AF162" s="32">
        <v>0</v>
      </c>
      <c r="AG162" s="27">
        <v>0</v>
      </c>
      <c r="AH162" s="27">
        <v>0</v>
      </c>
      <c r="AI162" s="27">
        <v>0</v>
      </c>
      <c r="AJ162" s="27">
        <v>0</v>
      </c>
      <c r="AK162" s="26">
        <v>0</v>
      </c>
      <c r="AL162" s="28">
        <v>64</v>
      </c>
      <c r="AM162" s="206"/>
      <c r="AN162" s="30">
        <v>0</v>
      </c>
      <c r="AO162" s="30">
        <v>0</v>
      </c>
    </row>
    <row r="163" spans="1:42" s="29" customFormat="1" ht="13.75" customHeight="1" thickBot="1">
      <c r="A163" s="212"/>
      <c r="B163" s="112" t="s">
        <v>8</v>
      </c>
      <c r="C163" s="34">
        <v>0</v>
      </c>
      <c r="D163" s="37">
        <v>448</v>
      </c>
      <c r="E163" s="21">
        <v>0</v>
      </c>
      <c r="F163" s="21">
        <v>0</v>
      </c>
      <c r="G163" s="21">
        <v>0</v>
      </c>
      <c r="H163" s="21">
        <v>0</v>
      </c>
      <c r="I163" s="20">
        <v>0</v>
      </c>
      <c r="J163" s="21">
        <v>0</v>
      </c>
      <c r="K163" s="21">
        <v>0</v>
      </c>
      <c r="L163" s="21">
        <v>0</v>
      </c>
      <c r="M163" s="21">
        <v>0</v>
      </c>
      <c r="N163" s="20">
        <v>0</v>
      </c>
      <c r="O163" s="21">
        <v>0</v>
      </c>
      <c r="P163" s="21">
        <v>0</v>
      </c>
      <c r="Q163" s="21">
        <v>-2116</v>
      </c>
      <c r="R163" s="21">
        <v>64</v>
      </c>
      <c r="S163" s="21">
        <v>64</v>
      </c>
      <c r="T163" s="20">
        <v>64</v>
      </c>
      <c r="U163" s="22">
        <v>64</v>
      </c>
      <c r="V163" s="21">
        <v>64</v>
      </c>
      <c r="W163" s="21">
        <v>64</v>
      </c>
      <c r="X163" s="21">
        <v>64</v>
      </c>
      <c r="Y163" s="21">
        <v>64</v>
      </c>
      <c r="Z163" s="20">
        <v>64</v>
      </c>
      <c r="AA163" s="21">
        <v>64</v>
      </c>
      <c r="AB163" s="21">
        <v>64</v>
      </c>
      <c r="AC163" s="21">
        <v>64</v>
      </c>
      <c r="AD163" s="21">
        <v>64</v>
      </c>
      <c r="AE163" s="20">
        <v>64</v>
      </c>
      <c r="AF163" s="21">
        <v>64</v>
      </c>
      <c r="AG163" s="21">
        <v>64</v>
      </c>
      <c r="AH163" s="21">
        <v>64</v>
      </c>
      <c r="AI163" s="21">
        <v>64</v>
      </c>
      <c r="AJ163" s="21">
        <v>64</v>
      </c>
      <c r="AK163" s="20">
        <v>64</v>
      </c>
      <c r="AL163" s="22">
        <v>64</v>
      </c>
      <c r="AM163" s="206"/>
      <c r="AN163" s="30">
        <v>0</v>
      </c>
      <c r="AO163" s="30">
        <v>0</v>
      </c>
    </row>
    <row r="164" spans="1:42" s="29" customFormat="1" ht="17" thickBot="1">
      <c r="A164" s="46"/>
      <c r="B164" s="31" t="s">
        <v>9</v>
      </c>
      <c r="C164" s="26"/>
      <c r="D164" s="26"/>
      <c r="E164" s="59">
        <v>0</v>
      </c>
      <c r="F164" s="59">
        <v>0</v>
      </c>
      <c r="G164" s="59">
        <v>0</v>
      </c>
      <c r="H164" s="59">
        <v>0</v>
      </c>
      <c r="I164" s="60"/>
      <c r="J164" s="59">
        <v>0</v>
      </c>
      <c r="K164" s="59">
        <v>0</v>
      </c>
      <c r="L164" s="59">
        <v>0</v>
      </c>
      <c r="M164" s="59">
        <v>0</v>
      </c>
      <c r="N164" s="60"/>
      <c r="O164" s="59"/>
      <c r="P164" s="59"/>
      <c r="Q164" s="59"/>
      <c r="R164" s="59"/>
      <c r="S164" s="59"/>
      <c r="T164" s="60"/>
      <c r="U164" s="61"/>
      <c r="V164" s="59">
        <v>0</v>
      </c>
      <c r="W164" s="59">
        <v>0</v>
      </c>
      <c r="X164" s="59">
        <v>0</v>
      </c>
      <c r="Y164" s="59">
        <v>0</v>
      </c>
      <c r="Z164" s="60"/>
      <c r="AA164" s="59">
        <v>0</v>
      </c>
      <c r="AB164" s="59">
        <v>0</v>
      </c>
      <c r="AC164" s="59">
        <v>0</v>
      </c>
      <c r="AD164" s="59">
        <v>0</v>
      </c>
      <c r="AE164" s="60"/>
      <c r="AF164" s="59">
        <v>0</v>
      </c>
      <c r="AG164" s="59">
        <v>0</v>
      </c>
      <c r="AH164" s="59" t="e">
        <v>#DIV/0!</v>
      </c>
      <c r="AI164" s="59" t="e">
        <v>#DIV/0!</v>
      </c>
      <c r="AJ164" s="59" t="e">
        <v>#REF!</v>
      </c>
      <c r="AK164" s="60"/>
      <c r="AL164" s="61"/>
      <c r="AN164" s="30">
        <v>0</v>
      </c>
      <c r="AO164" s="30">
        <v>0</v>
      </c>
    </row>
    <row r="165" spans="1:42" s="48" customFormat="1">
      <c r="A165" s="207" t="s">
        <v>18</v>
      </c>
      <c r="B165" s="97" t="s">
        <v>126</v>
      </c>
      <c r="C165" s="114"/>
      <c r="D165" s="115"/>
      <c r="E165" s="116">
        <v>199323</v>
      </c>
      <c r="F165" s="116">
        <v>4219440</v>
      </c>
      <c r="G165" s="116">
        <v>-4747830</v>
      </c>
      <c r="H165" s="116">
        <v>2460276</v>
      </c>
      <c r="I165" s="26">
        <v>2131209</v>
      </c>
      <c r="J165" s="116">
        <v>2578353</v>
      </c>
      <c r="K165" s="116">
        <v>605301</v>
      </c>
      <c r="L165" s="116">
        <v>807270</v>
      </c>
      <c r="M165" s="116">
        <v>1949868</v>
      </c>
      <c r="N165" s="26">
        <v>5940792</v>
      </c>
      <c r="O165" s="116">
        <v>1586801</v>
      </c>
      <c r="P165" s="116">
        <v>265870</v>
      </c>
      <c r="Q165" s="116">
        <v>2110288</v>
      </c>
      <c r="R165" s="116">
        <v>1604099</v>
      </c>
      <c r="S165" s="116">
        <v>464086</v>
      </c>
      <c r="T165" s="26">
        <v>6031144</v>
      </c>
      <c r="U165" s="117">
        <v>18392794</v>
      </c>
      <c r="V165" s="116">
        <v>80399</v>
      </c>
      <c r="W165" s="116">
        <v>2880</v>
      </c>
      <c r="X165" s="116">
        <v>7240</v>
      </c>
      <c r="Y165" s="116">
        <v>356480</v>
      </c>
      <c r="Z165" s="26">
        <v>446999</v>
      </c>
      <c r="AA165" s="116">
        <v>10159</v>
      </c>
      <c r="AB165" s="116">
        <v>2320</v>
      </c>
      <c r="AC165" s="116">
        <v>60148</v>
      </c>
      <c r="AD165" s="116">
        <v>0</v>
      </c>
      <c r="AE165" s="26">
        <v>72627</v>
      </c>
      <c r="AF165" s="116">
        <v>0</v>
      </c>
      <c r="AG165" s="116">
        <v>0</v>
      </c>
      <c r="AH165" s="116">
        <v>0</v>
      </c>
      <c r="AI165" s="116">
        <v>0</v>
      </c>
      <c r="AJ165" s="116">
        <v>0</v>
      </c>
      <c r="AK165" s="26">
        <v>0</v>
      </c>
      <c r="AL165" s="28">
        <v>519626</v>
      </c>
      <c r="AM165" s="118"/>
      <c r="AN165" s="13">
        <v>380063432</v>
      </c>
      <c r="AO165" s="13">
        <v>9801112</v>
      </c>
      <c r="AP165" s="119"/>
    </row>
    <row r="166" spans="1:42" s="48" customFormat="1">
      <c r="A166" s="208"/>
      <c r="B166" s="98" t="s">
        <v>58</v>
      </c>
      <c r="C166" s="116"/>
      <c r="D166" s="120"/>
      <c r="E166" s="116">
        <v>199323</v>
      </c>
      <c r="F166" s="116">
        <v>4219440</v>
      </c>
      <c r="G166" s="116">
        <v>1031923</v>
      </c>
      <c r="H166" s="116">
        <v>0</v>
      </c>
      <c r="I166" s="26">
        <v>5450686</v>
      </c>
      <c r="J166" s="116">
        <v>0</v>
      </c>
      <c r="K166" s="116">
        <v>0</v>
      </c>
      <c r="L166" s="116">
        <v>1493000</v>
      </c>
      <c r="M166" s="116">
        <v>2994000</v>
      </c>
      <c r="N166" s="26">
        <v>4487000</v>
      </c>
      <c r="O166" s="116">
        <v>860000</v>
      </c>
      <c r="P166" s="116">
        <v>0</v>
      </c>
      <c r="Q166" s="116">
        <v>1239800</v>
      </c>
      <c r="R166" s="116">
        <v>1925000</v>
      </c>
      <c r="S166" s="116">
        <v>0</v>
      </c>
      <c r="T166" s="26">
        <v>4024800</v>
      </c>
      <c r="U166" s="28"/>
      <c r="V166" s="116">
        <v>0</v>
      </c>
      <c r="W166" s="116">
        <v>0</v>
      </c>
      <c r="X166" s="116">
        <v>62000</v>
      </c>
      <c r="Y166" s="116">
        <v>100000</v>
      </c>
      <c r="Z166" s="26">
        <v>162000</v>
      </c>
      <c r="AA166" s="116">
        <v>0</v>
      </c>
      <c r="AB166" s="116">
        <v>0</v>
      </c>
      <c r="AC166" s="116">
        <v>0</v>
      </c>
      <c r="AD166" s="116">
        <v>0</v>
      </c>
      <c r="AE166" s="26">
        <v>0</v>
      </c>
      <c r="AF166" s="116">
        <v>0</v>
      </c>
      <c r="AG166" s="116">
        <v>0</v>
      </c>
      <c r="AH166" s="116">
        <v>0</v>
      </c>
      <c r="AI166" s="116">
        <v>0</v>
      </c>
      <c r="AJ166" s="116">
        <v>0</v>
      </c>
      <c r="AK166" s="26">
        <v>0</v>
      </c>
      <c r="AL166" s="28"/>
      <c r="AM166" s="118"/>
      <c r="AN166" s="13">
        <v>0</v>
      </c>
      <c r="AO166" s="13">
        <v>0</v>
      </c>
    </row>
    <row r="167" spans="1:42" s="48" customFormat="1">
      <c r="A167" s="208"/>
      <c r="B167" s="98" t="s">
        <v>59</v>
      </c>
      <c r="C167" s="116">
        <v>3137871</v>
      </c>
      <c r="D167" s="120"/>
      <c r="E167" s="116">
        <v>0</v>
      </c>
      <c r="F167" s="116">
        <v>0</v>
      </c>
      <c r="G167" s="116">
        <v>3079155</v>
      </c>
      <c r="H167" s="116">
        <v>0</v>
      </c>
      <c r="I167" s="26">
        <v>3079155</v>
      </c>
      <c r="J167" s="116">
        <v>0</v>
      </c>
      <c r="K167" s="116">
        <v>0</v>
      </c>
      <c r="L167" s="116">
        <v>0</v>
      </c>
      <c r="M167" s="116">
        <v>0</v>
      </c>
      <c r="N167" s="26">
        <v>0</v>
      </c>
      <c r="O167" s="116">
        <v>0</v>
      </c>
      <c r="P167" s="116">
        <v>0</v>
      </c>
      <c r="Q167" s="116">
        <v>0</v>
      </c>
      <c r="R167" s="116">
        <v>0</v>
      </c>
      <c r="S167" s="116">
        <v>0</v>
      </c>
      <c r="T167" s="26">
        <v>0</v>
      </c>
      <c r="U167" s="28">
        <v>3079155</v>
      </c>
      <c r="V167" s="116">
        <v>0</v>
      </c>
      <c r="W167" s="116">
        <v>0</v>
      </c>
      <c r="X167" s="116">
        <v>0</v>
      </c>
      <c r="Y167" s="116">
        <v>0</v>
      </c>
      <c r="Z167" s="26">
        <v>0</v>
      </c>
      <c r="AA167" s="116">
        <v>0</v>
      </c>
      <c r="AB167" s="116">
        <v>0</v>
      </c>
      <c r="AC167" s="116">
        <v>0</v>
      </c>
      <c r="AD167" s="116">
        <v>0</v>
      </c>
      <c r="AE167" s="26">
        <v>0</v>
      </c>
      <c r="AF167" s="116">
        <v>0</v>
      </c>
      <c r="AG167" s="116">
        <v>0</v>
      </c>
      <c r="AH167" s="116">
        <v>0</v>
      </c>
      <c r="AI167" s="116">
        <v>0</v>
      </c>
      <c r="AJ167" s="116">
        <v>0</v>
      </c>
      <c r="AK167" s="26">
        <v>0</v>
      </c>
      <c r="AL167" s="28">
        <v>0</v>
      </c>
      <c r="AM167" s="118"/>
      <c r="AN167" s="13">
        <v>0</v>
      </c>
      <c r="AO167" s="13">
        <v>0</v>
      </c>
    </row>
    <row r="168" spans="1:42" s="48" customFormat="1">
      <c r="A168" s="208"/>
      <c r="B168" s="98" t="s">
        <v>115</v>
      </c>
      <c r="C168" s="121">
        <v>0</v>
      </c>
      <c r="D168" s="120"/>
      <c r="E168" s="122">
        <v>199323</v>
      </c>
      <c r="F168" s="122">
        <v>4219440</v>
      </c>
      <c r="G168" s="122">
        <v>4111078</v>
      </c>
      <c r="H168" s="122">
        <v>0</v>
      </c>
      <c r="I168" s="26">
        <v>8529841</v>
      </c>
      <c r="J168" s="122">
        <v>0</v>
      </c>
      <c r="K168" s="122">
        <v>0</v>
      </c>
      <c r="L168" s="122">
        <v>1493000</v>
      </c>
      <c r="M168" s="122">
        <v>2994000</v>
      </c>
      <c r="N168" s="26">
        <v>4487000</v>
      </c>
      <c r="O168" s="122">
        <v>4321062</v>
      </c>
      <c r="P168" s="122">
        <v>0</v>
      </c>
      <c r="Q168" s="122">
        <v>1239800</v>
      </c>
      <c r="R168" s="122">
        <v>1925000</v>
      </c>
      <c r="S168" s="122">
        <v>0</v>
      </c>
      <c r="T168" s="26">
        <v>7485862</v>
      </c>
      <c r="U168" s="28">
        <v>24792352</v>
      </c>
      <c r="V168" s="122">
        <v>0</v>
      </c>
      <c r="W168" s="122">
        <v>0</v>
      </c>
      <c r="X168" s="122">
        <v>62000</v>
      </c>
      <c r="Y168" s="122">
        <v>100000</v>
      </c>
      <c r="Z168" s="26">
        <v>6561558</v>
      </c>
      <c r="AA168" s="122">
        <v>0</v>
      </c>
      <c r="AB168" s="122">
        <v>0</v>
      </c>
      <c r="AC168" s="122">
        <v>0</v>
      </c>
      <c r="AD168" s="122">
        <v>0</v>
      </c>
      <c r="AE168" s="26">
        <v>0</v>
      </c>
      <c r="AF168" s="122">
        <v>0</v>
      </c>
      <c r="AG168" s="122">
        <v>0</v>
      </c>
      <c r="AH168" s="122">
        <v>0</v>
      </c>
      <c r="AI168" s="122">
        <v>0</v>
      </c>
      <c r="AJ168" s="122">
        <v>0</v>
      </c>
      <c r="AK168" s="26">
        <v>0</v>
      </c>
      <c r="AL168" s="28">
        <v>6561558</v>
      </c>
      <c r="AM168" s="118"/>
      <c r="AN168" s="13">
        <v>0</v>
      </c>
      <c r="AO168" s="13">
        <v>0</v>
      </c>
    </row>
    <row r="169" spans="1:42" s="48" customFormat="1" ht="17" thickBot="1">
      <c r="A169" s="209"/>
      <c r="B169" s="99" t="s">
        <v>60</v>
      </c>
      <c r="C169" s="121">
        <v>10315175</v>
      </c>
      <c r="D169" s="116">
        <v>4289649</v>
      </c>
      <c r="E169" s="122">
        <v>0</v>
      </c>
      <c r="F169" s="123">
        <v>0</v>
      </c>
      <c r="G169" s="123">
        <v>8858908</v>
      </c>
      <c r="H169" s="123">
        <v>6398632</v>
      </c>
      <c r="I169" s="124">
        <v>6398632</v>
      </c>
      <c r="J169" s="122">
        <v>3820279</v>
      </c>
      <c r="K169" s="123">
        <v>3214978</v>
      </c>
      <c r="L169" s="123">
        <v>3900708</v>
      </c>
      <c r="M169" s="123">
        <v>4944840</v>
      </c>
      <c r="N169" s="124">
        <v>4944840</v>
      </c>
      <c r="O169" s="123">
        <v>7679101</v>
      </c>
      <c r="P169" s="123">
        <v>7413231</v>
      </c>
      <c r="Q169" s="123">
        <v>6542743</v>
      </c>
      <c r="R169" s="123">
        <v>6863644</v>
      </c>
      <c r="S169" s="123">
        <v>6399558</v>
      </c>
      <c r="T169" s="124">
        <v>6399558</v>
      </c>
      <c r="U169" s="22">
        <v>6399558</v>
      </c>
      <c r="V169" s="123">
        <v>6319159</v>
      </c>
      <c r="W169" s="123">
        <v>6316279</v>
      </c>
      <c r="X169" s="123">
        <v>6371039</v>
      </c>
      <c r="Y169" s="123">
        <v>6114559</v>
      </c>
      <c r="Z169" s="124">
        <v>6114559</v>
      </c>
      <c r="AA169" s="123">
        <v>6104400</v>
      </c>
      <c r="AB169" s="123">
        <v>6102080</v>
      </c>
      <c r="AC169" s="123">
        <v>6041932</v>
      </c>
      <c r="AD169" s="123">
        <v>6041932</v>
      </c>
      <c r="AE169" s="124">
        <v>6041932</v>
      </c>
      <c r="AF169" s="122">
        <v>6041932</v>
      </c>
      <c r="AG169" s="123">
        <v>6041932</v>
      </c>
      <c r="AH169" s="123">
        <v>6041932</v>
      </c>
      <c r="AI169" s="123">
        <v>6041932</v>
      </c>
      <c r="AJ169" s="123">
        <v>6041932</v>
      </c>
      <c r="AK169" s="124">
        <v>6041932</v>
      </c>
      <c r="AL169" s="22">
        <v>6041932</v>
      </c>
      <c r="AM169" s="118"/>
      <c r="AN169" s="13">
        <v>0</v>
      </c>
      <c r="AO169" s="13">
        <v>0</v>
      </c>
    </row>
    <row r="170" spans="1:42" s="51" customFormat="1">
      <c r="A170" s="207" t="s">
        <v>103</v>
      </c>
      <c r="B170" s="100" t="s">
        <v>57</v>
      </c>
      <c r="C170" s="125"/>
      <c r="D170" s="126"/>
      <c r="E170" s="127">
        <v>4278624</v>
      </c>
      <c r="F170" s="127">
        <v>81968960</v>
      </c>
      <c r="G170" s="127">
        <v>-90328872</v>
      </c>
      <c r="H170" s="127">
        <v>57693448</v>
      </c>
      <c r="I170" s="26">
        <v>53612160</v>
      </c>
      <c r="J170" s="127">
        <v>54282288</v>
      </c>
      <c r="K170" s="127">
        <v>12472640</v>
      </c>
      <c r="L170" s="127">
        <v>14893448</v>
      </c>
      <c r="M170" s="127">
        <v>47056000</v>
      </c>
      <c r="N170" s="26">
        <v>128704376</v>
      </c>
      <c r="O170" s="127">
        <v>30388344</v>
      </c>
      <c r="P170" s="127">
        <v>5255184</v>
      </c>
      <c r="Q170" s="127">
        <v>39879200</v>
      </c>
      <c r="R170" s="127">
        <v>35805648</v>
      </c>
      <c r="S170" s="127">
        <v>13217024</v>
      </c>
      <c r="T170" s="26">
        <v>124545400</v>
      </c>
      <c r="U170" s="28">
        <v>380063432</v>
      </c>
      <c r="V170" s="127">
        <v>1471928</v>
      </c>
      <c r="W170" s="127">
        <v>23040</v>
      </c>
      <c r="X170" s="127">
        <v>141760</v>
      </c>
      <c r="Y170" s="127">
        <v>6962256</v>
      </c>
      <c r="Z170" s="26">
        <v>8598984</v>
      </c>
      <c r="AA170" s="127">
        <v>129264</v>
      </c>
      <c r="AB170" s="127">
        <v>18560</v>
      </c>
      <c r="AC170" s="127">
        <v>1054304</v>
      </c>
      <c r="AD170" s="127">
        <v>0</v>
      </c>
      <c r="AE170" s="26">
        <v>1202128</v>
      </c>
      <c r="AF170" s="127">
        <v>0</v>
      </c>
      <c r="AG170" s="127">
        <v>0</v>
      </c>
      <c r="AH170" s="127">
        <v>0</v>
      </c>
      <c r="AI170" s="127">
        <v>0</v>
      </c>
      <c r="AJ170" s="127">
        <v>0</v>
      </c>
      <c r="AK170" s="26">
        <v>0</v>
      </c>
      <c r="AL170" s="28">
        <v>9801112</v>
      </c>
      <c r="AM170" s="128"/>
      <c r="AN170" s="13">
        <v>0</v>
      </c>
      <c r="AO170" s="13">
        <v>0</v>
      </c>
    </row>
    <row r="171" spans="1:42" s="51" customFormat="1">
      <c r="A171" s="208"/>
      <c r="B171" s="101" t="s">
        <v>58</v>
      </c>
      <c r="C171" s="127"/>
      <c r="D171" s="129"/>
      <c r="E171" s="127">
        <v>4278624</v>
      </c>
      <c r="F171" s="127">
        <v>81968960</v>
      </c>
      <c r="G171" s="127">
        <v>22825872</v>
      </c>
      <c r="H171" s="127">
        <v>0</v>
      </c>
      <c r="I171" s="26"/>
      <c r="J171" s="127">
        <v>0</v>
      </c>
      <c r="K171" s="127">
        <v>0</v>
      </c>
      <c r="L171" s="127">
        <v>37536000</v>
      </c>
      <c r="M171" s="127">
        <v>70656000</v>
      </c>
      <c r="N171" s="26"/>
      <c r="O171" s="127">
        <v>18560000</v>
      </c>
      <c r="P171" s="127">
        <v>0</v>
      </c>
      <c r="Q171" s="127">
        <v>19678400</v>
      </c>
      <c r="R171" s="127">
        <v>48012800</v>
      </c>
      <c r="S171" s="127">
        <v>0</v>
      </c>
      <c r="T171" s="26"/>
      <c r="U171" s="28"/>
      <c r="V171" s="127">
        <v>0</v>
      </c>
      <c r="W171" s="127">
        <v>0</v>
      </c>
      <c r="X171" s="127">
        <v>4864000</v>
      </c>
      <c r="Y171" s="127">
        <v>1600000</v>
      </c>
      <c r="Z171" s="26">
        <v>6464000</v>
      </c>
      <c r="AA171" s="127">
        <v>0</v>
      </c>
      <c r="AB171" s="127">
        <v>0</v>
      </c>
      <c r="AC171" s="127">
        <v>0</v>
      </c>
      <c r="AD171" s="127">
        <v>0</v>
      </c>
      <c r="AE171" s="26">
        <v>0</v>
      </c>
      <c r="AF171" s="127">
        <v>0</v>
      </c>
      <c r="AG171" s="127">
        <v>0</v>
      </c>
      <c r="AH171" s="127">
        <v>0</v>
      </c>
      <c r="AI171" s="127">
        <v>0</v>
      </c>
      <c r="AJ171" s="127">
        <v>0</v>
      </c>
      <c r="AK171" s="26">
        <v>0</v>
      </c>
      <c r="AL171" s="28"/>
      <c r="AM171" s="128"/>
      <c r="AN171" s="13">
        <v>0</v>
      </c>
      <c r="AO171" s="13">
        <v>0</v>
      </c>
    </row>
    <row r="172" spans="1:42" s="51" customFormat="1">
      <c r="A172" s="208"/>
      <c r="B172" s="101" t="s">
        <v>59</v>
      </c>
      <c r="C172" s="127">
        <v>61286416</v>
      </c>
      <c r="D172" s="129"/>
      <c r="E172" s="127">
        <v>0</v>
      </c>
      <c r="F172" s="127">
        <v>0</v>
      </c>
      <c r="G172" s="127">
        <v>63165328</v>
      </c>
      <c r="H172" s="127">
        <v>0</v>
      </c>
      <c r="I172" s="26">
        <v>63165328</v>
      </c>
      <c r="J172" s="127">
        <v>0</v>
      </c>
      <c r="K172" s="127">
        <v>0</v>
      </c>
      <c r="L172" s="127">
        <v>0</v>
      </c>
      <c r="M172" s="127">
        <v>0</v>
      </c>
      <c r="N172" s="26">
        <v>0</v>
      </c>
      <c r="O172" s="127">
        <v>0</v>
      </c>
      <c r="P172" s="127">
        <v>0</v>
      </c>
      <c r="Q172" s="127">
        <v>0</v>
      </c>
      <c r="R172" s="127">
        <v>0</v>
      </c>
      <c r="S172" s="127">
        <v>0</v>
      </c>
      <c r="T172" s="26">
        <v>0</v>
      </c>
      <c r="U172" s="28">
        <v>63165328</v>
      </c>
      <c r="V172" s="127">
        <v>0</v>
      </c>
      <c r="W172" s="127">
        <v>0</v>
      </c>
      <c r="X172" s="127">
        <v>0</v>
      </c>
      <c r="Y172" s="127">
        <v>0</v>
      </c>
      <c r="Z172" s="26">
        <v>0</v>
      </c>
      <c r="AA172" s="127">
        <v>0</v>
      </c>
      <c r="AB172" s="127">
        <v>0</v>
      </c>
      <c r="AC172" s="127">
        <v>0</v>
      </c>
      <c r="AD172" s="127">
        <v>0</v>
      </c>
      <c r="AE172" s="26">
        <v>0</v>
      </c>
      <c r="AF172" s="127">
        <v>0</v>
      </c>
      <c r="AG172" s="127">
        <v>0</v>
      </c>
      <c r="AH172" s="127">
        <v>0</v>
      </c>
      <c r="AI172" s="127">
        <v>0</v>
      </c>
      <c r="AJ172" s="127">
        <v>0</v>
      </c>
      <c r="AK172" s="26">
        <v>0</v>
      </c>
      <c r="AL172" s="28">
        <v>0</v>
      </c>
      <c r="AM172" s="128"/>
      <c r="AN172" s="13">
        <v>0</v>
      </c>
      <c r="AO172" s="13">
        <v>0</v>
      </c>
    </row>
    <row r="173" spans="1:42" s="51" customFormat="1">
      <c r="A173" s="208"/>
      <c r="B173" s="101" t="s">
        <v>115</v>
      </c>
      <c r="C173" s="127">
        <v>0</v>
      </c>
      <c r="D173" s="129"/>
      <c r="E173" s="130">
        <v>4278624</v>
      </c>
      <c r="F173" s="127">
        <v>81968960</v>
      </c>
      <c r="G173" s="127">
        <v>85991200</v>
      </c>
      <c r="H173" s="127">
        <v>0</v>
      </c>
      <c r="I173" s="26">
        <v>172238784</v>
      </c>
      <c r="J173" s="127">
        <v>0</v>
      </c>
      <c r="K173" s="127">
        <v>0</v>
      </c>
      <c r="L173" s="127">
        <v>37536000</v>
      </c>
      <c r="M173" s="127">
        <v>70496000</v>
      </c>
      <c r="N173" s="26">
        <v>108032000</v>
      </c>
      <c r="O173" s="127">
        <v>18560000</v>
      </c>
      <c r="P173" s="127">
        <v>0</v>
      </c>
      <c r="Q173" s="127">
        <v>19678400</v>
      </c>
      <c r="R173" s="127">
        <v>47200000</v>
      </c>
      <c r="S173" s="127">
        <v>0</v>
      </c>
      <c r="T173" s="26">
        <v>85438400</v>
      </c>
      <c r="U173" s="28">
        <v>438910680</v>
      </c>
      <c r="V173" s="127">
        <v>0</v>
      </c>
      <c r="W173" s="127">
        <v>0</v>
      </c>
      <c r="X173" s="127">
        <v>3264000</v>
      </c>
      <c r="Y173" s="127">
        <v>1600000</v>
      </c>
      <c r="Z173" s="26">
        <v>4864000</v>
      </c>
      <c r="AA173" s="127">
        <v>0</v>
      </c>
      <c r="AB173" s="127">
        <v>0</v>
      </c>
      <c r="AC173" s="127">
        <v>0</v>
      </c>
      <c r="AD173" s="127">
        <v>0</v>
      </c>
      <c r="AE173" s="26">
        <v>0</v>
      </c>
      <c r="AF173" s="127">
        <v>0</v>
      </c>
      <c r="AG173" s="127">
        <v>0</v>
      </c>
      <c r="AH173" s="127">
        <v>0</v>
      </c>
      <c r="AI173" s="127">
        <v>0</v>
      </c>
      <c r="AJ173" s="127">
        <v>0</v>
      </c>
      <c r="AK173" s="26">
        <v>0</v>
      </c>
      <c r="AL173" s="28">
        <v>63711248</v>
      </c>
      <c r="AM173" s="128"/>
      <c r="AN173" s="13">
        <v>0</v>
      </c>
      <c r="AO173" s="13">
        <v>0</v>
      </c>
    </row>
    <row r="174" spans="1:42" s="51" customFormat="1" ht="17" thickBot="1">
      <c r="A174" s="209"/>
      <c r="B174" s="102" t="s">
        <v>60</v>
      </c>
      <c r="C174" s="127">
        <v>217958672</v>
      </c>
      <c r="D174" s="127">
        <v>73201496</v>
      </c>
      <c r="E174" s="122">
        <v>0</v>
      </c>
      <c r="F174" s="123">
        <v>0</v>
      </c>
      <c r="G174" s="123">
        <v>176320072</v>
      </c>
      <c r="H174" s="123">
        <v>118626624</v>
      </c>
      <c r="I174" s="124">
        <v>118626624</v>
      </c>
      <c r="J174" s="122">
        <v>64344336</v>
      </c>
      <c r="K174" s="123">
        <v>51871696</v>
      </c>
      <c r="L174" s="123">
        <v>74514248</v>
      </c>
      <c r="M174" s="123">
        <v>97954248</v>
      </c>
      <c r="N174" s="124">
        <v>97954248</v>
      </c>
      <c r="O174" s="123">
        <v>86125904</v>
      </c>
      <c r="P174" s="123">
        <v>80870720</v>
      </c>
      <c r="Q174" s="123">
        <v>60669920</v>
      </c>
      <c r="R174" s="123">
        <v>72064272</v>
      </c>
      <c r="S174" s="123">
        <v>58847248</v>
      </c>
      <c r="T174" s="124">
        <v>58847248</v>
      </c>
      <c r="U174" s="22">
        <v>58847248</v>
      </c>
      <c r="V174" s="123">
        <v>57375320</v>
      </c>
      <c r="W174" s="123">
        <v>57352280</v>
      </c>
      <c r="X174" s="123">
        <v>60474520</v>
      </c>
      <c r="Y174" s="123">
        <v>55112264</v>
      </c>
      <c r="Z174" s="124">
        <v>55112264</v>
      </c>
      <c r="AA174" s="123">
        <v>54983000</v>
      </c>
      <c r="AB174" s="123">
        <v>54964440</v>
      </c>
      <c r="AC174" s="123">
        <v>53910136</v>
      </c>
      <c r="AD174" s="123">
        <v>53910136</v>
      </c>
      <c r="AE174" s="124">
        <v>53910136</v>
      </c>
      <c r="AF174" s="122">
        <v>53910136</v>
      </c>
      <c r="AG174" s="123">
        <v>53910136</v>
      </c>
      <c r="AH174" s="123">
        <v>53910136</v>
      </c>
      <c r="AI174" s="123">
        <v>53910136</v>
      </c>
      <c r="AJ174" s="123">
        <v>53910136</v>
      </c>
      <c r="AK174" s="124">
        <v>53910136</v>
      </c>
      <c r="AL174" s="22">
        <v>53910136</v>
      </c>
      <c r="AM174" s="128"/>
      <c r="AN174" s="13">
        <v>0</v>
      </c>
      <c r="AO174" s="13">
        <v>0</v>
      </c>
    </row>
  </sheetData>
  <autoFilter ref="A8:AO162" xr:uid="{00000000-0001-0000-0200-000000000000}"/>
  <mergeCells count="64">
    <mergeCell ref="AM123:AM127"/>
    <mergeCell ref="AM129:AM133"/>
    <mergeCell ref="AM135:AM139"/>
    <mergeCell ref="A165:A169"/>
    <mergeCell ref="A170:A174"/>
    <mergeCell ref="A153:A157"/>
    <mergeCell ref="AM141:AM145"/>
    <mergeCell ref="AM147:AM151"/>
    <mergeCell ref="AM153:AM157"/>
    <mergeCell ref="A159:A163"/>
    <mergeCell ref="AM159:AM163"/>
    <mergeCell ref="A147:A151"/>
    <mergeCell ref="A141:A145"/>
    <mergeCell ref="AM93:AM97"/>
    <mergeCell ref="AM99:AM103"/>
    <mergeCell ref="AM105:AM109"/>
    <mergeCell ref="AM111:AM115"/>
    <mergeCell ref="AM117:AM121"/>
    <mergeCell ref="AM63:AM67"/>
    <mergeCell ref="AM69:AM73"/>
    <mergeCell ref="AM75:AM79"/>
    <mergeCell ref="AM81:AM85"/>
    <mergeCell ref="AM87:AM91"/>
    <mergeCell ref="AM33:AM37"/>
    <mergeCell ref="AM39:AM43"/>
    <mergeCell ref="AM45:AM49"/>
    <mergeCell ref="AM51:AM55"/>
    <mergeCell ref="AM57:AM61"/>
    <mergeCell ref="AM3:AM7"/>
    <mergeCell ref="AM9:AM13"/>
    <mergeCell ref="AM15:AM19"/>
    <mergeCell ref="AM21:AM25"/>
    <mergeCell ref="AM27:AM31"/>
    <mergeCell ref="A33:A37"/>
    <mergeCell ref="A117:A121"/>
    <mergeCell ref="A123:A127"/>
    <mergeCell ref="A111:A115"/>
    <mergeCell ref="A87:A91"/>
    <mergeCell ref="A81:A85"/>
    <mergeCell ref="A69:A73"/>
    <mergeCell ref="A129:A133"/>
    <mergeCell ref="A135:A139"/>
    <mergeCell ref="A57:A61"/>
    <mergeCell ref="A75:A79"/>
    <mergeCell ref="A99:A103"/>
    <mergeCell ref="A63:A67"/>
    <mergeCell ref="A105:A109"/>
    <mergeCell ref="A93:A97"/>
    <mergeCell ref="V1:Y1"/>
    <mergeCell ref="AA1:AD1"/>
    <mergeCell ref="AF1:AJ1"/>
    <mergeCell ref="A51:A55"/>
    <mergeCell ref="A45:A49"/>
    <mergeCell ref="O1:S1"/>
    <mergeCell ref="J1:M1"/>
    <mergeCell ref="E1:H1"/>
    <mergeCell ref="A21:A25"/>
    <mergeCell ref="A9:A13"/>
    <mergeCell ref="A15:A19"/>
    <mergeCell ref="A1:B1"/>
    <mergeCell ref="A3:A7"/>
    <mergeCell ref="A39:A43"/>
    <mergeCell ref="A2:B2"/>
    <mergeCell ref="A27:A31"/>
  </mergeCells>
  <phoneticPr fontId="3" type="noConversion"/>
  <conditionalFormatting sqref="O20">
    <cfRule type="cellIs" dxfId="647" priority="616" stopIfTrue="1" operator="lessThanOrEqual">
      <formula>3000</formula>
    </cfRule>
    <cfRule type="cellIs" dxfId="646" priority="617" stopIfTrue="1" operator="between">
      <formula>3000</formula>
      <formula>9000</formula>
    </cfRule>
    <cfRule type="cellIs" dxfId="645" priority="618" stopIfTrue="1" operator="greaterThanOrEqual">
      <formula>9000</formula>
    </cfRule>
  </conditionalFormatting>
  <conditionalFormatting sqref="J20:M20">
    <cfRule type="cellIs" dxfId="644" priority="619" stopIfTrue="1" operator="lessThanOrEqual">
      <formula>3000</formula>
    </cfRule>
    <cfRule type="cellIs" dxfId="643" priority="620" stopIfTrue="1" operator="between">
      <formula>3000</formula>
      <formula>9000</formula>
    </cfRule>
    <cfRule type="cellIs" dxfId="642" priority="621" stopIfTrue="1" operator="greaterThanOrEqual">
      <formula>9000</formula>
    </cfRule>
  </conditionalFormatting>
  <conditionalFormatting sqref="O14">
    <cfRule type="cellIs" dxfId="641" priority="628" stopIfTrue="1" operator="lessThanOrEqual">
      <formula>3000</formula>
    </cfRule>
    <cfRule type="cellIs" dxfId="640" priority="629" stopIfTrue="1" operator="between">
      <formula>3000</formula>
      <formula>9000</formula>
    </cfRule>
    <cfRule type="cellIs" dxfId="639" priority="630" stopIfTrue="1" operator="greaterThanOrEqual">
      <formula>9000</formula>
    </cfRule>
  </conditionalFormatting>
  <conditionalFormatting sqref="P8:S8">
    <cfRule type="cellIs" dxfId="638" priority="637" stopIfTrue="1" operator="lessThanOrEqual">
      <formula>3000</formula>
    </cfRule>
    <cfRule type="cellIs" dxfId="637" priority="638" stopIfTrue="1" operator="between">
      <formula>3000</formula>
      <formula>9000</formula>
    </cfRule>
    <cfRule type="cellIs" dxfId="636" priority="639" stopIfTrue="1" operator="greaterThanOrEqual">
      <formula>9000</formula>
    </cfRule>
  </conditionalFormatting>
  <conditionalFormatting sqref="E8:H8">
    <cfRule type="cellIs" dxfId="635" priority="646" stopIfTrue="1" operator="lessThanOrEqual">
      <formula>3000</formula>
    </cfRule>
    <cfRule type="cellIs" dxfId="634" priority="647" stopIfTrue="1" operator="between">
      <formula>3000</formula>
      <formula>9000</formula>
    </cfRule>
    <cfRule type="cellIs" dxfId="633" priority="648" stopIfTrue="1" operator="greaterThanOrEqual">
      <formula>9000</formula>
    </cfRule>
  </conditionalFormatting>
  <conditionalFormatting sqref="J44:M44">
    <cfRule type="cellIs" dxfId="632" priority="571" stopIfTrue="1" operator="lessThanOrEqual">
      <formula>3000</formula>
    </cfRule>
    <cfRule type="cellIs" dxfId="631" priority="572" stopIfTrue="1" operator="between">
      <formula>3000</formula>
      <formula>9000</formula>
    </cfRule>
    <cfRule type="cellIs" dxfId="630" priority="573" stopIfTrue="1" operator="greaterThanOrEqual">
      <formula>9000</formula>
    </cfRule>
  </conditionalFormatting>
  <conditionalFormatting sqref="P38:S38">
    <cfRule type="cellIs" dxfId="629" priority="577" stopIfTrue="1" operator="lessThanOrEqual">
      <formula>3000</formula>
    </cfRule>
    <cfRule type="cellIs" dxfId="628" priority="578" stopIfTrue="1" operator="between">
      <formula>3000</formula>
      <formula>9000</formula>
    </cfRule>
    <cfRule type="cellIs" dxfId="627" priority="579" stopIfTrue="1" operator="greaterThanOrEqual">
      <formula>9000</formula>
    </cfRule>
  </conditionalFormatting>
  <conditionalFormatting sqref="E38:H38">
    <cfRule type="cellIs" dxfId="626" priority="586" stopIfTrue="1" operator="lessThanOrEqual">
      <formula>3000</formula>
    </cfRule>
    <cfRule type="cellIs" dxfId="625" priority="587" stopIfTrue="1" operator="between">
      <formula>3000</formula>
      <formula>9000</formula>
    </cfRule>
    <cfRule type="cellIs" dxfId="624" priority="588" stopIfTrue="1" operator="greaterThanOrEqual">
      <formula>9000</formula>
    </cfRule>
  </conditionalFormatting>
  <conditionalFormatting sqref="J32:M32">
    <cfRule type="cellIs" dxfId="623" priority="595" stopIfTrue="1" operator="lessThanOrEqual">
      <formula>3000</formula>
    </cfRule>
    <cfRule type="cellIs" dxfId="622" priority="596" stopIfTrue="1" operator="between">
      <formula>3000</formula>
      <formula>9000</formula>
    </cfRule>
    <cfRule type="cellIs" dxfId="621" priority="597" stopIfTrue="1" operator="greaterThanOrEqual">
      <formula>9000</formula>
    </cfRule>
  </conditionalFormatting>
  <conditionalFormatting sqref="O26">
    <cfRule type="cellIs" dxfId="620" priority="604" stopIfTrue="1" operator="lessThanOrEqual">
      <formula>3000</formula>
    </cfRule>
    <cfRule type="cellIs" dxfId="619" priority="605" stopIfTrue="1" operator="between">
      <formula>3000</formula>
      <formula>9000</formula>
    </cfRule>
    <cfRule type="cellIs" dxfId="618" priority="606" stopIfTrue="1" operator="greaterThanOrEqual">
      <formula>9000</formula>
    </cfRule>
  </conditionalFormatting>
  <conditionalFormatting sqref="P20:S20">
    <cfRule type="cellIs" dxfId="617" priority="613" stopIfTrue="1" operator="lessThanOrEqual">
      <formula>3000</formula>
    </cfRule>
    <cfRule type="cellIs" dxfId="616" priority="614" stopIfTrue="1" operator="between">
      <formula>3000</formula>
      <formula>9000</formula>
    </cfRule>
    <cfRule type="cellIs" dxfId="615" priority="615" stopIfTrue="1" operator="greaterThanOrEqual">
      <formula>9000</formula>
    </cfRule>
  </conditionalFormatting>
  <conditionalFormatting sqref="E20:H20">
    <cfRule type="cellIs" dxfId="614" priority="622" stopIfTrue="1" operator="lessThanOrEqual">
      <formula>3000</formula>
    </cfRule>
    <cfRule type="cellIs" dxfId="613" priority="623" stopIfTrue="1" operator="between">
      <formula>3000</formula>
      <formula>9000</formula>
    </cfRule>
    <cfRule type="cellIs" dxfId="612" priority="624" stopIfTrue="1" operator="greaterThanOrEqual">
      <formula>9000</formula>
    </cfRule>
  </conditionalFormatting>
  <conditionalFormatting sqref="J14:M14">
    <cfRule type="cellIs" dxfId="611" priority="631" stopIfTrue="1" operator="lessThanOrEqual">
      <formula>3000</formula>
    </cfRule>
    <cfRule type="cellIs" dxfId="610" priority="632" stopIfTrue="1" operator="between">
      <formula>3000</formula>
      <formula>9000</formula>
    </cfRule>
    <cfRule type="cellIs" dxfId="609" priority="633" stopIfTrue="1" operator="greaterThanOrEqual">
      <formula>9000</formula>
    </cfRule>
  </conditionalFormatting>
  <conditionalFormatting sqref="O8">
    <cfRule type="cellIs" dxfId="608" priority="640" stopIfTrue="1" operator="lessThanOrEqual">
      <formula>3000</formula>
    </cfRule>
    <cfRule type="cellIs" dxfId="607" priority="641" stopIfTrue="1" operator="between">
      <formula>3000</formula>
      <formula>9000</formula>
    </cfRule>
    <cfRule type="cellIs" dxfId="606" priority="642" stopIfTrue="1" operator="greaterThanOrEqual">
      <formula>9000</formula>
    </cfRule>
  </conditionalFormatting>
  <conditionalFormatting sqref="J56:M56">
    <cfRule type="cellIs" dxfId="605" priority="547" stopIfTrue="1" operator="lessThanOrEqual">
      <formula>3000</formula>
    </cfRule>
    <cfRule type="cellIs" dxfId="604" priority="548" stopIfTrue="1" operator="between">
      <formula>3000</formula>
      <formula>9000</formula>
    </cfRule>
    <cfRule type="cellIs" dxfId="603" priority="549" stopIfTrue="1" operator="greaterThanOrEqual">
      <formula>9000</formula>
    </cfRule>
  </conditionalFormatting>
  <conditionalFormatting sqref="E56:H56">
    <cfRule type="cellIs" dxfId="602" priority="550" stopIfTrue="1" operator="lessThanOrEqual">
      <formula>3000</formula>
    </cfRule>
    <cfRule type="cellIs" dxfId="601" priority="551" stopIfTrue="1" operator="between">
      <formula>3000</formula>
      <formula>9000</formula>
    </cfRule>
    <cfRule type="cellIs" dxfId="600" priority="552" stopIfTrue="1" operator="greaterThanOrEqual">
      <formula>9000</formula>
    </cfRule>
  </conditionalFormatting>
  <conditionalFormatting sqref="J50:M50">
    <cfRule type="cellIs" dxfId="599" priority="559" stopIfTrue="1" operator="lessThanOrEqual">
      <formula>3000</formula>
    </cfRule>
    <cfRule type="cellIs" dxfId="598" priority="560" stopIfTrue="1" operator="between">
      <formula>3000</formula>
      <formula>9000</formula>
    </cfRule>
    <cfRule type="cellIs" dxfId="597" priority="561" stopIfTrue="1" operator="greaterThanOrEqual">
      <formula>9000</formula>
    </cfRule>
  </conditionalFormatting>
  <conditionalFormatting sqref="P44:S44">
    <cfRule type="cellIs" dxfId="596" priority="565" stopIfTrue="1" operator="lessThanOrEqual">
      <formula>3000</formula>
    </cfRule>
    <cfRule type="cellIs" dxfId="595" priority="566" stopIfTrue="1" operator="between">
      <formula>3000</formula>
      <formula>9000</formula>
    </cfRule>
    <cfRule type="cellIs" dxfId="594" priority="567" stopIfTrue="1" operator="greaterThanOrEqual">
      <formula>9000</formula>
    </cfRule>
  </conditionalFormatting>
  <conditionalFormatting sqref="E44:H44">
    <cfRule type="cellIs" dxfId="593" priority="574" stopIfTrue="1" operator="lessThanOrEqual">
      <formula>3000</formula>
    </cfRule>
    <cfRule type="cellIs" dxfId="592" priority="575" stopIfTrue="1" operator="between">
      <formula>3000</formula>
      <formula>9000</formula>
    </cfRule>
    <cfRule type="cellIs" dxfId="591" priority="576" stopIfTrue="1" operator="greaterThanOrEqual">
      <formula>9000</formula>
    </cfRule>
  </conditionalFormatting>
  <conditionalFormatting sqref="J38:M38">
    <cfRule type="cellIs" dxfId="590" priority="583" stopIfTrue="1" operator="lessThanOrEqual">
      <formula>3000</formula>
    </cfRule>
    <cfRule type="cellIs" dxfId="589" priority="584" stopIfTrue="1" operator="between">
      <formula>3000</formula>
      <formula>9000</formula>
    </cfRule>
    <cfRule type="cellIs" dxfId="588" priority="585" stopIfTrue="1" operator="greaterThanOrEqual">
      <formula>9000</formula>
    </cfRule>
  </conditionalFormatting>
  <conditionalFormatting sqref="O32">
    <cfRule type="cellIs" dxfId="587" priority="592" stopIfTrue="1" operator="lessThanOrEqual">
      <formula>3000</formula>
    </cfRule>
    <cfRule type="cellIs" dxfId="586" priority="593" stopIfTrue="1" operator="between">
      <formula>3000</formula>
      <formula>9000</formula>
    </cfRule>
    <cfRule type="cellIs" dxfId="585" priority="594" stopIfTrue="1" operator="greaterThanOrEqual">
      <formula>9000</formula>
    </cfRule>
  </conditionalFormatting>
  <conditionalFormatting sqref="O38">
    <cfRule type="cellIs" dxfId="584" priority="580" stopIfTrue="1" operator="lessThanOrEqual">
      <formula>3000</formula>
    </cfRule>
    <cfRule type="cellIs" dxfId="583" priority="581" stopIfTrue="1" operator="between">
      <formula>3000</formula>
      <formula>9000</formula>
    </cfRule>
    <cfRule type="cellIs" dxfId="582" priority="582" stopIfTrue="1" operator="greaterThanOrEqual">
      <formula>9000</formula>
    </cfRule>
  </conditionalFormatting>
  <conditionalFormatting sqref="P32:S32">
    <cfRule type="cellIs" dxfId="581" priority="589" stopIfTrue="1" operator="lessThanOrEqual">
      <formula>3000</formula>
    </cfRule>
    <cfRule type="cellIs" dxfId="580" priority="590" stopIfTrue="1" operator="between">
      <formula>3000</formula>
      <formula>9000</formula>
    </cfRule>
    <cfRule type="cellIs" dxfId="579" priority="591" stopIfTrue="1" operator="greaterThanOrEqual">
      <formula>9000</formula>
    </cfRule>
  </conditionalFormatting>
  <conditionalFormatting sqref="E32:H32">
    <cfRule type="cellIs" dxfId="578" priority="598" stopIfTrue="1" operator="lessThanOrEqual">
      <formula>3000</formula>
    </cfRule>
    <cfRule type="cellIs" dxfId="577" priority="599" stopIfTrue="1" operator="between">
      <formula>3000</formula>
      <formula>9000</formula>
    </cfRule>
    <cfRule type="cellIs" dxfId="576" priority="600" stopIfTrue="1" operator="greaterThanOrEqual">
      <formula>9000</formula>
    </cfRule>
  </conditionalFormatting>
  <conditionalFormatting sqref="J26:M26">
    <cfRule type="cellIs" dxfId="575" priority="607" stopIfTrue="1" operator="lessThanOrEqual">
      <formula>3000</formula>
    </cfRule>
    <cfRule type="cellIs" dxfId="574" priority="608" stopIfTrue="1" operator="between">
      <formula>3000</formula>
      <formula>9000</formula>
    </cfRule>
    <cfRule type="cellIs" dxfId="573" priority="609" stopIfTrue="1" operator="greaterThanOrEqual">
      <formula>9000</formula>
    </cfRule>
  </conditionalFormatting>
  <conditionalFormatting sqref="P14:S14">
    <cfRule type="cellIs" dxfId="572" priority="625" stopIfTrue="1" operator="lessThanOrEqual">
      <formula>3000</formula>
    </cfRule>
    <cfRule type="cellIs" dxfId="571" priority="626" stopIfTrue="1" operator="between">
      <formula>3000</formula>
      <formula>9000</formula>
    </cfRule>
    <cfRule type="cellIs" dxfId="570" priority="627" stopIfTrue="1" operator="greaterThanOrEqual">
      <formula>9000</formula>
    </cfRule>
  </conditionalFormatting>
  <conditionalFormatting sqref="E14:H14">
    <cfRule type="cellIs" dxfId="569" priority="634" stopIfTrue="1" operator="lessThanOrEqual">
      <formula>3000</formula>
    </cfRule>
    <cfRule type="cellIs" dxfId="568" priority="635" stopIfTrue="1" operator="between">
      <formula>3000</formula>
      <formula>9000</formula>
    </cfRule>
    <cfRule type="cellIs" dxfId="567" priority="636" stopIfTrue="1" operator="greaterThanOrEqual">
      <formula>9000</formula>
    </cfRule>
  </conditionalFormatting>
  <conditionalFormatting sqref="J8:M8">
    <cfRule type="cellIs" dxfId="566" priority="643" stopIfTrue="1" operator="lessThanOrEqual">
      <formula>3000</formula>
    </cfRule>
    <cfRule type="cellIs" dxfId="565" priority="644" stopIfTrue="1" operator="between">
      <formula>3000</formula>
      <formula>9000</formula>
    </cfRule>
    <cfRule type="cellIs" dxfId="564" priority="645" stopIfTrue="1" operator="greaterThanOrEqual">
      <formula>9000</formula>
    </cfRule>
  </conditionalFormatting>
  <conditionalFormatting sqref="E128:H128">
    <cfRule type="cellIs" dxfId="563" priority="406" stopIfTrue="1" operator="lessThanOrEqual">
      <formula>3000</formula>
    </cfRule>
    <cfRule type="cellIs" dxfId="562" priority="407" stopIfTrue="1" operator="between">
      <formula>3000</formula>
      <formula>9000</formula>
    </cfRule>
    <cfRule type="cellIs" dxfId="561" priority="408" stopIfTrue="1" operator="greaterThanOrEqual">
      <formula>9000</formula>
    </cfRule>
  </conditionalFormatting>
  <conditionalFormatting sqref="J128:M128">
    <cfRule type="cellIs" dxfId="560" priority="403" stopIfTrue="1" operator="lessThanOrEqual">
      <formula>3000</formula>
    </cfRule>
    <cfRule type="cellIs" dxfId="559" priority="404" stopIfTrue="1" operator="between">
      <formula>3000</formula>
      <formula>9000</formula>
    </cfRule>
    <cfRule type="cellIs" dxfId="558" priority="405" stopIfTrue="1" operator="greaterThanOrEqual">
      <formula>9000</formula>
    </cfRule>
  </conditionalFormatting>
  <conditionalFormatting sqref="O128">
    <cfRule type="cellIs" dxfId="557" priority="400" stopIfTrue="1" operator="lessThanOrEqual">
      <formula>3000</formula>
    </cfRule>
    <cfRule type="cellIs" dxfId="556" priority="401" stopIfTrue="1" operator="between">
      <formula>3000</formula>
      <formula>9000</formula>
    </cfRule>
    <cfRule type="cellIs" dxfId="555" priority="402" stopIfTrue="1" operator="greaterThanOrEqual">
      <formula>9000</formula>
    </cfRule>
  </conditionalFormatting>
  <conditionalFormatting sqref="P128:S128">
    <cfRule type="cellIs" dxfId="554" priority="397" stopIfTrue="1" operator="lessThanOrEqual">
      <formula>3000</formula>
    </cfRule>
    <cfRule type="cellIs" dxfId="553" priority="398" stopIfTrue="1" operator="between">
      <formula>3000</formula>
      <formula>9000</formula>
    </cfRule>
    <cfRule type="cellIs" dxfId="552" priority="399" stopIfTrue="1" operator="greaterThanOrEqual">
      <formula>9000</formula>
    </cfRule>
  </conditionalFormatting>
  <conditionalFormatting sqref="E26:H26">
    <cfRule type="cellIs" dxfId="551" priority="610" stopIfTrue="1" operator="lessThanOrEqual">
      <formula>3000</formula>
    </cfRule>
    <cfRule type="cellIs" dxfId="550" priority="611" stopIfTrue="1" operator="between">
      <formula>3000</formula>
      <formula>9000</formula>
    </cfRule>
    <cfRule type="cellIs" dxfId="549" priority="612" stopIfTrue="1" operator="greaterThanOrEqual">
      <formula>9000</formula>
    </cfRule>
  </conditionalFormatting>
  <conditionalFormatting sqref="P26:S26">
    <cfRule type="cellIs" dxfId="548" priority="601" stopIfTrue="1" operator="lessThanOrEqual">
      <formula>3000</formula>
    </cfRule>
    <cfRule type="cellIs" dxfId="547" priority="602" stopIfTrue="1" operator="between">
      <formula>3000</formula>
      <formula>9000</formula>
    </cfRule>
    <cfRule type="cellIs" dxfId="546" priority="603" stopIfTrue="1" operator="greaterThanOrEqual">
      <formula>9000</formula>
    </cfRule>
  </conditionalFormatting>
  <conditionalFormatting sqref="O44">
    <cfRule type="cellIs" dxfId="545" priority="568" stopIfTrue="1" operator="lessThanOrEqual">
      <formula>3000</formula>
    </cfRule>
    <cfRule type="cellIs" dxfId="544" priority="569" stopIfTrue="1" operator="between">
      <formula>3000</formula>
      <formula>9000</formula>
    </cfRule>
    <cfRule type="cellIs" dxfId="543" priority="570" stopIfTrue="1" operator="greaterThanOrEqual">
      <formula>9000</formula>
    </cfRule>
  </conditionalFormatting>
  <conditionalFormatting sqref="E50:H50">
    <cfRule type="cellIs" dxfId="542" priority="562" stopIfTrue="1" operator="lessThanOrEqual">
      <formula>3000</formula>
    </cfRule>
    <cfRule type="cellIs" dxfId="541" priority="563" stopIfTrue="1" operator="between">
      <formula>3000</formula>
      <formula>9000</formula>
    </cfRule>
    <cfRule type="cellIs" dxfId="540" priority="564" stopIfTrue="1" operator="greaterThanOrEqual">
      <formula>9000</formula>
    </cfRule>
  </conditionalFormatting>
  <conditionalFormatting sqref="O50">
    <cfRule type="cellIs" dxfId="539" priority="556" stopIfTrue="1" operator="lessThanOrEqual">
      <formula>3000</formula>
    </cfRule>
    <cfRule type="cellIs" dxfId="538" priority="557" stopIfTrue="1" operator="between">
      <formula>3000</formula>
      <formula>9000</formula>
    </cfRule>
    <cfRule type="cellIs" dxfId="537" priority="558" stopIfTrue="1" operator="greaterThanOrEqual">
      <formula>9000</formula>
    </cfRule>
  </conditionalFormatting>
  <conditionalFormatting sqref="P50:S50">
    <cfRule type="cellIs" dxfId="536" priority="553" stopIfTrue="1" operator="lessThanOrEqual">
      <formula>3000</formula>
    </cfRule>
    <cfRule type="cellIs" dxfId="535" priority="554" stopIfTrue="1" operator="between">
      <formula>3000</formula>
      <formula>9000</formula>
    </cfRule>
    <cfRule type="cellIs" dxfId="534" priority="555" stopIfTrue="1" operator="greaterThanOrEqual">
      <formula>9000</formula>
    </cfRule>
  </conditionalFormatting>
  <conditionalFormatting sqref="J62:M62">
    <cfRule type="cellIs" dxfId="533" priority="535" stopIfTrue="1" operator="lessThanOrEqual">
      <formula>3000</formula>
    </cfRule>
    <cfRule type="cellIs" dxfId="532" priority="536" stopIfTrue="1" operator="between">
      <formula>3000</formula>
      <formula>9000</formula>
    </cfRule>
    <cfRule type="cellIs" dxfId="531" priority="537" stopIfTrue="1" operator="greaterThanOrEqual">
      <formula>9000</formula>
    </cfRule>
  </conditionalFormatting>
  <conditionalFormatting sqref="O56">
    <cfRule type="cellIs" dxfId="530" priority="544" stopIfTrue="1" operator="lessThanOrEqual">
      <formula>3000</formula>
    </cfRule>
    <cfRule type="cellIs" dxfId="529" priority="545" stopIfTrue="1" operator="between">
      <formula>3000</formula>
      <formula>9000</formula>
    </cfRule>
    <cfRule type="cellIs" dxfId="528" priority="546" stopIfTrue="1" operator="greaterThanOrEqual">
      <formula>9000</formula>
    </cfRule>
  </conditionalFormatting>
  <conditionalFormatting sqref="E62:H62">
    <cfRule type="cellIs" dxfId="527" priority="538" stopIfTrue="1" operator="lessThanOrEqual">
      <formula>3000</formula>
    </cfRule>
    <cfRule type="cellIs" dxfId="526" priority="539" stopIfTrue="1" operator="between">
      <formula>3000</formula>
      <formula>9000</formula>
    </cfRule>
    <cfRule type="cellIs" dxfId="525" priority="540" stopIfTrue="1" operator="greaterThanOrEqual">
      <formula>9000</formula>
    </cfRule>
  </conditionalFormatting>
  <conditionalFormatting sqref="P56:S56">
    <cfRule type="cellIs" dxfId="524" priority="541" stopIfTrue="1" operator="lessThanOrEqual">
      <formula>3000</formula>
    </cfRule>
    <cfRule type="cellIs" dxfId="523" priority="542" stopIfTrue="1" operator="between">
      <formula>3000</formula>
      <formula>9000</formula>
    </cfRule>
    <cfRule type="cellIs" dxfId="522" priority="543" stopIfTrue="1" operator="greaterThanOrEqual">
      <formula>9000</formula>
    </cfRule>
  </conditionalFormatting>
  <conditionalFormatting sqref="E68:H68">
    <cfRule type="cellIs" dxfId="521" priority="526" stopIfTrue="1" operator="lessThanOrEqual">
      <formula>3000</formula>
    </cfRule>
    <cfRule type="cellIs" dxfId="520" priority="527" stopIfTrue="1" operator="between">
      <formula>3000</formula>
      <formula>9000</formula>
    </cfRule>
    <cfRule type="cellIs" dxfId="519" priority="528" stopIfTrue="1" operator="greaterThanOrEqual">
      <formula>9000</formula>
    </cfRule>
  </conditionalFormatting>
  <conditionalFormatting sqref="J68:M68">
    <cfRule type="cellIs" dxfId="518" priority="523" stopIfTrue="1" operator="lessThanOrEqual">
      <formula>3000</formula>
    </cfRule>
    <cfRule type="cellIs" dxfId="517" priority="524" stopIfTrue="1" operator="between">
      <formula>3000</formula>
      <formula>9000</formula>
    </cfRule>
    <cfRule type="cellIs" dxfId="516" priority="525" stopIfTrue="1" operator="greaterThanOrEqual">
      <formula>9000</formula>
    </cfRule>
  </conditionalFormatting>
  <conditionalFormatting sqref="O62">
    <cfRule type="cellIs" dxfId="515" priority="532" stopIfTrue="1" operator="lessThanOrEqual">
      <formula>3000</formula>
    </cfRule>
    <cfRule type="cellIs" dxfId="514" priority="533" stopIfTrue="1" operator="between">
      <formula>3000</formula>
      <formula>9000</formula>
    </cfRule>
    <cfRule type="cellIs" dxfId="513" priority="534" stopIfTrue="1" operator="greaterThanOrEqual">
      <formula>9000</formula>
    </cfRule>
  </conditionalFormatting>
  <conditionalFormatting sqref="P62:S62">
    <cfRule type="cellIs" dxfId="512" priority="529" stopIfTrue="1" operator="lessThanOrEqual">
      <formula>3000</formula>
    </cfRule>
    <cfRule type="cellIs" dxfId="511" priority="530" stopIfTrue="1" operator="between">
      <formula>3000</formula>
      <formula>9000</formula>
    </cfRule>
    <cfRule type="cellIs" dxfId="510" priority="531" stopIfTrue="1" operator="greaterThanOrEqual">
      <formula>9000</formula>
    </cfRule>
  </conditionalFormatting>
  <conditionalFormatting sqref="O68">
    <cfRule type="cellIs" dxfId="509" priority="520" stopIfTrue="1" operator="lessThanOrEqual">
      <formula>3000</formula>
    </cfRule>
    <cfRule type="cellIs" dxfId="508" priority="521" stopIfTrue="1" operator="between">
      <formula>3000</formula>
      <formula>9000</formula>
    </cfRule>
    <cfRule type="cellIs" dxfId="507" priority="522" stopIfTrue="1" operator="greaterThanOrEqual">
      <formula>9000</formula>
    </cfRule>
  </conditionalFormatting>
  <conditionalFormatting sqref="P68:S68">
    <cfRule type="cellIs" dxfId="506" priority="517" stopIfTrue="1" operator="lessThanOrEqual">
      <formula>3000</formula>
    </cfRule>
    <cfRule type="cellIs" dxfId="505" priority="518" stopIfTrue="1" operator="between">
      <formula>3000</formula>
      <formula>9000</formula>
    </cfRule>
    <cfRule type="cellIs" dxfId="504" priority="519" stopIfTrue="1" operator="greaterThanOrEqual">
      <formula>9000</formula>
    </cfRule>
  </conditionalFormatting>
  <conditionalFormatting sqref="E74:H74">
    <cfRule type="cellIs" dxfId="503" priority="514" stopIfTrue="1" operator="lessThanOrEqual">
      <formula>3000</formula>
    </cfRule>
    <cfRule type="cellIs" dxfId="502" priority="515" stopIfTrue="1" operator="between">
      <formula>3000</formula>
      <formula>9000</formula>
    </cfRule>
    <cfRule type="cellIs" dxfId="501" priority="516" stopIfTrue="1" operator="greaterThanOrEqual">
      <formula>9000</formula>
    </cfRule>
  </conditionalFormatting>
  <conditionalFormatting sqref="J74:M74">
    <cfRule type="cellIs" dxfId="500" priority="511" stopIfTrue="1" operator="lessThanOrEqual">
      <formula>3000</formula>
    </cfRule>
    <cfRule type="cellIs" dxfId="499" priority="512" stopIfTrue="1" operator="between">
      <formula>3000</formula>
      <formula>9000</formula>
    </cfRule>
    <cfRule type="cellIs" dxfId="498" priority="513" stopIfTrue="1" operator="greaterThanOrEqual">
      <formula>9000</formula>
    </cfRule>
  </conditionalFormatting>
  <conditionalFormatting sqref="O74">
    <cfRule type="cellIs" dxfId="497" priority="508" stopIfTrue="1" operator="lessThanOrEqual">
      <formula>3000</formula>
    </cfRule>
    <cfRule type="cellIs" dxfId="496" priority="509" stopIfTrue="1" operator="between">
      <formula>3000</formula>
      <formula>9000</formula>
    </cfRule>
    <cfRule type="cellIs" dxfId="495" priority="510" stopIfTrue="1" operator="greaterThanOrEqual">
      <formula>9000</formula>
    </cfRule>
  </conditionalFormatting>
  <conditionalFormatting sqref="P74:S74">
    <cfRule type="cellIs" dxfId="494" priority="505" stopIfTrue="1" operator="lessThanOrEqual">
      <formula>3000</formula>
    </cfRule>
    <cfRule type="cellIs" dxfId="493" priority="506" stopIfTrue="1" operator="between">
      <formula>3000</formula>
      <formula>9000</formula>
    </cfRule>
    <cfRule type="cellIs" dxfId="492" priority="507" stopIfTrue="1" operator="greaterThanOrEqual">
      <formula>9000</formula>
    </cfRule>
  </conditionalFormatting>
  <conditionalFormatting sqref="E80:H80">
    <cfRule type="cellIs" dxfId="491" priority="502" stopIfTrue="1" operator="lessThanOrEqual">
      <formula>3000</formula>
    </cfRule>
    <cfRule type="cellIs" dxfId="490" priority="503" stopIfTrue="1" operator="between">
      <formula>3000</formula>
      <formula>9000</formula>
    </cfRule>
    <cfRule type="cellIs" dxfId="489" priority="504" stopIfTrue="1" operator="greaterThanOrEqual">
      <formula>9000</formula>
    </cfRule>
  </conditionalFormatting>
  <conditionalFormatting sqref="J80:M80">
    <cfRule type="cellIs" dxfId="488" priority="499" stopIfTrue="1" operator="lessThanOrEqual">
      <formula>3000</formula>
    </cfRule>
    <cfRule type="cellIs" dxfId="487" priority="500" stopIfTrue="1" operator="between">
      <formula>3000</formula>
      <formula>9000</formula>
    </cfRule>
    <cfRule type="cellIs" dxfId="486" priority="501" stopIfTrue="1" operator="greaterThanOrEqual">
      <formula>9000</formula>
    </cfRule>
  </conditionalFormatting>
  <conditionalFormatting sqref="O80">
    <cfRule type="cellIs" dxfId="485" priority="496" stopIfTrue="1" operator="lessThanOrEqual">
      <formula>3000</formula>
    </cfRule>
    <cfRule type="cellIs" dxfId="484" priority="497" stopIfTrue="1" operator="between">
      <formula>3000</formula>
      <formula>9000</formula>
    </cfRule>
    <cfRule type="cellIs" dxfId="483" priority="498" stopIfTrue="1" operator="greaterThanOrEqual">
      <formula>9000</formula>
    </cfRule>
  </conditionalFormatting>
  <conditionalFormatting sqref="P80:S80">
    <cfRule type="cellIs" dxfId="482" priority="493" stopIfTrue="1" operator="lessThanOrEqual">
      <formula>3000</formula>
    </cfRule>
    <cfRule type="cellIs" dxfId="481" priority="494" stopIfTrue="1" operator="between">
      <formula>3000</formula>
      <formula>9000</formula>
    </cfRule>
    <cfRule type="cellIs" dxfId="480" priority="495" stopIfTrue="1" operator="greaterThanOrEqual">
      <formula>9000</formula>
    </cfRule>
  </conditionalFormatting>
  <conditionalFormatting sqref="E86:H86">
    <cfRule type="cellIs" dxfId="479" priority="490" stopIfTrue="1" operator="lessThanOrEqual">
      <formula>3000</formula>
    </cfRule>
    <cfRule type="cellIs" dxfId="478" priority="491" stopIfTrue="1" operator="between">
      <formula>3000</formula>
      <formula>9000</formula>
    </cfRule>
    <cfRule type="cellIs" dxfId="477" priority="492" stopIfTrue="1" operator="greaterThanOrEqual">
      <formula>9000</formula>
    </cfRule>
  </conditionalFormatting>
  <conditionalFormatting sqref="J86:M86">
    <cfRule type="cellIs" dxfId="476" priority="487" stopIfTrue="1" operator="lessThanOrEqual">
      <formula>3000</formula>
    </cfRule>
    <cfRule type="cellIs" dxfId="475" priority="488" stopIfTrue="1" operator="between">
      <formula>3000</formula>
      <formula>9000</formula>
    </cfRule>
    <cfRule type="cellIs" dxfId="474" priority="489" stopIfTrue="1" operator="greaterThanOrEqual">
      <formula>9000</formula>
    </cfRule>
  </conditionalFormatting>
  <conditionalFormatting sqref="O86">
    <cfRule type="cellIs" dxfId="473" priority="484" stopIfTrue="1" operator="lessThanOrEqual">
      <formula>3000</formula>
    </cfRule>
    <cfRule type="cellIs" dxfId="472" priority="485" stopIfTrue="1" operator="between">
      <formula>3000</formula>
      <formula>9000</formula>
    </cfRule>
    <cfRule type="cellIs" dxfId="471" priority="486" stopIfTrue="1" operator="greaterThanOrEqual">
      <formula>9000</formula>
    </cfRule>
  </conditionalFormatting>
  <conditionalFormatting sqref="P86:S86">
    <cfRule type="cellIs" dxfId="470" priority="481" stopIfTrue="1" operator="lessThanOrEqual">
      <formula>3000</formula>
    </cfRule>
    <cfRule type="cellIs" dxfId="469" priority="482" stopIfTrue="1" operator="between">
      <formula>3000</formula>
      <formula>9000</formula>
    </cfRule>
    <cfRule type="cellIs" dxfId="468" priority="483" stopIfTrue="1" operator="greaterThanOrEqual">
      <formula>9000</formula>
    </cfRule>
  </conditionalFormatting>
  <conditionalFormatting sqref="E92:H92">
    <cfRule type="cellIs" dxfId="467" priority="478" stopIfTrue="1" operator="lessThanOrEqual">
      <formula>3000</formula>
    </cfRule>
    <cfRule type="cellIs" dxfId="466" priority="479" stopIfTrue="1" operator="between">
      <formula>3000</formula>
      <formula>9000</formula>
    </cfRule>
    <cfRule type="cellIs" dxfId="465" priority="480" stopIfTrue="1" operator="greaterThanOrEqual">
      <formula>9000</formula>
    </cfRule>
  </conditionalFormatting>
  <conditionalFormatting sqref="J92:M92">
    <cfRule type="cellIs" dxfId="464" priority="475" stopIfTrue="1" operator="lessThanOrEqual">
      <formula>3000</formula>
    </cfRule>
    <cfRule type="cellIs" dxfId="463" priority="476" stopIfTrue="1" operator="between">
      <formula>3000</formula>
      <formula>9000</formula>
    </cfRule>
    <cfRule type="cellIs" dxfId="462" priority="477" stopIfTrue="1" operator="greaterThanOrEqual">
      <formula>9000</formula>
    </cfRule>
  </conditionalFormatting>
  <conditionalFormatting sqref="O92">
    <cfRule type="cellIs" dxfId="461" priority="472" stopIfTrue="1" operator="lessThanOrEqual">
      <formula>3000</formula>
    </cfRule>
    <cfRule type="cellIs" dxfId="460" priority="473" stopIfTrue="1" operator="between">
      <formula>3000</formula>
      <formula>9000</formula>
    </cfRule>
    <cfRule type="cellIs" dxfId="459" priority="474" stopIfTrue="1" operator="greaterThanOrEqual">
      <formula>9000</formula>
    </cfRule>
  </conditionalFormatting>
  <conditionalFormatting sqref="P92:S92">
    <cfRule type="cellIs" dxfId="458" priority="469" stopIfTrue="1" operator="lessThanOrEqual">
      <formula>3000</formula>
    </cfRule>
    <cfRule type="cellIs" dxfId="457" priority="470" stopIfTrue="1" operator="between">
      <formula>3000</formula>
      <formula>9000</formula>
    </cfRule>
    <cfRule type="cellIs" dxfId="456" priority="471" stopIfTrue="1" operator="greaterThanOrEqual">
      <formula>9000</formula>
    </cfRule>
  </conditionalFormatting>
  <conditionalFormatting sqref="E98:H98">
    <cfRule type="cellIs" dxfId="455" priority="466" stopIfTrue="1" operator="lessThanOrEqual">
      <formula>3000</formula>
    </cfRule>
    <cfRule type="cellIs" dxfId="454" priority="467" stopIfTrue="1" operator="between">
      <formula>3000</formula>
      <formula>9000</formula>
    </cfRule>
    <cfRule type="cellIs" dxfId="453" priority="468" stopIfTrue="1" operator="greaterThanOrEqual">
      <formula>9000</formula>
    </cfRule>
  </conditionalFormatting>
  <conditionalFormatting sqref="J98:M98">
    <cfRule type="cellIs" dxfId="452" priority="463" stopIfTrue="1" operator="lessThanOrEqual">
      <formula>3000</formula>
    </cfRule>
    <cfRule type="cellIs" dxfId="451" priority="464" stopIfTrue="1" operator="between">
      <formula>3000</formula>
      <formula>9000</formula>
    </cfRule>
    <cfRule type="cellIs" dxfId="450" priority="465" stopIfTrue="1" operator="greaterThanOrEqual">
      <formula>9000</formula>
    </cfRule>
  </conditionalFormatting>
  <conditionalFormatting sqref="O98">
    <cfRule type="cellIs" dxfId="449" priority="460" stopIfTrue="1" operator="lessThanOrEqual">
      <formula>3000</formula>
    </cfRule>
    <cfRule type="cellIs" dxfId="448" priority="461" stopIfTrue="1" operator="between">
      <formula>3000</formula>
      <formula>9000</formula>
    </cfRule>
    <cfRule type="cellIs" dxfId="447" priority="462" stopIfTrue="1" operator="greaterThanOrEqual">
      <formula>9000</formula>
    </cfRule>
  </conditionalFormatting>
  <conditionalFormatting sqref="P98:S98">
    <cfRule type="cellIs" dxfId="446" priority="457" stopIfTrue="1" operator="lessThanOrEqual">
      <formula>3000</formula>
    </cfRule>
    <cfRule type="cellIs" dxfId="445" priority="458" stopIfTrue="1" operator="between">
      <formula>3000</formula>
      <formula>9000</formula>
    </cfRule>
    <cfRule type="cellIs" dxfId="444" priority="459" stopIfTrue="1" operator="greaterThanOrEqual">
      <formula>9000</formula>
    </cfRule>
  </conditionalFormatting>
  <conditionalFormatting sqref="E104:H104">
    <cfRule type="cellIs" dxfId="443" priority="454" stopIfTrue="1" operator="lessThanOrEqual">
      <formula>3000</formula>
    </cfRule>
    <cfRule type="cellIs" dxfId="442" priority="455" stopIfTrue="1" operator="between">
      <formula>3000</formula>
      <formula>9000</formula>
    </cfRule>
    <cfRule type="cellIs" dxfId="441" priority="456" stopIfTrue="1" operator="greaterThanOrEqual">
      <formula>9000</formula>
    </cfRule>
  </conditionalFormatting>
  <conditionalFormatting sqref="J104:M104">
    <cfRule type="cellIs" dxfId="440" priority="451" stopIfTrue="1" operator="lessThanOrEqual">
      <formula>3000</formula>
    </cfRule>
    <cfRule type="cellIs" dxfId="439" priority="452" stopIfTrue="1" operator="between">
      <formula>3000</formula>
      <formula>9000</formula>
    </cfRule>
    <cfRule type="cellIs" dxfId="438" priority="453" stopIfTrue="1" operator="greaterThanOrEqual">
      <formula>9000</formula>
    </cfRule>
  </conditionalFormatting>
  <conditionalFormatting sqref="O104">
    <cfRule type="cellIs" dxfId="437" priority="448" stopIfTrue="1" operator="lessThanOrEqual">
      <formula>3000</formula>
    </cfRule>
    <cfRule type="cellIs" dxfId="436" priority="449" stopIfTrue="1" operator="between">
      <formula>3000</formula>
      <formula>9000</formula>
    </cfRule>
    <cfRule type="cellIs" dxfId="435" priority="450" stopIfTrue="1" operator="greaterThanOrEqual">
      <formula>9000</formula>
    </cfRule>
  </conditionalFormatting>
  <conditionalFormatting sqref="P104:S104">
    <cfRule type="cellIs" dxfId="434" priority="445" stopIfTrue="1" operator="lessThanOrEqual">
      <formula>3000</formula>
    </cfRule>
    <cfRule type="cellIs" dxfId="433" priority="446" stopIfTrue="1" operator="between">
      <formula>3000</formula>
      <formula>9000</formula>
    </cfRule>
    <cfRule type="cellIs" dxfId="432" priority="447" stopIfTrue="1" operator="greaterThanOrEqual">
      <formula>9000</formula>
    </cfRule>
  </conditionalFormatting>
  <conditionalFormatting sqref="E110:H110">
    <cfRule type="cellIs" dxfId="431" priority="442" stopIfTrue="1" operator="lessThanOrEqual">
      <formula>3000</formula>
    </cfRule>
    <cfRule type="cellIs" dxfId="430" priority="443" stopIfTrue="1" operator="between">
      <formula>3000</formula>
      <formula>9000</formula>
    </cfRule>
    <cfRule type="cellIs" dxfId="429" priority="444" stopIfTrue="1" operator="greaterThanOrEqual">
      <formula>9000</formula>
    </cfRule>
  </conditionalFormatting>
  <conditionalFormatting sqref="J110:M110">
    <cfRule type="cellIs" dxfId="428" priority="439" stopIfTrue="1" operator="lessThanOrEqual">
      <formula>3000</formula>
    </cfRule>
    <cfRule type="cellIs" dxfId="427" priority="440" stopIfTrue="1" operator="between">
      <formula>3000</formula>
      <formula>9000</formula>
    </cfRule>
    <cfRule type="cellIs" dxfId="426" priority="441" stopIfTrue="1" operator="greaterThanOrEqual">
      <formula>9000</formula>
    </cfRule>
  </conditionalFormatting>
  <conditionalFormatting sqref="O110">
    <cfRule type="cellIs" dxfId="425" priority="436" stopIfTrue="1" operator="lessThanOrEqual">
      <formula>3000</formula>
    </cfRule>
    <cfRule type="cellIs" dxfId="424" priority="437" stopIfTrue="1" operator="between">
      <formula>3000</formula>
      <formula>9000</formula>
    </cfRule>
    <cfRule type="cellIs" dxfId="423" priority="438" stopIfTrue="1" operator="greaterThanOrEqual">
      <formula>9000</formula>
    </cfRule>
  </conditionalFormatting>
  <conditionalFormatting sqref="P110:S110">
    <cfRule type="cellIs" dxfId="422" priority="433" stopIfTrue="1" operator="lessThanOrEqual">
      <formula>3000</formula>
    </cfRule>
    <cfRule type="cellIs" dxfId="421" priority="434" stopIfTrue="1" operator="between">
      <formula>3000</formula>
      <formula>9000</formula>
    </cfRule>
    <cfRule type="cellIs" dxfId="420" priority="435" stopIfTrue="1" operator="greaterThanOrEqual">
      <formula>9000</formula>
    </cfRule>
  </conditionalFormatting>
  <conditionalFormatting sqref="E116:H116">
    <cfRule type="cellIs" dxfId="419" priority="430" stopIfTrue="1" operator="lessThanOrEqual">
      <formula>3000</formula>
    </cfRule>
    <cfRule type="cellIs" dxfId="418" priority="431" stopIfTrue="1" operator="between">
      <formula>3000</formula>
      <formula>9000</formula>
    </cfRule>
    <cfRule type="cellIs" dxfId="417" priority="432" stopIfTrue="1" operator="greaterThanOrEqual">
      <formula>9000</formula>
    </cfRule>
  </conditionalFormatting>
  <conditionalFormatting sqref="J116:M116">
    <cfRule type="cellIs" dxfId="416" priority="427" stopIfTrue="1" operator="lessThanOrEqual">
      <formula>3000</formula>
    </cfRule>
    <cfRule type="cellIs" dxfId="415" priority="428" stopIfTrue="1" operator="between">
      <formula>3000</formula>
      <formula>9000</formula>
    </cfRule>
    <cfRule type="cellIs" dxfId="414" priority="429" stopIfTrue="1" operator="greaterThanOrEqual">
      <formula>9000</formula>
    </cfRule>
  </conditionalFormatting>
  <conditionalFormatting sqref="O116">
    <cfRule type="cellIs" dxfId="413" priority="424" stopIfTrue="1" operator="lessThanOrEqual">
      <formula>3000</formula>
    </cfRule>
    <cfRule type="cellIs" dxfId="412" priority="425" stopIfTrue="1" operator="between">
      <formula>3000</formula>
      <formula>9000</formula>
    </cfRule>
    <cfRule type="cellIs" dxfId="411" priority="426" stopIfTrue="1" operator="greaterThanOrEqual">
      <formula>9000</formula>
    </cfRule>
  </conditionalFormatting>
  <conditionalFormatting sqref="P116:S116">
    <cfRule type="cellIs" dxfId="410" priority="421" stopIfTrue="1" operator="lessThanOrEqual">
      <formula>3000</formula>
    </cfRule>
    <cfRule type="cellIs" dxfId="409" priority="422" stopIfTrue="1" operator="between">
      <formula>3000</formula>
      <formula>9000</formula>
    </cfRule>
    <cfRule type="cellIs" dxfId="408" priority="423" stopIfTrue="1" operator="greaterThanOrEqual">
      <formula>9000</formula>
    </cfRule>
  </conditionalFormatting>
  <conditionalFormatting sqref="E122:H122">
    <cfRule type="cellIs" dxfId="407" priority="418" stopIfTrue="1" operator="lessThanOrEqual">
      <formula>3000</formula>
    </cfRule>
    <cfRule type="cellIs" dxfId="406" priority="419" stopIfTrue="1" operator="between">
      <formula>3000</formula>
      <formula>9000</formula>
    </cfRule>
    <cfRule type="cellIs" dxfId="405" priority="420" stopIfTrue="1" operator="greaterThanOrEqual">
      <formula>9000</formula>
    </cfRule>
  </conditionalFormatting>
  <conditionalFormatting sqref="J122:M122">
    <cfRule type="cellIs" dxfId="404" priority="415" stopIfTrue="1" operator="lessThanOrEqual">
      <formula>3000</formula>
    </cfRule>
    <cfRule type="cellIs" dxfId="403" priority="416" stopIfTrue="1" operator="between">
      <formula>3000</formula>
      <formula>9000</formula>
    </cfRule>
    <cfRule type="cellIs" dxfId="402" priority="417" stopIfTrue="1" operator="greaterThanOrEqual">
      <formula>9000</formula>
    </cfRule>
  </conditionalFormatting>
  <conditionalFormatting sqref="O122">
    <cfRule type="cellIs" dxfId="401" priority="412" stopIfTrue="1" operator="lessThanOrEqual">
      <formula>3000</formula>
    </cfRule>
    <cfRule type="cellIs" dxfId="400" priority="413" stopIfTrue="1" operator="between">
      <formula>3000</formula>
      <formula>9000</formula>
    </cfRule>
    <cfRule type="cellIs" dxfId="399" priority="414" stopIfTrue="1" operator="greaterThanOrEqual">
      <formula>9000</formula>
    </cfRule>
  </conditionalFormatting>
  <conditionalFormatting sqref="P122:S122">
    <cfRule type="cellIs" dxfId="398" priority="409" stopIfTrue="1" operator="lessThanOrEqual">
      <formula>3000</formula>
    </cfRule>
    <cfRule type="cellIs" dxfId="397" priority="410" stopIfTrue="1" operator="between">
      <formula>3000</formula>
      <formula>9000</formula>
    </cfRule>
    <cfRule type="cellIs" dxfId="396" priority="411" stopIfTrue="1" operator="greaterThanOrEqual">
      <formula>9000</formula>
    </cfRule>
  </conditionalFormatting>
  <conditionalFormatting sqref="E134:H134">
    <cfRule type="cellIs" dxfId="395" priority="394" stopIfTrue="1" operator="lessThanOrEqual">
      <formula>3000</formula>
    </cfRule>
    <cfRule type="cellIs" dxfId="394" priority="395" stopIfTrue="1" operator="between">
      <formula>3000</formula>
      <formula>9000</formula>
    </cfRule>
    <cfRule type="cellIs" dxfId="393" priority="396" stopIfTrue="1" operator="greaterThanOrEqual">
      <formula>9000</formula>
    </cfRule>
  </conditionalFormatting>
  <conditionalFormatting sqref="J134:M134">
    <cfRule type="cellIs" dxfId="392" priority="391" stopIfTrue="1" operator="lessThanOrEqual">
      <formula>3000</formula>
    </cfRule>
    <cfRule type="cellIs" dxfId="391" priority="392" stopIfTrue="1" operator="between">
      <formula>3000</formula>
      <formula>9000</formula>
    </cfRule>
    <cfRule type="cellIs" dxfId="390" priority="393" stopIfTrue="1" operator="greaterThanOrEqual">
      <formula>9000</formula>
    </cfRule>
  </conditionalFormatting>
  <conditionalFormatting sqref="O134">
    <cfRule type="cellIs" dxfId="389" priority="388" stopIfTrue="1" operator="lessThanOrEqual">
      <formula>3000</formula>
    </cfRule>
    <cfRule type="cellIs" dxfId="388" priority="389" stopIfTrue="1" operator="between">
      <formula>3000</formula>
      <formula>9000</formula>
    </cfRule>
    <cfRule type="cellIs" dxfId="387" priority="390" stopIfTrue="1" operator="greaterThanOrEqual">
      <formula>9000</formula>
    </cfRule>
  </conditionalFormatting>
  <conditionalFormatting sqref="P134:S134">
    <cfRule type="cellIs" dxfId="386" priority="385" stopIfTrue="1" operator="lessThanOrEqual">
      <formula>3000</formula>
    </cfRule>
    <cfRule type="cellIs" dxfId="385" priority="386" stopIfTrue="1" operator="between">
      <formula>3000</formula>
      <formula>9000</formula>
    </cfRule>
    <cfRule type="cellIs" dxfId="384" priority="387" stopIfTrue="1" operator="greaterThanOrEqual">
      <formula>9000</formula>
    </cfRule>
  </conditionalFormatting>
  <conditionalFormatting sqref="E140:H140">
    <cfRule type="cellIs" dxfId="383" priority="382" stopIfTrue="1" operator="lessThanOrEqual">
      <formula>3000</formula>
    </cfRule>
    <cfRule type="cellIs" dxfId="382" priority="383" stopIfTrue="1" operator="between">
      <formula>3000</formula>
      <formula>9000</formula>
    </cfRule>
    <cfRule type="cellIs" dxfId="381" priority="384" stopIfTrue="1" operator="greaterThanOrEqual">
      <formula>9000</formula>
    </cfRule>
  </conditionalFormatting>
  <conditionalFormatting sqref="J140:M140">
    <cfRule type="cellIs" dxfId="380" priority="379" stopIfTrue="1" operator="lessThanOrEqual">
      <formula>3000</formula>
    </cfRule>
    <cfRule type="cellIs" dxfId="379" priority="380" stopIfTrue="1" operator="between">
      <formula>3000</formula>
      <formula>9000</formula>
    </cfRule>
    <cfRule type="cellIs" dxfId="378" priority="381" stopIfTrue="1" operator="greaterThanOrEqual">
      <formula>9000</formula>
    </cfRule>
  </conditionalFormatting>
  <conditionalFormatting sqref="O140">
    <cfRule type="cellIs" dxfId="377" priority="376" stopIfTrue="1" operator="lessThanOrEqual">
      <formula>3000</formula>
    </cfRule>
    <cfRule type="cellIs" dxfId="376" priority="377" stopIfTrue="1" operator="between">
      <formula>3000</formula>
      <formula>9000</formula>
    </cfRule>
    <cfRule type="cellIs" dxfId="375" priority="378" stopIfTrue="1" operator="greaterThanOrEqual">
      <formula>9000</formula>
    </cfRule>
  </conditionalFormatting>
  <conditionalFormatting sqref="P140:S140">
    <cfRule type="cellIs" dxfId="374" priority="373" stopIfTrue="1" operator="lessThanOrEqual">
      <formula>3000</formula>
    </cfRule>
    <cfRule type="cellIs" dxfId="373" priority="374" stopIfTrue="1" operator="between">
      <formula>3000</formula>
      <formula>9000</formula>
    </cfRule>
    <cfRule type="cellIs" dxfId="372" priority="375" stopIfTrue="1" operator="greaterThanOrEqual">
      <formula>9000</formula>
    </cfRule>
  </conditionalFormatting>
  <conditionalFormatting sqref="AF20">
    <cfRule type="cellIs" dxfId="371" priority="340" stopIfTrue="1" operator="lessThanOrEqual">
      <formula>3000</formula>
    </cfRule>
    <cfRule type="cellIs" dxfId="370" priority="341" stopIfTrue="1" operator="between">
      <formula>3000</formula>
      <formula>9000</formula>
    </cfRule>
    <cfRule type="cellIs" dxfId="369" priority="342" stopIfTrue="1" operator="greaterThanOrEqual">
      <formula>9000</formula>
    </cfRule>
  </conditionalFormatting>
  <conditionalFormatting sqref="AA20:AD20">
    <cfRule type="cellIs" dxfId="368" priority="343" stopIfTrue="1" operator="lessThanOrEqual">
      <formula>3000</formula>
    </cfRule>
    <cfRule type="cellIs" dxfId="367" priority="344" stopIfTrue="1" operator="between">
      <formula>3000</formula>
      <formula>9000</formula>
    </cfRule>
    <cfRule type="cellIs" dxfId="366" priority="345" stopIfTrue="1" operator="greaterThanOrEqual">
      <formula>9000</formula>
    </cfRule>
  </conditionalFormatting>
  <conditionalFormatting sqref="AF14">
    <cfRule type="cellIs" dxfId="365" priority="352" stopIfTrue="1" operator="lessThanOrEqual">
      <formula>3000</formula>
    </cfRule>
    <cfRule type="cellIs" dxfId="364" priority="353" stopIfTrue="1" operator="between">
      <formula>3000</formula>
      <formula>9000</formula>
    </cfRule>
    <cfRule type="cellIs" dxfId="363" priority="354" stopIfTrue="1" operator="greaterThanOrEqual">
      <formula>9000</formula>
    </cfRule>
  </conditionalFormatting>
  <conditionalFormatting sqref="AG8:AJ8">
    <cfRule type="cellIs" dxfId="362" priority="361" stopIfTrue="1" operator="lessThanOrEqual">
      <formula>3000</formula>
    </cfRule>
    <cfRule type="cellIs" dxfId="361" priority="362" stopIfTrue="1" operator="between">
      <formula>3000</formula>
      <formula>9000</formula>
    </cfRule>
    <cfRule type="cellIs" dxfId="360" priority="363" stopIfTrue="1" operator="greaterThanOrEqual">
      <formula>9000</formula>
    </cfRule>
  </conditionalFormatting>
  <conditionalFormatting sqref="V8:Y8">
    <cfRule type="cellIs" dxfId="359" priority="370" stopIfTrue="1" operator="lessThanOrEqual">
      <formula>3000</formula>
    </cfRule>
    <cfRule type="cellIs" dxfId="358" priority="371" stopIfTrue="1" operator="between">
      <formula>3000</formula>
      <formula>9000</formula>
    </cfRule>
    <cfRule type="cellIs" dxfId="357" priority="372" stopIfTrue="1" operator="greaterThanOrEqual">
      <formula>9000</formula>
    </cfRule>
  </conditionalFormatting>
  <conditionalFormatting sqref="AA44:AD44">
    <cfRule type="cellIs" dxfId="356" priority="295" stopIfTrue="1" operator="lessThanOrEqual">
      <formula>3000</formula>
    </cfRule>
    <cfRule type="cellIs" dxfId="355" priority="296" stopIfTrue="1" operator="between">
      <formula>3000</formula>
      <formula>9000</formula>
    </cfRule>
    <cfRule type="cellIs" dxfId="354" priority="297" stopIfTrue="1" operator="greaterThanOrEqual">
      <formula>9000</formula>
    </cfRule>
  </conditionalFormatting>
  <conditionalFormatting sqref="AG38:AJ38">
    <cfRule type="cellIs" dxfId="353" priority="301" stopIfTrue="1" operator="lessThanOrEqual">
      <formula>3000</formula>
    </cfRule>
    <cfRule type="cellIs" dxfId="352" priority="302" stopIfTrue="1" operator="between">
      <formula>3000</formula>
      <formula>9000</formula>
    </cfRule>
    <cfRule type="cellIs" dxfId="351" priority="303" stopIfTrue="1" operator="greaterThanOrEqual">
      <formula>9000</formula>
    </cfRule>
  </conditionalFormatting>
  <conditionalFormatting sqref="V38:Y38">
    <cfRule type="cellIs" dxfId="350" priority="310" stopIfTrue="1" operator="lessThanOrEqual">
      <formula>3000</formula>
    </cfRule>
    <cfRule type="cellIs" dxfId="349" priority="311" stopIfTrue="1" operator="between">
      <formula>3000</formula>
      <formula>9000</formula>
    </cfRule>
    <cfRule type="cellIs" dxfId="348" priority="312" stopIfTrue="1" operator="greaterThanOrEqual">
      <formula>9000</formula>
    </cfRule>
  </conditionalFormatting>
  <conditionalFormatting sqref="AA32:AD32">
    <cfRule type="cellIs" dxfId="347" priority="319" stopIfTrue="1" operator="lessThanOrEqual">
      <formula>3000</formula>
    </cfRule>
    <cfRule type="cellIs" dxfId="346" priority="320" stopIfTrue="1" operator="between">
      <formula>3000</formula>
      <formula>9000</formula>
    </cfRule>
    <cfRule type="cellIs" dxfId="345" priority="321" stopIfTrue="1" operator="greaterThanOrEqual">
      <formula>9000</formula>
    </cfRule>
  </conditionalFormatting>
  <conditionalFormatting sqref="AF26">
    <cfRule type="cellIs" dxfId="344" priority="328" stopIfTrue="1" operator="lessThanOrEqual">
      <formula>3000</formula>
    </cfRule>
    <cfRule type="cellIs" dxfId="343" priority="329" stopIfTrue="1" operator="between">
      <formula>3000</formula>
      <formula>9000</formula>
    </cfRule>
    <cfRule type="cellIs" dxfId="342" priority="330" stopIfTrue="1" operator="greaterThanOrEqual">
      <formula>9000</formula>
    </cfRule>
  </conditionalFormatting>
  <conditionalFormatting sqref="AG20:AJ20">
    <cfRule type="cellIs" dxfId="341" priority="337" stopIfTrue="1" operator="lessThanOrEqual">
      <formula>3000</formula>
    </cfRule>
    <cfRule type="cellIs" dxfId="340" priority="338" stopIfTrue="1" operator="between">
      <formula>3000</formula>
      <formula>9000</formula>
    </cfRule>
    <cfRule type="cellIs" dxfId="339" priority="339" stopIfTrue="1" operator="greaterThanOrEqual">
      <formula>9000</formula>
    </cfRule>
  </conditionalFormatting>
  <conditionalFormatting sqref="V20:Y20">
    <cfRule type="cellIs" dxfId="338" priority="346" stopIfTrue="1" operator="lessThanOrEqual">
      <formula>3000</formula>
    </cfRule>
    <cfRule type="cellIs" dxfId="337" priority="347" stopIfTrue="1" operator="between">
      <formula>3000</formula>
      <formula>9000</formula>
    </cfRule>
    <cfRule type="cellIs" dxfId="336" priority="348" stopIfTrue="1" operator="greaterThanOrEqual">
      <formula>9000</formula>
    </cfRule>
  </conditionalFormatting>
  <conditionalFormatting sqref="AA14:AD14">
    <cfRule type="cellIs" dxfId="335" priority="355" stopIfTrue="1" operator="lessThanOrEqual">
      <formula>3000</formula>
    </cfRule>
    <cfRule type="cellIs" dxfId="334" priority="356" stopIfTrue="1" operator="between">
      <formula>3000</formula>
      <formula>9000</formula>
    </cfRule>
    <cfRule type="cellIs" dxfId="333" priority="357" stopIfTrue="1" operator="greaterThanOrEqual">
      <formula>9000</formula>
    </cfRule>
  </conditionalFormatting>
  <conditionalFormatting sqref="AF8">
    <cfRule type="cellIs" dxfId="332" priority="364" stopIfTrue="1" operator="lessThanOrEqual">
      <formula>3000</formula>
    </cfRule>
    <cfRule type="cellIs" dxfId="331" priority="365" stopIfTrue="1" operator="between">
      <formula>3000</formula>
      <formula>9000</formula>
    </cfRule>
    <cfRule type="cellIs" dxfId="330" priority="366" stopIfTrue="1" operator="greaterThanOrEqual">
      <formula>9000</formula>
    </cfRule>
  </conditionalFormatting>
  <conditionalFormatting sqref="AA56:AD56">
    <cfRule type="cellIs" dxfId="329" priority="271" stopIfTrue="1" operator="lessThanOrEqual">
      <formula>3000</formula>
    </cfRule>
    <cfRule type="cellIs" dxfId="328" priority="272" stopIfTrue="1" operator="between">
      <formula>3000</formula>
      <formula>9000</formula>
    </cfRule>
    <cfRule type="cellIs" dxfId="327" priority="273" stopIfTrue="1" operator="greaterThanOrEqual">
      <formula>9000</formula>
    </cfRule>
  </conditionalFormatting>
  <conditionalFormatting sqref="V56:Y56">
    <cfRule type="cellIs" dxfId="326" priority="274" stopIfTrue="1" operator="lessThanOrEqual">
      <formula>3000</formula>
    </cfRule>
    <cfRule type="cellIs" dxfId="325" priority="275" stopIfTrue="1" operator="between">
      <formula>3000</formula>
      <formula>9000</formula>
    </cfRule>
    <cfRule type="cellIs" dxfId="324" priority="276" stopIfTrue="1" operator="greaterThanOrEqual">
      <formula>9000</formula>
    </cfRule>
  </conditionalFormatting>
  <conditionalFormatting sqref="AA50:AD50">
    <cfRule type="cellIs" dxfId="323" priority="283" stopIfTrue="1" operator="lessThanOrEqual">
      <formula>3000</formula>
    </cfRule>
    <cfRule type="cellIs" dxfId="322" priority="284" stopIfTrue="1" operator="between">
      <formula>3000</formula>
      <formula>9000</formula>
    </cfRule>
    <cfRule type="cellIs" dxfId="321" priority="285" stopIfTrue="1" operator="greaterThanOrEqual">
      <formula>9000</formula>
    </cfRule>
  </conditionalFormatting>
  <conditionalFormatting sqref="AG44:AJ44">
    <cfRule type="cellIs" dxfId="320" priority="289" stopIfTrue="1" operator="lessThanOrEqual">
      <formula>3000</formula>
    </cfRule>
    <cfRule type="cellIs" dxfId="319" priority="290" stopIfTrue="1" operator="between">
      <formula>3000</formula>
      <formula>9000</formula>
    </cfRule>
    <cfRule type="cellIs" dxfId="318" priority="291" stopIfTrue="1" operator="greaterThanOrEqual">
      <formula>9000</formula>
    </cfRule>
  </conditionalFormatting>
  <conditionalFormatting sqref="V44:Y44">
    <cfRule type="cellIs" dxfId="317" priority="298" stopIfTrue="1" operator="lessThanOrEqual">
      <formula>3000</formula>
    </cfRule>
    <cfRule type="cellIs" dxfId="316" priority="299" stopIfTrue="1" operator="between">
      <formula>3000</formula>
      <formula>9000</formula>
    </cfRule>
    <cfRule type="cellIs" dxfId="315" priority="300" stopIfTrue="1" operator="greaterThanOrEqual">
      <formula>9000</formula>
    </cfRule>
  </conditionalFormatting>
  <conditionalFormatting sqref="AA38:AD38">
    <cfRule type="cellIs" dxfId="314" priority="307" stopIfTrue="1" operator="lessThanOrEqual">
      <formula>3000</formula>
    </cfRule>
    <cfRule type="cellIs" dxfId="313" priority="308" stopIfTrue="1" operator="between">
      <formula>3000</formula>
      <formula>9000</formula>
    </cfRule>
    <cfRule type="cellIs" dxfId="312" priority="309" stopIfTrue="1" operator="greaterThanOrEqual">
      <formula>9000</formula>
    </cfRule>
  </conditionalFormatting>
  <conditionalFormatting sqref="AF32">
    <cfRule type="cellIs" dxfId="311" priority="316" stopIfTrue="1" operator="lessThanOrEqual">
      <formula>3000</formula>
    </cfRule>
    <cfRule type="cellIs" dxfId="310" priority="317" stopIfTrue="1" operator="between">
      <formula>3000</formula>
      <formula>9000</formula>
    </cfRule>
    <cfRule type="cellIs" dxfId="309" priority="318" stopIfTrue="1" operator="greaterThanOrEqual">
      <formula>9000</formula>
    </cfRule>
  </conditionalFormatting>
  <conditionalFormatting sqref="AF38">
    <cfRule type="cellIs" dxfId="308" priority="304" stopIfTrue="1" operator="lessThanOrEqual">
      <formula>3000</formula>
    </cfRule>
    <cfRule type="cellIs" dxfId="307" priority="305" stopIfTrue="1" operator="between">
      <formula>3000</formula>
      <formula>9000</formula>
    </cfRule>
    <cfRule type="cellIs" dxfId="306" priority="306" stopIfTrue="1" operator="greaterThanOrEqual">
      <formula>9000</formula>
    </cfRule>
  </conditionalFormatting>
  <conditionalFormatting sqref="AG32:AJ32">
    <cfRule type="cellIs" dxfId="305" priority="313" stopIfTrue="1" operator="lessThanOrEqual">
      <formula>3000</formula>
    </cfRule>
    <cfRule type="cellIs" dxfId="304" priority="314" stopIfTrue="1" operator="between">
      <formula>3000</formula>
      <formula>9000</formula>
    </cfRule>
    <cfRule type="cellIs" dxfId="303" priority="315" stopIfTrue="1" operator="greaterThanOrEqual">
      <formula>9000</formula>
    </cfRule>
  </conditionalFormatting>
  <conditionalFormatting sqref="V32:Y32">
    <cfRule type="cellIs" dxfId="302" priority="322" stopIfTrue="1" operator="lessThanOrEqual">
      <formula>3000</formula>
    </cfRule>
    <cfRule type="cellIs" dxfId="301" priority="323" stopIfTrue="1" operator="between">
      <formula>3000</formula>
      <formula>9000</formula>
    </cfRule>
    <cfRule type="cellIs" dxfId="300" priority="324" stopIfTrue="1" operator="greaterThanOrEqual">
      <formula>9000</formula>
    </cfRule>
  </conditionalFormatting>
  <conditionalFormatting sqref="AA26:AD26">
    <cfRule type="cellIs" dxfId="299" priority="331" stopIfTrue="1" operator="lessThanOrEqual">
      <formula>3000</formula>
    </cfRule>
    <cfRule type="cellIs" dxfId="298" priority="332" stopIfTrue="1" operator="between">
      <formula>3000</formula>
      <formula>9000</formula>
    </cfRule>
    <cfRule type="cellIs" dxfId="297" priority="333" stopIfTrue="1" operator="greaterThanOrEqual">
      <formula>9000</formula>
    </cfRule>
  </conditionalFormatting>
  <conditionalFormatting sqref="AG14:AJ14">
    <cfRule type="cellIs" dxfId="296" priority="349" stopIfTrue="1" operator="lessThanOrEqual">
      <formula>3000</formula>
    </cfRule>
    <cfRule type="cellIs" dxfId="295" priority="350" stopIfTrue="1" operator="between">
      <formula>3000</formula>
      <formula>9000</formula>
    </cfRule>
    <cfRule type="cellIs" dxfId="294" priority="351" stopIfTrue="1" operator="greaterThanOrEqual">
      <formula>9000</formula>
    </cfRule>
  </conditionalFormatting>
  <conditionalFormatting sqref="V14:Y14">
    <cfRule type="cellIs" dxfId="293" priority="358" stopIfTrue="1" operator="lessThanOrEqual">
      <formula>3000</formula>
    </cfRule>
    <cfRule type="cellIs" dxfId="292" priority="359" stopIfTrue="1" operator="between">
      <formula>3000</formula>
      <formula>9000</formula>
    </cfRule>
    <cfRule type="cellIs" dxfId="291" priority="360" stopIfTrue="1" operator="greaterThanOrEqual">
      <formula>9000</formula>
    </cfRule>
  </conditionalFormatting>
  <conditionalFormatting sqref="AA8:AD8">
    <cfRule type="cellIs" dxfId="290" priority="367" stopIfTrue="1" operator="lessThanOrEqual">
      <formula>3000</formula>
    </cfRule>
    <cfRule type="cellIs" dxfId="289" priority="368" stopIfTrue="1" operator="between">
      <formula>3000</formula>
      <formula>9000</formula>
    </cfRule>
    <cfRule type="cellIs" dxfId="288" priority="369" stopIfTrue="1" operator="greaterThanOrEqual">
      <formula>9000</formula>
    </cfRule>
  </conditionalFormatting>
  <conditionalFormatting sqref="V128:Y128">
    <cfRule type="cellIs" dxfId="287" priority="130" stopIfTrue="1" operator="lessThanOrEqual">
      <formula>3000</formula>
    </cfRule>
    <cfRule type="cellIs" dxfId="286" priority="131" stopIfTrue="1" operator="between">
      <formula>3000</formula>
      <formula>9000</formula>
    </cfRule>
    <cfRule type="cellIs" dxfId="285" priority="132" stopIfTrue="1" operator="greaterThanOrEqual">
      <formula>9000</formula>
    </cfRule>
  </conditionalFormatting>
  <conditionalFormatting sqref="AA128:AD128">
    <cfRule type="cellIs" dxfId="284" priority="127" stopIfTrue="1" operator="lessThanOrEqual">
      <formula>3000</formula>
    </cfRule>
    <cfRule type="cellIs" dxfId="283" priority="128" stopIfTrue="1" operator="between">
      <formula>3000</formula>
      <formula>9000</formula>
    </cfRule>
    <cfRule type="cellIs" dxfId="282" priority="129" stopIfTrue="1" operator="greaterThanOrEqual">
      <formula>9000</formula>
    </cfRule>
  </conditionalFormatting>
  <conditionalFormatting sqref="AF128">
    <cfRule type="cellIs" dxfId="281" priority="124" stopIfTrue="1" operator="lessThanOrEqual">
      <formula>3000</formula>
    </cfRule>
    <cfRule type="cellIs" dxfId="280" priority="125" stopIfTrue="1" operator="between">
      <formula>3000</formula>
      <formula>9000</formula>
    </cfRule>
    <cfRule type="cellIs" dxfId="279" priority="126" stopIfTrue="1" operator="greaterThanOrEqual">
      <formula>9000</formula>
    </cfRule>
  </conditionalFormatting>
  <conditionalFormatting sqref="AG128:AJ128">
    <cfRule type="cellIs" dxfId="278" priority="121" stopIfTrue="1" operator="lessThanOrEqual">
      <formula>3000</formula>
    </cfRule>
    <cfRule type="cellIs" dxfId="277" priority="122" stopIfTrue="1" operator="between">
      <formula>3000</formula>
      <formula>9000</formula>
    </cfRule>
    <cfRule type="cellIs" dxfId="276" priority="123" stopIfTrue="1" operator="greaterThanOrEqual">
      <formula>9000</formula>
    </cfRule>
  </conditionalFormatting>
  <conditionalFormatting sqref="V26:Y26">
    <cfRule type="cellIs" dxfId="275" priority="334" stopIfTrue="1" operator="lessThanOrEqual">
      <formula>3000</formula>
    </cfRule>
    <cfRule type="cellIs" dxfId="274" priority="335" stopIfTrue="1" operator="between">
      <formula>3000</formula>
      <formula>9000</formula>
    </cfRule>
    <cfRule type="cellIs" dxfId="273" priority="336" stopIfTrue="1" operator="greaterThanOrEqual">
      <formula>9000</formula>
    </cfRule>
  </conditionalFormatting>
  <conditionalFormatting sqref="AG26:AJ26">
    <cfRule type="cellIs" dxfId="272" priority="325" stopIfTrue="1" operator="lessThanOrEqual">
      <formula>3000</formula>
    </cfRule>
    <cfRule type="cellIs" dxfId="271" priority="326" stopIfTrue="1" operator="between">
      <formula>3000</formula>
      <formula>9000</formula>
    </cfRule>
    <cfRule type="cellIs" dxfId="270" priority="327" stopIfTrue="1" operator="greaterThanOrEqual">
      <formula>9000</formula>
    </cfRule>
  </conditionalFormatting>
  <conditionalFormatting sqref="AF44">
    <cfRule type="cellIs" dxfId="269" priority="292" stopIfTrue="1" operator="lessThanOrEqual">
      <formula>3000</formula>
    </cfRule>
    <cfRule type="cellIs" dxfId="268" priority="293" stopIfTrue="1" operator="between">
      <formula>3000</formula>
      <formula>9000</formula>
    </cfRule>
    <cfRule type="cellIs" dxfId="267" priority="294" stopIfTrue="1" operator="greaterThanOrEqual">
      <formula>9000</formula>
    </cfRule>
  </conditionalFormatting>
  <conditionalFormatting sqref="V50:Y50">
    <cfRule type="cellIs" dxfId="266" priority="286" stopIfTrue="1" operator="lessThanOrEqual">
      <formula>3000</formula>
    </cfRule>
    <cfRule type="cellIs" dxfId="265" priority="287" stopIfTrue="1" operator="between">
      <formula>3000</formula>
      <formula>9000</formula>
    </cfRule>
    <cfRule type="cellIs" dxfId="264" priority="288" stopIfTrue="1" operator="greaterThanOrEqual">
      <formula>9000</formula>
    </cfRule>
  </conditionalFormatting>
  <conditionalFormatting sqref="AF50">
    <cfRule type="cellIs" dxfId="263" priority="280" stopIfTrue="1" operator="lessThanOrEqual">
      <formula>3000</formula>
    </cfRule>
    <cfRule type="cellIs" dxfId="262" priority="281" stopIfTrue="1" operator="between">
      <formula>3000</formula>
      <formula>9000</formula>
    </cfRule>
    <cfRule type="cellIs" dxfId="261" priority="282" stopIfTrue="1" operator="greaterThanOrEqual">
      <formula>9000</formula>
    </cfRule>
  </conditionalFormatting>
  <conditionalFormatting sqref="AG50:AJ50">
    <cfRule type="cellIs" dxfId="260" priority="277" stopIfTrue="1" operator="lessThanOrEqual">
      <formula>3000</formula>
    </cfRule>
    <cfRule type="cellIs" dxfId="259" priority="278" stopIfTrue="1" operator="between">
      <formula>3000</formula>
      <formula>9000</formula>
    </cfRule>
    <cfRule type="cellIs" dxfId="258" priority="279" stopIfTrue="1" operator="greaterThanOrEqual">
      <formula>9000</formula>
    </cfRule>
  </conditionalFormatting>
  <conditionalFormatting sqref="AA62:AD62">
    <cfRule type="cellIs" dxfId="257" priority="259" stopIfTrue="1" operator="lessThanOrEqual">
      <formula>3000</formula>
    </cfRule>
    <cfRule type="cellIs" dxfId="256" priority="260" stopIfTrue="1" operator="between">
      <formula>3000</formula>
      <formula>9000</formula>
    </cfRule>
    <cfRule type="cellIs" dxfId="255" priority="261" stopIfTrue="1" operator="greaterThanOrEqual">
      <formula>9000</formula>
    </cfRule>
  </conditionalFormatting>
  <conditionalFormatting sqref="AF56">
    <cfRule type="cellIs" dxfId="254" priority="268" stopIfTrue="1" operator="lessThanOrEqual">
      <formula>3000</formula>
    </cfRule>
    <cfRule type="cellIs" dxfId="253" priority="269" stopIfTrue="1" operator="between">
      <formula>3000</formula>
      <formula>9000</formula>
    </cfRule>
    <cfRule type="cellIs" dxfId="252" priority="270" stopIfTrue="1" operator="greaterThanOrEqual">
      <formula>9000</formula>
    </cfRule>
  </conditionalFormatting>
  <conditionalFormatting sqref="V62:Y62">
    <cfRule type="cellIs" dxfId="251" priority="262" stopIfTrue="1" operator="lessThanOrEqual">
      <formula>3000</formula>
    </cfRule>
    <cfRule type="cellIs" dxfId="250" priority="263" stopIfTrue="1" operator="between">
      <formula>3000</formula>
      <formula>9000</formula>
    </cfRule>
    <cfRule type="cellIs" dxfId="249" priority="264" stopIfTrue="1" operator="greaterThanOrEqual">
      <formula>9000</formula>
    </cfRule>
  </conditionalFormatting>
  <conditionalFormatting sqref="AG56:AJ56">
    <cfRule type="cellIs" dxfId="248" priority="265" stopIfTrue="1" operator="lessThanOrEqual">
      <formula>3000</formula>
    </cfRule>
    <cfRule type="cellIs" dxfId="247" priority="266" stopIfTrue="1" operator="between">
      <formula>3000</formula>
      <formula>9000</formula>
    </cfRule>
    <cfRule type="cellIs" dxfId="246" priority="267" stopIfTrue="1" operator="greaterThanOrEqual">
      <formula>9000</formula>
    </cfRule>
  </conditionalFormatting>
  <conditionalFormatting sqref="V68:Y68">
    <cfRule type="cellIs" dxfId="245" priority="250" stopIfTrue="1" operator="lessThanOrEqual">
      <formula>3000</formula>
    </cfRule>
    <cfRule type="cellIs" dxfId="244" priority="251" stopIfTrue="1" operator="between">
      <formula>3000</formula>
      <formula>9000</formula>
    </cfRule>
    <cfRule type="cellIs" dxfId="243" priority="252" stopIfTrue="1" operator="greaterThanOrEqual">
      <formula>9000</formula>
    </cfRule>
  </conditionalFormatting>
  <conditionalFormatting sqref="AA68:AD68">
    <cfRule type="cellIs" dxfId="242" priority="247" stopIfTrue="1" operator="lessThanOrEqual">
      <formula>3000</formula>
    </cfRule>
    <cfRule type="cellIs" dxfId="241" priority="248" stopIfTrue="1" operator="between">
      <formula>3000</formula>
      <formula>9000</formula>
    </cfRule>
    <cfRule type="cellIs" dxfId="240" priority="249" stopIfTrue="1" operator="greaterThanOrEqual">
      <formula>9000</formula>
    </cfRule>
  </conditionalFormatting>
  <conditionalFormatting sqref="AF62">
    <cfRule type="cellIs" dxfId="239" priority="256" stopIfTrue="1" operator="lessThanOrEqual">
      <formula>3000</formula>
    </cfRule>
    <cfRule type="cellIs" dxfId="238" priority="257" stopIfTrue="1" operator="between">
      <formula>3000</formula>
      <formula>9000</formula>
    </cfRule>
    <cfRule type="cellIs" dxfId="237" priority="258" stopIfTrue="1" operator="greaterThanOrEqual">
      <formula>9000</formula>
    </cfRule>
  </conditionalFormatting>
  <conditionalFormatting sqref="AG62:AJ62">
    <cfRule type="cellIs" dxfId="236" priority="253" stopIfTrue="1" operator="lessThanOrEqual">
      <formula>3000</formula>
    </cfRule>
    <cfRule type="cellIs" dxfId="235" priority="254" stopIfTrue="1" operator="between">
      <formula>3000</formula>
      <formula>9000</formula>
    </cfRule>
    <cfRule type="cellIs" dxfId="234" priority="255" stopIfTrue="1" operator="greaterThanOrEqual">
      <formula>9000</formula>
    </cfRule>
  </conditionalFormatting>
  <conditionalFormatting sqref="AF68">
    <cfRule type="cellIs" dxfId="233" priority="244" stopIfTrue="1" operator="lessThanOrEqual">
      <formula>3000</formula>
    </cfRule>
    <cfRule type="cellIs" dxfId="232" priority="245" stopIfTrue="1" operator="between">
      <formula>3000</formula>
      <formula>9000</formula>
    </cfRule>
    <cfRule type="cellIs" dxfId="231" priority="246" stopIfTrue="1" operator="greaterThanOrEqual">
      <formula>9000</formula>
    </cfRule>
  </conditionalFormatting>
  <conditionalFormatting sqref="AG68:AJ68">
    <cfRule type="cellIs" dxfId="230" priority="241" stopIfTrue="1" operator="lessThanOrEqual">
      <formula>3000</formula>
    </cfRule>
    <cfRule type="cellIs" dxfId="229" priority="242" stopIfTrue="1" operator="between">
      <formula>3000</formula>
      <formula>9000</formula>
    </cfRule>
    <cfRule type="cellIs" dxfId="228" priority="243" stopIfTrue="1" operator="greaterThanOrEqual">
      <formula>9000</formula>
    </cfRule>
  </conditionalFormatting>
  <conditionalFormatting sqref="V74:Y74">
    <cfRule type="cellIs" dxfId="227" priority="238" stopIfTrue="1" operator="lessThanOrEqual">
      <formula>3000</formula>
    </cfRule>
    <cfRule type="cellIs" dxfId="226" priority="239" stopIfTrue="1" operator="between">
      <formula>3000</formula>
      <formula>9000</formula>
    </cfRule>
    <cfRule type="cellIs" dxfId="225" priority="240" stopIfTrue="1" operator="greaterThanOrEqual">
      <formula>9000</formula>
    </cfRule>
  </conditionalFormatting>
  <conditionalFormatting sqref="AA74:AD74">
    <cfRule type="cellIs" dxfId="224" priority="235" stopIfTrue="1" operator="lessThanOrEqual">
      <formula>3000</formula>
    </cfRule>
    <cfRule type="cellIs" dxfId="223" priority="236" stopIfTrue="1" operator="between">
      <formula>3000</formula>
      <formula>9000</formula>
    </cfRule>
    <cfRule type="cellIs" dxfId="222" priority="237" stopIfTrue="1" operator="greaterThanOrEqual">
      <formula>9000</formula>
    </cfRule>
  </conditionalFormatting>
  <conditionalFormatting sqref="AF74">
    <cfRule type="cellIs" dxfId="221" priority="232" stopIfTrue="1" operator="lessThanOrEqual">
      <formula>3000</formula>
    </cfRule>
    <cfRule type="cellIs" dxfId="220" priority="233" stopIfTrue="1" operator="between">
      <formula>3000</formula>
      <formula>9000</formula>
    </cfRule>
    <cfRule type="cellIs" dxfId="219" priority="234" stopIfTrue="1" operator="greaterThanOrEqual">
      <formula>9000</formula>
    </cfRule>
  </conditionalFormatting>
  <conditionalFormatting sqref="AG74:AJ74">
    <cfRule type="cellIs" dxfId="218" priority="229" stopIfTrue="1" operator="lessThanOrEqual">
      <formula>3000</formula>
    </cfRule>
    <cfRule type="cellIs" dxfId="217" priority="230" stopIfTrue="1" operator="between">
      <formula>3000</formula>
      <formula>9000</formula>
    </cfRule>
    <cfRule type="cellIs" dxfId="216" priority="231" stopIfTrue="1" operator="greaterThanOrEqual">
      <formula>9000</formula>
    </cfRule>
  </conditionalFormatting>
  <conditionalFormatting sqref="V80:Y80">
    <cfRule type="cellIs" dxfId="215" priority="226" stopIfTrue="1" operator="lessThanOrEqual">
      <formula>3000</formula>
    </cfRule>
    <cfRule type="cellIs" dxfId="214" priority="227" stopIfTrue="1" operator="between">
      <formula>3000</formula>
      <formula>9000</formula>
    </cfRule>
    <cfRule type="cellIs" dxfId="213" priority="228" stopIfTrue="1" operator="greaterThanOrEqual">
      <formula>9000</formula>
    </cfRule>
  </conditionalFormatting>
  <conditionalFormatting sqref="AA80:AD80">
    <cfRule type="cellIs" dxfId="212" priority="223" stopIfTrue="1" operator="lessThanOrEqual">
      <formula>3000</formula>
    </cfRule>
    <cfRule type="cellIs" dxfId="211" priority="224" stopIfTrue="1" operator="between">
      <formula>3000</formula>
      <formula>9000</formula>
    </cfRule>
    <cfRule type="cellIs" dxfId="210" priority="225" stopIfTrue="1" operator="greaterThanOrEqual">
      <formula>9000</formula>
    </cfRule>
  </conditionalFormatting>
  <conditionalFormatting sqref="AF80">
    <cfRule type="cellIs" dxfId="209" priority="220" stopIfTrue="1" operator="lessThanOrEqual">
      <formula>3000</formula>
    </cfRule>
    <cfRule type="cellIs" dxfId="208" priority="221" stopIfTrue="1" operator="between">
      <formula>3000</formula>
      <formula>9000</formula>
    </cfRule>
    <cfRule type="cellIs" dxfId="207" priority="222" stopIfTrue="1" operator="greaterThanOrEqual">
      <formula>9000</formula>
    </cfRule>
  </conditionalFormatting>
  <conditionalFormatting sqref="AG80:AJ80">
    <cfRule type="cellIs" dxfId="206" priority="217" stopIfTrue="1" operator="lessThanOrEqual">
      <formula>3000</formula>
    </cfRule>
    <cfRule type="cellIs" dxfId="205" priority="218" stopIfTrue="1" operator="between">
      <formula>3000</formula>
      <formula>9000</formula>
    </cfRule>
    <cfRule type="cellIs" dxfId="204" priority="219" stopIfTrue="1" operator="greaterThanOrEqual">
      <formula>9000</formula>
    </cfRule>
  </conditionalFormatting>
  <conditionalFormatting sqref="V86:Y86">
    <cfRule type="cellIs" dxfId="203" priority="214" stopIfTrue="1" operator="lessThanOrEqual">
      <formula>3000</formula>
    </cfRule>
    <cfRule type="cellIs" dxfId="202" priority="215" stopIfTrue="1" operator="between">
      <formula>3000</formula>
      <formula>9000</formula>
    </cfRule>
    <cfRule type="cellIs" dxfId="201" priority="216" stopIfTrue="1" operator="greaterThanOrEqual">
      <formula>9000</formula>
    </cfRule>
  </conditionalFormatting>
  <conditionalFormatting sqref="AA86:AD86">
    <cfRule type="cellIs" dxfId="200" priority="211" stopIfTrue="1" operator="lessThanOrEqual">
      <formula>3000</formula>
    </cfRule>
    <cfRule type="cellIs" dxfId="199" priority="212" stopIfTrue="1" operator="between">
      <formula>3000</formula>
      <formula>9000</formula>
    </cfRule>
    <cfRule type="cellIs" dxfId="198" priority="213" stopIfTrue="1" operator="greaterThanOrEqual">
      <formula>9000</formula>
    </cfRule>
  </conditionalFormatting>
  <conditionalFormatting sqref="AF86">
    <cfRule type="cellIs" dxfId="197" priority="208" stopIfTrue="1" operator="lessThanOrEqual">
      <formula>3000</formula>
    </cfRule>
    <cfRule type="cellIs" dxfId="196" priority="209" stopIfTrue="1" operator="between">
      <formula>3000</formula>
      <formula>9000</formula>
    </cfRule>
    <cfRule type="cellIs" dxfId="195" priority="210" stopIfTrue="1" operator="greaterThanOrEqual">
      <formula>9000</formula>
    </cfRule>
  </conditionalFormatting>
  <conditionalFormatting sqref="AG86:AJ86">
    <cfRule type="cellIs" dxfId="194" priority="205" stopIfTrue="1" operator="lessThanOrEqual">
      <formula>3000</formula>
    </cfRule>
    <cfRule type="cellIs" dxfId="193" priority="206" stopIfTrue="1" operator="between">
      <formula>3000</formula>
      <formula>9000</formula>
    </cfRule>
    <cfRule type="cellIs" dxfId="192" priority="207" stopIfTrue="1" operator="greaterThanOrEqual">
      <formula>9000</formula>
    </cfRule>
  </conditionalFormatting>
  <conditionalFormatting sqref="V92:Y92">
    <cfRule type="cellIs" dxfId="191" priority="202" stopIfTrue="1" operator="lessThanOrEqual">
      <formula>3000</formula>
    </cfRule>
    <cfRule type="cellIs" dxfId="190" priority="203" stopIfTrue="1" operator="between">
      <formula>3000</formula>
      <formula>9000</formula>
    </cfRule>
    <cfRule type="cellIs" dxfId="189" priority="204" stopIfTrue="1" operator="greaterThanOrEqual">
      <formula>9000</formula>
    </cfRule>
  </conditionalFormatting>
  <conditionalFormatting sqref="AA92:AD92">
    <cfRule type="cellIs" dxfId="188" priority="199" stopIfTrue="1" operator="lessThanOrEqual">
      <formula>3000</formula>
    </cfRule>
    <cfRule type="cellIs" dxfId="187" priority="200" stopIfTrue="1" operator="between">
      <formula>3000</formula>
      <formula>9000</formula>
    </cfRule>
    <cfRule type="cellIs" dxfId="186" priority="201" stopIfTrue="1" operator="greaterThanOrEqual">
      <formula>9000</formula>
    </cfRule>
  </conditionalFormatting>
  <conditionalFormatting sqref="AF92">
    <cfRule type="cellIs" dxfId="185" priority="196" stopIfTrue="1" operator="lessThanOrEqual">
      <formula>3000</formula>
    </cfRule>
    <cfRule type="cellIs" dxfId="184" priority="197" stopIfTrue="1" operator="between">
      <formula>3000</formula>
      <formula>9000</formula>
    </cfRule>
    <cfRule type="cellIs" dxfId="183" priority="198" stopIfTrue="1" operator="greaterThanOrEqual">
      <formula>9000</formula>
    </cfRule>
  </conditionalFormatting>
  <conditionalFormatting sqref="AG92:AJ92">
    <cfRule type="cellIs" dxfId="182" priority="193" stopIfTrue="1" operator="lessThanOrEqual">
      <formula>3000</formula>
    </cfRule>
    <cfRule type="cellIs" dxfId="181" priority="194" stopIfTrue="1" operator="between">
      <formula>3000</formula>
      <formula>9000</formula>
    </cfRule>
    <cfRule type="cellIs" dxfId="180" priority="195" stopIfTrue="1" operator="greaterThanOrEqual">
      <formula>9000</formula>
    </cfRule>
  </conditionalFormatting>
  <conditionalFormatting sqref="V98:Y98">
    <cfRule type="cellIs" dxfId="179" priority="190" stopIfTrue="1" operator="lessThanOrEqual">
      <formula>3000</formula>
    </cfRule>
    <cfRule type="cellIs" dxfId="178" priority="191" stopIfTrue="1" operator="between">
      <formula>3000</formula>
      <formula>9000</formula>
    </cfRule>
    <cfRule type="cellIs" dxfId="177" priority="192" stopIfTrue="1" operator="greaterThanOrEqual">
      <formula>9000</formula>
    </cfRule>
  </conditionalFormatting>
  <conditionalFormatting sqref="AA98:AD98">
    <cfRule type="cellIs" dxfId="176" priority="187" stopIfTrue="1" operator="lessThanOrEqual">
      <formula>3000</formula>
    </cfRule>
    <cfRule type="cellIs" dxfId="175" priority="188" stopIfTrue="1" operator="between">
      <formula>3000</formula>
      <formula>9000</formula>
    </cfRule>
    <cfRule type="cellIs" dxfId="174" priority="189" stopIfTrue="1" operator="greaterThanOrEqual">
      <formula>9000</formula>
    </cfRule>
  </conditionalFormatting>
  <conditionalFormatting sqref="AF98">
    <cfRule type="cellIs" dxfId="173" priority="184" stopIfTrue="1" operator="lessThanOrEqual">
      <formula>3000</formula>
    </cfRule>
    <cfRule type="cellIs" dxfId="172" priority="185" stopIfTrue="1" operator="between">
      <formula>3000</formula>
      <formula>9000</formula>
    </cfRule>
    <cfRule type="cellIs" dxfId="171" priority="186" stopIfTrue="1" operator="greaterThanOrEqual">
      <formula>9000</formula>
    </cfRule>
  </conditionalFormatting>
  <conditionalFormatting sqref="AG98:AJ98">
    <cfRule type="cellIs" dxfId="170" priority="181" stopIfTrue="1" operator="lessThanOrEqual">
      <formula>3000</formula>
    </cfRule>
    <cfRule type="cellIs" dxfId="169" priority="182" stopIfTrue="1" operator="between">
      <formula>3000</formula>
      <formula>9000</formula>
    </cfRule>
    <cfRule type="cellIs" dxfId="168" priority="183" stopIfTrue="1" operator="greaterThanOrEqual">
      <formula>9000</formula>
    </cfRule>
  </conditionalFormatting>
  <conditionalFormatting sqref="V104:Y104">
    <cfRule type="cellIs" dxfId="167" priority="178" stopIfTrue="1" operator="lessThanOrEqual">
      <formula>3000</formula>
    </cfRule>
    <cfRule type="cellIs" dxfId="166" priority="179" stopIfTrue="1" operator="between">
      <formula>3000</formula>
      <formula>9000</formula>
    </cfRule>
    <cfRule type="cellIs" dxfId="165" priority="180" stopIfTrue="1" operator="greaterThanOrEqual">
      <formula>9000</formula>
    </cfRule>
  </conditionalFormatting>
  <conditionalFormatting sqref="AA104:AD104">
    <cfRule type="cellIs" dxfId="164" priority="175" stopIfTrue="1" operator="lessThanOrEqual">
      <formula>3000</formula>
    </cfRule>
    <cfRule type="cellIs" dxfId="163" priority="176" stopIfTrue="1" operator="between">
      <formula>3000</formula>
      <formula>9000</formula>
    </cfRule>
    <cfRule type="cellIs" dxfId="162" priority="177" stopIfTrue="1" operator="greaterThanOrEqual">
      <formula>9000</formula>
    </cfRule>
  </conditionalFormatting>
  <conditionalFormatting sqref="AF104">
    <cfRule type="cellIs" dxfId="161" priority="172" stopIfTrue="1" operator="lessThanOrEqual">
      <formula>3000</formula>
    </cfRule>
    <cfRule type="cellIs" dxfId="160" priority="173" stopIfTrue="1" operator="between">
      <formula>3000</formula>
      <formula>9000</formula>
    </cfRule>
    <cfRule type="cellIs" dxfId="159" priority="174" stopIfTrue="1" operator="greaterThanOrEqual">
      <formula>9000</formula>
    </cfRule>
  </conditionalFormatting>
  <conditionalFormatting sqref="AG104:AJ104">
    <cfRule type="cellIs" dxfId="158" priority="169" stopIfTrue="1" operator="lessThanOrEqual">
      <formula>3000</formula>
    </cfRule>
    <cfRule type="cellIs" dxfId="157" priority="170" stopIfTrue="1" operator="between">
      <formula>3000</formula>
      <formula>9000</formula>
    </cfRule>
    <cfRule type="cellIs" dxfId="156" priority="171" stopIfTrue="1" operator="greaterThanOrEqual">
      <formula>9000</formula>
    </cfRule>
  </conditionalFormatting>
  <conditionalFormatting sqref="V110:Y110">
    <cfRule type="cellIs" dxfId="155" priority="166" stopIfTrue="1" operator="lessThanOrEqual">
      <formula>3000</formula>
    </cfRule>
    <cfRule type="cellIs" dxfId="154" priority="167" stopIfTrue="1" operator="between">
      <formula>3000</formula>
      <formula>9000</formula>
    </cfRule>
    <cfRule type="cellIs" dxfId="153" priority="168" stopIfTrue="1" operator="greaterThanOrEqual">
      <formula>9000</formula>
    </cfRule>
  </conditionalFormatting>
  <conditionalFormatting sqref="AA110:AD110">
    <cfRule type="cellIs" dxfId="152" priority="163" stopIfTrue="1" operator="lessThanOrEqual">
      <formula>3000</formula>
    </cfRule>
    <cfRule type="cellIs" dxfId="151" priority="164" stopIfTrue="1" operator="between">
      <formula>3000</formula>
      <formula>9000</formula>
    </cfRule>
    <cfRule type="cellIs" dxfId="150" priority="165" stopIfTrue="1" operator="greaterThanOrEqual">
      <formula>9000</formula>
    </cfRule>
  </conditionalFormatting>
  <conditionalFormatting sqref="AF110">
    <cfRule type="cellIs" dxfId="149" priority="160" stopIfTrue="1" operator="lessThanOrEqual">
      <formula>3000</formula>
    </cfRule>
    <cfRule type="cellIs" dxfId="148" priority="161" stopIfTrue="1" operator="between">
      <formula>3000</formula>
      <formula>9000</formula>
    </cfRule>
    <cfRule type="cellIs" dxfId="147" priority="162" stopIfTrue="1" operator="greaterThanOrEqual">
      <formula>9000</formula>
    </cfRule>
  </conditionalFormatting>
  <conditionalFormatting sqref="AG110:AJ110">
    <cfRule type="cellIs" dxfId="146" priority="157" stopIfTrue="1" operator="lessThanOrEqual">
      <formula>3000</formula>
    </cfRule>
    <cfRule type="cellIs" dxfId="145" priority="158" stopIfTrue="1" operator="between">
      <formula>3000</formula>
      <formula>9000</formula>
    </cfRule>
    <cfRule type="cellIs" dxfId="144" priority="159" stopIfTrue="1" operator="greaterThanOrEqual">
      <formula>9000</formula>
    </cfRule>
  </conditionalFormatting>
  <conditionalFormatting sqref="V116:Y116">
    <cfRule type="cellIs" dxfId="143" priority="154" stopIfTrue="1" operator="lessThanOrEqual">
      <formula>3000</formula>
    </cfRule>
    <cfRule type="cellIs" dxfId="142" priority="155" stopIfTrue="1" operator="between">
      <formula>3000</formula>
      <formula>9000</formula>
    </cfRule>
    <cfRule type="cellIs" dxfId="141" priority="156" stopIfTrue="1" operator="greaterThanOrEqual">
      <formula>9000</formula>
    </cfRule>
  </conditionalFormatting>
  <conditionalFormatting sqref="AA116:AD116">
    <cfRule type="cellIs" dxfId="140" priority="151" stopIfTrue="1" operator="lessThanOrEqual">
      <formula>3000</formula>
    </cfRule>
    <cfRule type="cellIs" dxfId="139" priority="152" stopIfTrue="1" operator="between">
      <formula>3000</formula>
      <formula>9000</formula>
    </cfRule>
    <cfRule type="cellIs" dxfId="138" priority="153" stopIfTrue="1" operator="greaterThanOrEqual">
      <formula>9000</formula>
    </cfRule>
  </conditionalFormatting>
  <conditionalFormatting sqref="AF116">
    <cfRule type="cellIs" dxfId="137" priority="148" stopIfTrue="1" operator="lessThanOrEqual">
      <formula>3000</formula>
    </cfRule>
    <cfRule type="cellIs" dxfId="136" priority="149" stopIfTrue="1" operator="between">
      <formula>3000</formula>
      <formula>9000</formula>
    </cfRule>
    <cfRule type="cellIs" dxfId="135" priority="150" stopIfTrue="1" operator="greaterThanOrEqual">
      <formula>9000</formula>
    </cfRule>
  </conditionalFormatting>
  <conditionalFormatting sqref="AG116:AJ116">
    <cfRule type="cellIs" dxfId="134" priority="145" stopIfTrue="1" operator="lessThanOrEqual">
      <formula>3000</formula>
    </cfRule>
    <cfRule type="cellIs" dxfId="133" priority="146" stopIfTrue="1" operator="between">
      <formula>3000</formula>
      <formula>9000</formula>
    </cfRule>
    <cfRule type="cellIs" dxfId="132" priority="147" stopIfTrue="1" operator="greaterThanOrEqual">
      <formula>9000</formula>
    </cfRule>
  </conditionalFormatting>
  <conditionalFormatting sqref="V122:Y122">
    <cfRule type="cellIs" dxfId="131" priority="142" stopIfTrue="1" operator="lessThanOrEqual">
      <formula>3000</formula>
    </cfRule>
    <cfRule type="cellIs" dxfId="130" priority="143" stopIfTrue="1" operator="between">
      <formula>3000</formula>
      <formula>9000</formula>
    </cfRule>
    <cfRule type="cellIs" dxfId="129" priority="144" stopIfTrue="1" operator="greaterThanOrEqual">
      <formula>9000</formula>
    </cfRule>
  </conditionalFormatting>
  <conditionalFormatting sqref="AA122:AD122">
    <cfRule type="cellIs" dxfId="128" priority="139" stopIfTrue="1" operator="lessThanOrEqual">
      <formula>3000</formula>
    </cfRule>
    <cfRule type="cellIs" dxfId="127" priority="140" stopIfTrue="1" operator="between">
      <formula>3000</formula>
      <formula>9000</formula>
    </cfRule>
    <cfRule type="cellIs" dxfId="126" priority="141" stopIfTrue="1" operator="greaterThanOrEqual">
      <formula>9000</formula>
    </cfRule>
  </conditionalFormatting>
  <conditionalFormatting sqref="AF122">
    <cfRule type="cellIs" dxfId="125" priority="136" stopIfTrue="1" operator="lessThanOrEqual">
      <formula>3000</formula>
    </cfRule>
    <cfRule type="cellIs" dxfId="124" priority="137" stopIfTrue="1" operator="between">
      <formula>3000</formula>
      <formula>9000</formula>
    </cfRule>
    <cfRule type="cellIs" dxfId="123" priority="138" stopIfTrue="1" operator="greaterThanOrEqual">
      <formula>9000</formula>
    </cfRule>
  </conditionalFormatting>
  <conditionalFormatting sqref="AG122:AJ122">
    <cfRule type="cellIs" dxfId="122" priority="133" stopIfTrue="1" operator="lessThanOrEqual">
      <formula>3000</formula>
    </cfRule>
    <cfRule type="cellIs" dxfId="121" priority="134" stopIfTrue="1" operator="between">
      <formula>3000</formula>
      <formula>9000</formula>
    </cfRule>
    <cfRule type="cellIs" dxfId="120" priority="135" stopIfTrue="1" operator="greaterThanOrEqual">
      <formula>9000</formula>
    </cfRule>
  </conditionalFormatting>
  <conditionalFormatting sqref="V134:Y134">
    <cfRule type="cellIs" dxfId="119" priority="118" stopIfTrue="1" operator="lessThanOrEqual">
      <formula>3000</formula>
    </cfRule>
    <cfRule type="cellIs" dxfId="118" priority="119" stopIfTrue="1" operator="between">
      <formula>3000</formula>
      <formula>9000</formula>
    </cfRule>
    <cfRule type="cellIs" dxfId="117" priority="120" stopIfTrue="1" operator="greaterThanOrEqual">
      <formula>9000</formula>
    </cfRule>
  </conditionalFormatting>
  <conditionalFormatting sqref="AA134:AD134">
    <cfRule type="cellIs" dxfId="116" priority="115" stopIfTrue="1" operator="lessThanOrEqual">
      <formula>3000</formula>
    </cfRule>
    <cfRule type="cellIs" dxfId="115" priority="116" stopIfTrue="1" operator="between">
      <formula>3000</formula>
      <formula>9000</formula>
    </cfRule>
    <cfRule type="cellIs" dxfId="114" priority="117" stopIfTrue="1" operator="greaterThanOrEqual">
      <formula>9000</formula>
    </cfRule>
  </conditionalFormatting>
  <conditionalFormatting sqref="AF134">
    <cfRule type="cellIs" dxfId="113" priority="112" stopIfTrue="1" operator="lessThanOrEqual">
      <formula>3000</formula>
    </cfRule>
    <cfRule type="cellIs" dxfId="112" priority="113" stopIfTrue="1" operator="between">
      <formula>3000</formula>
      <formula>9000</formula>
    </cfRule>
    <cfRule type="cellIs" dxfId="111" priority="114" stopIfTrue="1" operator="greaterThanOrEqual">
      <formula>9000</formula>
    </cfRule>
  </conditionalFormatting>
  <conditionalFormatting sqref="AG134:AJ134">
    <cfRule type="cellIs" dxfId="110" priority="109" stopIfTrue="1" operator="lessThanOrEqual">
      <formula>3000</formula>
    </cfRule>
    <cfRule type="cellIs" dxfId="109" priority="110" stopIfTrue="1" operator="between">
      <formula>3000</formula>
      <formula>9000</formula>
    </cfRule>
    <cfRule type="cellIs" dxfId="108" priority="111" stopIfTrue="1" operator="greaterThanOrEqual">
      <formula>9000</formula>
    </cfRule>
  </conditionalFormatting>
  <conditionalFormatting sqref="V140:Y140">
    <cfRule type="cellIs" dxfId="107" priority="106" stopIfTrue="1" operator="lessThanOrEqual">
      <formula>3000</formula>
    </cfRule>
    <cfRule type="cellIs" dxfId="106" priority="107" stopIfTrue="1" operator="between">
      <formula>3000</formula>
      <formula>9000</formula>
    </cfRule>
    <cfRule type="cellIs" dxfId="105" priority="108" stopIfTrue="1" operator="greaterThanOrEqual">
      <formula>9000</formula>
    </cfRule>
  </conditionalFormatting>
  <conditionalFormatting sqref="AA140:AD140">
    <cfRule type="cellIs" dxfId="104" priority="103" stopIfTrue="1" operator="lessThanOrEqual">
      <formula>3000</formula>
    </cfRule>
    <cfRule type="cellIs" dxfId="103" priority="104" stopIfTrue="1" operator="between">
      <formula>3000</formula>
      <formula>9000</formula>
    </cfRule>
    <cfRule type="cellIs" dxfId="102" priority="105" stopIfTrue="1" operator="greaterThanOrEqual">
      <formula>9000</formula>
    </cfRule>
  </conditionalFormatting>
  <conditionalFormatting sqref="AF140">
    <cfRule type="cellIs" dxfId="101" priority="100" stopIfTrue="1" operator="lessThanOrEqual">
      <formula>3000</formula>
    </cfRule>
    <cfRule type="cellIs" dxfId="100" priority="101" stopIfTrue="1" operator="between">
      <formula>3000</formula>
      <formula>9000</formula>
    </cfRule>
    <cfRule type="cellIs" dxfId="99" priority="102" stopIfTrue="1" operator="greaterThanOrEqual">
      <formula>9000</formula>
    </cfRule>
  </conditionalFormatting>
  <conditionalFormatting sqref="AG140:AJ140">
    <cfRule type="cellIs" dxfId="98" priority="97" stopIfTrue="1" operator="lessThanOrEqual">
      <formula>3000</formula>
    </cfRule>
    <cfRule type="cellIs" dxfId="97" priority="98" stopIfTrue="1" operator="between">
      <formula>3000</formula>
      <formula>9000</formula>
    </cfRule>
    <cfRule type="cellIs" dxfId="96" priority="99" stopIfTrue="1" operator="greaterThanOrEqual">
      <formula>9000</formula>
    </cfRule>
  </conditionalFormatting>
  <conditionalFormatting sqref="E152:H152">
    <cfRule type="cellIs" dxfId="95" priority="94" stopIfTrue="1" operator="lessThanOrEqual">
      <formula>3000</formula>
    </cfRule>
    <cfRule type="cellIs" dxfId="94" priority="95" stopIfTrue="1" operator="between">
      <formula>3000</formula>
      <formula>9000</formula>
    </cfRule>
    <cfRule type="cellIs" dxfId="93" priority="96" stopIfTrue="1" operator="greaterThanOrEqual">
      <formula>9000</formula>
    </cfRule>
  </conditionalFormatting>
  <conditionalFormatting sqref="J152:M152">
    <cfRule type="cellIs" dxfId="92" priority="91" stopIfTrue="1" operator="lessThanOrEqual">
      <formula>3000</formula>
    </cfRule>
    <cfRule type="cellIs" dxfId="91" priority="92" stopIfTrue="1" operator="between">
      <formula>3000</formula>
      <formula>9000</formula>
    </cfRule>
    <cfRule type="cellIs" dxfId="90" priority="93" stopIfTrue="1" operator="greaterThanOrEqual">
      <formula>9000</formula>
    </cfRule>
  </conditionalFormatting>
  <conditionalFormatting sqref="O152">
    <cfRule type="cellIs" dxfId="89" priority="88" stopIfTrue="1" operator="lessThanOrEqual">
      <formula>3000</formula>
    </cfRule>
    <cfRule type="cellIs" dxfId="88" priority="89" stopIfTrue="1" operator="between">
      <formula>3000</formula>
      <formula>9000</formula>
    </cfRule>
    <cfRule type="cellIs" dxfId="87" priority="90" stopIfTrue="1" operator="greaterThanOrEqual">
      <formula>9000</formula>
    </cfRule>
  </conditionalFormatting>
  <conditionalFormatting sqref="P152:S152">
    <cfRule type="cellIs" dxfId="86" priority="85" stopIfTrue="1" operator="lessThanOrEqual">
      <formula>3000</formula>
    </cfRule>
    <cfRule type="cellIs" dxfId="85" priority="86" stopIfTrue="1" operator="between">
      <formula>3000</formula>
      <formula>9000</formula>
    </cfRule>
    <cfRule type="cellIs" dxfId="84" priority="87" stopIfTrue="1" operator="greaterThanOrEqual">
      <formula>9000</formula>
    </cfRule>
  </conditionalFormatting>
  <conditionalFormatting sqref="E146:H146">
    <cfRule type="cellIs" dxfId="83" priority="82" stopIfTrue="1" operator="lessThanOrEqual">
      <formula>3000</formula>
    </cfRule>
    <cfRule type="cellIs" dxfId="82" priority="83" stopIfTrue="1" operator="between">
      <formula>3000</formula>
      <formula>9000</formula>
    </cfRule>
    <cfRule type="cellIs" dxfId="81" priority="84" stopIfTrue="1" operator="greaterThanOrEqual">
      <formula>9000</formula>
    </cfRule>
  </conditionalFormatting>
  <conditionalFormatting sqref="J146:M146">
    <cfRule type="cellIs" dxfId="80" priority="79" stopIfTrue="1" operator="lessThanOrEqual">
      <formula>3000</formula>
    </cfRule>
    <cfRule type="cellIs" dxfId="79" priority="80" stopIfTrue="1" operator="between">
      <formula>3000</formula>
      <formula>9000</formula>
    </cfRule>
    <cfRule type="cellIs" dxfId="78" priority="81" stopIfTrue="1" operator="greaterThanOrEqual">
      <formula>9000</formula>
    </cfRule>
  </conditionalFormatting>
  <conditionalFormatting sqref="O146">
    <cfRule type="cellIs" dxfId="77" priority="76" stopIfTrue="1" operator="lessThanOrEqual">
      <formula>3000</formula>
    </cfRule>
    <cfRule type="cellIs" dxfId="76" priority="77" stopIfTrue="1" operator="between">
      <formula>3000</formula>
      <formula>9000</formula>
    </cfRule>
    <cfRule type="cellIs" dxfId="75" priority="78" stopIfTrue="1" operator="greaterThanOrEqual">
      <formula>9000</formula>
    </cfRule>
  </conditionalFormatting>
  <conditionalFormatting sqref="P146:S146">
    <cfRule type="cellIs" dxfId="74" priority="73" stopIfTrue="1" operator="lessThanOrEqual">
      <formula>3000</formula>
    </cfRule>
    <cfRule type="cellIs" dxfId="73" priority="74" stopIfTrue="1" operator="between">
      <formula>3000</formula>
      <formula>9000</formula>
    </cfRule>
    <cfRule type="cellIs" dxfId="72" priority="75" stopIfTrue="1" operator="greaterThanOrEqual">
      <formula>9000</formula>
    </cfRule>
  </conditionalFormatting>
  <conditionalFormatting sqref="V152:Y152">
    <cfRule type="cellIs" dxfId="71" priority="70" stopIfTrue="1" operator="lessThanOrEqual">
      <formula>3000</formula>
    </cfRule>
    <cfRule type="cellIs" dxfId="70" priority="71" stopIfTrue="1" operator="between">
      <formula>3000</formula>
      <formula>9000</formula>
    </cfRule>
    <cfRule type="cellIs" dxfId="69" priority="72" stopIfTrue="1" operator="greaterThanOrEqual">
      <formula>9000</formula>
    </cfRule>
  </conditionalFormatting>
  <conditionalFormatting sqref="AA152:AD152">
    <cfRule type="cellIs" dxfId="68" priority="67" stopIfTrue="1" operator="lessThanOrEqual">
      <formula>3000</formula>
    </cfRule>
    <cfRule type="cellIs" dxfId="67" priority="68" stopIfTrue="1" operator="between">
      <formula>3000</formula>
      <formula>9000</formula>
    </cfRule>
    <cfRule type="cellIs" dxfId="66" priority="69" stopIfTrue="1" operator="greaterThanOrEqual">
      <formula>9000</formula>
    </cfRule>
  </conditionalFormatting>
  <conditionalFormatting sqref="AF152">
    <cfRule type="cellIs" dxfId="65" priority="64" stopIfTrue="1" operator="lessThanOrEqual">
      <formula>3000</formula>
    </cfRule>
    <cfRule type="cellIs" dxfId="64" priority="65" stopIfTrue="1" operator="between">
      <formula>3000</formula>
      <formula>9000</formula>
    </cfRule>
    <cfRule type="cellIs" dxfId="63" priority="66" stopIfTrue="1" operator="greaterThanOrEqual">
      <formula>9000</formula>
    </cfRule>
  </conditionalFormatting>
  <conditionalFormatting sqref="AG152:AJ152">
    <cfRule type="cellIs" dxfId="62" priority="61" stopIfTrue="1" operator="lessThanOrEqual">
      <formula>3000</formula>
    </cfRule>
    <cfRule type="cellIs" dxfId="61" priority="62" stopIfTrue="1" operator="between">
      <formula>3000</formula>
      <formula>9000</formula>
    </cfRule>
    <cfRule type="cellIs" dxfId="60" priority="63" stopIfTrue="1" operator="greaterThanOrEqual">
      <formula>9000</formula>
    </cfRule>
  </conditionalFormatting>
  <conditionalFormatting sqref="V146:Y146">
    <cfRule type="cellIs" dxfId="59" priority="58" stopIfTrue="1" operator="lessThanOrEqual">
      <formula>3000</formula>
    </cfRule>
    <cfRule type="cellIs" dxfId="58" priority="59" stopIfTrue="1" operator="between">
      <formula>3000</formula>
      <formula>9000</formula>
    </cfRule>
    <cfRule type="cellIs" dxfId="57" priority="60" stopIfTrue="1" operator="greaterThanOrEqual">
      <formula>9000</formula>
    </cfRule>
  </conditionalFormatting>
  <conditionalFormatting sqref="AA146:AD146">
    <cfRule type="cellIs" dxfId="56" priority="55" stopIfTrue="1" operator="lessThanOrEqual">
      <formula>3000</formula>
    </cfRule>
    <cfRule type="cellIs" dxfId="55" priority="56" stopIfTrue="1" operator="between">
      <formula>3000</formula>
      <formula>9000</formula>
    </cfRule>
    <cfRule type="cellIs" dxfId="54" priority="57" stopIfTrue="1" operator="greaterThanOrEqual">
      <formula>9000</formula>
    </cfRule>
  </conditionalFormatting>
  <conditionalFormatting sqref="AF146">
    <cfRule type="cellIs" dxfId="53" priority="52" stopIfTrue="1" operator="lessThanOrEqual">
      <formula>3000</formula>
    </cfRule>
    <cfRule type="cellIs" dxfId="52" priority="53" stopIfTrue="1" operator="between">
      <formula>3000</formula>
      <formula>9000</formula>
    </cfRule>
    <cfRule type="cellIs" dxfId="51" priority="54" stopIfTrue="1" operator="greaterThanOrEqual">
      <formula>9000</formula>
    </cfRule>
  </conditionalFormatting>
  <conditionalFormatting sqref="AG146:AJ146">
    <cfRule type="cellIs" dxfId="50" priority="49" stopIfTrue="1" operator="lessThanOrEqual">
      <formula>3000</formula>
    </cfRule>
    <cfRule type="cellIs" dxfId="49" priority="50" stopIfTrue="1" operator="between">
      <formula>3000</formula>
      <formula>9000</formula>
    </cfRule>
    <cfRule type="cellIs" dxfId="48" priority="51" stopIfTrue="1" operator="greaterThanOrEqual">
      <formula>9000</formula>
    </cfRule>
  </conditionalFormatting>
  <conditionalFormatting sqref="E158:H158">
    <cfRule type="cellIs" dxfId="47" priority="46" stopIfTrue="1" operator="lessThanOrEqual">
      <formula>3000</formula>
    </cfRule>
    <cfRule type="cellIs" dxfId="46" priority="47" stopIfTrue="1" operator="between">
      <formula>3000</formula>
      <formula>9000</formula>
    </cfRule>
    <cfRule type="cellIs" dxfId="45" priority="48" stopIfTrue="1" operator="greaterThanOrEqual">
      <formula>9000</formula>
    </cfRule>
  </conditionalFormatting>
  <conditionalFormatting sqref="J158:M158">
    <cfRule type="cellIs" dxfId="44" priority="43" stopIfTrue="1" operator="lessThanOrEqual">
      <formula>3000</formula>
    </cfRule>
    <cfRule type="cellIs" dxfId="43" priority="44" stopIfTrue="1" operator="between">
      <formula>3000</formula>
      <formula>9000</formula>
    </cfRule>
    <cfRule type="cellIs" dxfId="42" priority="45" stopIfTrue="1" operator="greaterThanOrEqual">
      <formula>9000</formula>
    </cfRule>
  </conditionalFormatting>
  <conditionalFormatting sqref="O158">
    <cfRule type="cellIs" dxfId="41" priority="40" stopIfTrue="1" operator="lessThanOrEqual">
      <formula>3000</formula>
    </cfRule>
    <cfRule type="cellIs" dxfId="40" priority="41" stopIfTrue="1" operator="between">
      <formula>3000</formula>
      <formula>9000</formula>
    </cfRule>
    <cfRule type="cellIs" dxfId="39" priority="42" stopIfTrue="1" operator="greaterThanOrEqual">
      <formula>9000</formula>
    </cfRule>
  </conditionalFormatting>
  <conditionalFormatting sqref="P158:S158">
    <cfRule type="cellIs" dxfId="38" priority="37" stopIfTrue="1" operator="lessThanOrEqual">
      <formula>3000</formula>
    </cfRule>
    <cfRule type="cellIs" dxfId="37" priority="38" stopIfTrue="1" operator="between">
      <formula>3000</formula>
      <formula>9000</formula>
    </cfRule>
    <cfRule type="cellIs" dxfId="36" priority="39" stopIfTrue="1" operator="greaterThanOrEqual">
      <formula>9000</formula>
    </cfRule>
  </conditionalFormatting>
  <conditionalFormatting sqref="V158:Y158">
    <cfRule type="cellIs" dxfId="35" priority="34" stopIfTrue="1" operator="lessThanOrEqual">
      <formula>3000</formula>
    </cfRule>
    <cfRule type="cellIs" dxfId="34" priority="35" stopIfTrue="1" operator="between">
      <formula>3000</formula>
      <formula>9000</formula>
    </cfRule>
    <cfRule type="cellIs" dxfId="33" priority="36" stopIfTrue="1" operator="greaterThanOrEqual">
      <formula>9000</formula>
    </cfRule>
  </conditionalFormatting>
  <conditionalFormatting sqref="AA158:AD158">
    <cfRule type="cellIs" dxfId="32" priority="31" stopIfTrue="1" operator="lessThanOrEqual">
      <formula>3000</formula>
    </cfRule>
    <cfRule type="cellIs" dxfId="31" priority="32" stopIfTrue="1" operator="between">
      <formula>3000</formula>
      <formula>9000</formula>
    </cfRule>
    <cfRule type="cellIs" dxfId="30" priority="33" stopIfTrue="1" operator="greaterThanOrEqual">
      <formula>9000</formula>
    </cfRule>
  </conditionalFormatting>
  <conditionalFormatting sqref="AF158">
    <cfRule type="cellIs" dxfId="29" priority="28" stopIfTrue="1" operator="lessThanOrEqual">
      <formula>3000</formula>
    </cfRule>
    <cfRule type="cellIs" dxfId="28" priority="29" stopIfTrue="1" operator="between">
      <formula>3000</formula>
      <formula>9000</formula>
    </cfRule>
    <cfRule type="cellIs" dxfId="27" priority="30" stopIfTrue="1" operator="greaterThanOrEqual">
      <formula>9000</formula>
    </cfRule>
  </conditionalFormatting>
  <conditionalFormatting sqref="AG158:AJ158">
    <cfRule type="cellIs" dxfId="26" priority="25" stopIfTrue="1" operator="lessThanOrEqual">
      <formula>3000</formula>
    </cfRule>
    <cfRule type="cellIs" dxfId="25" priority="26" stopIfTrue="1" operator="between">
      <formula>3000</formula>
      <formula>9000</formula>
    </cfRule>
    <cfRule type="cellIs" dxfId="24" priority="27" stopIfTrue="1" operator="greaterThanOrEqual">
      <formula>9000</formula>
    </cfRule>
  </conditionalFormatting>
  <conditionalFormatting sqref="E164:H164">
    <cfRule type="cellIs" dxfId="23" priority="22" stopIfTrue="1" operator="lessThanOrEqual">
      <formula>3000</formula>
    </cfRule>
    <cfRule type="cellIs" dxfId="22" priority="23" stopIfTrue="1" operator="between">
      <formula>3000</formula>
      <formula>9000</formula>
    </cfRule>
    <cfRule type="cellIs" dxfId="21" priority="24" stopIfTrue="1" operator="greaterThanOrEqual">
      <formula>9000</formula>
    </cfRule>
  </conditionalFormatting>
  <conditionalFormatting sqref="J164:M164">
    <cfRule type="cellIs" dxfId="20" priority="19" stopIfTrue="1" operator="lessThanOrEqual">
      <formula>3000</formula>
    </cfRule>
    <cfRule type="cellIs" dxfId="19" priority="20" stopIfTrue="1" operator="between">
      <formula>3000</formula>
      <formula>9000</formula>
    </cfRule>
    <cfRule type="cellIs" dxfId="18" priority="21" stopIfTrue="1" operator="greaterThanOrEqual">
      <formula>9000</formula>
    </cfRule>
  </conditionalFormatting>
  <conditionalFormatting sqref="O164">
    <cfRule type="cellIs" dxfId="17" priority="16" stopIfTrue="1" operator="lessThanOrEqual">
      <formula>3000</formula>
    </cfRule>
    <cfRule type="cellIs" dxfId="16" priority="17" stopIfTrue="1" operator="between">
      <formula>3000</formula>
      <formula>9000</formula>
    </cfRule>
    <cfRule type="cellIs" dxfId="15" priority="18" stopIfTrue="1" operator="greaterThanOrEqual">
      <formula>9000</formula>
    </cfRule>
  </conditionalFormatting>
  <conditionalFormatting sqref="P164:S164">
    <cfRule type="cellIs" dxfId="14" priority="13" stopIfTrue="1" operator="lessThanOrEqual">
      <formula>3000</formula>
    </cfRule>
    <cfRule type="cellIs" dxfId="13" priority="14" stopIfTrue="1" operator="between">
      <formula>3000</formula>
      <formula>9000</formula>
    </cfRule>
    <cfRule type="cellIs" dxfId="12" priority="15" stopIfTrue="1" operator="greaterThanOrEqual">
      <formula>9000</formula>
    </cfRule>
  </conditionalFormatting>
  <conditionalFormatting sqref="V164:Y164">
    <cfRule type="cellIs" dxfId="11" priority="10" stopIfTrue="1" operator="lessThanOrEqual">
      <formula>3000</formula>
    </cfRule>
    <cfRule type="cellIs" dxfId="10" priority="11" stopIfTrue="1" operator="between">
      <formula>3000</formula>
      <formula>9000</formula>
    </cfRule>
    <cfRule type="cellIs" dxfId="9" priority="12" stopIfTrue="1" operator="greaterThanOrEqual">
      <formula>9000</formula>
    </cfRule>
  </conditionalFormatting>
  <conditionalFormatting sqref="AA164:AD164">
    <cfRule type="cellIs" dxfId="8" priority="7" stopIfTrue="1" operator="lessThanOrEqual">
      <formula>3000</formula>
    </cfRule>
    <cfRule type="cellIs" dxfId="7" priority="8" stopIfTrue="1" operator="between">
      <formula>3000</formula>
      <formula>9000</formula>
    </cfRule>
    <cfRule type="cellIs" dxfId="6" priority="9" stopIfTrue="1" operator="greaterThanOrEqual">
      <formula>9000</formula>
    </cfRule>
  </conditionalFormatting>
  <conditionalFormatting sqref="AF164">
    <cfRule type="cellIs" dxfId="5" priority="4" stopIfTrue="1" operator="lessThanOrEqual">
      <formula>3000</formula>
    </cfRule>
    <cfRule type="cellIs" dxfId="4" priority="5" stopIfTrue="1" operator="between">
      <formula>3000</formula>
      <formula>9000</formula>
    </cfRule>
    <cfRule type="cellIs" dxfId="3" priority="6" stopIfTrue="1" operator="greaterThanOrEqual">
      <formula>9000</formula>
    </cfRule>
  </conditionalFormatting>
  <conditionalFormatting sqref="AG164:AJ164">
    <cfRule type="cellIs" dxfId="2" priority="1" stopIfTrue="1" operator="lessThanOrEqual">
      <formula>3000</formula>
    </cfRule>
    <cfRule type="cellIs" dxfId="1" priority="2" stopIfTrue="1" operator="between">
      <formula>3000</formula>
      <formula>9000</formula>
    </cfRule>
    <cfRule type="cellIs" dxfId="0" priority="3" stopIfTrue="1" operator="greaterThanOrEqual">
      <formula>9000</formula>
    </cfRule>
  </conditionalFormatting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LNB summary</vt:lpstr>
      <vt:lpstr>SD</vt:lpstr>
      <vt:lpstr>OB</vt:lpstr>
    </vt:vector>
  </TitlesOfParts>
  <Company>Lenovo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Fiona Wen</dc:creator>
  <cp:lastModifiedBy>xiaoyuge@gmail.com</cp:lastModifiedBy>
  <dcterms:created xsi:type="dcterms:W3CDTF">2020-04-21T05:34:06Z</dcterms:created>
  <dcterms:modified xsi:type="dcterms:W3CDTF">2023-01-16T07:51:40Z</dcterms:modified>
</cp:coreProperties>
</file>