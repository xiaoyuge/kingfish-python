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dt_ds_summary/data/"/>
    </mc:Choice>
  </mc:AlternateContent>
  <xr:revisionPtr revIDLastSave="0" documentId="13_ncr:1_{7F8D73BB-119C-6A40-95C9-591F97550F5E}" xr6:coauthVersionLast="47" xr6:coauthVersionMax="47" xr10:uidLastSave="{00000000-0000-0000-0000-000000000000}"/>
  <bookViews>
    <workbookView xWindow="0" yWindow="500" windowWidth="28800" windowHeight="16280" tabRatio="595" xr2:uid="{00000000-000D-0000-FFFF-FFFF00000000}"/>
  </bookViews>
  <sheets>
    <sheet name="DT summary" sheetId="2" r:id="rId1"/>
    <sheet name="LDT" sheetId="3" r:id="rId2"/>
    <sheet name="TDT" sheetId="1" r:id="rId3"/>
  </sheets>
  <externalReferences>
    <externalReference r:id="rId4"/>
    <externalReference r:id="rId5"/>
  </externalReferences>
  <definedNames>
    <definedName name="_xlnm._FilterDatabase" localSheetId="0" hidden="1">'DT summary'!$A$2:$AO$72</definedName>
    <definedName name="_xlnm._FilterDatabase" localSheetId="1" hidden="1">LDT!$A$2:$AO$2</definedName>
    <definedName name="_xlnm._FilterDatabase" localSheetId="2" hidden="1">TDT!$A$2:$AQ$277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77" i="2" l="1"/>
  <c r="E396" i="2"/>
  <c r="AL390" i="2"/>
  <c r="U390" i="2"/>
  <c r="AL389" i="2"/>
  <c r="U389" i="2"/>
  <c r="AL388" i="2"/>
  <c r="U388" i="2"/>
  <c r="AL387" i="2"/>
  <c r="U387" i="2"/>
  <c r="AJ385" i="2"/>
  <c r="AI385" i="2"/>
  <c r="AH385" i="2"/>
  <c r="AG385" i="2"/>
  <c r="AF385" i="2"/>
  <c r="AD385" i="2"/>
  <c r="AC385" i="2"/>
  <c r="AB385" i="2"/>
  <c r="AA385" i="2"/>
  <c r="Y385" i="2"/>
  <c r="X385" i="2"/>
  <c r="W385" i="2"/>
  <c r="V385" i="2"/>
  <c r="S385" i="2"/>
  <c r="R385" i="2"/>
  <c r="Q385" i="2"/>
  <c r="P385" i="2"/>
  <c r="O385" i="2"/>
  <c r="M385" i="2"/>
  <c r="L385" i="2"/>
  <c r="K385" i="2"/>
  <c r="J385" i="2"/>
  <c r="H385" i="2"/>
  <c r="G385" i="2"/>
  <c r="F385" i="2"/>
  <c r="E385" i="2"/>
  <c r="AO376" i="2"/>
  <c r="AN376" i="2"/>
  <c r="AO375" i="2"/>
  <c r="AN375" i="2"/>
  <c r="AO374" i="2"/>
  <c r="AN374" i="2"/>
  <c r="AO373" i="2"/>
  <c r="AN373" i="2"/>
  <c r="AO372" i="2"/>
  <c r="AN372" i="2"/>
  <c r="AO371" i="2"/>
  <c r="AN371" i="2"/>
  <c r="AO370" i="2"/>
  <c r="AN370" i="2"/>
  <c r="AO369" i="2"/>
  <c r="AN369" i="2"/>
  <c r="AO368" i="2"/>
  <c r="AN368" i="2"/>
  <c r="AO367" i="2"/>
  <c r="AN367" i="2"/>
  <c r="AO366" i="2"/>
  <c r="AN366" i="2"/>
  <c r="AO365" i="2"/>
  <c r="AN365" i="2"/>
  <c r="AO364" i="2"/>
  <c r="AN364" i="2"/>
  <c r="AO363" i="2"/>
  <c r="AN363" i="2"/>
  <c r="AO362" i="2"/>
  <c r="AN362" i="2"/>
  <c r="AO361" i="2"/>
  <c r="AN361" i="2"/>
  <c r="AO360" i="2"/>
  <c r="AN360" i="2"/>
  <c r="AO359" i="2"/>
  <c r="AN359" i="2"/>
  <c r="AO358" i="2"/>
  <c r="AN358" i="2"/>
  <c r="AO357" i="2"/>
  <c r="AN357" i="2"/>
  <c r="AO356" i="2"/>
  <c r="AN356" i="2"/>
  <c r="AO355" i="2"/>
  <c r="AN355" i="2"/>
  <c r="AO354" i="2"/>
  <c r="AN354" i="2"/>
  <c r="AO353" i="2"/>
  <c r="AN353" i="2"/>
  <c r="AO352" i="2"/>
  <c r="AN352" i="2"/>
  <c r="AP351" i="2"/>
  <c r="AO351" i="2"/>
  <c r="AN351" i="2"/>
  <c r="AO350" i="2"/>
  <c r="AN350" i="2"/>
  <c r="AO349" i="2"/>
  <c r="AN349" i="2"/>
  <c r="AO348" i="2"/>
  <c r="AN348" i="2"/>
  <c r="AO347" i="2"/>
  <c r="AN347" i="2"/>
  <c r="AO346" i="2"/>
  <c r="AN346" i="2"/>
  <c r="AP345" i="2"/>
  <c r="AO345" i="2"/>
  <c r="AN345" i="2"/>
  <c r="AO344" i="2"/>
  <c r="AN344" i="2"/>
  <c r="AO343" i="2"/>
  <c r="AN343" i="2"/>
  <c r="AO342" i="2"/>
  <c r="AN342" i="2"/>
  <c r="AO341" i="2"/>
  <c r="AN341" i="2"/>
  <c r="AO340" i="2"/>
  <c r="AN340" i="2"/>
  <c r="AP339" i="2"/>
  <c r="AO339" i="2"/>
  <c r="AN339" i="2"/>
  <c r="AO338" i="2"/>
  <c r="AN338" i="2"/>
  <c r="AO337" i="2"/>
  <c r="AN337" i="2"/>
  <c r="AO336" i="2"/>
  <c r="AN336" i="2"/>
  <c r="AO335" i="2"/>
  <c r="AN335" i="2"/>
  <c r="AO334" i="2"/>
  <c r="AN334" i="2"/>
  <c r="AP333" i="2"/>
  <c r="AO333" i="2"/>
  <c r="AN333" i="2"/>
  <c r="AO332" i="2"/>
  <c r="AN332" i="2"/>
  <c r="AO331" i="2"/>
  <c r="AN331" i="2"/>
  <c r="AO330" i="2"/>
  <c r="AN330" i="2"/>
  <c r="AO329" i="2"/>
  <c r="AN329" i="2"/>
  <c r="AO328" i="2"/>
  <c r="AN328" i="2"/>
  <c r="AP327" i="2"/>
  <c r="AO327" i="2"/>
  <c r="AN327" i="2"/>
  <c r="AO326" i="2"/>
  <c r="AN326" i="2"/>
  <c r="AO325" i="2"/>
  <c r="AN325" i="2"/>
  <c r="AO324" i="2"/>
  <c r="AN324" i="2"/>
  <c r="AO323" i="2"/>
  <c r="AN323" i="2"/>
  <c r="AO322" i="2"/>
  <c r="AN322" i="2"/>
  <c r="AP321" i="2"/>
  <c r="AO321" i="2"/>
  <c r="AN321" i="2"/>
  <c r="AO320" i="2"/>
  <c r="AN320" i="2"/>
  <c r="AO319" i="2"/>
  <c r="AN319" i="2"/>
  <c r="AO318" i="2"/>
  <c r="AN318" i="2"/>
  <c r="AO317" i="2"/>
  <c r="AN317" i="2"/>
  <c r="AO316" i="2"/>
  <c r="AN316" i="2"/>
  <c r="AP315" i="2"/>
  <c r="AO315" i="2"/>
  <c r="AN315" i="2"/>
  <c r="AO314" i="2"/>
  <c r="AN314" i="2"/>
  <c r="AO313" i="2"/>
  <c r="AN313" i="2"/>
  <c r="AO312" i="2"/>
  <c r="AN312" i="2"/>
  <c r="AO311" i="2"/>
  <c r="AN311" i="2"/>
  <c r="AO310" i="2"/>
  <c r="AN310" i="2"/>
  <c r="AO309" i="2"/>
  <c r="AN309" i="2"/>
  <c r="AO308" i="2"/>
  <c r="AN308" i="2"/>
  <c r="AO307" i="2"/>
  <c r="AN307" i="2"/>
  <c r="AO306" i="2"/>
  <c r="AN306" i="2"/>
  <c r="AO305" i="2"/>
  <c r="AN305" i="2"/>
  <c r="AO304" i="2"/>
  <c r="AN304" i="2"/>
  <c r="AP303" i="2"/>
  <c r="AO303" i="2"/>
  <c r="AN303" i="2"/>
  <c r="AO302" i="2"/>
  <c r="AN302" i="2"/>
  <c r="AO301" i="2"/>
  <c r="AN301" i="2"/>
  <c r="AO300" i="2"/>
  <c r="AN300" i="2"/>
  <c r="AO299" i="2"/>
  <c r="AN299" i="2"/>
  <c r="AO298" i="2"/>
  <c r="AN298" i="2"/>
  <c r="AO297" i="2"/>
  <c r="AN297" i="2"/>
  <c r="AO296" i="2"/>
  <c r="AN296" i="2"/>
  <c r="AO295" i="2"/>
  <c r="AN295" i="2"/>
  <c r="AO294" i="2"/>
  <c r="AN294" i="2"/>
  <c r="AO293" i="2"/>
  <c r="AN293" i="2"/>
  <c r="AO292" i="2"/>
  <c r="AN292" i="2"/>
  <c r="AO291" i="2"/>
  <c r="AN291" i="2"/>
  <c r="AO290" i="2"/>
  <c r="AN290" i="2"/>
  <c r="AO289" i="2"/>
  <c r="AN289" i="2"/>
  <c r="AO288" i="2"/>
  <c r="AN288" i="2"/>
  <c r="AO287" i="2"/>
  <c r="AN287" i="2"/>
  <c r="AO286" i="2"/>
  <c r="AN286" i="2"/>
  <c r="AO285" i="2"/>
  <c r="AN285" i="2"/>
  <c r="AO284" i="2"/>
  <c r="AN284" i="2"/>
  <c r="AO283" i="2"/>
  <c r="AN283" i="2"/>
  <c r="AO282" i="2"/>
  <c r="AN282" i="2"/>
  <c r="AO281" i="2"/>
  <c r="AN281" i="2"/>
  <c r="AO280" i="2"/>
  <c r="AN280" i="2"/>
  <c r="AP279" i="2"/>
  <c r="AO279" i="2"/>
  <c r="AN279" i="2"/>
  <c r="AO278" i="2"/>
  <c r="AN278" i="2"/>
  <c r="AO277" i="2"/>
  <c r="AN277" i="2"/>
  <c r="AO276" i="2"/>
  <c r="AN276" i="2"/>
  <c r="AO275" i="2"/>
  <c r="AN275" i="2"/>
  <c r="AO274" i="2"/>
  <c r="AN274" i="2"/>
  <c r="AP273" i="2"/>
  <c r="AO273" i="2"/>
  <c r="AN273" i="2"/>
  <c r="AO272" i="2"/>
  <c r="AN272" i="2"/>
  <c r="AO271" i="2"/>
  <c r="AN271" i="2"/>
  <c r="AO270" i="2"/>
  <c r="AN270" i="2"/>
  <c r="AO269" i="2"/>
  <c r="AN269" i="2"/>
  <c r="AO268" i="2"/>
  <c r="AN268" i="2"/>
  <c r="AP267" i="2"/>
  <c r="AO267" i="2"/>
  <c r="AN267" i="2"/>
  <c r="AO266" i="2"/>
  <c r="AN266" i="2"/>
  <c r="AO265" i="2"/>
  <c r="AN265" i="2"/>
  <c r="AO264" i="2"/>
  <c r="AN264" i="2"/>
  <c r="AO263" i="2"/>
  <c r="AN263" i="2"/>
  <c r="AO262" i="2"/>
  <c r="AN262" i="2"/>
  <c r="AO261" i="2"/>
  <c r="AN261" i="2"/>
  <c r="AO260" i="2"/>
  <c r="AN260" i="2"/>
  <c r="AO259" i="2"/>
  <c r="AN259" i="2"/>
  <c r="AO258" i="2"/>
  <c r="AN258" i="2"/>
  <c r="AO257" i="2"/>
  <c r="AN257" i="2"/>
  <c r="AO256" i="2"/>
  <c r="AN256" i="2"/>
  <c r="AO255" i="2"/>
  <c r="AN255" i="2"/>
  <c r="AO254" i="2"/>
  <c r="AN254" i="2"/>
  <c r="AO253" i="2"/>
  <c r="AN253" i="2"/>
  <c r="AO252" i="2"/>
  <c r="AN252" i="2"/>
  <c r="AO251" i="2"/>
  <c r="AN251" i="2"/>
  <c r="AO250" i="2"/>
  <c r="AN250" i="2"/>
  <c r="AO249" i="2"/>
  <c r="AN249" i="2"/>
  <c r="AO248" i="2"/>
  <c r="AN248" i="2"/>
  <c r="AO247" i="2"/>
  <c r="AN247" i="2"/>
  <c r="AO246" i="2"/>
  <c r="AN246" i="2"/>
  <c r="AO245" i="2"/>
  <c r="AN245" i="2"/>
  <c r="AO244" i="2"/>
  <c r="AN244" i="2"/>
  <c r="AO243" i="2"/>
  <c r="AN243" i="2"/>
  <c r="AO242" i="2"/>
  <c r="AN242" i="2"/>
  <c r="AO241" i="2"/>
  <c r="AN241" i="2"/>
  <c r="AO240" i="2"/>
  <c r="AN240" i="2"/>
  <c r="AO239" i="2"/>
  <c r="AN239" i="2"/>
  <c r="AO238" i="2"/>
  <c r="AN238" i="2"/>
  <c r="AO237" i="2"/>
  <c r="AN237" i="2"/>
  <c r="AO236" i="2"/>
  <c r="AN236" i="2"/>
  <c r="AO235" i="2"/>
  <c r="AN235" i="2"/>
  <c r="AO234" i="2"/>
  <c r="AN234" i="2"/>
  <c r="AO233" i="2"/>
  <c r="AN233" i="2"/>
  <c r="AO232" i="2"/>
  <c r="AN232" i="2"/>
  <c r="AP231" i="2"/>
  <c r="AO231" i="2"/>
  <c r="AN231" i="2"/>
  <c r="AO230" i="2"/>
  <c r="AN230" i="2"/>
  <c r="AO229" i="2"/>
  <c r="AN229" i="2"/>
  <c r="AO228" i="2"/>
  <c r="AN228" i="2"/>
  <c r="AO227" i="2"/>
  <c r="AN227" i="2"/>
  <c r="AO226" i="2"/>
  <c r="AN226" i="2"/>
  <c r="AP225" i="2"/>
  <c r="AO225" i="2"/>
  <c r="AN225" i="2"/>
  <c r="AO224" i="2"/>
  <c r="AN224" i="2"/>
  <c r="AO223" i="2"/>
  <c r="AN223" i="2"/>
  <c r="AO222" i="2"/>
  <c r="AN222" i="2"/>
  <c r="AO221" i="2"/>
  <c r="AN221" i="2"/>
  <c r="AO220" i="2"/>
  <c r="AN220" i="2"/>
  <c r="AO219" i="2"/>
  <c r="AN219" i="2"/>
  <c r="AO218" i="2"/>
  <c r="AN218" i="2"/>
  <c r="AO217" i="2"/>
  <c r="AN217" i="2"/>
  <c r="AO216" i="2"/>
  <c r="AN216" i="2"/>
  <c r="AO215" i="2"/>
  <c r="AN215" i="2"/>
  <c r="AO214" i="2"/>
  <c r="AN214" i="2"/>
  <c r="AO213" i="2"/>
  <c r="AN213" i="2"/>
  <c r="AO212" i="2"/>
  <c r="AN212" i="2"/>
  <c r="AO211" i="2"/>
  <c r="AN211" i="2"/>
  <c r="AO210" i="2"/>
  <c r="AN210" i="2"/>
  <c r="AO209" i="2"/>
  <c r="AN209" i="2"/>
  <c r="AO208" i="2"/>
  <c r="AN208" i="2"/>
  <c r="AP207" i="2"/>
  <c r="AO207" i="2"/>
  <c r="AN207" i="2"/>
  <c r="AO206" i="2"/>
  <c r="AN206" i="2"/>
  <c r="AO205" i="2"/>
  <c r="AN205" i="2"/>
  <c r="AO204" i="2"/>
  <c r="AN204" i="2"/>
  <c r="AO203" i="2"/>
  <c r="AN203" i="2"/>
  <c r="AO202" i="2"/>
  <c r="AN202" i="2"/>
  <c r="AO201" i="2"/>
  <c r="AN201" i="2"/>
  <c r="AO200" i="2"/>
  <c r="AN200" i="2"/>
  <c r="AO199" i="2"/>
  <c r="AN199" i="2"/>
  <c r="AO198" i="2"/>
  <c r="AN198" i="2"/>
  <c r="AO197" i="2"/>
  <c r="AN197" i="2"/>
  <c r="AO196" i="2"/>
  <c r="AN196" i="2"/>
  <c r="AO195" i="2"/>
  <c r="AN195" i="2"/>
  <c r="AO194" i="2"/>
  <c r="AN194" i="2"/>
  <c r="AO193" i="2"/>
  <c r="AN193" i="2"/>
  <c r="AO192" i="2"/>
  <c r="AN192" i="2"/>
  <c r="AO191" i="2"/>
  <c r="AN191" i="2"/>
  <c r="AO190" i="2"/>
  <c r="AN190" i="2"/>
  <c r="AO189" i="2"/>
  <c r="AN189" i="2"/>
  <c r="AO188" i="2"/>
  <c r="AN188" i="2"/>
  <c r="AO187" i="2"/>
  <c r="AN187" i="2"/>
  <c r="AO186" i="2"/>
  <c r="AN186" i="2"/>
  <c r="AO185" i="2"/>
  <c r="AN185" i="2"/>
  <c r="AO184" i="2"/>
  <c r="AN184" i="2"/>
  <c r="AP183" i="2"/>
  <c r="AO183" i="2"/>
  <c r="AN183" i="2"/>
  <c r="AO182" i="2"/>
  <c r="AN182" i="2"/>
  <c r="AO181" i="2"/>
  <c r="AN181" i="2"/>
  <c r="AO180" i="2"/>
  <c r="AN180" i="2"/>
  <c r="AO179" i="2"/>
  <c r="AN179" i="2"/>
  <c r="AO178" i="2"/>
  <c r="AN178" i="2"/>
  <c r="AP177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P153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P147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P123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P117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P111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P105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P93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P81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P75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P69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P57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P45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P33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5" i="2"/>
  <c r="AN25" i="2"/>
  <c r="AO24" i="2"/>
  <c r="AN24" i="2"/>
  <c r="AO23" i="2"/>
  <c r="AN23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P15" i="2"/>
  <c r="AO15" i="2"/>
  <c r="AN15" i="2"/>
  <c r="AO14" i="2"/>
  <c r="AN14" i="2"/>
  <c r="AO13" i="2"/>
  <c r="AN13" i="2"/>
  <c r="AO12" i="2"/>
  <c r="AN12" i="2"/>
  <c r="AO11" i="2"/>
  <c r="AN11" i="2"/>
  <c r="AO10" i="2"/>
  <c r="AN10" i="2"/>
  <c r="AP9" i="2"/>
  <c r="AO9" i="2"/>
  <c r="AN9" i="2"/>
  <c r="AO8" i="2"/>
  <c r="AN8" i="2"/>
  <c r="AO7" i="2"/>
  <c r="AN7" i="2"/>
  <c r="AO6" i="2"/>
  <c r="AN6" i="2"/>
  <c r="AO5" i="2"/>
  <c r="AN5" i="2"/>
  <c r="AO4" i="2"/>
  <c r="AN4" i="2"/>
  <c r="AP3" i="2"/>
  <c r="AO3" i="2"/>
  <c r="AN3" i="2"/>
  <c r="AO277" i="1"/>
  <c r="AN277" i="1"/>
  <c r="D276" i="1"/>
  <c r="C276" i="1"/>
  <c r="C275" i="1"/>
  <c r="AO274" i="1"/>
  <c r="AN274" i="1"/>
  <c r="AJ274" i="1"/>
  <c r="AI274" i="1"/>
  <c r="AH274" i="1"/>
  <c r="AG274" i="1"/>
  <c r="AF274" i="1"/>
  <c r="AD274" i="1"/>
  <c r="AC274" i="1"/>
  <c r="AB274" i="1"/>
  <c r="AA274" i="1"/>
  <c r="Y274" i="1"/>
  <c r="X274" i="1"/>
  <c r="W274" i="1"/>
  <c r="V274" i="1"/>
  <c r="S274" i="1"/>
  <c r="R274" i="1"/>
  <c r="Q274" i="1"/>
  <c r="P274" i="1"/>
  <c r="O274" i="1"/>
  <c r="T274" i="1" s="1"/>
  <c r="M274" i="1"/>
  <c r="L274" i="1"/>
  <c r="K274" i="1"/>
  <c r="J274" i="1"/>
  <c r="H274" i="1"/>
  <c r="G274" i="1"/>
  <c r="F274" i="1"/>
  <c r="E274" i="1"/>
  <c r="I274" i="1" s="1"/>
  <c r="C274" i="1"/>
  <c r="AN273" i="1"/>
  <c r="AJ273" i="1"/>
  <c r="AJ275" i="1" s="1"/>
  <c r="AI273" i="1"/>
  <c r="AH273" i="1"/>
  <c r="AG273" i="1"/>
  <c r="AG275" i="1" s="1"/>
  <c r="AF273" i="1"/>
  <c r="AD273" i="1"/>
  <c r="AC273" i="1"/>
  <c r="AC275" i="1" s="1"/>
  <c r="AB273" i="1"/>
  <c r="AA273" i="1"/>
  <c r="Y273" i="1"/>
  <c r="X273" i="1"/>
  <c r="W273" i="1"/>
  <c r="W275" i="1" s="1"/>
  <c r="V273" i="1"/>
  <c r="S273" i="1"/>
  <c r="S275" i="1" s="1"/>
  <c r="R273" i="1"/>
  <c r="R275" i="1" s="1"/>
  <c r="Q273" i="1"/>
  <c r="P273" i="1"/>
  <c r="P275" i="1" s="1"/>
  <c r="O273" i="1"/>
  <c r="M273" i="1"/>
  <c r="L273" i="1"/>
  <c r="L275" i="1" s="1"/>
  <c r="K273" i="1"/>
  <c r="J273" i="1"/>
  <c r="N273" i="1" s="1"/>
  <c r="H273" i="1"/>
  <c r="H275" i="1" s="1"/>
  <c r="F273" i="1"/>
  <c r="F275" i="1" s="1"/>
  <c r="E273" i="1"/>
  <c r="AJ272" i="1"/>
  <c r="AI272" i="1"/>
  <c r="AH272" i="1"/>
  <c r="AG272" i="1"/>
  <c r="AF272" i="1"/>
  <c r="AK272" i="1" s="1"/>
  <c r="AD272" i="1"/>
  <c r="AC272" i="1"/>
  <c r="AB272" i="1"/>
  <c r="AA272" i="1"/>
  <c r="Y272" i="1"/>
  <c r="X272" i="1"/>
  <c r="W272" i="1"/>
  <c r="V272" i="1"/>
  <c r="S272" i="1"/>
  <c r="R272" i="1"/>
  <c r="Q272" i="1"/>
  <c r="P272" i="1"/>
  <c r="O272" i="1"/>
  <c r="M272" i="1"/>
  <c r="L272" i="1"/>
  <c r="K272" i="1"/>
  <c r="J272" i="1"/>
  <c r="H272" i="1"/>
  <c r="G272" i="1"/>
  <c r="F272" i="1"/>
  <c r="E272" i="1"/>
  <c r="D271" i="1"/>
  <c r="AO269" i="1"/>
  <c r="AN269" i="1"/>
  <c r="AJ269" i="1"/>
  <c r="AI269" i="1"/>
  <c r="AH269" i="1"/>
  <c r="AG269" i="1"/>
  <c r="AF269" i="1"/>
  <c r="AD269" i="1"/>
  <c r="AC269" i="1"/>
  <c r="AB269" i="1"/>
  <c r="AA269" i="1"/>
  <c r="Y269" i="1"/>
  <c r="X269" i="1"/>
  <c r="W269" i="1"/>
  <c r="V269" i="1"/>
  <c r="S269" i="1"/>
  <c r="R269" i="1"/>
  <c r="Q269" i="1"/>
  <c r="P269" i="1"/>
  <c r="O269" i="1"/>
  <c r="M269" i="1"/>
  <c r="L269" i="1"/>
  <c r="K269" i="1"/>
  <c r="J269" i="1"/>
  <c r="H269" i="1"/>
  <c r="G269" i="1"/>
  <c r="F269" i="1"/>
  <c r="E269" i="1"/>
  <c r="AN268" i="1"/>
  <c r="AJ268" i="1"/>
  <c r="AI268" i="1"/>
  <c r="AI270" i="1" s="1"/>
  <c r="AH268" i="1"/>
  <c r="AG268" i="1"/>
  <c r="AF268" i="1"/>
  <c r="AD268" i="1"/>
  <c r="AD270" i="1" s="1"/>
  <c r="AC268" i="1"/>
  <c r="AB268" i="1"/>
  <c r="AA268" i="1"/>
  <c r="Y268" i="1"/>
  <c r="X268" i="1"/>
  <c r="X270" i="1" s="1"/>
  <c r="W268" i="1"/>
  <c r="W270" i="1" s="1"/>
  <c r="V268" i="1"/>
  <c r="S268" i="1"/>
  <c r="S270" i="1" s="1"/>
  <c r="R268" i="1"/>
  <c r="Q268" i="1"/>
  <c r="P268" i="1"/>
  <c r="P270" i="1" s="1"/>
  <c r="O268" i="1"/>
  <c r="M268" i="1"/>
  <c r="M270" i="1" s="1"/>
  <c r="L268" i="1"/>
  <c r="L270" i="1" s="1"/>
  <c r="K268" i="1"/>
  <c r="J268" i="1"/>
  <c r="H268" i="1"/>
  <c r="F268" i="1"/>
  <c r="E268" i="1"/>
  <c r="E270" i="1" s="1"/>
  <c r="AJ267" i="1"/>
  <c r="AI267" i="1"/>
  <c r="AH267" i="1"/>
  <c r="AG267" i="1"/>
  <c r="AF267" i="1"/>
  <c r="AD267" i="1"/>
  <c r="AC267" i="1"/>
  <c r="AB267" i="1"/>
  <c r="AA267" i="1"/>
  <c r="Y267" i="1"/>
  <c r="X267" i="1"/>
  <c r="W267" i="1"/>
  <c r="V267" i="1"/>
  <c r="S267" i="1"/>
  <c r="R267" i="1"/>
  <c r="Q267" i="1"/>
  <c r="P267" i="1"/>
  <c r="O267" i="1"/>
  <c r="M267" i="1"/>
  <c r="L267" i="1"/>
  <c r="K267" i="1"/>
  <c r="J267" i="1"/>
  <c r="H267" i="1"/>
  <c r="G267" i="1"/>
  <c r="F267" i="1"/>
  <c r="E267" i="1"/>
  <c r="AO266" i="1"/>
  <c r="AN266" i="1"/>
  <c r="AJ264" i="1"/>
  <c r="AI264" i="1"/>
  <c r="AH264" i="1"/>
  <c r="AG264" i="1"/>
  <c r="AF264" i="1"/>
  <c r="AD264" i="1"/>
  <c r="AC264" i="1"/>
  <c r="AB264" i="1"/>
  <c r="AA264" i="1"/>
  <c r="Y264" i="1"/>
  <c r="X264" i="1"/>
  <c r="W264" i="1"/>
  <c r="V264" i="1"/>
  <c r="S264" i="1"/>
  <c r="R264" i="1"/>
  <c r="Q264" i="1"/>
  <c r="P264" i="1"/>
  <c r="O264" i="1"/>
  <c r="M264" i="1"/>
  <c r="L264" i="1"/>
  <c r="K264" i="1"/>
  <c r="J264" i="1"/>
  <c r="H264" i="1"/>
  <c r="G264" i="1"/>
  <c r="F264" i="1"/>
  <c r="E264" i="1"/>
  <c r="E265" i="1" s="1"/>
  <c r="E266" i="1" s="1"/>
  <c r="AO263" i="1"/>
  <c r="AN263" i="1"/>
  <c r="AK262" i="1"/>
  <c r="AE262" i="1"/>
  <c r="Z262" i="1"/>
  <c r="T262" i="1"/>
  <c r="N262" i="1"/>
  <c r="I262" i="1"/>
  <c r="AK261" i="1"/>
  <c r="AE261" i="1"/>
  <c r="Z261" i="1"/>
  <c r="T261" i="1"/>
  <c r="N261" i="1"/>
  <c r="I261" i="1"/>
  <c r="AO260" i="1"/>
  <c r="AN260" i="1"/>
  <c r="AJ258" i="1"/>
  <c r="AI258" i="1"/>
  <c r="AH258" i="1"/>
  <c r="AG258" i="1"/>
  <c r="AF258" i="1"/>
  <c r="AD258" i="1"/>
  <c r="AC258" i="1"/>
  <c r="AB258" i="1"/>
  <c r="AA258" i="1"/>
  <c r="Y258" i="1"/>
  <c r="X258" i="1"/>
  <c r="W258" i="1"/>
  <c r="V258" i="1"/>
  <c r="S258" i="1"/>
  <c r="R258" i="1"/>
  <c r="Q258" i="1"/>
  <c r="P258" i="1"/>
  <c r="O258" i="1"/>
  <c r="M258" i="1"/>
  <c r="L258" i="1"/>
  <c r="K258" i="1"/>
  <c r="J258" i="1"/>
  <c r="H258" i="1"/>
  <c r="G258" i="1"/>
  <c r="F258" i="1"/>
  <c r="E258" i="1"/>
  <c r="E259" i="1" s="1"/>
  <c r="AO257" i="1"/>
  <c r="AN257" i="1"/>
  <c r="AK256" i="1"/>
  <c r="AE256" i="1"/>
  <c r="Z256" i="1"/>
  <c r="T256" i="1"/>
  <c r="N256" i="1"/>
  <c r="I256" i="1"/>
  <c r="AK255" i="1"/>
  <c r="AL255" i="1" s="1"/>
  <c r="AO255" i="1" s="1"/>
  <c r="AE255" i="1"/>
  <c r="Z255" i="1"/>
  <c r="T255" i="1"/>
  <c r="N255" i="1"/>
  <c r="I255" i="1"/>
  <c r="AO254" i="1"/>
  <c r="AN254" i="1"/>
  <c r="E253" i="1"/>
  <c r="AJ252" i="1"/>
  <c r="AI252" i="1"/>
  <c r="AH252" i="1"/>
  <c r="AG252" i="1"/>
  <c r="AF252" i="1"/>
  <c r="AD252" i="1"/>
  <c r="AC252" i="1"/>
  <c r="AB252" i="1"/>
  <c r="AA252" i="1"/>
  <c r="Y252" i="1"/>
  <c r="X252" i="1"/>
  <c r="W252" i="1"/>
  <c r="V252" i="1"/>
  <c r="S252" i="1"/>
  <c r="R252" i="1"/>
  <c r="Q252" i="1"/>
  <c r="P252" i="1"/>
  <c r="O252" i="1"/>
  <c r="M252" i="1"/>
  <c r="L252" i="1"/>
  <c r="K252" i="1"/>
  <c r="J252" i="1"/>
  <c r="H252" i="1"/>
  <c r="G252" i="1"/>
  <c r="F252" i="1"/>
  <c r="E252" i="1"/>
  <c r="AO251" i="1"/>
  <c r="AN251" i="1"/>
  <c r="AK250" i="1"/>
  <c r="AE250" i="1"/>
  <c r="Z250" i="1"/>
  <c r="T250" i="1"/>
  <c r="N250" i="1"/>
  <c r="I250" i="1"/>
  <c r="AK249" i="1"/>
  <c r="AL249" i="1" s="1"/>
  <c r="AO249" i="1" s="1"/>
  <c r="AE249" i="1"/>
  <c r="Z249" i="1"/>
  <c r="T249" i="1"/>
  <c r="N249" i="1"/>
  <c r="I249" i="1"/>
  <c r="AO248" i="1"/>
  <c r="AN248" i="1"/>
  <c r="E247" i="1"/>
  <c r="E248" i="1" s="1"/>
  <c r="AJ246" i="1"/>
  <c r="AI246" i="1"/>
  <c r="AH246" i="1"/>
  <c r="AG246" i="1"/>
  <c r="AF246" i="1"/>
  <c r="AD246" i="1"/>
  <c r="AC246" i="1"/>
  <c r="AB246" i="1"/>
  <c r="AA246" i="1"/>
  <c r="Y246" i="1"/>
  <c r="X246" i="1"/>
  <c r="W246" i="1"/>
  <c r="V246" i="1"/>
  <c r="S246" i="1"/>
  <c r="R246" i="1"/>
  <c r="Q246" i="1"/>
  <c r="P246" i="1"/>
  <c r="O246" i="1"/>
  <c r="M246" i="1"/>
  <c r="L246" i="1"/>
  <c r="K246" i="1"/>
  <c r="J246" i="1"/>
  <c r="H246" i="1"/>
  <c r="G246" i="1"/>
  <c r="F246" i="1"/>
  <c r="E246" i="1"/>
  <c r="AO245" i="1"/>
  <c r="AN245" i="1"/>
  <c r="AK244" i="1"/>
  <c r="AE244" i="1"/>
  <c r="Z244" i="1"/>
  <c r="T244" i="1"/>
  <c r="N244" i="1"/>
  <c r="I244" i="1"/>
  <c r="AK243" i="1"/>
  <c r="AE243" i="1"/>
  <c r="Z243" i="1"/>
  <c r="T243" i="1"/>
  <c r="N243" i="1"/>
  <c r="I243" i="1"/>
  <c r="AO242" i="1"/>
  <c r="AN242" i="1"/>
  <c r="AJ240" i="1"/>
  <c r="AI240" i="1"/>
  <c r="AH240" i="1"/>
  <c r="AG240" i="1"/>
  <c r="AF240" i="1"/>
  <c r="AD240" i="1"/>
  <c r="AC240" i="1"/>
  <c r="AB240" i="1"/>
  <c r="AA240" i="1"/>
  <c r="Y240" i="1"/>
  <c r="X240" i="1"/>
  <c r="W240" i="1"/>
  <c r="V240" i="1"/>
  <c r="S240" i="1"/>
  <c r="R240" i="1"/>
  <c r="Q240" i="1"/>
  <c r="P240" i="1"/>
  <c r="O240" i="1"/>
  <c r="M240" i="1"/>
  <c r="L240" i="1"/>
  <c r="K240" i="1"/>
  <c r="J240" i="1"/>
  <c r="H240" i="1"/>
  <c r="G240" i="1"/>
  <c r="F240" i="1"/>
  <c r="E240" i="1"/>
  <c r="E241" i="1" s="1"/>
  <c r="E242" i="1" s="1"/>
  <c r="AO239" i="1"/>
  <c r="AN239" i="1"/>
  <c r="AK238" i="1"/>
  <c r="AE238" i="1"/>
  <c r="Z238" i="1"/>
  <c r="T238" i="1"/>
  <c r="N238" i="1"/>
  <c r="I238" i="1"/>
  <c r="AK237" i="1"/>
  <c r="AE237" i="1"/>
  <c r="Z237" i="1"/>
  <c r="T237" i="1"/>
  <c r="U237" i="1" s="1"/>
  <c r="AN237" i="1" s="1"/>
  <c r="N237" i="1"/>
  <c r="I237" i="1"/>
  <c r="AO236" i="1"/>
  <c r="AN236" i="1"/>
  <c r="AJ234" i="1"/>
  <c r="AI234" i="1"/>
  <c r="AH234" i="1"/>
  <c r="AG234" i="1"/>
  <c r="AF234" i="1"/>
  <c r="AD234" i="1"/>
  <c r="AC234" i="1"/>
  <c r="AB234" i="1"/>
  <c r="AA234" i="1"/>
  <c r="Y234" i="1"/>
  <c r="X234" i="1"/>
  <c r="W234" i="1"/>
  <c r="V234" i="1"/>
  <c r="S234" i="1"/>
  <c r="R234" i="1"/>
  <c r="Q234" i="1"/>
  <c r="P234" i="1"/>
  <c r="O234" i="1"/>
  <c r="M234" i="1"/>
  <c r="L234" i="1"/>
  <c r="K234" i="1"/>
  <c r="J234" i="1"/>
  <c r="H234" i="1"/>
  <c r="G234" i="1"/>
  <c r="F234" i="1"/>
  <c r="E234" i="1"/>
  <c r="AO233" i="1"/>
  <c r="AN233" i="1"/>
  <c r="AK232" i="1"/>
  <c r="AE232" i="1"/>
  <c r="Z232" i="1"/>
  <c r="T232" i="1"/>
  <c r="N232" i="1"/>
  <c r="I232" i="1"/>
  <c r="AK231" i="1"/>
  <c r="AE231" i="1"/>
  <c r="Z231" i="1"/>
  <c r="T231" i="1"/>
  <c r="N231" i="1"/>
  <c r="I231" i="1"/>
  <c r="AO230" i="1"/>
  <c r="AN230" i="1"/>
  <c r="AJ228" i="1"/>
  <c r="AI228" i="1"/>
  <c r="AH228" i="1"/>
  <c r="AG228" i="1"/>
  <c r="AF228" i="1"/>
  <c r="AD228" i="1"/>
  <c r="AC228" i="1"/>
  <c r="AB228" i="1"/>
  <c r="AA228" i="1"/>
  <c r="Y228" i="1"/>
  <c r="X228" i="1"/>
  <c r="W228" i="1"/>
  <c r="V228" i="1"/>
  <c r="S228" i="1"/>
  <c r="R228" i="1"/>
  <c r="Q228" i="1"/>
  <c r="P228" i="1"/>
  <c r="O228" i="1"/>
  <c r="M228" i="1"/>
  <c r="L228" i="1"/>
  <c r="K228" i="1"/>
  <c r="J228" i="1"/>
  <c r="N228" i="1" s="1"/>
  <c r="H228" i="1"/>
  <c r="G228" i="1"/>
  <c r="F228" i="1"/>
  <c r="E228" i="1"/>
  <c r="AO227" i="1"/>
  <c r="AN227" i="1"/>
  <c r="AK226" i="1"/>
  <c r="AE226" i="1"/>
  <c r="Z226" i="1"/>
  <c r="T226" i="1"/>
  <c r="N226" i="1"/>
  <c r="I226" i="1"/>
  <c r="AK225" i="1"/>
  <c r="AE225" i="1"/>
  <c r="Z225" i="1"/>
  <c r="T225" i="1"/>
  <c r="U225" i="1" s="1"/>
  <c r="AN225" i="1" s="1"/>
  <c r="N225" i="1"/>
  <c r="I225" i="1"/>
  <c r="AO224" i="1"/>
  <c r="AN224" i="1"/>
  <c r="AJ222" i="1"/>
  <c r="AI222" i="1"/>
  <c r="AH222" i="1"/>
  <c r="AG222" i="1"/>
  <c r="AF222" i="1"/>
  <c r="AD222" i="1"/>
  <c r="AC222" i="1"/>
  <c r="AB222" i="1"/>
  <c r="AA222" i="1"/>
  <c r="Y222" i="1"/>
  <c r="X222" i="1"/>
  <c r="W222" i="1"/>
  <c r="V222" i="1"/>
  <c r="S222" i="1"/>
  <c r="R222" i="1"/>
  <c r="Q222" i="1"/>
  <c r="P222" i="1"/>
  <c r="O222" i="1"/>
  <c r="M222" i="1"/>
  <c r="L222" i="1"/>
  <c r="K222" i="1"/>
  <c r="J222" i="1"/>
  <c r="H222" i="1"/>
  <c r="G222" i="1"/>
  <c r="F222" i="1"/>
  <c r="E222" i="1"/>
  <c r="E223" i="1" s="1"/>
  <c r="AO221" i="1"/>
  <c r="AN221" i="1"/>
  <c r="AK220" i="1"/>
  <c r="AE220" i="1"/>
  <c r="Z220" i="1"/>
  <c r="AL220" i="1" s="1"/>
  <c r="AO220" i="1" s="1"/>
  <c r="T220" i="1"/>
  <c r="N220" i="1"/>
  <c r="I220" i="1"/>
  <c r="AK219" i="1"/>
  <c r="AE219" i="1"/>
  <c r="Z219" i="1"/>
  <c r="T219" i="1"/>
  <c r="N219" i="1"/>
  <c r="I219" i="1"/>
  <c r="AO218" i="1"/>
  <c r="AN218" i="1"/>
  <c r="AJ216" i="1"/>
  <c r="AI216" i="1"/>
  <c r="AH216" i="1"/>
  <c r="AG216" i="1"/>
  <c r="AF216" i="1"/>
  <c r="AD216" i="1"/>
  <c r="AC216" i="1"/>
  <c r="AB216" i="1"/>
  <c r="AA216" i="1"/>
  <c r="Y216" i="1"/>
  <c r="X216" i="1"/>
  <c r="W216" i="1"/>
  <c r="V216" i="1"/>
  <c r="S216" i="1"/>
  <c r="R216" i="1"/>
  <c r="Q216" i="1"/>
  <c r="P216" i="1"/>
  <c r="O216" i="1"/>
  <c r="M216" i="1"/>
  <c r="L216" i="1"/>
  <c r="K216" i="1"/>
  <c r="J216" i="1"/>
  <c r="H216" i="1"/>
  <c r="G216" i="1"/>
  <c r="F216" i="1"/>
  <c r="E216" i="1"/>
  <c r="AO215" i="1"/>
  <c r="AN215" i="1"/>
  <c r="AK214" i="1"/>
  <c r="AE214" i="1"/>
  <c r="Z214" i="1"/>
  <c r="T214" i="1"/>
  <c r="N214" i="1"/>
  <c r="I214" i="1"/>
  <c r="AK213" i="1"/>
  <c r="AE213" i="1"/>
  <c r="Z213" i="1"/>
  <c r="T213" i="1"/>
  <c r="N213" i="1"/>
  <c r="I213" i="1"/>
  <c r="AO212" i="1"/>
  <c r="AN212" i="1"/>
  <c r="AJ210" i="1"/>
  <c r="AI210" i="1"/>
  <c r="AH210" i="1"/>
  <c r="AG210" i="1"/>
  <c r="AF210" i="1"/>
  <c r="AD210" i="1"/>
  <c r="AC210" i="1"/>
  <c r="AB210" i="1"/>
  <c r="AA210" i="1"/>
  <c r="Y210" i="1"/>
  <c r="X210" i="1"/>
  <c r="W210" i="1"/>
  <c r="V210" i="1"/>
  <c r="S210" i="1"/>
  <c r="R210" i="1"/>
  <c r="Q210" i="1"/>
  <c r="P210" i="1"/>
  <c r="O210" i="1"/>
  <c r="M210" i="1"/>
  <c r="L210" i="1"/>
  <c r="K210" i="1"/>
  <c r="J210" i="1"/>
  <c r="H210" i="1"/>
  <c r="G210" i="1"/>
  <c r="F210" i="1"/>
  <c r="E210" i="1"/>
  <c r="E211" i="1" s="1"/>
  <c r="AO209" i="1"/>
  <c r="AN209" i="1"/>
  <c r="AK208" i="1"/>
  <c r="AE208" i="1"/>
  <c r="Z208" i="1"/>
  <c r="T208" i="1"/>
  <c r="N208" i="1"/>
  <c r="I208" i="1"/>
  <c r="AK207" i="1"/>
  <c r="AE207" i="1"/>
  <c r="Z207" i="1"/>
  <c r="T207" i="1"/>
  <c r="N207" i="1"/>
  <c r="I207" i="1"/>
  <c r="AO206" i="1"/>
  <c r="AN206" i="1"/>
  <c r="AJ204" i="1"/>
  <c r="AI204" i="1"/>
  <c r="AH204" i="1"/>
  <c r="AG204" i="1"/>
  <c r="AF204" i="1"/>
  <c r="AD204" i="1"/>
  <c r="AC204" i="1"/>
  <c r="AB204" i="1"/>
  <c r="AA204" i="1"/>
  <c r="Y204" i="1"/>
  <c r="X204" i="1"/>
  <c r="W204" i="1"/>
  <c r="V204" i="1"/>
  <c r="S204" i="1"/>
  <c r="R204" i="1"/>
  <c r="Q204" i="1"/>
  <c r="P204" i="1"/>
  <c r="O204" i="1"/>
  <c r="M204" i="1"/>
  <c r="L204" i="1"/>
  <c r="K204" i="1"/>
  <c r="J204" i="1"/>
  <c r="H204" i="1"/>
  <c r="G204" i="1"/>
  <c r="F204" i="1"/>
  <c r="E204" i="1"/>
  <c r="AO203" i="1"/>
  <c r="AN203" i="1"/>
  <c r="AK202" i="1"/>
  <c r="AE202" i="1"/>
  <c r="Z202" i="1"/>
  <c r="T202" i="1"/>
  <c r="N202" i="1"/>
  <c r="I202" i="1"/>
  <c r="AK201" i="1"/>
  <c r="AE201" i="1"/>
  <c r="Z201" i="1"/>
  <c r="T201" i="1"/>
  <c r="N201" i="1"/>
  <c r="I201" i="1"/>
  <c r="AO200" i="1"/>
  <c r="AN200" i="1"/>
  <c r="AJ198" i="1"/>
  <c r="AI198" i="1"/>
  <c r="AH198" i="1"/>
  <c r="AG198" i="1"/>
  <c r="AF198" i="1"/>
  <c r="AD198" i="1"/>
  <c r="AC198" i="1"/>
  <c r="AB198" i="1"/>
  <c r="AA198" i="1"/>
  <c r="Y198" i="1"/>
  <c r="X198" i="1"/>
  <c r="Z198" i="1" s="1"/>
  <c r="W198" i="1"/>
  <c r="V198" i="1"/>
  <c r="S198" i="1"/>
  <c r="R198" i="1"/>
  <c r="Q198" i="1"/>
  <c r="P198" i="1"/>
  <c r="O198" i="1"/>
  <c r="M198" i="1"/>
  <c r="L198" i="1"/>
  <c r="K198" i="1"/>
  <c r="J198" i="1"/>
  <c r="H198" i="1"/>
  <c r="G198" i="1"/>
  <c r="F198" i="1"/>
  <c r="E198" i="1"/>
  <c r="E199" i="1" s="1"/>
  <c r="E200" i="1" s="1"/>
  <c r="AO197" i="1"/>
  <c r="AN197" i="1"/>
  <c r="AK196" i="1"/>
  <c r="AE196" i="1"/>
  <c r="Z196" i="1"/>
  <c r="T196" i="1"/>
  <c r="N196" i="1"/>
  <c r="I196" i="1"/>
  <c r="AK195" i="1"/>
  <c r="AE195" i="1"/>
  <c r="Z195" i="1"/>
  <c r="T195" i="1"/>
  <c r="N195" i="1"/>
  <c r="I195" i="1"/>
  <c r="AO194" i="1"/>
  <c r="AN194" i="1"/>
  <c r="AJ192" i="1"/>
  <c r="AI192" i="1"/>
  <c r="AH192" i="1"/>
  <c r="AG192" i="1"/>
  <c r="AF192" i="1"/>
  <c r="AD192" i="1"/>
  <c r="AC192" i="1"/>
  <c r="AB192" i="1"/>
  <c r="AA192" i="1"/>
  <c r="Y192" i="1"/>
  <c r="X192" i="1"/>
  <c r="W192" i="1"/>
  <c r="V192" i="1"/>
  <c r="S192" i="1"/>
  <c r="R192" i="1"/>
  <c r="Q192" i="1"/>
  <c r="P192" i="1"/>
  <c r="O192" i="1"/>
  <c r="M192" i="1"/>
  <c r="L192" i="1"/>
  <c r="K192" i="1"/>
  <c r="J192" i="1"/>
  <c r="N192" i="1" s="1"/>
  <c r="H192" i="1"/>
  <c r="G192" i="1"/>
  <c r="F192" i="1"/>
  <c r="E192" i="1"/>
  <c r="AO191" i="1"/>
  <c r="AN191" i="1"/>
  <c r="AK190" i="1"/>
  <c r="AE190" i="1"/>
  <c r="Z190" i="1"/>
  <c r="T190" i="1"/>
  <c r="N190" i="1"/>
  <c r="I190" i="1"/>
  <c r="AK189" i="1"/>
  <c r="AL189" i="1" s="1"/>
  <c r="AO189" i="1" s="1"/>
  <c r="AE189" i="1"/>
  <c r="Z189" i="1"/>
  <c r="T189" i="1"/>
  <c r="N189" i="1"/>
  <c r="I189" i="1"/>
  <c r="AO188" i="1"/>
  <c r="AN188" i="1"/>
  <c r="AJ186" i="1"/>
  <c r="AI186" i="1"/>
  <c r="AH186" i="1"/>
  <c r="AG186" i="1"/>
  <c r="AF186" i="1"/>
  <c r="AD186" i="1"/>
  <c r="AE186" i="1" s="1"/>
  <c r="AC186" i="1"/>
  <c r="AB186" i="1"/>
  <c r="AA186" i="1"/>
  <c r="Y186" i="1"/>
  <c r="X186" i="1"/>
  <c r="W186" i="1"/>
  <c r="V186" i="1"/>
  <c r="S186" i="1"/>
  <c r="R186" i="1"/>
  <c r="Q186" i="1"/>
  <c r="P186" i="1"/>
  <c r="O186" i="1"/>
  <c r="M186" i="1"/>
  <c r="L186" i="1"/>
  <c r="K186" i="1"/>
  <c r="J186" i="1"/>
  <c r="H186" i="1"/>
  <c r="G186" i="1"/>
  <c r="F186" i="1"/>
  <c r="E186" i="1"/>
  <c r="E187" i="1" s="1"/>
  <c r="AO185" i="1"/>
  <c r="AN185" i="1"/>
  <c r="AK184" i="1"/>
  <c r="AE184" i="1"/>
  <c r="Z184" i="1"/>
  <c r="T184" i="1"/>
  <c r="N184" i="1"/>
  <c r="I184" i="1"/>
  <c r="AK183" i="1"/>
  <c r="AE183" i="1"/>
  <c r="Z183" i="1"/>
  <c r="T183" i="1"/>
  <c r="N183" i="1"/>
  <c r="I183" i="1"/>
  <c r="AO182" i="1"/>
  <c r="AN182" i="1"/>
  <c r="AJ180" i="1"/>
  <c r="AI180" i="1"/>
  <c r="AH180" i="1"/>
  <c r="AG180" i="1"/>
  <c r="AF180" i="1"/>
  <c r="AD180" i="1"/>
  <c r="AC180" i="1"/>
  <c r="AB180" i="1"/>
  <c r="AA180" i="1"/>
  <c r="Y180" i="1"/>
  <c r="X180" i="1"/>
  <c r="W180" i="1"/>
  <c r="V180" i="1"/>
  <c r="S180" i="1"/>
  <c r="R180" i="1"/>
  <c r="Q180" i="1"/>
  <c r="P180" i="1"/>
  <c r="O180" i="1"/>
  <c r="M180" i="1"/>
  <c r="L180" i="1"/>
  <c r="K180" i="1"/>
  <c r="J180" i="1"/>
  <c r="H180" i="1"/>
  <c r="G180" i="1"/>
  <c r="F180" i="1"/>
  <c r="E180" i="1"/>
  <c r="I180" i="1" s="1"/>
  <c r="I181" i="1" s="1"/>
  <c r="AO179" i="1"/>
  <c r="AN179" i="1"/>
  <c r="AK178" i="1"/>
  <c r="AE178" i="1"/>
  <c r="Z178" i="1"/>
  <c r="T178" i="1"/>
  <c r="N178" i="1"/>
  <c r="I178" i="1"/>
  <c r="AK177" i="1"/>
  <c r="AE177" i="1"/>
  <c r="Z177" i="1"/>
  <c r="T177" i="1"/>
  <c r="N177" i="1"/>
  <c r="I177" i="1"/>
  <c r="AO176" i="1"/>
  <c r="AN176" i="1"/>
  <c r="AJ174" i="1"/>
  <c r="AI174" i="1"/>
  <c r="AH174" i="1"/>
  <c r="AG174" i="1"/>
  <c r="AF174" i="1"/>
  <c r="AD174" i="1"/>
  <c r="AC174" i="1"/>
  <c r="AB174" i="1"/>
  <c r="AA174" i="1"/>
  <c r="Y174" i="1"/>
  <c r="X174" i="1"/>
  <c r="W174" i="1"/>
  <c r="V174" i="1"/>
  <c r="S174" i="1"/>
  <c r="R174" i="1"/>
  <c r="Q174" i="1"/>
  <c r="P174" i="1"/>
  <c r="O174" i="1"/>
  <c r="M174" i="1"/>
  <c r="L174" i="1"/>
  <c r="K174" i="1"/>
  <c r="J174" i="1"/>
  <c r="H174" i="1"/>
  <c r="G174" i="1"/>
  <c r="F174" i="1"/>
  <c r="E174" i="1"/>
  <c r="AO173" i="1"/>
  <c r="AN173" i="1"/>
  <c r="AK172" i="1"/>
  <c r="AE172" i="1"/>
  <c r="Z172" i="1"/>
  <c r="T172" i="1"/>
  <c r="N172" i="1"/>
  <c r="I172" i="1"/>
  <c r="AK171" i="1"/>
  <c r="AE171" i="1"/>
  <c r="Z171" i="1"/>
  <c r="T171" i="1"/>
  <c r="N171" i="1"/>
  <c r="I171" i="1"/>
  <c r="AO170" i="1"/>
  <c r="AN170" i="1"/>
  <c r="AJ168" i="1"/>
  <c r="AI168" i="1"/>
  <c r="AH168" i="1"/>
  <c r="AG168" i="1"/>
  <c r="AF168" i="1"/>
  <c r="AD168" i="1"/>
  <c r="AC168" i="1"/>
  <c r="AB168" i="1"/>
  <c r="AA168" i="1"/>
  <c r="Y168" i="1"/>
  <c r="X168" i="1"/>
  <c r="W168" i="1"/>
  <c r="V168" i="1"/>
  <c r="S168" i="1"/>
  <c r="R168" i="1"/>
  <c r="Q168" i="1"/>
  <c r="P168" i="1"/>
  <c r="O168" i="1"/>
  <c r="M168" i="1"/>
  <c r="L168" i="1"/>
  <c r="K168" i="1"/>
  <c r="J168" i="1"/>
  <c r="H168" i="1"/>
  <c r="G168" i="1"/>
  <c r="F168" i="1"/>
  <c r="E168" i="1"/>
  <c r="AO167" i="1"/>
  <c r="AN167" i="1"/>
  <c r="AK166" i="1"/>
  <c r="AE166" i="1"/>
  <c r="Z166" i="1"/>
  <c r="T166" i="1"/>
  <c r="N166" i="1"/>
  <c r="I166" i="1"/>
  <c r="AK165" i="1"/>
  <c r="AE165" i="1"/>
  <c r="Z165" i="1"/>
  <c r="T165" i="1"/>
  <c r="N165" i="1"/>
  <c r="I165" i="1"/>
  <c r="AO164" i="1"/>
  <c r="AN164" i="1"/>
  <c r="AJ162" i="1"/>
  <c r="AI162" i="1"/>
  <c r="AH162" i="1"/>
  <c r="AG162" i="1"/>
  <c r="AF162" i="1"/>
  <c r="AD162" i="1"/>
  <c r="AC162" i="1"/>
  <c r="AB162" i="1"/>
  <c r="AA162" i="1"/>
  <c r="Y162" i="1"/>
  <c r="X162" i="1"/>
  <c r="W162" i="1"/>
  <c r="V162" i="1"/>
  <c r="S162" i="1"/>
  <c r="R162" i="1"/>
  <c r="Q162" i="1"/>
  <c r="P162" i="1"/>
  <c r="O162" i="1"/>
  <c r="M162" i="1"/>
  <c r="L162" i="1"/>
  <c r="K162" i="1"/>
  <c r="J162" i="1"/>
  <c r="H162" i="1"/>
  <c r="G162" i="1"/>
  <c r="F162" i="1"/>
  <c r="E162" i="1"/>
  <c r="AO161" i="1"/>
  <c r="AN161" i="1"/>
  <c r="AK160" i="1"/>
  <c r="AE160" i="1"/>
  <c r="Z160" i="1"/>
  <c r="T160" i="1"/>
  <c r="N160" i="1"/>
  <c r="I160" i="1"/>
  <c r="AK159" i="1"/>
  <c r="AE159" i="1"/>
  <c r="Z159" i="1"/>
  <c r="T159" i="1"/>
  <c r="N159" i="1"/>
  <c r="I159" i="1"/>
  <c r="AO158" i="1"/>
  <c r="AN158" i="1"/>
  <c r="AJ156" i="1"/>
  <c r="AI156" i="1"/>
  <c r="AH156" i="1"/>
  <c r="AG156" i="1"/>
  <c r="AF156" i="1"/>
  <c r="AD156" i="1"/>
  <c r="AC156" i="1"/>
  <c r="AB156" i="1"/>
  <c r="AA156" i="1"/>
  <c r="Y156" i="1"/>
  <c r="X156" i="1"/>
  <c r="W156" i="1"/>
  <c r="V156" i="1"/>
  <c r="S156" i="1"/>
  <c r="R156" i="1"/>
  <c r="Q156" i="1"/>
  <c r="P156" i="1"/>
  <c r="O156" i="1"/>
  <c r="M156" i="1"/>
  <c r="L156" i="1"/>
  <c r="K156" i="1"/>
  <c r="J156" i="1"/>
  <c r="H156" i="1"/>
  <c r="G156" i="1"/>
  <c r="F156" i="1"/>
  <c r="E156" i="1"/>
  <c r="E157" i="1" s="1"/>
  <c r="AO155" i="1"/>
  <c r="AN155" i="1"/>
  <c r="AK154" i="1"/>
  <c r="AE154" i="1"/>
  <c r="Z154" i="1"/>
  <c r="T154" i="1"/>
  <c r="N154" i="1"/>
  <c r="I154" i="1"/>
  <c r="AK153" i="1"/>
  <c r="AL153" i="1" s="1"/>
  <c r="AO153" i="1" s="1"/>
  <c r="AE153" i="1"/>
  <c r="Z153" i="1"/>
  <c r="T153" i="1"/>
  <c r="N153" i="1"/>
  <c r="I153" i="1"/>
  <c r="AO152" i="1"/>
  <c r="AN152" i="1"/>
  <c r="AJ150" i="1"/>
  <c r="AI150" i="1"/>
  <c r="AH150" i="1"/>
  <c r="AG150" i="1"/>
  <c r="AF150" i="1"/>
  <c r="AD150" i="1"/>
  <c r="AC150" i="1"/>
  <c r="AB150" i="1"/>
  <c r="AA150" i="1"/>
  <c r="Y150" i="1"/>
  <c r="X150" i="1"/>
  <c r="W150" i="1"/>
  <c r="V150" i="1"/>
  <c r="S150" i="1"/>
  <c r="R150" i="1"/>
  <c r="Q150" i="1"/>
  <c r="P150" i="1"/>
  <c r="O150" i="1"/>
  <c r="M150" i="1"/>
  <c r="L150" i="1"/>
  <c r="K150" i="1"/>
  <c r="J150" i="1"/>
  <c r="H150" i="1"/>
  <c r="G150" i="1"/>
  <c r="F150" i="1"/>
  <c r="E150" i="1"/>
  <c r="AO149" i="1"/>
  <c r="AN149" i="1"/>
  <c r="AN148" i="1"/>
  <c r="AK148" i="1"/>
  <c r="AL148" i="1" s="1"/>
  <c r="AO148" i="1" s="1"/>
  <c r="I148" i="1"/>
  <c r="AK147" i="1"/>
  <c r="AE147" i="1"/>
  <c r="Z147" i="1"/>
  <c r="T147" i="1"/>
  <c r="N147" i="1"/>
  <c r="I147" i="1"/>
  <c r="AO146" i="1"/>
  <c r="AN146" i="1"/>
  <c r="AJ144" i="1"/>
  <c r="AI144" i="1"/>
  <c r="AH144" i="1"/>
  <c r="AG144" i="1"/>
  <c r="AF144" i="1"/>
  <c r="AD144" i="1"/>
  <c r="AC144" i="1"/>
  <c r="AB144" i="1"/>
  <c r="AA144" i="1"/>
  <c r="Y144" i="1"/>
  <c r="X144" i="1"/>
  <c r="W144" i="1"/>
  <c r="V144" i="1"/>
  <c r="S144" i="1"/>
  <c r="R144" i="1"/>
  <c r="Q144" i="1"/>
  <c r="P144" i="1"/>
  <c r="O144" i="1"/>
  <c r="M144" i="1"/>
  <c r="L144" i="1"/>
  <c r="K144" i="1"/>
  <c r="J144" i="1"/>
  <c r="H144" i="1"/>
  <c r="G144" i="1"/>
  <c r="F144" i="1"/>
  <c r="E144" i="1"/>
  <c r="AO143" i="1"/>
  <c r="AN143" i="1"/>
  <c r="AK142" i="1"/>
  <c r="AE142" i="1"/>
  <c r="Z142" i="1"/>
  <c r="T142" i="1"/>
  <c r="N142" i="1"/>
  <c r="I142" i="1"/>
  <c r="AK141" i="1"/>
  <c r="AE141" i="1"/>
  <c r="Z141" i="1"/>
  <c r="T141" i="1"/>
  <c r="N141" i="1"/>
  <c r="I141" i="1"/>
  <c r="AO140" i="1"/>
  <c r="AN140" i="1"/>
  <c r="AJ138" i="1"/>
  <c r="AI138" i="1"/>
  <c r="AH138" i="1"/>
  <c r="AG138" i="1"/>
  <c r="AF138" i="1"/>
  <c r="AD138" i="1"/>
  <c r="AC138" i="1"/>
  <c r="AB138" i="1"/>
  <c r="AA138" i="1"/>
  <c r="Y138" i="1"/>
  <c r="X138" i="1"/>
  <c r="W138" i="1"/>
  <c r="V138" i="1"/>
  <c r="S138" i="1"/>
  <c r="R138" i="1"/>
  <c r="Q138" i="1"/>
  <c r="P138" i="1"/>
  <c r="O138" i="1"/>
  <c r="M138" i="1"/>
  <c r="L138" i="1"/>
  <c r="K138" i="1"/>
  <c r="J138" i="1"/>
  <c r="H138" i="1"/>
  <c r="G138" i="1"/>
  <c r="F138" i="1"/>
  <c r="E138" i="1"/>
  <c r="E139" i="1" s="1"/>
  <c r="AO137" i="1"/>
  <c r="AN137" i="1"/>
  <c r="AK136" i="1"/>
  <c r="AE136" i="1"/>
  <c r="Z136" i="1"/>
  <c r="T136" i="1"/>
  <c r="N136" i="1"/>
  <c r="I136" i="1"/>
  <c r="AK135" i="1"/>
  <c r="AE135" i="1"/>
  <c r="Z135" i="1"/>
  <c r="T135" i="1"/>
  <c r="N135" i="1"/>
  <c r="I135" i="1"/>
  <c r="AO134" i="1"/>
  <c r="AN134" i="1"/>
  <c r="AJ132" i="1"/>
  <c r="AI132" i="1"/>
  <c r="AH132" i="1"/>
  <c r="AG132" i="1"/>
  <c r="AF132" i="1"/>
  <c r="AD132" i="1"/>
  <c r="AC132" i="1"/>
  <c r="AB132" i="1"/>
  <c r="AA132" i="1"/>
  <c r="Y132" i="1"/>
  <c r="X132" i="1"/>
  <c r="W132" i="1"/>
  <c r="V132" i="1"/>
  <c r="S132" i="1"/>
  <c r="R132" i="1"/>
  <c r="Q132" i="1"/>
  <c r="P132" i="1"/>
  <c r="O132" i="1"/>
  <c r="M132" i="1"/>
  <c r="L132" i="1"/>
  <c r="K132" i="1"/>
  <c r="J132" i="1"/>
  <c r="H132" i="1"/>
  <c r="G132" i="1"/>
  <c r="F132" i="1"/>
  <c r="I132" i="1" s="1"/>
  <c r="E132" i="1"/>
  <c r="E133" i="1" s="1"/>
  <c r="AO131" i="1"/>
  <c r="AN131" i="1"/>
  <c r="AK130" i="1"/>
  <c r="AE130" i="1"/>
  <c r="Z130" i="1"/>
  <c r="T130" i="1"/>
  <c r="N130" i="1"/>
  <c r="I130" i="1"/>
  <c r="AK129" i="1"/>
  <c r="AE129" i="1"/>
  <c r="Z129" i="1"/>
  <c r="T129" i="1"/>
  <c r="U129" i="1" s="1"/>
  <c r="AN129" i="1" s="1"/>
  <c r="N129" i="1"/>
  <c r="I129" i="1"/>
  <c r="AO128" i="1"/>
  <c r="AN128" i="1"/>
  <c r="AJ126" i="1"/>
  <c r="AI126" i="1"/>
  <c r="AH126" i="1"/>
  <c r="AG126" i="1"/>
  <c r="AF126" i="1"/>
  <c r="AD126" i="1"/>
  <c r="AC126" i="1"/>
  <c r="AB126" i="1"/>
  <c r="AA126" i="1"/>
  <c r="Y126" i="1"/>
  <c r="X126" i="1"/>
  <c r="W126" i="1"/>
  <c r="V126" i="1"/>
  <c r="S126" i="1"/>
  <c r="R126" i="1"/>
  <c r="Q126" i="1"/>
  <c r="P126" i="1"/>
  <c r="O126" i="1"/>
  <c r="M126" i="1"/>
  <c r="L126" i="1"/>
  <c r="K126" i="1"/>
  <c r="J126" i="1"/>
  <c r="H126" i="1"/>
  <c r="G126" i="1"/>
  <c r="F126" i="1"/>
  <c r="E126" i="1"/>
  <c r="AO125" i="1"/>
  <c r="AN125" i="1"/>
  <c r="AK124" i="1"/>
  <c r="AE124" i="1"/>
  <c r="Z124" i="1"/>
  <c r="AL124" i="1" s="1"/>
  <c r="AO124" i="1" s="1"/>
  <c r="T124" i="1"/>
  <c r="N124" i="1"/>
  <c r="I124" i="1"/>
  <c r="AK123" i="1"/>
  <c r="AE123" i="1"/>
  <c r="Z123" i="1"/>
  <c r="T123" i="1"/>
  <c r="N123" i="1"/>
  <c r="I123" i="1"/>
  <c r="AO122" i="1"/>
  <c r="AN122" i="1"/>
  <c r="AJ120" i="1"/>
  <c r="AI120" i="1"/>
  <c r="AH120" i="1"/>
  <c r="AG120" i="1"/>
  <c r="AF120" i="1"/>
  <c r="AD120" i="1"/>
  <c r="AC120" i="1"/>
  <c r="AB120" i="1"/>
  <c r="AA120" i="1"/>
  <c r="Y120" i="1"/>
  <c r="X120" i="1"/>
  <c r="W120" i="1"/>
  <c r="V120" i="1"/>
  <c r="S120" i="1"/>
  <c r="R120" i="1"/>
  <c r="Q120" i="1"/>
  <c r="P120" i="1"/>
  <c r="O120" i="1"/>
  <c r="M120" i="1"/>
  <c r="L120" i="1"/>
  <c r="K120" i="1"/>
  <c r="J120" i="1"/>
  <c r="H120" i="1"/>
  <c r="G120" i="1"/>
  <c r="F120" i="1"/>
  <c r="E120" i="1"/>
  <c r="AO119" i="1"/>
  <c r="AN119" i="1"/>
  <c r="AK118" i="1"/>
  <c r="AE118" i="1"/>
  <c r="Z118" i="1"/>
  <c r="T118" i="1"/>
  <c r="N118" i="1"/>
  <c r="I118" i="1"/>
  <c r="AK117" i="1"/>
  <c r="AE117" i="1"/>
  <c r="Z117" i="1"/>
  <c r="T117" i="1"/>
  <c r="N117" i="1"/>
  <c r="I117" i="1"/>
  <c r="AO116" i="1"/>
  <c r="AN116" i="1"/>
  <c r="AJ114" i="1"/>
  <c r="AI114" i="1"/>
  <c r="AH114" i="1"/>
  <c r="AG114" i="1"/>
  <c r="AF114" i="1"/>
  <c r="AD114" i="1"/>
  <c r="AC114" i="1"/>
  <c r="AB114" i="1"/>
  <c r="AA114" i="1"/>
  <c r="Y114" i="1"/>
  <c r="X114" i="1"/>
  <c r="W114" i="1"/>
  <c r="V114" i="1"/>
  <c r="S114" i="1"/>
  <c r="R114" i="1"/>
  <c r="Q114" i="1"/>
  <c r="P114" i="1"/>
  <c r="O114" i="1"/>
  <c r="M114" i="1"/>
  <c r="L114" i="1"/>
  <c r="K114" i="1"/>
  <c r="J114" i="1"/>
  <c r="H114" i="1"/>
  <c r="G114" i="1"/>
  <c r="F114" i="1"/>
  <c r="E114" i="1"/>
  <c r="E115" i="1" s="1"/>
  <c r="AO113" i="1"/>
  <c r="AN113" i="1"/>
  <c r="AK112" i="1"/>
  <c r="AE112" i="1"/>
  <c r="Z112" i="1"/>
  <c r="T112" i="1"/>
  <c r="N112" i="1"/>
  <c r="I112" i="1"/>
  <c r="AK111" i="1"/>
  <c r="AE111" i="1"/>
  <c r="Z111" i="1"/>
  <c r="T111" i="1"/>
  <c r="N111" i="1"/>
  <c r="I111" i="1"/>
  <c r="AO110" i="1"/>
  <c r="AN110" i="1"/>
  <c r="AJ108" i="1"/>
  <c r="AI108" i="1"/>
  <c r="AH108" i="1"/>
  <c r="AG108" i="1"/>
  <c r="AF108" i="1"/>
  <c r="AD108" i="1"/>
  <c r="AC108" i="1"/>
  <c r="AB108" i="1"/>
  <c r="AA108" i="1"/>
  <c r="Y108" i="1"/>
  <c r="X108" i="1"/>
  <c r="W108" i="1"/>
  <c r="V108" i="1"/>
  <c r="S108" i="1"/>
  <c r="R108" i="1"/>
  <c r="Q108" i="1"/>
  <c r="P108" i="1"/>
  <c r="O108" i="1"/>
  <c r="M108" i="1"/>
  <c r="L108" i="1"/>
  <c r="K108" i="1"/>
  <c r="J108" i="1"/>
  <c r="H108" i="1"/>
  <c r="G108" i="1"/>
  <c r="F108" i="1"/>
  <c r="E108" i="1"/>
  <c r="E109" i="1" s="1"/>
  <c r="AO107" i="1"/>
  <c r="AN107" i="1"/>
  <c r="AK106" i="1"/>
  <c r="AE106" i="1"/>
  <c r="Z106" i="1"/>
  <c r="T106" i="1"/>
  <c r="N106" i="1"/>
  <c r="I106" i="1"/>
  <c r="AK105" i="1"/>
  <c r="AE105" i="1"/>
  <c r="Z105" i="1"/>
  <c r="T105" i="1"/>
  <c r="N105" i="1"/>
  <c r="I105" i="1"/>
  <c r="AO104" i="1"/>
  <c r="AN104" i="1"/>
  <c r="AJ102" i="1"/>
  <c r="AI102" i="1"/>
  <c r="AH102" i="1"/>
  <c r="AG102" i="1"/>
  <c r="AF102" i="1"/>
  <c r="AD102" i="1"/>
  <c r="AC102" i="1"/>
  <c r="AB102" i="1"/>
  <c r="AA102" i="1"/>
  <c r="AE102" i="1" s="1"/>
  <c r="Y102" i="1"/>
  <c r="X102" i="1"/>
  <c r="W102" i="1"/>
  <c r="V102" i="1"/>
  <c r="S102" i="1"/>
  <c r="R102" i="1"/>
  <c r="Q102" i="1"/>
  <c r="P102" i="1"/>
  <c r="O102" i="1"/>
  <c r="M102" i="1"/>
  <c r="L102" i="1"/>
  <c r="K102" i="1"/>
  <c r="J102" i="1"/>
  <c r="H102" i="1"/>
  <c r="G102" i="1"/>
  <c r="F102" i="1"/>
  <c r="E102" i="1"/>
  <c r="AO101" i="1"/>
  <c r="AN101" i="1"/>
  <c r="AK100" i="1"/>
  <c r="AE100" i="1"/>
  <c r="Z100" i="1"/>
  <c r="T100" i="1"/>
  <c r="N100" i="1"/>
  <c r="I100" i="1"/>
  <c r="AK99" i="1"/>
  <c r="AE99" i="1"/>
  <c r="Z99" i="1"/>
  <c r="T99" i="1"/>
  <c r="N99" i="1"/>
  <c r="I99" i="1"/>
  <c r="AO98" i="1"/>
  <c r="AN98" i="1"/>
  <c r="AJ96" i="1"/>
  <c r="AI96" i="1"/>
  <c r="AH96" i="1"/>
  <c r="AG96" i="1"/>
  <c r="AF96" i="1"/>
  <c r="AD96" i="1"/>
  <c r="AC96" i="1"/>
  <c r="AB96" i="1"/>
  <c r="AA96" i="1"/>
  <c r="Y96" i="1"/>
  <c r="X96" i="1"/>
  <c r="W96" i="1"/>
  <c r="V96" i="1"/>
  <c r="S96" i="1"/>
  <c r="R96" i="1"/>
  <c r="Q96" i="1"/>
  <c r="P96" i="1"/>
  <c r="O96" i="1"/>
  <c r="M96" i="1"/>
  <c r="L96" i="1"/>
  <c r="K96" i="1"/>
  <c r="J96" i="1"/>
  <c r="H96" i="1"/>
  <c r="G96" i="1"/>
  <c r="F96" i="1"/>
  <c r="E96" i="1"/>
  <c r="AO95" i="1"/>
  <c r="AN95" i="1"/>
  <c r="AK94" i="1"/>
  <c r="AE94" i="1"/>
  <c r="Z94" i="1"/>
  <c r="T94" i="1"/>
  <c r="N94" i="1"/>
  <c r="I94" i="1"/>
  <c r="AK93" i="1"/>
  <c r="AE93" i="1"/>
  <c r="Z93" i="1"/>
  <c r="T93" i="1"/>
  <c r="N93" i="1"/>
  <c r="I93" i="1"/>
  <c r="AO92" i="1"/>
  <c r="AN92" i="1"/>
  <c r="AJ90" i="1"/>
  <c r="AI90" i="1"/>
  <c r="AH90" i="1"/>
  <c r="AG90" i="1"/>
  <c r="AF90" i="1"/>
  <c r="AD90" i="1"/>
  <c r="AC90" i="1"/>
  <c r="AB90" i="1"/>
  <c r="AA90" i="1"/>
  <c r="Y90" i="1"/>
  <c r="X90" i="1"/>
  <c r="W90" i="1"/>
  <c r="V90" i="1"/>
  <c r="S90" i="1"/>
  <c r="R90" i="1"/>
  <c r="Q90" i="1"/>
  <c r="P90" i="1"/>
  <c r="O90" i="1"/>
  <c r="M90" i="1"/>
  <c r="L90" i="1"/>
  <c r="K90" i="1"/>
  <c r="J90" i="1"/>
  <c r="H90" i="1"/>
  <c r="G90" i="1"/>
  <c r="F90" i="1"/>
  <c r="E90" i="1"/>
  <c r="AO89" i="1"/>
  <c r="AN89" i="1"/>
  <c r="AK88" i="1"/>
  <c r="AE88" i="1"/>
  <c r="Z88" i="1"/>
  <c r="T88" i="1"/>
  <c r="N88" i="1"/>
  <c r="I88" i="1"/>
  <c r="U88" i="1" s="1"/>
  <c r="AN88" i="1" s="1"/>
  <c r="AK87" i="1"/>
  <c r="AE87" i="1"/>
  <c r="Z87" i="1"/>
  <c r="T87" i="1"/>
  <c r="N87" i="1"/>
  <c r="I87" i="1"/>
  <c r="AO86" i="1"/>
  <c r="AN86" i="1"/>
  <c r="AJ84" i="1"/>
  <c r="AI84" i="1"/>
  <c r="AH84" i="1"/>
  <c r="AG84" i="1"/>
  <c r="AF84" i="1"/>
  <c r="AD84" i="1"/>
  <c r="AC84" i="1"/>
  <c r="AB84" i="1"/>
  <c r="AA84" i="1"/>
  <c r="Y84" i="1"/>
  <c r="X84" i="1"/>
  <c r="W84" i="1"/>
  <c r="V84" i="1"/>
  <c r="S84" i="1"/>
  <c r="R84" i="1"/>
  <c r="Q84" i="1"/>
  <c r="P84" i="1"/>
  <c r="O84" i="1"/>
  <c r="M84" i="1"/>
  <c r="L84" i="1"/>
  <c r="K84" i="1"/>
  <c r="J84" i="1"/>
  <c r="H84" i="1"/>
  <c r="G84" i="1"/>
  <c r="F84" i="1"/>
  <c r="E84" i="1"/>
  <c r="E85" i="1" s="1"/>
  <c r="AO83" i="1"/>
  <c r="AN83" i="1"/>
  <c r="AK82" i="1"/>
  <c r="AE82" i="1"/>
  <c r="Z82" i="1"/>
  <c r="T82" i="1"/>
  <c r="N82" i="1"/>
  <c r="I82" i="1"/>
  <c r="AK81" i="1"/>
  <c r="AE81" i="1"/>
  <c r="Z81" i="1"/>
  <c r="T81" i="1"/>
  <c r="N81" i="1"/>
  <c r="I81" i="1"/>
  <c r="AO80" i="1"/>
  <c r="AN80" i="1"/>
  <c r="AJ78" i="1"/>
  <c r="AI78" i="1"/>
  <c r="AH78" i="1"/>
  <c r="AG78" i="1"/>
  <c r="AF78" i="1"/>
  <c r="AD78" i="1"/>
  <c r="AC78" i="1"/>
  <c r="AB78" i="1"/>
  <c r="AA78" i="1"/>
  <c r="Y78" i="1"/>
  <c r="X78" i="1"/>
  <c r="W78" i="1"/>
  <c r="V78" i="1"/>
  <c r="S78" i="1"/>
  <c r="R78" i="1"/>
  <c r="Q78" i="1"/>
  <c r="P78" i="1"/>
  <c r="O78" i="1"/>
  <c r="M78" i="1"/>
  <c r="L78" i="1"/>
  <c r="K78" i="1"/>
  <c r="J78" i="1"/>
  <c r="H78" i="1"/>
  <c r="G78" i="1"/>
  <c r="F78" i="1"/>
  <c r="E78" i="1"/>
  <c r="E79" i="1" s="1"/>
  <c r="E80" i="1" s="1"/>
  <c r="AO77" i="1"/>
  <c r="AN77" i="1"/>
  <c r="AK76" i="1"/>
  <c r="AE76" i="1"/>
  <c r="Z76" i="1"/>
  <c r="T76" i="1"/>
  <c r="N76" i="1"/>
  <c r="I76" i="1"/>
  <c r="AK75" i="1"/>
  <c r="AE75" i="1"/>
  <c r="Z75" i="1"/>
  <c r="T75" i="1"/>
  <c r="N75" i="1"/>
  <c r="I75" i="1"/>
  <c r="AO74" i="1"/>
  <c r="AN74" i="1"/>
  <c r="AJ72" i="1"/>
  <c r="AI72" i="1"/>
  <c r="AH72" i="1"/>
  <c r="AG72" i="1"/>
  <c r="AF72" i="1"/>
  <c r="AD72" i="1"/>
  <c r="AC72" i="1"/>
  <c r="AB72" i="1"/>
  <c r="AA72" i="1"/>
  <c r="Y72" i="1"/>
  <c r="X72" i="1"/>
  <c r="W72" i="1"/>
  <c r="V72" i="1"/>
  <c r="S72" i="1"/>
  <c r="R72" i="1"/>
  <c r="Q72" i="1"/>
  <c r="P72" i="1"/>
  <c r="O72" i="1"/>
  <c r="M72" i="1"/>
  <c r="L72" i="1"/>
  <c r="K72" i="1"/>
  <c r="J72" i="1"/>
  <c r="H72" i="1"/>
  <c r="G72" i="1"/>
  <c r="F72" i="1"/>
  <c r="E72" i="1"/>
  <c r="AO71" i="1"/>
  <c r="AN71" i="1"/>
  <c r="AK70" i="1"/>
  <c r="AE70" i="1"/>
  <c r="Z70" i="1"/>
  <c r="T70" i="1"/>
  <c r="N70" i="1"/>
  <c r="I70" i="1"/>
  <c r="AK69" i="1"/>
  <c r="AE69" i="1"/>
  <c r="Z69" i="1"/>
  <c r="T69" i="1"/>
  <c r="N69" i="1"/>
  <c r="I69" i="1"/>
  <c r="AO68" i="1"/>
  <c r="AN68" i="1"/>
  <c r="AJ66" i="1"/>
  <c r="AI66" i="1"/>
  <c r="AH66" i="1"/>
  <c r="AG66" i="1"/>
  <c r="AF66" i="1"/>
  <c r="AD66" i="1"/>
  <c r="AC66" i="1"/>
  <c r="AB66" i="1"/>
  <c r="AA66" i="1"/>
  <c r="Y66" i="1"/>
  <c r="X66" i="1"/>
  <c r="W66" i="1"/>
  <c r="V66" i="1"/>
  <c r="S66" i="1"/>
  <c r="R66" i="1"/>
  <c r="Q66" i="1"/>
  <c r="P66" i="1"/>
  <c r="O66" i="1"/>
  <c r="M66" i="1"/>
  <c r="L66" i="1"/>
  <c r="K66" i="1"/>
  <c r="J66" i="1"/>
  <c r="H66" i="1"/>
  <c r="G66" i="1"/>
  <c r="F66" i="1"/>
  <c r="E66" i="1"/>
  <c r="AO65" i="1"/>
  <c r="AN65" i="1"/>
  <c r="AK64" i="1"/>
  <c r="AE64" i="1"/>
  <c r="Z64" i="1"/>
  <c r="T64" i="1"/>
  <c r="N64" i="1"/>
  <c r="I64" i="1"/>
  <c r="AK63" i="1"/>
  <c r="AE63" i="1"/>
  <c r="Z63" i="1"/>
  <c r="T63" i="1"/>
  <c r="N63" i="1"/>
  <c r="I63" i="1"/>
  <c r="AO62" i="1"/>
  <c r="AN62" i="1"/>
  <c r="AJ60" i="1"/>
  <c r="AI60" i="1"/>
  <c r="AH60" i="1"/>
  <c r="AG60" i="1"/>
  <c r="AF60" i="1"/>
  <c r="AD60" i="1"/>
  <c r="AC60" i="1"/>
  <c r="AB60" i="1"/>
  <c r="AA60" i="1"/>
  <c r="Y60" i="1"/>
  <c r="X60" i="1"/>
  <c r="W60" i="1"/>
  <c r="V60" i="1"/>
  <c r="S60" i="1"/>
  <c r="R60" i="1"/>
  <c r="Q60" i="1"/>
  <c r="P60" i="1"/>
  <c r="O60" i="1"/>
  <c r="M60" i="1"/>
  <c r="L60" i="1"/>
  <c r="K60" i="1"/>
  <c r="J60" i="1"/>
  <c r="H60" i="1"/>
  <c r="G60" i="1"/>
  <c r="F60" i="1"/>
  <c r="E60" i="1"/>
  <c r="E61" i="1" s="1"/>
  <c r="AO59" i="1"/>
  <c r="AN59" i="1"/>
  <c r="AK58" i="1"/>
  <c r="AE58" i="1"/>
  <c r="Z58" i="1"/>
  <c r="T58" i="1"/>
  <c r="N58" i="1"/>
  <c r="I58" i="1"/>
  <c r="AK57" i="1"/>
  <c r="AE57" i="1"/>
  <c r="Z57" i="1"/>
  <c r="T57" i="1"/>
  <c r="N57" i="1"/>
  <c r="I57" i="1"/>
  <c r="AO56" i="1"/>
  <c r="AN56" i="1"/>
  <c r="AJ54" i="1"/>
  <c r="AI54" i="1"/>
  <c r="AH54" i="1"/>
  <c r="AG54" i="1"/>
  <c r="AF54" i="1"/>
  <c r="AD54" i="1"/>
  <c r="AC54" i="1"/>
  <c r="AB54" i="1"/>
  <c r="AA54" i="1"/>
  <c r="Y54" i="1"/>
  <c r="X54" i="1"/>
  <c r="W54" i="1"/>
  <c r="V54" i="1"/>
  <c r="S54" i="1"/>
  <c r="R54" i="1"/>
  <c r="Q54" i="1"/>
  <c r="P54" i="1"/>
  <c r="O54" i="1"/>
  <c r="M54" i="1"/>
  <c r="L54" i="1"/>
  <c r="K54" i="1"/>
  <c r="J54" i="1"/>
  <c r="H54" i="1"/>
  <c r="G54" i="1"/>
  <c r="F54" i="1"/>
  <c r="E54" i="1"/>
  <c r="E55" i="1" s="1"/>
  <c r="AO53" i="1"/>
  <c r="AN53" i="1"/>
  <c r="AK52" i="1"/>
  <c r="AE52" i="1"/>
  <c r="Z52" i="1"/>
  <c r="T52" i="1"/>
  <c r="N52" i="1"/>
  <c r="I52" i="1"/>
  <c r="AK51" i="1"/>
  <c r="AE51" i="1"/>
  <c r="Z51" i="1"/>
  <c r="T51" i="1"/>
  <c r="N51" i="1"/>
  <c r="I51" i="1"/>
  <c r="AO50" i="1"/>
  <c r="AN50" i="1"/>
  <c r="AJ48" i="1"/>
  <c r="AI48" i="1"/>
  <c r="AH48" i="1"/>
  <c r="AG48" i="1"/>
  <c r="AF48" i="1"/>
  <c r="AD48" i="1"/>
  <c r="AC48" i="1"/>
  <c r="AB48" i="1"/>
  <c r="AA48" i="1"/>
  <c r="Y48" i="1"/>
  <c r="X48" i="1"/>
  <c r="W48" i="1"/>
  <c r="V48" i="1"/>
  <c r="S48" i="1"/>
  <c r="R48" i="1"/>
  <c r="Q48" i="1"/>
  <c r="P48" i="1"/>
  <c r="O48" i="1"/>
  <c r="M48" i="1"/>
  <c r="L48" i="1"/>
  <c r="K48" i="1"/>
  <c r="J48" i="1"/>
  <c r="H48" i="1"/>
  <c r="G48" i="1"/>
  <c r="F48" i="1"/>
  <c r="E48" i="1"/>
  <c r="AO47" i="1"/>
  <c r="AN47" i="1"/>
  <c r="AK46" i="1"/>
  <c r="AE46" i="1"/>
  <c r="Z46" i="1"/>
  <c r="T46" i="1"/>
  <c r="N46" i="1"/>
  <c r="I46" i="1"/>
  <c r="AK45" i="1"/>
  <c r="AE45" i="1"/>
  <c r="Z45" i="1"/>
  <c r="T45" i="1"/>
  <c r="U45" i="1" s="1"/>
  <c r="AN45" i="1" s="1"/>
  <c r="N45" i="1"/>
  <c r="I45" i="1"/>
  <c r="AO44" i="1"/>
  <c r="AN44" i="1"/>
  <c r="AJ42" i="1"/>
  <c r="AI42" i="1"/>
  <c r="AH42" i="1"/>
  <c r="AG42" i="1"/>
  <c r="AF42" i="1"/>
  <c r="AD42" i="1"/>
  <c r="AC42" i="1"/>
  <c r="AB42" i="1"/>
  <c r="AA42" i="1"/>
  <c r="Y42" i="1"/>
  <c r="X42" i="1"/>
  <c r="W42" i="1"/>
  <c r="V42" i="1"/>
  <c r="S42" i="1"/>
  <c r="R42" i="1"/>
  <c r="Q42" i="1"/>
  <c r="P42" i="1"/>
  <c r="O42" i="1"/>
  <c r="M42" i="1"/>
  <c r="L42" i="1"/>
  <c r="K42" i="1"/>
  <c r="J42" i="1"/>
  <c r="H42" i="1"/>
  <c r="F42" i="1"/>
  <c r="E42" i="1"/>
  <c r="E43" i="1" s="1"/>
  <c r="AO41" i="1"/>
  <c r="AN41" i="1"/>
  <c r="AK40" i="1"/>
  <c r="AE40" i="1"/>
  <c r="Z40" i="1"/>
  <c r="T40" i="1"/>
  <c r="N40" i="1"/>
  <c r="I40" i="1"/>
  <c r="G40" i="1"/>
  <c r="AK39" i="1"/>
  <c r="AE39" i="1"/>
  <c r="Z39" i="1"/>
  <c r="T39" i="1"/>
  <c r="N39" i="1"/>
  <c r="I39" i="1"/>
  <c r="AO38" i="1"/>
  <c r="AN38" i="1"/>
  <c r="AJ36" i="1"/>
  <c r="AI36" i="1"/>
  <c r="AH36" i="1"/>
  <c r="AG36" i="1"/>
  <c r="AF36" i="1"/>
  <c r="AD36" i="1"/>
  <c r="AC36" i="1"/>
  <c r="AB36" i="1"/>
  <c r="AA36" i="1"/>
  <c r="Y36" i="1"/>
  <c r="X36" i="1"/>
  <c r="W36" i="1"/>
  <c r="V36" i="1"/>
  <c r="S36" i="1"/>
  <c r="R36" i="1"/>
  <c r="Q36" i="1"/>
  <c r="P36" i="1"/>
  <c r="O36" i="1"/>
  <c r="M36" i="1"/>
  <c r="L36" i="1"/>
  <c r="K36" i="1"/>
  <c r="J36" i="1"/>
  <c r="H36" i="1"/>
  <c r="G36" i="1"/>
  <c r="F36" i="1"/>
  <c r="E36" i="1"/>
  <c r="AO35" i="1"/>
  <c r="AN35" i="1"/>
  <c r="AK34" i="1"/>
  <c r="AE34" i="1"/>
  <c r="Z34" i="1"/>
  <c r="T34" i="1"/>
  <c r="N34" i="1"/>
  <c r="U34" i="1" s="1"/>
  <c r="AN34" i="1" s="1"/>
  <c r="I34" i="1"/>
  <c r="AK33" i="1"/>
  <c r="AE33" i="1"/>
  <c r="Z33" i="1"/>
  <c r="T33" i="1"/>
  <c r="N33" i="1"/>
  <c r="I33" i="1"/>
  <c r="AO32" i="1"/>
  <c r="AN32" i="1"/>
  <c r="AJ30" i="1"/>
  <c r="AI30" i="1"/>
  <c r="AH30" i="1"/>
  <c r="AG30" i="1"/>
  <c r="AF30" i="1"/>
  <c r="AD30" i="1"/>
  <c r="AC30" i="1"/>
  <c r="AB30" i="1"/>
  <c r="AA30" i="1"/>
  <c r="Y30" i="1"/>
  <c r="X30" i="1"/>
  <c r="W30" i="1"/>
  <c r="V30" i="1"/>
  <c r="Z30" i="1" s="1"/>
  <c r="S30" i="1"/>
  <c r="R30" i="1"/>
  <c r="Q30" i="1"/>
  <c r="P30" i="1"/>
  <c r="O30" i="1"/>
  <c r="M30" i="1"/>
  <c r="L30" i="1"/>
  <c r="K30" i="1"/>
  <c r="N30" i="1" s="1"/>
  <c r="J30" i="1"/>
  <c r="H30" i="1"/>
  <c r="G30" i="1"/>
  <c r="F30" i="1"/>
  <c r="E30" i="1"/>
  <c r="AO29" i="1"/>
  <c r="AN29" i="1"/>
  <c r="AK28" i="1"/>
  <c r="AE28" i="1"/>
  <c r="Z28" i="1"/>
  <c r="T28" i="1"/>
  <c r="N28" i="1"/>
  <c r="I28" i="1"/>
  <c r="AK27" i="1"/>
  <c r="AE27" i="1"/>
  <c r="Z27" i="1"/>
  <c r="T27" i="1"/>
  <c r="N27" i="1"/>
  <c r="I27" i="1"/>
  <c r="AO26" i="1"/>
  <c r="AN26" i="1"/>
  <c r="AJ24" i="1"/>
  <c r="AI24" i="1"/>
  <c r="AH24" i="1"/>
  <c r="AG24" i="1"/>
  <c r="AF24" i="1"/>
  <c r="AD24" i="1"/>
  <c r="AC24" i="1"/>
  <c r="AB24" i="1"/>
  <c r="AA24" i="1"/>
  <c r="Y24" i="1"/>
  <c r="X24" i="1"/>
  <c r="W24" i="1"/>
  <c r="V24" i="1"/>
  <c r="S24" i="1"/>
  <c r="R24" i="1"/>
  <c r="Q24" i="1"/>
  <c r="P24" i="1"/>
  <c r="O24" i="1"/>
  <c r="M24" i="1"/>
  <c r="N24" i="1" s="1"/>
  <c r="L24" i="1"/>
  <c r="K24" i="1"/>
  <c r="J24" i="1"/>
  <c r="H24" i="1"/>
  <c r="G24" i="1"/>
  <c r="F24" i="1"/>
  <c r="E24" i="1"/>
  <c r="AO23" i="1"/>
  <c r="AN23" i="1"/>
  <c r="AK22" i="1"/>
  <c r="AE22" i="1"/>
  <c r="Z22" i="1"/>
  <c r="T22" i="1"/>
  <c r="N22" i="1"/>
  <c r="I22" i="1"/>
  <c r="AK21" i="1"/>
  <c r="AL21" i="1" s="1"/>
  <c r="AO21" i="1" s="1"/>
  <c r="AE21" i="1"/>
  <c r="Z21" i="1"/>
  <c r="T21" i="1"/>
  <c r="N21" i="1"/>
  <c r="I21" i="1"/>
  <c r="AO20" i="1"/>
  <c r="AN20" i="1"/>
  <c r="E19" i="1"/>
  <c r="E20" i="1" s="1"/>
  <c r="AJ18" i="1"/>
  <c r="AI18" i="1"/>
  <c r="AH18" i="1"/>
  <c r="AG18" i="1"/>
  <c r="AF18" i="1"/>
  <c r="AD18" i="1"/>
  <c r="AC18" i="1"/>
  <c r="AB18" i="1"/>
  <c r="AA18" i="1"/>
  <c r="Y18" i="1"/>
  <c r="X18" i="1"/>
  <c r="W18" i="1"/>
  <c r="V18" i="1"/>
  <c r="S18" i="1"/>
  <c r="R18" i="1"/>
  <c r="Q18" i="1"/>
  <c r="P18" i="1"/>
  <c r="O18" i="1"/>
  <c r="M18" i="1"/>
  <c r="L18" i="1"/>
  <c r="K18" i="1"/>
  <c r="J18" i="1"/>
  <c r="H18" i="1"/>
  <c r="G18" i="1"/>
  <c r="F18" i="1"/>
  <c r="E18" i="1"/>
  <c r="AO17" i="1"/>
  <c r="AN17" i="1"/>
  <c r="AK16" i="1"/>
  <c r="AE16" i="1"/>
  <c r="Z16" i="1"/>
  <c r="T16" i="1"/>
  <c r="N16" i="1"/>
  <c r="I16" i="1"/>
  <c r="AK15" i="1"/>
  <c r="AE15" i="1"/>
  <c r="Z15" i="1"/>
  <c r="T15" i="1"/>
  <c r="N15" i="1"/>
  <c r="I15" i="1"/>
  <c r="AO14" i="1"/>
  <c r="AN14" i="1"/>
  <c r="AJ12" i="1"/>
  <c r="AI12" i="1"/>
  <c r="AH12" i="1"/>
  <c r="AG12" i="1"/>
  <c r="AF12" i="1"/>
  <c r="AD12" i="1"/>
  <c r="AC12" i="1"/>
  <c r="AB12" i="1"/>
  <c r="AA12" i="1"/>
  <c r="Y12" i="1"/>
  <c r="X12" i="1"/>
  <c r="W12" i="1"/>
  <c r="V12" i="1"/>
  <c r="S12" i="1"/>
  <c r="R12" i="1"/>
  <c r="Q12" i="1"/>
  <c r="P12" i="1"/>
  <c r="O12" i="1"/>
  <c r="M12" i="1"/>
  <c r="L12" i="1"/>
  <c r="K12" i="1"/>
  <c r="J12" i="1"/>
  <c r="H12" i="1"/>
  <c r="G12" i="1"/>
  <c r="F12" i="1"/>
  <c r="E12" i="1"/>
  <c r="E13" i="1" s="1"/>
  <c r="AO11" i="1"/>
  <c r="AN11" i="1"/>
  <c r="AK10" i="1"/>
  <c r="AE10" i="1"/>
  <c r="Z10" i="1"/>
  <c r="T10" i="1"/>
  <c r="N10" i="1"/>
  <c r="I10" i="1"/>
  <c r="AK9" i="1"/>
  <c r="AE9" i="1"/>
  <c r="Z9" i="1"/>
  <c r="T9" i="1"/>
  <c r="N9" i="1"/>
  <c r="I9" i="1"/>
  <c r="AO8" i="1"/>
  <c r="AN8" i="1"/>
  <c r="AJ6" i="1"/>
  <c r="AI6" i="1"/>
  <c r="AH6" i="1"/>
  <c r="AG6" i="1"/>
  <c r="AF6" i="1"/>
  <c r="AD6" i="1"/>
  <c r="AC6" i="1"/>
  <c r="AB6" i="1"/>
  <c r="AA6" i="1"/>
  <c r="Y6" i="1"/>
  <c r="X6" i="1"/>
  <c r="W6" i="1"/>
  <c r="V6" i="1"/>
  <c r="S6" i="1"/>
  <c r="R6" i="1"/>
  <c r="Q6" i="1"/>
  <c r="P6" i="1"/>
  <c r="O6" i="1"/>
  <c r="M6" i="1"/>
  <c r="L6" i="1"/>
  <c r="K6" i="1"/>
  <c r="J6" i="1"/>
  <c r="H6" i="1"/>
  <c r="G6" i="1"/>
  <c r="F6" i="1"/>
  <c r="E6" i="1"/>
  <c r="E7" i="1" s="1"/>
  <c r="AO5" i="1"/>
  <c r="AN5" i="1"/>
  <c r="AK4" i="1"/>
  <c r="AE4" i="1"/>
  <c r="Z4" i="1"/>
  <c r="T4" i="1"/>
  <c r="N4" i="1"/>
  <c r="I4" i="1"/>
  <c r="AK3" i="1"/>
  <c r="AE3" i="1"/>
  <c r="Z3" i="1"/>
  <c r="T3" i="1"/>
  <c r="N3" i="1"/>
  <c r="I3" i="1"/>
  <c r="U28" i="1" l="1"/>
  <c r="AN28" i="1" s="1"/>
  <c r="AL40" i="1"/>
  <c r="AO40" i="1" s="1"/>
  <c r="U117" i="1"/>
  <c r="AN117" i="1" s="1"/>
  <c r="I156" i="1"/>
  <c r="I157" i="1" s="1"/>
  <c r="AL39" i="1"/>
  <c r="AO39" i="1" s="1"/>
  <c r="U69" i="1"/>
  <c r="AN69" i="1" s="1"/>
  <c r="AL105" i="1"/>
  <c r="AO105" i="1" s="1"/>
  <c r="U208" i="1"/>
  <c r="AN208" i="1" s="1"/>
  <c r="AL213" i="1"/>
  <c r="AO213" i="1" s="1"/>
  <c r="U232" i="1"/>
  <c r="AN232" i="1" s="1"/>
  <c r="N120" i="1"/>
  <c r="N144" i="1"/>
  <c r="AL165" i="1"/>
  <c r="AO165" i="1" s="1"/>
  <c r="Z264" i="1"/>
  <c r="AK30" i="1"/>
  <c r="I78" i="1"/>
  <c r="I79" i="1" s="1"/>
  <c r="Z96" i="1"/>
  <c r="AE132" i="1"/>
  <c r="I216" i="1"/>
  <c r="I217" i="1" s="1"/>
  <c r="U15" i="1"/>
  <c r="AN15" i="1" s="1"/>
  <c r="AK144" i="1"/>
  <c r="AE192" i="1"/>
  <c r="AK204" i="1"/>
  <c r="AL208" i="1"/>
  <c r="AO208" i="1" s="1"/>
  <c r="U238" i="1"/>
  <c r="AN238" i="1" s="1"/>
  <c r="F241" i="1"/>
  <c r="T258" i="1"/>
  <c r="AB270" i="1"/>
  <c r="N18" i="1"/>
  <c r="U46" i="1"/>
  <c r="AN46" i="1" s="1"/>
  <c r="Z78" i="1"/>
  <c r="AL117" i="1"/>
  <c r="AO117" i="1" s="1"/>
  <c r="U172" i="1"/>
  <c r="AN172" i="1" s="1"/>
  <c r="T174" i="1"/>
  <c r="AE216" i="1"/>
  <c r="U220" i="1"/>
  <c r="AN220" i="1" s="1"/>
  <c r="AL15" i="1"/>
  <c r="AO15" i="1" s="1"/>
  <c r="AL64" i="1"/>
  <c r="AO64" i="1" s="1"/>
  <c r="U105" i="1"/>
  <c r="AN105" i="1" s="1"/>
  <c r="AK162" i="1"/>
  <c r="Z210" i="1"/>
  <c r="AK210" i="1"/>
  <c r="AL16" i="1"/>
  <c r="AO16" i="1" s="1"/>
  <c r="I18" i="1"/>
  <c r="I19" i="1" s="1"/>
  <c r="U22" i="1"/>
  <c r="AN22" i="1" s="1"/>
  <c r="AK48" i="1"/>
  <c r="N54" i="1"/>
  <c r="N55" i="1" s="1"/>
  <c r="AL58" i="1"/>
  <c r="AO58" i="1" s="1"/>
  <c r="AE60" i="1"/>
  <c r="AL76" i="1"/>
  <c r="AO76" i="1" s="1"/>
  <c r="U93" i="1"/>
  <c r="AN93" i="1" s="1"/>
  <c r="N96" i="1"/>
  <c r="U100" i="1"/>
  <c r="AN100" i="1" s="1"/>
  <c r="T102" i="1"/>
  <c r="AL112" i="1"/>
  <c r="AO112" i="1" s="1"/>
  <c r="AL118" i="1"/>
  <c r="AO118" i="1" s="1"/>
  <c r="U124" i="1"/>
  <c r="AN124" i="1" s="1"/>
  <c r="T126" i="1"/>
  <c r="AL147" i="1"/>
  <c r="AO147" i="1" s="1"/>
  <c r="T156" i="1"/>
  <c r="U165" i="1"/>
  <c r="AN165" i="1" s="1"/>
  <c r="AL177" i="1"/>
  <c r="AO177" i="1" s="1"/>
  <c r="U189" i="1"/>
  <c r="AN189" i="1" s="1"/>
  <c r="AL190" i="1"/>
  <c r="AO190" i="1" s="1"/>
  <c r="U196" i="1"/>
  <c r="AN196" i="1" s="1"/>
  <c r="AK228" i="1"/>
  <c r="AL243" i="1"/>
  <c r="AO243" i="1" s="1"/>
  <c r="U256" i="1"/>
  <c r="AN256" i="1" s="1"/>
  <c r="O270" i="1"/>
  <c r="Y270" i="1"/>
  <c r="K275" i="1"/>
  <c r="Z273" i="1"/>
  <c r="AF275" i="1"/>
  <c r="AL136" i="1"/>
  <c r="AO136" i="1" s="1"/>
  <c r="Z12" i="1"/>
  <c r="U39" i="1"/>
  <c r="AN39" i="1" s="1"/>
  <c r="AE42" i="1"/>
  <c r="AL51" i="1"/>
  <c r="AO51" i="1" s="1"/>
  <c r="AK60" i="1"/>
  <c r="AK78" i="1"/>
  <c r="T90" i="1"/>
  <c r="AL111" i="1"/>
  <c r="AO111" i="1" s="1"/>
  <c r="U141" i="1"/>
  <c r="AN141" i="1" s="1"/>
  <c r="U160" i="1"/>
  <c r="AN160" i="1" s="1"/>
  <c r="T162" i="1"/>
  <c r="N168" i="1"/>
  <c r="AK168" i="1"/>
  <c r="AL183" i="1"/>
  <c r="AO183" i="1" s="1"/>
  <c r="U195" i="1"/>
  <c r="AN195" i="1" s="1"/>
  <c r="AE222" i="1"/>
  <c r="AL225" i="1"/>
  <c r="AO225" i="1" s="1"/>
  <c r="N234" i="1"/>
  <c r="U244" i="1"/>
  <c r="AN244" i="1" s="1"/>
  <c r="Z252" i="1"/>
  <c r="AK252" i="1"/>
  <c r="AE258" i="1"/>
  <c r="AE267" i="1"/>
  <c r="AA270" i="1"/>
  <c r="AJ270" i="1"/>
  <c r="I272" i="1"/>
  <c r="T272" i="1"/>
  <c r="U64" i="1"/>
  <c r="AN64" i="1" s="1"/>
  <c r="AL129" i="1"/>
  <c r="AO129" i="1" s="1"/>
  <c r="U249" i="1"/>
  <c r="AN249" i="1" s="1"/>
  <c r="Z268" i="1"/>
  <c r="I12" i="1"/>
  <c r="I13" i="1" s="1"/>
  <c r="J13" i="1" s="1"/>
  <c r="K13" i="1" s="1"/>
  <c r="L13" i="1" s="1"/>
  <c r="AE12" i="1"/>
  <c r="N42" i="1"/>
  <c r="U52" i="1"/>
  <c r="AN52" i="1" s="1"/>
  <c r="I84" i="1"/>
  <c r="I85" i="1" s="1"/>
  <c r="AL141" i="1"/>
  <c r="AO141" i="1" s="1"/>
  <c r="Z144" i="1"/>
  <c r="U153" i="1"/>
  <c r="AN153" i="1" s="1"/>
  <c r="AE162" i="1"/>
  <c r="AL172" i="1"/>
  <c r="AO172" i="1" s="1"/>
  <c r="AL196" i="1"/>
  <c r="AO196" i="1" s="1"/>
  <c r="U202" i="1"/>
  <c r="AN202" i="1" s="1"/>
  <c r="AL214" i="1"/>
  <c r="AO214" i="1" s="1"/>
  <c r="AL238" i="1"/>
  <c r="AO238" i="1" s="1"/>
  <c r="N252" i="1"/>
  <c r="AL256" i="1"/>
  <c r="AO256" i="1" s="1"/>
  <c r="H270" i="1"/>
  <c r="R270" i="1"/>
  <c r="O275" i="1"/>
  <c r="Y275" i="1"/>
  <c r="AI275" i="1"/>
  <c r="AL9" i="1"/>
  <c r="AO9" i="1" s="1"/>
  <c r="Z246" i="1"/>
  <c r="U3" i="1"/>
  <c r="AN3" i="1" s="1"/>
  <c r="I36" i="1"/>
  <c r="I37" i="1" s="1"/>
  <c r="J37" i="1" s="1"/>
  <c r="I54" i="1"/>
  <c r="I55" i="1" s="1"/>
  <c r="AL70" i="1"/>
  <c r="AO70" i="1" s="1"/>
  <c r="N84" i="1"/>
  <c r="AE114" i="1"/>
  <c r="U123" i="1"/>
  <c r="AN123" i="1" s="1"/>
  <c r="N156" i="1"/>
  <c r="Z174" i="1"/>
  <c r="AK174" i="1"/>
  <c r="T210" i="1"/>
  <c r="AK216" i="1"/>
  <c r="AK267" i="1"/>
  <c r="N268" i="1"/>
  <c r="AC270" i="1"/>
  <c r="T269" i="1"/>
  <c r="E275" i="1"/>
  <c r="U57" i="1"/>
  <c r="AN57" i="1" s="1"/>
  <c r="AK90" i="1"/>
  <c r="AL201" i="1"/>
  <c r="AO201" i="1" s="1"/>
  <c r="Z6" i="1"/>
  <c r="AL10" i="1"/>
  <c r="AO10" i="1" s="1"/>
  <c r="U58" i="1"/>
  <c r="AN58" i="1" s="1"/>
  <c r="T60" i="1"/>
  <c r="Z84" i="1"/>
  <c r="Z108" i="1"/>
  <c r="AK120" i="1"/>
  <c r="Z126" i="1"/>
  <c r="AK126" i="1"/>
  <c r="AE138" i="1"/>
  <c r="AL154" i="1"/>
  <c r="AO154" i="1" s="1"/>
  <c r="U177" i="1"/>
  <c r="AN177" i="1" s="1"/>
  <c r="T192" i="1"/>
  <c r="AL244" i="1"/>
  <c r="AO244" i="1" s="1"/>
  <c r="U250" i="1"/>
  <c r="AN250" i="1" s="1"/>
  <c r="Z258" i="1"/>
  <c r="V270" i="1"/>
  <c r="AE269" i="1"/>
  <c r="Q275" i="1"/>
  <c r="T275" i="1" s="1"/>
  <c r="AB275" i="1"/>
  <c r="AE168" i="1"/>
  <c r="Z66" i="1"/>
  <c r="AK6" i="1"/>
  <c r="AE18" i="1"/>
  <c r="AL45" i="1"/>
  <c r="AO45" i="1" s="1"/>
  <c r="AL52" i="1"/>
  <c r="AO52" i="1" s="1"/>
  <c r="I138" i="1"/>
  <c r="I139" i="1" s="1"/>
  <c r="J139" i="1" s="1"/>
  <c r="I150" i="1"/>
  <c r="I151" i="1" s="1"/>
  <c r="J151" i="1" s="1"/>
  <c r="U159" i="1"/>
  <c r="AN159" i="1" s="1"/>
  <c r="U190" i="1"/>
  <c r="AN190" i="1" s="1"/>
  <c r="U201" i="1"/>
  <c r="AN201" i="1" s="1"/>
  <c r="AK222" i="1"/>
  <c r="AL226" i="1"/>
  <c r="AO226" i="1" s="1"/>
  <c r="Z240" i="1"/>
  <c r="U243" i="1"/>
  <c r="AN243" i="1" s="1"/>
  <c r="N258" i="1"/>
  <c r="U261" i="1"/>
  <c r="AN261" i="1" s="1"/>
  <c r="N264" i="1"/>
  <c r="AP386" i="2"/>
  <c r="AP382" i="2"/>
  <c r="AL391" i="2"/>
  <c r="AO386" i="2"/>
  <c r="BA382" i="2"/>
  <c r="AX386" i="2"/>
  <c r="AO382" i="2"/>
  <c r="AY386" i="2"/>
  <c r="U391" i="2"/>
  <c r="J217" i="1"/>
  <c r="F242" i="1"/>
  <c r="G241" i="1"/>
  <c r="G242" i="1" s="1"/>
  <c r="E8" i="1"/>
  <c r="F7" i="1"/>
  <c r="F8" i="1" s="1"/>
  <c r="U27" i="1"/>
  <c r="AN27" i="1" s="1"/>
  <c r="T30" i="1"/>
  <c r="AK36" i="1"/>
  <c r="U40" i="1"/>
  <c r="AN40" i="1" s="1"/>
  <c r="AL46" i="1"/>
  <c r="AO46" i="1" s="1"/>
  <c r="U63" i="1"/>
  <c r="AN63" i="1" s="1"/>
  <c r="AE66" i="1"/>
  <c r="AK72" i="1"/>
  <c r="AE78" i="1"/>
  <c r="AE84" i="1"/>
  <c r="AL87" i="1"/>
  <c r="AO87" i="1" s="1"/>
  <c r="Z102" i="1"/>
  <c r="AK102" i="1"/>
  <c r="I108" i="1"/>
  <c r="I109" i="1" s="1"/>
  <c r="N109" i="1" s="1"/>
  <c r="Z120" i="1"/>
  <c r="AE126" i="1"/>
  <c r="Z132" i="1"/>
  <c r="T138" i="1"/>
  <c r="AL142" i="1"/>
  <c r="AO142" i="1" s="1"/>
  <c r="U178" i="1"/>
  <c r="AN178" i="1" s="1"/>
  <c r="AE210" i="1"/>
  <c r="N216" i="1"/>
  <c r="N217" i="1" s="1"/>
  <c r="Z228" i="1"/>
  <c r="U231" i="1"/>
  <c r="AN231" i="1" s="1"/>
  <c r="T234" i="1"/>
  <c r="U262" i="1"/>
  <c r="AN262" i="1" s="1"/>
  <c r="AK264" i="1"/>
  <c r="N269" i="1"/>
  <c r="Z272" i="1"/>
  <c r="T24" i="1"/>
  <c r="Z36" i="1"/>
  <c r="Z48" i="1"/>
  <c r="Z72" i="1"/>
  <c r="N78" i="1"/>
  <c r="F79" i="1"/>
  <c r="F80" i="1" s="1"/>
  <c r="AL81" i="1"/>
  <c r="AO81" i="1" s="1"/>
  <c r="T120" i="1"/>
  <c r="U135" i="1"/>
  <c r="AN135" i="1" s="1"/>
  <c r="AE144" i="1"/>
  <c r="U154" i="1"/>
  <c r="AN154" i="1" s="1"/>
  <c r="AL159" i="1"/>
  <c r="AO159" i="1" s="1"/>
  <c r="AL160" i="1"/>
  <c r="AO160" i="1" s="1"/>
  <c r="AL184" i="1"/>
  <c r="AO184" i="1" s="1"/>
  <c r="Z192" i="1"/>
  <c r="U214" i="1"/>
  <c r="AN214" i="1" s="1"/>
  <c r="N222" i="1"/>
  <c r="AL232" i="1"/>
  <c r="AO232" i="1" s="1"/>
  <c r="AL250" i="1"/>
  <c r="AO250" i="1" s="1"/>
  <c r="AL262" i="1"/>
  <c r="AO262" i="1" s="1"/>
  <c r="AE264" i="1"/>
  <c r="AL144" i="1"/>
  <c r="AO144" i="1" s="1"/>
  <c r="U4" i="1"/>
  <c r="AN4" i="1" s="1"/>
  <c r="I6" i="1"/>
  <c r="I7" i="1" s="1"/>
  <c r="J7" i="1" s="1"/>
  <c r="U9" i="1"/>
  <c r="AN9" i="1" s="1"/>
  <c r="T12" i="1"/>
  <c r="AL27" i="1"/>
  <c r="AO27" i="1" s="1"/>
  <c r="U33" i="1"/>
  <c r="AN33" i="1" s="1"/>
  <c r="AL34" i="1"/>
  <c r="AO34" i="1" s="1"/>
  <c r="N66" i="1"/>
  <c r="T66" i="1"/>
  <c r="AE72" i="1"/>
  <c r="AL72" i="1" s="1"/>
  <c r="AO72" i="1" s="1"/>
  <c r="U82" i="1"/>
  <c r="AN82" i="1" s="1"/>
  <c r="AL93" i="1"/>
  <c r="AO93" i="1" s="1"/>
  <c r="AE96" i="1"/>
  <c r="N108" i="1"/>
  <c r="U112" i="1"/>
  <c r="AN112" i="1" s="1"/>
  <c r="T114" i="1"/>
  <c r="U130" i="1"/>
  <c r="AN130" i="1" s="1"/>
  <c r="AE150" i="1"/>
  <c r="Z162" i="1"/>
  <c r="Z168" i="1"/>
  <c r="AL178" i="1"/>
  <c r="AO178" i="1" s="1"/>
  <c r="AE180" i="1"/>
  <c r="N186" i="1"/>
  <c r="AL202" i="1"/>
  <c r="AO202" i="1" s="1"/>
  <c r="AL219" i="1"/>
  <c r="AO219" i="1" s="1"/>
  <c r="U226" i="1"/>
  <c r="AN226" i="1" s="1"/>
  <c r="T228" i="1"/>
  <c r="AK240" i="1"/>
  <c r="T246" i="1"/>
  <c r="AE246" i="1"/>
  <c r="AE252" i="1"/>
  <c r="T264" i="1"/>
  <c r="F265" i="1"/>
  <c r="Z267" i="1"/>
  <c r="AL267" i="1" s="1"/>
  <c r="AO267" i="1" s="1"/>
  <c r="AE6" i="1"/>
  <c r="AL6" i="1" s="1"/>
  <c r="AO6" i="1" s="1"/>
  <c r="Z18" i="1"/>
  <c r="AK18" i="1"/>
  <c r="E37" i="1"/>
  <c r="U76" i="1"/>
  <c r="AN76" i="1" s="1"/>
  <c r="I133" i="1"/>
  <c r="E151" i="1"/>
  <c r="E152" i="1" s="1"/>
  <c r="E181" i="1"/>
  <c r="E182" i="1" s="1"/>
  <c r="Z216" i="1"/>
  <c r="AL216" i="1" s="1"/>
  <c r="AO216" i="1" s="1"/>
  <c r="AE234" i="1"/>
  <c r="M275" i="1"/>
  <c r="X275" i="1"/>
  <c r="AL4" i="1"/>
  <c r="AO4" i="1" s="1"/>
  <c r="T6" i="1"/>
  <c r="AE24" i="1"/>
  <c r="I48" i="1"/>
  <c r="I49" i="1" s="1"/>
  <c r="J49" i="1" s="1"/>
  <c r="AL78" i="1"/>
  <c r="AO78" i="1" s="1"/>
  <c r="U87" i="1"/>
  <c r="AN87" i="1" s="1"/>
  <c r="AL100" i="1"/>
  <c r="AO100" i="1" s="1"/>
  <c r="AE120" i="1"/>
  <c r="AL120" i="1" s="1"/>
  <c r="AO120" i="1" s="1"/>
  <c r="AL135" i="1"/>
  <c r="AO135" i="1" s="1"/>
  <c r="AE156" i="1"/>
  <c r="T168" i="1"/>
  <c r="U171" i="1"/>
  <c r="AN171" i="1" s="1"/>
  <c r="U184" i="1"/>
  <c r="AN184" i="1" s="1"/>
  <c r="T186" i="1"/>
  <c r="AL195" i="1"/>
  <c r="AO195" i="1" s="1"/>
  <c r="AE198" i="1"/>
  <c r="F199" i="1"/>
  <c r="U213" i="1"/>
  <c r="AN213" i="1" s="1"/>
  <c r="Z234" i="1"/>
  <c r="AK234" i="1"/>
  <c r="AE240" i="1"/>
  <c r="I246" i="1"/>
  <c r="I247" i="1" s="1"/>
  <c r="U255" i="1"/>
  <c r="AN255" i="1" s="1"/>
  <c r="AK258" i="1"/>
  <c r="AL258" i="1" s="1"/>
  <c r="AO258" i="1" s="1"/>
  <c r="N267" i="1"/>
  <c r="K270" i="1"/>
  <c r="F270" i="1"/>
  <c r="AH275" i="1"/>
  <c r="AK275" i="1" s="1"/>
  <c r="N6" i="1"/>
  <c r="AL33" i="1"/>
  <c r="AO33" i="1" s="1"/>
  <c r="N36" i="1"/>
  <c r="T36" i="1"/>
  <c r="AK42" i="1"/>
  <c r="AE48" i="1"/>
  <c r="AE54" i="1"/>
  <c r="T78" i="1"/>
  <c r="U78" i="1" s="1"/>
  <c r="AN78" i="1" s="1"/>
  <c r="AL82" i="1"/>
  <c r="AO82" i="1" s="1"/>
  <c r="AK96" i="1"/>
  <c r="AL96" i="1" s="1"/>
  <c r="AO96" i="1" s="1"/>
  <c r="U111" i="1"/>
  <c r="AN111" i="1" s="1"/>
  <c r="T144" i="1"/>
  <c r="U147" i="1"/>
  <c r="AN147" i="1" s="1"/>
  <c r="N150" i="1"/>
  <c r="N151" i="1" s="1"/>
  <c r="O151" i="1" s="1"/>
  <c r="AK156" i="1"/>
  <c r="N180" i="1"/>
  <c r="N181" i="1" s="1"/>
  <c r="N198" i="1"/>
  <c r="Z204" i="1"/>
  <c r="T216" i="1"/>
  <c r="E217" i="1"/>
  <c r="T222" i="1"/>
  <c r="N246" i="1"/>
  <c r="AL261" i="1"/>
  <c r="AO261" i="1" s="1"/>
  <c r="I267" i="1"/>
  <c r="T267" i="1"/>
  <c r="AF270" i="1"/>
  <c r="N274" i="1"/>
  <c r="AL3" i="1"/>
  <c r="AO3" i="1" s="1"/>
  <c r="U10" i="1"/>
  <c r="AN10" i="1" s="1"/>
  <c r="AL22" i="1"/>
  <c r="AO22" i="1" s="1"/>
  <c r="AK24" i="1"/>
  <c r="N60" i="1"/>
  <c r="Z60" i="1"/>
  <c r="AK66" i="1"/>
  <c r="U81" i="1"/>
  <c r="AN81" i="1" s="1"/>
  <c r="Z90" i="1"/>
  <c r="T96" i="1"/>
  <c r="U106" i="1"/>
  <c r="AN106" i="1" s="1"/>
  <c r="U136" i="1"/>
  <c r="AN136" i="1" s="1"/>
  <c r="AL166" i="1"/>
  <c r="AO166" i="1" s="1"/>
  <c r="Z180" i="1"/>
  <c r="I186" i="1"/>
  <c r="I187" i="1" s="1"/>
  <c r="U207" i="1"/>
  <c r="AN207" i="1" s="1"/>
  <c r="N240" i="1"/>
  <c r="AK246" i="1"/>
  <c r="AL246" i="1" s="1"/>
  <c r="AO246" i="1" s="1"/>
  <c r="I252" i="1"/>
  <c r="I253" i="1" s="1"/>
  <c r="T252" i="1"/>
  <c r="U252" i="1" s="1"/>
  <c r="N272" i="1"/>
  <c r="U272" i="1" s="1"/>
  <c r="AN272" i="1" s="1"/>
  <c r="AE273" i="1"/>
  <c r="Z274" i="1"/>
  <c r="AK274" i="1"/>
  <c r="J275" i="1"/>
  <c r="AT382" i="2"/>
  <c r="BB382" i="2"/>
  <c r="AR386" i="2"/>
  <c r="AZ386" i="2"/>
  <c r="AU382" i="2"/>
  <c r="BC382" i="2"/>
  <c r="AS386" i="2"/>
  <c r="BA386" i="2"/>
  <c r="AQ386" i="2"/>
  <c r="AV382" i="2"/>
  <c r="AT386" i="2"/>
  <c r="BB386" i="2"/>
  <c r="AW382" i="2"/>
  <c r="AU386" i="2"/>
  <c r="AX382" i="2"/>
  <c r="AV386" i="2"/>
  <c r="AS382" i="2"/>
  <c r="AQ382" i="2"/>
  <c r="AY382" i="2"/>
  <c r="AW386" i="2"/>
  <c r="AR382" i="2"/>
  <c r="AZ382" i="2"/>
  <c r="E14" i="1"/>
  <c r="F13" i="1"/>
  <c r="J19" i="1"/>
  <c r="N19" i="1"/>
  <c r="AK12" i="1"/>
  <c r="AL12" i="1" s="1"/>
  <c r="AO12" i="1" s="1"/>
  <c r="E38" i="1"/>
  <c r="F37" i="1"/>
  <c r="E276" i="1"/>
  <c r="F276" i="1" s="1"/>
  <c r="AL18" i="1"/>
  <c r="AO18" i="1" s="1"/>
  <c r="F19" i="1"/>
  <c r="G273" i="1"/>
  <c r="G268" i="1"/>
  <c r="G42" i="1"/>
  <c r="I42" i="1" s="1"/>
  <c r="I43" i="1" s="1"/>
  <c r="E44" i="1"/>
  <c r="F43" i="1"/>
  <c r="E73" i="1"/>
  <c r="I72" i="1"/>
  <c r="I73" i="1" s="1"/>
  <c r="J85" i="1"/>
  <c r="N12" i="1"/>
  <c r="Z42" i="1"/>
  <c r="AL42" i="1" s="1"/>
  <c r="AO42" i="1" s="1"/>
  <c r="G7" i="1"/>
  <c r="T18" i="1"/>
  <c r="U18" i="1" s="1"/>
  <c r="Z24" i="1"/>
  <c r="E31" i="1"/>
  <c r="I30" i="1"/>
  <c r="I31" i="1" s="1"/>
  <c r="AL57" i="1"/>
  <c r="AO57" i="1" s="1"/>
  <c r="J55" i="1"/>
  <c r="F61" i="1"/>
  <c r="E62" i="1"/>
  <c r="E25" i="1"/>
  <c r="I24" i="1"/>
  <c r="I25" i="1" s="1"/>
  <c r="T42" i="1"/>
  <c r="N48" i="1"/>
  <c r="I60" i="1"/>
  <c r="I61" i="1" s="1"/>
  <c r="J79" i="1"/>
  <c r="N79" i="1"/>
  <c r="U16" i="1"/>
  <c r="AN16" i="1" s="1"/>
  <c r="U21" i="1"/>
  <c r="AN21" i="1" s="1"/>
  <c r="AL28" i="1"/>
  <c r="AO28" i="1" s="1"/>
  <c r="AE30" i="1"/>
  <c r="AE36" i="1"/>
  <c r="AL36" i="1" s="1"/>
  <c r="AO36" i="1" s="1"/>
  <c r="E49" i="1"/>
  <c r="AL48" i="1"/>
  <c r="AO48" i="1" s="1"/>
  <c r="T54" i="1"/>
  <c r="U54" i="1" s="1"/>
  <c r="T72" i="1"/>
  <c r="Z150" i="1"/>
  <c r="AL63" i="1"/>
  <c r="AO63" i="1" s="1"/>
  <c r="J133" i="1"/>
  <c r="T48" i="1"/>
  <c r="AL69" i="1"/>
  <c r="AO69" i="1" s="1"/>
  <c r="N72" i="1"/>
  <c r="N90" i="1"/>
  <c r="I96" i="1"/>
  <c r="I97" i="1" s="1"/>
  <c r="E97" i="1"/>
  <c r="E110" i="1"/>
  <c r="F109" i="1"/>
  <c r="U51" i="1"/>
  <c r="AN51" i="1" s="1"/>
  <c r="Z54" i="1"/>
  <c r="U70" i="1"/>
  <c r="AN70" i="1" s="1"/>
  <c r="U75" i="1"/>
  <c r="AN75" i="1" s="1"/>
  <c r="E86" i="1"/>
  <c r="F85" i="1"/>
  <c r="AK54" i="1"/>
  <c r="E56" i="1"/>
  <c r="F55" i="1"/>
  <c r="E67" i="1"/>
  <c r="I66" i="1"/>
  <c r="I67" i="1" s="1"/>
  <c r="G79" i="1"/>
  <c r="E91" i="1"/>
  <c r="I90" i="1"/>
  <c r="I91" i="1" s="1"/>
  <c r="AL94" i="1"/>
  <c r="AO94" i="1" s="1"/>
  <c r="N132" i="1"/>
  <c r="N133" i="1" s="1"/>
  <c r="E103" i="1"/>
  <c r="I102" i="1"/>
  <c r="I103" i="1" s="1"/>
  <c r="AL88" i="1"/>
  <c r="AO88" i="1" s="1"/>
  <c r="I114" i="1"/>
  <c r="I115" i="1" s="1"/>
  <c r="AL126" i="1"/>
  <c r="AO126" i="1" s="1"/>
  <c r="E158" i="1"/>
  <c r="F157" i="1"/>
  <c r="N157" i="1"/>
  <c r="J157" i="1"/>
  <c r="U156" i="1"/>
  <c r="AL75" i="1"/>
  <c r="AO75" i="1" s="1"/>
  <c r="T84" i="1"/>
  <c r="U84" i="1" s="1"/>
  <c r="AK84" i="1"/>
  <c r="AL84" i="1" s="1"/>
  <c r="AO84" i="1" s="1"/>
  <c r="AE90" i="1"/>
  <c r="AL90" i="1" s="1"/>
  <c r="AO90" i="1" s="1"/>
  <c r="E134" i="1"/>
  <c r="F133" i="1"/>
  <c r="E127" i="1"/>
  <c r="I126" i="1"/>
  <c r="I127" i="1" s="1"/>
  <c r="T150" i="1"/>
  <c r="U150" i="1" s="1"/>
  <c r="J187" i="1"/>
  <c r="N187" i="1"/>
  <c r="U99" i="1"/>
  <c r="AN99" i="1" s="1"/>
  <c r="N114" i="1"/>
  <c r="N138" i="1"/>
  <c r="AL106" i="1"/>
  <c r="AO106" i="1" s="1"/>
  <c r="AK108" i="1"/>
  <c r="AL130" i="1"/>
  <c r="AO130" i="1" s="1"/>
  <c r="AK132" i="1"/>
  <c r="AL132" i="1" s="1"/>
  <c r="AO132" i="1" s="1"/>
  <c r="E169" i="1"/>
  <c r="I168" i="1"/>
  <c r="I169" i="1" s="1"/>
  <c r="T108" i="1"/>
  <c r="Z114" i="1"/>
  <c r="E116" i="1"/>
  <c r="F115" i="1"/>
  <c r="T132" i="1"/>
  <c r="Z138" i="1"/>
  <c r="E140" i="1"/>
  <c r="F139" i="1"/>
  <c r="U168" i="1"/>
  <c r="U94" i="1"/>
  <c r="AN94" i="1" s="1"/>
  <c r="AL99" i="1"/>
  <c r="AO99" i="1" s="1"/>
  <c r="N102" i="1"/>
  <c r="AK114" i="1"/>
  <c r="U118" i="1"/>
  <c r="AN118" i="1" s="1"/>
  <c r="AL123" i="1"/>
  <c r="AO123" i="1" s="1"/>
  <c r="AK138" i="1"/>
  <c r="U142" i="1"/>
  <c r="AN142" i="1" s="1"/>
  <c r="F151" i="1"/>
  <c r="Z156" i="1"/>
  <c r="I162" i="1"/>
  <c r="I163" i="1" s="1"/>
  <c r="E163" i="1"/>
  <c r="AE108" i="1"/>
  <c r="E121" i="1"/>
  <c r="I120" i="1"/>
  <c r="I121" i="1" s="1"/>
  <c r="N126" i="1"/>
  <c r="E145" i="1"/>
  <c r="I144" i="1"/>
  <c r="I145" i="1" s="1"/>
  <c r="AK150" i="1"/>
  <c r="E175" i="1"/>
  <c r="I174" i="1"/>
  <c r="I175" i="1" s="1"/>
  <c r="G199" i="1"/>
  <c r="F200" i="1"/>
  <c r="AK180" i="1"/>
  <c r="AL180" i="1" s="1"/>
  <c r="AO180" i="1" s="1"/>
  <c r="Z222" i="1"/>
  <c r="AL222" i="1" s="1"/>
  <c r="AO222" i="1" s="1"/>
  <c r="J181" i="1"/>
  <c r="AE228" i="1"/>
  <c r="AE174" i="1"/>
  <c r="T180" i="1"/>
  <c r="U183" i="1"/>
  <c r="AN183" i="1" s="1"/>
  <c r="Z186" i="1"/>
  <c r="E188" i="1"/>
  <c r="F187" i="1"/>
  <c r="E224" i="1"/>
  <c r="F223" i="1"/>
  <c r="N162" i="1"/>
  <c r="U162" i="1" s="1"/>
  <c r="U166" i="1"/>
  <c r="AN166" i="1" s="1"/>
  <c r="AL171" i="1"/>
  <c r="AO171" i="1" s="1"/>
  <c r="AK186" i="1"/>
  <c r="T198" i="1"/>
  <c r="N204" i="1"/>
  <c r="N210" i="1"/>
  <c r="U219" i="1"/>
  <c r="AN219" i="1" s="1"/>
  <c r="N174" i="1"/>
  <c r="I192" i="1"/>
  <c r="I193" i="1" s="1"/>
  <c r="E193" i="1"/>
  <c r="AL210" i="1"/>
  <c r="AO210" i="1" s="1"/>
  <c r="E235" i="1"/>
  <c r="I234" i="1"/>
  <c r="I235" i="1" s="1"/>
  <c r="AK192" i="1"/>
  <c r="E205" i="1"/>
  <c r="I204" i="1"/>
  <c r="I205" i="1" s="1"/>
  <c r="E212" i="1"/>
  <c r="F211" i="1"/>
  <c r="AL231" i="1"/>
  <c r="AO231" i="1" s="1"/>
  <c r="N253" i="1"/>
  <c r="J253" i="1"/>
  <c r="T204" i="1"/>
  <c r="AK198" i="1"/>
  <c r="AE204" i="1"/>
  <c r="AL207" i="1"/>
  <c r="AO207" i="1" s="1"/>
  <c r="E229" i="1"/>
  <c r="I228" i="1"/>
  <c r="T240" i="1"/>
  <c r="AE272" i="1"/>
  <c r="AL272" i="1" s="1"/>
  <c r="AO272" i="1" s="1"/>
  <c r="AE274" i="1"/>
  <c r="I198" i="1"/>
  <c r="I199" i="1" s="1"/>
  <c r="I222" i="1"/>
  <c r="I223" i="1" s="1"/>
  <c r="AL264" i="1"/>
  <c r="AO264" i="1" s="1"/>
  <c r="AG270" i="1"/>
  <c r="AL237" i="1"/>
  <c r="AO237" i="1" s="1"/>
  <c r="F253" i="1"/>
  <c r="E271" i="1"/>
  <c r="F271" i="1" s="1"/>
  <c r="AH270" i="1"/>
  <c r="AK268" i="1"/>
  <c r="N275" i="1"/>
  <c r="U246" i="1"/>
  <c r="AK269" i="1"/>
  <c r="F259" i="1"/>
  <c r="E260" i="1"/>
  <c r="F266" i="1"/>
  <c r="G265" i="1"/>
  <c r="Q270" i="1"/>
  <c r="T270" i="1" s="1"/>
  <c r="T268" i="1"/>
  <c r="Z270" i="1"/>
  <c r="I210" i="1"/>
  <c r="I211" i="1" s="1"/>
  <c r="J247" i="1"/>
  <c r="N247" i="1"/>
  <c r="V275" i="1"/>
  <c r="AD275" i="1"/>
  <c r="I240" i="1"/>
  <c r="I241" i="1" s="1"/>
  <c r="E254" i="1"/>
  <c r="I264" i="1"/>
  <c r="I265" i="1" s="1"/>
  <c r="AA275" i="1"/>
  <c r="F247" i="1"/>
  <c r="T273" i="1"/>
  <c r="AK273" i="1"/>
  <c r="AL273" i="1" s="1"/>
  <c r="AO273" i="1" s="1"/>
  <c r="J270" i="1"/>
  <c r="N270" i="1" s="1"/>
  <c r="I258" i="1"/>
  <c r="I259" i="1" s="1"/>
  <c r="AE268" i="1"/>
  <c r="AL268" i="1" s="1"/>
  <c r="AO268" i="1" s="1"/>
  <c r="K151" i="1" l="1"/>
  <c r="J152" i="1"/>
  <c r="AK270" i="1"/>
  <c r="AL60" i="1"/>
  <c r="AO60" i="1" s="1"/>
  <c r="AL168" i="1"/>
  <c r="AO168" i="1" s="1"/>
  <c r="U180" i="1"/>
  <c r="N139" i="1"/>
  <c r="AL204" i="1"/>
  <c r="AO204" i="1" s="1"/>
  <c r="AL102" i="1"/>
  <c r="AO102" i="1" s="1"/>
  <c r="J109" i="1"/>
  <c r="AL30" i="1"/>
  <c r="AO30" i="1" s="1"/>
  <c r="AL252" i="1"/>
  <c r="AO252" i="1" s="1"/>
  <c r="AL162" i="1"/>
  <c r="AO162" i="1" s="1"/>
  <c r="AE270" i="1"/>
  <c r="AL270" i="1" s="1"/>
  <c r="AO270" i="1" s="1"/>
  <c r="AE275" i="1"/>
  <c r="L14" i="1"/>
  <c r="M13" i="1"/>
  <c r="M14" i="1" s="1"/>
  <c r="O217" i="1"/>
  <c r="T217" i="1"/>
  <c r="H241" i="1"/>
  <c r="H242" i="1" s="1"/>
  <c r="N49" i="1"/>
  <c r="AL174" i="1"/>
  <c r="AO174" i="1" s="1"/>
  <c r="AL156" i="1"/>
  <c r="AO156" i="1" s="1"/>
  <c r="N13" i="1"/>
  <c r="T13" i="1" s="1"/>
  <c r="J14" i="1"/>
  <c r="AL24" i="1"/>
  <c r="AO24" i="1" s="1"/>
  <c r="U6" i="1"/>
  <c r="U216" i="1"/>
  <c r="U217" i="1" s="1"/>
  <c r="N37" i="1"/>
  <c r="T37" i="1" s="1"/>
  <c r="N85" i="1"/>
  <c r="O85" i="1" s="1"/>
  <c r="AL138" i="1"/>
  <c r="AO138" i="1" s="1"/>
  <c r="U108" i="1"/>
  <c r="U90" i="1"/>
  <c r="AL66" i="1"/>
  <c r="AO66" i="1" s="1"/>
  <c r="K14" i="1"/>
  <c r="F181" i="1"/>
  <c r="N7" i="1"/>
  <c r="T7" i="1" s="1"/>
  <c r="AL234" i="1"/>
  <c r="AO234" i="1" s="1"/>
  <c r="AL228" i="1"/>
  <c r="AO228" i="1" s="1"/>
  <c r="BD382" i="2"/>
  <c r="BD386" i="2"/>
  <c r="U126" i="1"/>
  <c r="U96" i="1"/>
  <c r="U138" i="1"/>
  <c r="U186" i="1"/>
  <c r="AN186" i="1" s="1"/>
  <c r="K217" i="1"/>
  <c r="J218" i="1"/>
  <c r="AL198" i="1"/>
  <c r="AO198" i="1" s="1"/>
  <c r="U174" i="1"/>
  <c r="AL240" i="1"/>
  <c r="AO240" i="1" s="1"/>
  <c r="U240" i="1"/>
  <c r="U120" i="1"/>
  <c r="AN120" i="1" s="1"/>
  <c r="U258" i="1"/>
  <c r="AL192" i="1"/>
  <c r="AO192" i="1" s="1"/>
  <c r="AL150" i="1"/>
  <c r="AO150" i="1" s="1"/>
  <c r="U102" i="1"/>
  <c r="U103" i="1" s="1"/>
  <c r="U132" i="1"/>
  <c r="U114" i="1"/>
  <c r="U60" i="1"/>
  <c r="Z275" i="1"/>
  <c r="AL275" i="1" s="1"/>
  <c r="AO275" i="1" s="1"/>
  <c r="T85" i="1"/>
  <c r="E218" i="1"/>
  <c r="F217" i="1"/>
  <c r="U36" i="1"/>
  <c r="U267" i="1"/>
  <c r="AN267" i="1" s="1"/>
  <c r="AN90" i="1"/>
  <c r="U91" i="1"/>
  <c r="T133" i="1"/>
  <c r="O133" i="1"/>
  <c r="O139" i="1"/>
  <c r="T139" i="1"/>
  <c r="T49" i="1"/>
  <c r="O49" i="1"/>
  <c r="U115" i="1"/>
  <c r="AN114" i="1"/>
  <c r="N145" i="1"/>
  <c r="J145" i="1"/>
  <c r="F14" i="1"/>
  <c r="G13" i="1"/>
  <c r="O247" i="1"/>
  <c r="T247" i="1"/>
  <c r="U264" i="1"/>
  <c r="J193" i="1"/>
  <c r="N193" i="1"/>
  <c r="G223" i="1"/>
  <c r="F224" i="1"/>
  <c r="J163" i="1"/>
  <c r="N163" i="1"/>
  <c r="AN132" i="1"/>
  <c r="U133" i="1"/>
  <c r="E170" i="1"/>
  <c r="F169" i="1"/>
  <c r="U144" i="1"/>
  <c r="G80" i="1"/>
  <c r="H79" i="1"/>
  <c r="H80" i="1" s="1"/>
  <c r="J97" i="1"/>
  <c r="N97" i="1"/>
  <c r="F49" i="1"/>
  <c r="E50" i="1"/>
  <c r="N61" i="1"/>
  <c r="J61" i="1"/>
  <c r="O55" i="1"/>
  <c r="T55" i="1"/>
  <c r="AN18" i="1"/>
  <c r="U19" i="1"/>
  <c r="O86" i="1"/>
  <c r="P85" i="1"/>
  <c r="U30" i="1"/>
  <c r="U175" i="1"/>
  <c r="AN174" i="1"/>
  <c r="U139" i="1"/>
  <c r="AN138" i="1"/>
  <c r="U259" i="1"/>
  <c r="AN258" i="1"/>
  <c r="U204" i="1"/>
  <c r="F205" i="1"/>
  <c r="E206" i="1"/>
  <c r="U163" i="1"/>
  <c r="AN162" i="1"/>
  <c r="F188" i="1"/>
  <c r="G187" i="1"/>
  <c r="O218" i="1"/>
  <c r="P217" i="1"/>
  <c r="N175" i="1"/>
  <c r="J175" i="1"/>
  <c r="E146" i="1"/>
  <c r="F145" i="1"/>
  <c r="F152" i="1"/>
  <c r="G151" i="1"/>
  <c r="J158" i="1"/>
  <c r="K157" i="1"/>
  <c r="J115" i="1"/>
  <c r="N115" i="1"/>
  <c r="F67" i="1"/>
  <c r="E68" i="1"/>
  <c r="U42" i="1"/>
  <c r="U61" i="1"/>
  <c r="AN60" i="1"/>
  <c r="J86" i="1"/>
  <c r="K85" i="1"/>
  <c r="G270" i="1"/>
  <c r="I270" i="1" s="1"/>
  <c r="I271" i="1" s="1"/>
  <c r="I268" i="1"/>
  <c r="F248" i="1"/>
  <c r="G247" i="1"/>
  <c r="N205" i="1"/>
  <c r="J205" i="1"/>
  <c r="G8" i="1"/>
  <c r="H7" i="1"/>
  <c r="H8" i="1" s="1"/>
  <c r="J211" i="1"/>
  <c r="N211" i="1"/>
  <c r="F175" i="1"/>
  <c r="E176" i="1"/>
  <c r="U127" i="1"/>
  <c r="AN126" i="1"/>
  <c r="U169" i="1"/>
  <c r="AN168" i="1"/>
  <c r="O187" i="1"/>
  <c r="T187" i="1"/>
  <c r="K109" i="1"/>
  <c r="J110" i="1"/>
  <c r="O157" i="1"/>
  <c r="T157" i="1"/>
  <c r="F56" i="1"/>
  <c r="G55" i="1"/>
  <c r="N25" i="1"/>
  <c r="J25" i="1"/>
  <c r="N73" i="1"/>
  <c r="J73" i="1"/>
  <c r="G275" i="1"/>
  <c r="I275" i="1" s="1"/>
  <c r="I276" i="1" s="1"/>
  <c r="I273" i="1"/>
  <c r="K7" i="1"/>
  <c r="J8" i="1"/>
  <c r="U121" i="1"/>
  <c r="U228" i="1"/>
  <c r="I229" i="1"/>
  <c r="U253" i="1"/>
  <c r="AN252" i="1"/>
  <c r="U210" i="1"/>
  <c r="G253" i="1"/>
  <c r="F254" i="1"/>
  <c r="J199" i="1"/>
  <c r="N199" i="1"/>
  <c r="J254" i="1"/>
  <c r="K253" i="1"/>
  <c r="N235" i="1"/>
  <c r="J235" i="1"/>
  <c r="K181" i="1"/>
  <c r="J182" i="1"/>
  <c r="U192" i="1"/>
  <c r="N121" i="1"/>
  <c r="J121" i="1"/>
  <c r="AN108" i="1"/>
  <c r="U109" i="1"/>
  <c r="AL108" i="1"/>
  <c r="AO108" i="1" s="1"/>
  <c r="K187" i="1"/>
  <c r="J188" i="1"/>
  <c r="T109" i="1"/>
  <c r="O109" i="1"/>
  <c r="T151" i="1"/>
  <c r="U48" i="1"/>
  <c r="U72" i="1"/>
  <c r="F25" i="1"/>
  <c r="E26" i="1"/>
  <c r="E74" i="1"/>
  <c r="F73" i="1"/>
  <c r="F20" i="1"/>
  <c r="G19" i="1"/>
  <c r="K37" i="1"/>
  <c r="J38" i="1"/>
  <c r="U12" i="1"/>
  <c r="J248" i="1"/>
  <c r="K247" i="1"/>
  <c r="F134" i="1"/>
  <c r="G133" i="1"/>
  <c r="AL85" i="1"/>
  <c r="AO85" i="1" s="1"/>
  <c r="Z85" i="1"/>
  <c r="J265" i="1"/>
  <c r="N265" i="1"/>
  <c r="F229" i="1"/>
  <c r="E230" i="1"/>
  <c r="U247" i="1"/>
  <c r="AN246" i="1"/>
  <c r="O253" i="1"/>
  <c r="T253" i="1"/>
  <c r="F235" i="1"/>
  <c r="E236" i="1"/>
  <c r="F182" i="1"/>
  <c r="G181" i="1"/>
  <c r="F121" i="1"/>
  <c r="E122" i="1"/>
  <c r="F140" i="1"/>
  <c r="G139" i="1"/>
  <c r="AN217" i="1"/>
  <c r="V217" i="1"/>
  <c r="AN150" i="1"/>
  <c r="U151" i="1"/>
  <c r="O152" i="1"/>
  <c r="P151" i="1"/>
  <c r="AL54" i="1"/>
  <c r="AO54" i="1" s="1"/>
  <c r="F110" i="1"/>
  <c r="G109" i="1"/>
  <c r="AN54" i="1"/>
  <c r="U55" i="1"/>
  <c r="N31" i="1"/>
  <c r="J31" i="1"/>
  <c r="U79" i="1"/>
  <c r="U24" i="1"/>
  <c r="AN240" i="1"/>
  <c r="U241" i="1"/>
  <c r="G200" i="1"/>
  <c r="H199" i="1"/>
  <c r="H200" i="1" s="1"/>
  <c r="U157" i="1"/>
  <c r="AN156" i="1"/>
  <c r="N43" i="1"/>
  <c r="J43" i="1"/>
  <c r="F260" i="1"/>
  <c r="G259" i="1"/>
  <c r="H271" i="1"/>
  <c r="N259" i="1"/>
  <c r="J259" i="1"/>
  <c r="U198" i="1"/>
  <c r="AN180" i="1"/>
  <c r="U181" i="1"/>
  <c r="N127" i="1"/>
  <c r="J127" i="1"/>
  <c r="U97" i="1"/>
  <c r="AN96" i="1"/>
  <c r="N103" i="1"/>
  <c r="J103" i="1"/>
  <c r="J91" i="1"/>
  <c r="N91" i="1"/>
  <c r="G85" i="1"/>
  <c r="F86" i="1"/>
  <c r="K139" i="1"/>
  <c r="J140" i="1"/>
  <c r="T79" i="1"/>
  <c r="O79" i="1"/>
  <c r="G61" i="1"/>
  <c r="F62" i="1"/>
  <c r="F31" i="1"/>
  <c r="E32" i="1"/>
  <c r="K49" i="1"/>
  <c r="J50" i="1"/>
  <c r="O19" i="1"/>
  <c r="T19" i="1"/>
  <c r="AN6" i="1"/>
  <c r="U7" i="1"/>
  <c r="Z217" i="1"/>
  <c r="AL217" i="1"/>
  <c r="AO217" i="1" s="1"/>
  <c r="F116" i="1"/>
  <c r="G115" i="1"/>
  <c r="J67" i="1"/>
  <c r="N67" i="1"/>
  <c r="F38" i="1"/>
  <c r="G37" i="1"/>
  <c r="N223" i="1"/>
  <c r="J223" i="1"/>
  <c r="J241" i="1"/>
  <c r="N241" i="1"/>
  <c r="G266" i="1"/>
  <c r="H265" i="1"/>
  <c r="H266" i="1" s="1"/>
  <c r="U234" i="1"/>
  <c r="F212" i="1"/>
  <c r="G211" i="1"/>
  <c r="E194" i="1"/>
  <c r="F193" i="1"/>
  <c r="AL186" i="1"/>
  <c r="AO186" i="1" s="1"/>
  <c r="U222" i="1"/>
  <c r="T181" i="1"/>
  <c r="O181" i="1"/>
  <c r="E164" i="1"/>
  <c r="F163" i="1"/>
  <c r="AL114" i="1"/>
  <c r="AO114" i="1" s="1"/>
  <c r="N169" i="1"/>
  <c r="J169" i="1"/>
  <c r="F127" i="1"/>
  <c r="E128" i="1"/>
  <c r="U85" i="1"/>
  <c r="AN84" i="1"/>
  <c r="G157" i="1"/>
  <c r="F158" i="1"/>
  <c r="F103" i="1"/>
  <c r="E104" i="1"/>
  <c r="F91" i="1"/>
  <c r="E92" i="1"/>
  <c r="E98" i="1"/>
  <c r="F97" i="1"/>
  <c r="K133" i="1"/>
  <c r="J134" i="1"/>
  <c r="U66" i="1"/>
  <c r="K79" i="1"/>
  <c r="J80" i="1"/>
  <c r="J56" i="1"/>
  <c r="K55" i="1"/>
  <c r="G43" i="1"/>
  <c r="F44" i="1"/>
  <c r="H276" i="1"/>
  <c r="J20" i="1"/>
  <c r="K19" i="1"/>
  <c r="G271" i="1" l="1"/>
  <c r="O13" i="1"/>
  <c r="L151" i="1"/>
  <c r="K152" i="1"/>
  <c r="U270" i="1"/>
  <c r="O7" i="1"/>
  <c r="AN216" i="1"/>
  <c r="O37" i="1"/>
  <c r="U187" i="1"/>
  <c r="AN36" i="1"/>
  <c r="U37" i="1"/>
  <c r="G217" i="1"/>
  <c r="F218" i="1"/>
  <c r="L217" i="1"/>
  <c r="K218" i="1"/>
  <c r="AN102" i="1"/>
  <c r="K188" i="1"/>
  <c r="L187" i="1"/>
  <c r="V127" i="1"/>
  <c r="AN127" i="1"/>
  <c r="U205" i="1"/>
  <c r="AN204" i="1"/>
  <c r="H43" i="1"/>
  <c r="H44" i="1" s="1"/>
  <c r="G44" i="1"/>
  <c r="F98" i="1"/>
  <c r="G97" i="1"/>
  <c r="G38" i="1"/>
  <c r="H37" i="1"/>
  <c r="H38" i="1" s="1"/>
  <c r="V7" i="1"/>
  <c r="AN7" i="1"/>
  <c r="O91" i="1"/>
  <c r="T91" i="1"/>
  <c r="AN181" i="1"/>
  <c r="V181" i="1"/>
  <c r="G260" i="1"/>
  <c r="H259" i="1"/>
  <c r="H260" i="1" s="1"/>
  <c r="AN241" i="1"/>
  <c r="V241" i="1"/>
  <c r="G110" i="1"/>
  <c r="H109" i="1"/>
  <c r="H110" i="1" s="1"/>
  <c r="W218" i="1"/>
  <c r="W217" i="1"/>
  <c r="V218" i="1"/>
  <c r="T265" i="1"/>
  <c r="N266" i="1"/>
  <c r="O265" i="1"/>
  <c r="P265" i="1" s="1"/>
  <c r="Q265" i="1" s="1"/>
  <c r="O199" i="1"/>
  <c r="T199" i="1"/>
  <c r="U229" i="1"/>
  <c r="AN228" i="1"/>
  <c r="AL157" i="1"/>
  <c r="AO157" i="1" s="1"/>
  <c r="Z157" i="1"/>
  <c r="J206" i="1"/>
  <c r="K205" i="1"/>
  <c r="K86" i="1"/>
  <c r="L85" i="1"/>
  <c r="K115" i="1"/>
  <c r="J116" i="1"/>
  <c r="T175" i="1"/>
  <c r="O175" i="1"/>
  <c r="G205" i="1"/>
  <c r="F206" i="1"/>
  <c r="U31" i="1"/>
  <c r="AN30" i="1"/>
  <c r="O56" i="1"/>
  <c r="P55" i="1"/>
  <c r="O163" i="1"/>
  <c r="T163" i="1"/>
  <c r="O248" i="1"/>
  <c r="P247" i="1"/>
  <c r="Z49" i="1"/>
  <c r="AL49" i="1"/>
  <c r="AO49" i="1" s="1"/>
  <c r="V85" i="1"/>
  <c r="AN85" i="1"/>
  <c r="J92" i="1"/>
  <c r="K91" i="1"/>
  <c r="G235" i="1"/>
  <c r="F236" i="1"/>
  <c r="L181" i="1"/>
  <c r="K182" i="1"/>
  <c r="O158" i="1"/>
  <c r="P157" i="1"/>
  <c r="O205" i="1"/>
  <c r="T205" i="1"/>
  <c r="K158" i="1"/>
  <c r="L157" i="1"/>
  <c r="Z139" i="1"/>
  <c r="AL139" i="1"/>
  <c r="AO139" i="1" s="1"/>
  <c r="Z181" i="1"/>
  <c r="AL181" i="1"/>
  <c r="AO181" i="1" s="1"/>
  <c r="T67" i="1"/>
  <c r="O67" i="1"/>
  <c r="Z19" i="1"/>
  <c r="AL19" i="1"/>
  <c r="AO19" i="1" s="1"/>
  <c r="O80" i="1"/>
  <c r="P79" i="1"/>
  <c r="J104" i="1"/>
  <c r="K103" i="1"/>
  <c r="U199" i="1"/>
  <c r="AN198" i="1"/>
  <c r="K43" i="1"/>
  <c r="J44" i="1"/>
  <c r="U25" i="1"/>
  <c r="AN24" i="1"/>
  <c r="G140" i="1"/>
  <c r="H139" i="1"/>
  <c r="H140" i="1" s="1"/>
  <c r="AL253" i="1"/>
  <c r="AO253" i="1" s="1"/>
  <c r="Z253" i="1"/>
  <c r="AA85" i="1"/>
  <c r="AE85" i="1"/>
  <c r="AN12" i="1"/>
  <c r="U13" i="1"/>
  <c r="G25" i="1"/>
  <c r="F26" i="1"/>
  <c r="J236" i="1"/>
  <c r="K235" i="1"/>
  <c r="AN121" i="1"/>
  <c r="V121" i="1"/>
  <c r="K73" i="1"/>
  <c r="J74" i="1"/>
  <c r="H247" i="1"/>
  <c r="H248" i="1" s="1"/>
  <c r="G248" i="1"/>
  <c r="O61" i="1"/>
  <c r="T61" i="1"/>
  <c r="G169" i="1"/>
  <c r="F170" i="1"/>
  <c r="O140" i="1"/>
  <c r="P139" i="1"/>
  <c r="G14" i="1"/>
  <c r="H13" i="1"/>
  <c r="H14" i="1" s="1"/>
  <c r="K20" i="1"/>
  <c r="L19" i="1"/>
  <c r="F92" i="1"/>
  <c r="G91" i="1"/>
  <c r="F128" i="1"/>
  <c r="G127" i="1"/>
  <c r="U223" i="1"/>
  <c r="AN222" i="1"/>
  <c r="J68" i="1"/>
  <c r="K67" i="1"/>
  <c r="O20" i="1"/>
  <c r="P19" i="1"/>
  <c r="Z79" i="1"/>
  <c r="AL79" i="1"/>
  <c r="AO79" i="1" s="1"/>
  <c r="T103" i="1"/>
  <c r="O103" i="1"/>
  <c r="O43" i="1"/>
  <c r="T43" i="1"/>
  <c r="V79" i="1"/>
  <c r="AN79" i="1"/>
  <c r="AN187" i="1"/>
  <c r="V187" i="1"/>
  <c r="P253" i="1"/>
  <c r="O254" i="1"/>
  <c r="AN72" i="1"/>
  <c r="U73" i="1"/>
  <c r="AN109" i="1"/>
  <c r="V109" i="1"/>
  <c r="T235" i="1"/>
  <c r="O235" i="1"/>
  <c r="H253" i="1"/>
  <c r="H254" i="1" s="1"/>
  <c r="G254" i="1"/>
  <c r="U271" i="1"/>
  <c r="AN270" i="1"/>
  <c r="T73" i="1"/>
  <c r="O73" i="1"/>
  <c r="L109" i="1"/>
  <c r="K110" i="1"/>
  <c r="F176" i="1"/>
  <c r="G175" i="1"/>
  <c r="AN61" i="1"/>
  <c r="V61" i="1"/>
  <c r="G152" i="1"/>
  <c r="H151" i="1"/>
  <c r="H152" i="1" s="1"/>
  <c r="G188" i="1"/>
  <c r="H187" i="1"/>
  <c r="H188" i="1" s="1"/>
  <c r="V259" i="1"/>
  <c r="AN259" i="1"/>
  <c r="O14" i="1"/>
  <c r="P13" i="1"/>
  <c r="H223" i="1"/>
  <c r="H224" i="1" s="1"/>
  <c r="G224" i="1"/>
  <c r="J146" i="1"/>
  <c r="K145" i="1"/>
  <c r="U275" i="1"/>
  <c r="U235" i="1"/>
  <c r="AN234" i="1"/>
  <c r="K265" i="1"/>
  <c r="J266" i="1"/>
  <c r="U145" i="1"/>
  <c r="AN144" i="1"/>
  <c r="L79" i="1"/>
  <c r="K80" i="1"/>
  <c r="J170" i="1"/>
  <c r="K169" i="1"/>
  <c r="T241" i="1"/>
  <c r="O241" i="1"/>
  <c r="G116" i="1"/>
  <c r="H115" i="1"/>
  <c r="H116" i="1" s="1"/>
  <c r="J260" i="1"/>
  <c r="K259" i="1"/>
  <c r="J32" i="1"/>
  <c r="K31" i="1"/>
  <c r="P152" i="1"/>
  <c r="Q151" i="1"/>
  <c r="G134" i="1"/>
  <c r="H133" i="1"/>
  <c r="H134" i="1" s="1"/>
  <c r="L37" i="1"/>
  <c r="K38" i="1"/>
  <c r="AN48" i="1"/>
  <c r="U49" i="1"/>
  <c r="K254" i="1"/>
  <c r="L253" i="1"/>
  <c r="U211" i="1"/>
  <c r="AN210" i="1"/>
  <c r="J26" i="1"/>
  <c r="K25" i="1"/>
  <c r="Z187" i="1"/>
  <c r="AL187" i="1"/>
  <c r="AO187" i="1" s="1"/>
  <c r="T211" i="1"/>
  <c r="O211" i="1"/>
  <c r="O8" i="1"/>
  <c r="P7" i="1"/>
  <c r="AN42" i="1"/>
  <c r="U43" i="1"/>
  <c r="Z13" i="1"/>
  <c r="AL13" i="1"/>
  <c r="AO13" i="1" s="1"/>
  <c r="F50" i="1"/>
  <c r="G49" i="1"/>
  <c r="AN133" i="1"/>
  <c r="V133" i="1"/>
  <c r="T193" i="1"/>
  <c r="O193" i="1"/>
  <c r="O145" i="1"/>
  <c r="T145" i="1"/>
  <c r="O134" i="1"/>
  <c r="P133" i="1"/>
  <c r="H61" i="1"/>
  <c r="H62" i="1" s="1"/>
  <c r="G62" i="1"/>
  <c r="K61" i="1"/>
  <c r="J62" i="1"/>
  <c r="G276" i="1"/>
  <c r="U67" i="1"/>
  <c r="AN66" i="1"/>
  <c r="F104" i="1"/>
  <c r="G103" i="1"/>
  <c r="O169" i="1"/>
  <c r="T169" i="1"/>
  <c r="F194" i="1"/>
  <c r="G193" i="1"/>
  <c r="K241" i="1"/>
  <c r="J242" i="1"/>
  <c r="L49" i="1"/>
  <c r="K50" i="1"/>
  <c r="K140" i="1"/>
  <c r="L139" i="1"/>
  <c r="V97" i="1"/>
  <c r="AN97" i="1"/>
  <c r="T259" i="1"/>
  <c r="O259" i="1"/>
  <c r="AN157" i="1"/>
  <c r="V157" i="1"/>
  <c r="T31" i="1"/>
  <c r="O31" i="1"/>
  <c r="G121" i="1"/>
  <c r="F122" i="1"/>
  <c r="AN247" i="1"/>
  <c r="V247" i="1"/>
  <c r="H19" i="1"/>
  <c r="H20" i="1" s="1"/>
  <c r="G20" i="1"/>
  <c r="Z151" i="1"/>
  <c r="AL151" i="1"/>
  <c r="AO151" i="1" s="1"/>
  <c r="J122" i="1"/>
  <c r="K121" i="1"/>
  <c r="L7" i="1"/>
  <c r="K8" i="1"/>
  <c r="O25" i="1"/>
  <c r="T25" i="1"/>
  <c r="O188" i="1"/>
  <c r="P187" i="1"/>
  <c r="J212" i="1"/>
  <c r="K211" i="1"/>
  <c r="Z7" i="1"/>
  <c r="AL7" i="1"/>
  <c r="AO7" i="1" s="1"/>
  <c r="G145" i="1"/>
  <c r="F146" i="1"/>
  <c r="AN139" i="1"/>
  <c r="V139" i="1"/>
  <c r="AN19" i="1"/>
  <c r="V19" i="1"/>
  <c r="T97" i="1"/>
  <c r="O97" i="1"/>
  <c r="J194" i="1"/>
  <c r="K193" i="1"/>
  <c r="Z133" i="1"/>
  <c r="AL133" i="1"/>
  <c r="AO133" i="1" s="1"/>
  <c r="O182" i="1"/>
  <c r="P181" i="1"/>
  <c r="J276" i="1"/>
  <c r="K276" i="1" s="1"/>
  <c r="L276" i="1" s="1"/>
  <c r="M276" i="1" s="1"/>
  <c r="N276" i="1"/>
  <c r="P218" i="1"/>
  <c r="Q217" i="1"/>
  <c r="K163" i="1"/>
  <c r="J164" i="1"/>
  <c r="J224" i="1"/>
  <c r="K223" i="1"/>
  <c r="J128" i="1"/>
  <c r="K127" i="1"/>
  <c r="V55" i="1"/>
  <c r="AN55" i="1"/>
  <c r="AN151" i="1"/>
  <c r="V151" i="1"/>
  <c r="G182" i="1"/>
  <c r="H181" i="1"/>
  <c r="H182" i="1" s="1"/>
  <c r="K248" i="1"/>
  <c r="L247" i="1"/>
  <c r="O110" i="1"/>
  <c r="P109" i="1"/>
  <c r="O121" i="1"/>
  <c r="T121" i="1"/>
  <c r="AN253" i="1"/>
  <c r="V253" i="1"/>
  <c r="O38" i="1"/>
  <c r="P37" i="1"/>
  <c r="H55" i="1"/>
  <c r="H56" i="1" s="1"/>
  <c r="G56" i="1"/>
  <c r="F68" i="1"/>
  <c r="G67" i="1"/>
  <c r="AN163" i="1"/>
  <c r="V163" i="1"/>
  <c r="K97" i="1"/>
  <c r="J98" i="1"/>
  <c r="AN264" i="1"/>
  <c r="U265" i="1"/>
  <c r="AN115" i="1"/>
  <c r="V115" i="1"/>
  <c r="V91" i="1"/>
  <c r="AN91" i="1"/>
  <c r="K56" i="1"/>
  <c r="L55" i="1"/>
  <c r="J200" i="1"/>
  <c r="K199" i="1"/>
  <c r="Q85" i="1"/>
  <c r="P86" i="1"/>
  <c r="L133" i="1"/>
  <c r="K134" i="1"/>
  <c r="H157" i="1"/>
  <c r="H158" i="1" s="1"/>
  <c r="G158" i="1"/>
  <c r="F164" i="1"/>
  <c r="G163" i="1"/>
  <c r="G212" i="1"/>
  <c r="H211" i="1"/>
  <c r="H212" i="1" s="1"/>
  <c r="O223" i="1"/>
  <c r="T223" i="1"/>
  <c r="AA217" i="1"/>
  <c r="AE217" i="1"/>
  <c r="G31" i="1"/>
  <c r="F32" i="1"/>
  <c r="H85" i="1"/>
  <c r="H86" i="1" s="1"/>
  <c r="G86" i="1"/>
  <c r="T127" i="1"/>
  <c r="O127" i="1"/>
  <c r="G229" i="1"/>
  <c r="F230" i="1"/>
  <c r="G73" i="1"/>
  <c r="F74" i="1"/>
  <c r="Z109" i="1"/>
  <c r="AL109" i="1"/>
  <c r="AO109" i="1" s="1"/>
  <c r="AN192" i="1"/>
  <c r="U193" i="1"/>
  <c r="N229" i="1"/>
  <c r="J229" i="1"/>
  <c r="Z37" i="1"/>
  <c r="AL37" i="1"/>
  <c r="AO37" i="1" s="1"/>
  <c r="AN169" i="1"/>
  <c r="V169" i="1"/>
  <c r="N271" i="1"/>
  <c r="J271" i="1"/>
  <c r="K271" i="1" s="1"/>
  <c r="L271" i="1" s="1"/>
  <c r="M271" i="1" s="1"/>
  <c r="O115" i="1"/>
  <c r="T115" i="1"/>
  <c r="J176" i="1"/>
  <c r="K175" i="1"/>
  <c r="V175" i="1"/>
  <c r="AN175" i="1"/>
  <c r="AL55" i="1"/>
  <c r="AO55" i="1" s="1"/>
  <c r="Z55" i="1"/>
  <c r="V103" i="1"/>
  <c r="AN103" i="1"/>
  <c r="Z247" i="1"/>
  <c r="AL247" i="1"/>
  <c r="AO247" i="1" s="1"/>
  <c r="P49" i="1"/>
  <c r="O50" i="1"/>
  <c r="L152" i="1" l="1"/>
  <c r="M151" i="1"/>
  <c r="M152" i="1" s="1"/>
  <c r="L218" i="1"/>
  <c r="M217" i="1"/>
  <c r="M218" i="1" s="1"/>
  <c r="G218" i="1"/>
  <c r="H217" i="1"/>
  <c r="H218" i="1" s="1"/>
  <c r="AN37" i="1"/>
  <c r="V37" i="1"/>
  <c r="P14" i="1"/>
  <c r="Q13" i="1"/>
  <c r="L20" i="1"/>
  <c r="M19" i="1"/>
  <c r="M20" i="1" s="1"/>
  <c r="AN25" i="1"/>
  <c r="V25" i="1"/>
  <c r="L182" i="1"/>
  <c r="M181" i="1"/>
  <c r="M182" i="1" s="1"/>
  <c r="AE247" i="1"/>
  <c r="AA247" i="1"/>
  <c r="AA37" i="1"/>
  <c r="AE37" i="1"/>
  <c r="G74" i="1"/>
  <c r="H73" i="1"/>
  <c r="H74" i="1" s="1"/>
  <c r="G32" i="1"/>
  <c r="H31" i="1"/>
  <c r="H32" i="1" s="1"/>
  <c r="V56" i="1"/>
  <c r="W56" i="1"/>
  <c r="W55" i="1"/>
  <c r="H145" i="1"/>
  <c r="H146" i="1" s="1"/>
  <c r="G146" i="1"/>
  <c r="P25" i="1"/>
  <c r="O26" i="1"/>
  <c r="L50" i="1"/>
  <c r="M49" i="1"/>
  <c r="M50" i="1" s="1"/>
  <c r="Q133" i="1"/>
  <c r="P134" i="1"/>
  <c r="G50" i="1"/>
  <c r="H49" i="1"/>
  <c r="H50" i="1" s="1"/>
  <c r="O212" i="1"/>
  <c r="P211" i="1"/>
  <c r="L254" i="1"/>
  <c r="M253" i="1"/>
  <c r="M254" i="1" s="1"/>
  <c r="Q152" i="1"/>
  <c r="R151" i="1"/>
  <c r="O242" i="1"/>
  <c r="P241" i="1"/>
  <c r="AL73" i="1"/>
  <c r="AO73" i="1" s="1"/>
  <c r="Z73" i="1"/>
  <c r="W80" i="1"/>
  <c r="W79" i="1"/>
  <c r="V80" i="1"/>
  <c r="P140" i="1"/>
  <c r="Q139" i="1"/>
  <c r="V13" i="1"/>
  <c r="AN13" i="1"/>
  <c r="P80" i="1"/>
  <c r="Q79" i="1"/>
  <c r="M85" i="1"/>
  <c r="M86" i="1" s="1"/>
  <c r="L86" i="1"/>
  <c r="Z199" i="1"/>
  <c r="AL199" i="1"/>
  <c r="AO199" i="1" s="1"/>
  <c r="Z91" i="1"/>
  <c r="AL91" i="1"/>
  <c r="AO91" i="1" s="1"/>
  <c r="P97" i="1"/>
  <c r="O98" i="1"/>
  <c r="W62" i="1"/>
  <c r="W61" i="1"/>
  <c r="V62" i="1"/>
  <c r="O116" i="1"/>
  <c r="P115" i="1"/>
  <c r="G230" i="1"/>
  <c r="H229" i="1"/>
  <c r="H230" i="1" s="1"/>
  <c r="AA218" i="1"/>
  <c r="AB217" i="1"/>
  <c r="L97" i="1"/>
  <c r="K98" i="1"/>
  <c r="AL97" i="1"/>
  <c r="AO97" i="1" s="1"/>
  <c r="Z97" i="1"/>
  <c r="AA7" i="1"/>
  <c r="AE7" i="1"/>
  <c r="L8" i="1"/>
  <c r="M7" i="1"/>
  <c r="M8" i="1" s="1"/>
  <c r="AL259" i="1"/>
  <c r="AO259" i="1" s="1"/>
  <c r="Z259" i="1"/>
  <c r="L241" i="1"/>
  <c r="K242" i="1"/>
  <c r="V67" i="1"/>
  <c r="AN67" i="1"/>
  <c r="AL145" i="1"/>
  <c r="AO145" i="1" s="1"/>
  <c r="Z145" i="1"/>
  <c r="V49" i="1"/>
  <c r="AN49" i="1"/>
  <c r="K32" i="1"/>
  <c r="L31" i="1"/>
  <c r="L169" i="1"/>
  <c r="K170" i="1"/>
  <c r="AN271" i="1"/>
  <c r="V271" i="1"/>
  <c r="W271" i="1" s="1"/>
  <c r="O44" i="1"/>
  <c r="P43" i="1"/>
  <c r="W122" i="1"/>
  <c r="W121" i="1"/>
  <c r="V122" i="1"/>
  <c r="AF85" i="1"/>
  <c r="AK85" i="1"/>
  <c r="L158" i="1"/>
  <c r="M157" i="1"/>
  <c r="M158" i="1" s="1"/>
  <c r="P248" i="1"/>
  <c r="Q247" i="1"/>
  <c r="K206" i="1"/>
  <c r="L205" i="1"/>
  <c r="Q266" i="1"/>
  <c r="R265" i="1"/>
  <c r="W242" i="1"/>
  <c r="W241" i="1"/>
  <c r="V242" i="1"/>
  <c r="AF217" i="1"/>
  <c r="AK217" i="1"/>
  <c r="O276" i="1"/>
  <c r="P276" i="1" s="1"/>
  <c r="Q276" i="1" s="1"/>
  <c r="R276" i="1" s="1"/>
  <c r="S276" i="1" s="1"/>
  <c r="T276" i="1"/>
  <c r="L265" i="1"/>
  <c r="K266" i="1"/>
  <c r="L67" i="1"/>
  <c r="K68" i="1"/>
  <c r="AE139" i="1"/>
  <c r="AA139" i="1"/>
  <c r="O92" i="1"/>
  <c r="P91" i="1"/>
  <c r="O229" i="1"/>
  <c r="T229" i="1"/>
  <c r="AE55" i="1"/>
  <c r="AA55" i="1"/>
  <c r="AN193" i="1"/>
  <c r="V193" i="1"/>
  <c r="O128" i="1"/>
  <c r="P127" i="1"/>
  <c r="AL223" i="1"/>
  <c r="AO223" i="1" s="1"/>
  <c r="Z223" i="1"/>
  <c r="W164" i="1"/>
  <c r="W163" i="1"/>
  <c r="V164" i="1"/>
  <c r="W254" i="1"/>
  <c r="W253" i="1"/>
  <c r="V254" i="1"/>
  <c r="K224" i="1"/>
  <c r="L223" i="1"/>
  <c r="Q181" i="1"/>
  <c r="P182" i="1"/>
  <c r="W20" i="1"/>
  <c r="W19" i="1"/>
  <c r="V20" i="1"/>
  <c r="L211" i="1"/>
  <c r="K212" i="1"/>
  <c r="L121" i="1"/>
  <c r="K122" i="1"/>
  <c r="G194" i="1"/>
  <c r="H193" i="1"/>
  <c r="H194" i="1" s="1"/>
  <c r="P145" i="1"/>
  <c r="O146" i="1"/>
  <c r="AA13" i="1"/>
  <c r="AE13" i="1"/>
  <c r="AE187" i="1"/>
  <c r="AA187" i="1"/>
  <c r="V235" i="1"/>
  <c r="AN235" i="1"/>
  <c r="G176" i="1"/>
  <c r="H175" i="1"/>
  <c r="H176" i="1" s="1"/>
  <c r="O104" i="1"/>
  <c r="P103" i="1"/>
  <c r="H169" i="1"/>
  <c r="H170" i="1" s="1"/>
  <c r="G170" i="1"/>
  <c r="AB85" i="1"/>
  <c r="AA86" i="1"/>
  <c r="K44" i="1"/>
  <c r="L43" i="1"/>
  <c r="AE19" i="1"/>
  <c r="AA19" i="1"/>
  <c r="H235" i="1"/>
  <c r="H236" i="1" s="1"/>
  <c r="G236" i="1"/>
  <c r="G206" i="1"/>
  <c r="H205" i="1"/>
  <c r="H206" i="1" s="1"/>
  <c r="V8" i="1"/>
  <c r="W8" i="1"/>
  <c r="W7" i="1"/>
  <c r="AN205" i="1"/>
  <c r="V205" i="1"/>
  <c r="M55" i="1"/>
  <c r="M56" i="1" s="1"/>
  <c r="L56" i="1"/>
  <c r="Z211" i="1"/>
  <c r="AL211" i="1"/>
  <c r="AO211" i="1" s="1"/>
  <c r="AL43" i="1"/>
  <c r="AO43" i="1" s="1"/>
  <c r="Z43" i="1"/>
  <c r="V104" i="1"/>
  <c r="W104" i="1"/>
  <c r="W103" i="1"/>
  <c r="O271" i="1"/>
  <c r="P271" i="1" s="1"/>
  <c r="Q271" i="1" s="1"/>
  <c r="R271" i="1" s="1"/>
  <c r="S271" i="1" s="1"/>
  <c r="T271" i="1"/>
  <c r="AL127" i="1"/>
  <c r="AO127" i="1" s="1"/>
  <c r="Z127" i="1"/>
  <c r="O224" i="1"/>
  <c r="P223" i="1"/>
  <c r="L134" i="1"/>
  <c r="M133" i="1"/>
  <c r="M134" i="1" s="1"/>
  <c r="V92" i="1"/>
  <c r="W91" i="1"/>
  <c r="W92" i="1"/>
  <c r="H121" i="1"/>
  <c r="H122" i="1" s="1"/>
  <c r="G122" i="1"/>
  <c r="V98" i="1"/>
  <c r="W97" i="1"/>
  <c r="W98" i="1"/>
  <c r="O194" i="1"/>
  <c r="P193" i="1"/>
  <c r="AN43" i="1"/>
  <c r="V43" i="1"/>
  <c r="K26" i="1"/>
  <c r="L25" i="1"/>
  <c r="K260" i="1"/>
  <c r="L259" i="1"/>
  <c r="AN275" i="1"/>
  <c r="U276" i="1"/>
  <c r="V260" i="1"/>
  <c r="W260" i="1"/>
  <c r="W259" i="1"/>
  <c r="Q253" i="1"/>
  <c r="P254" i="1"/>
  <c r="AL103" i="1"/>
  <c r="AO103" i="1" s="1"/>
  <c r="Z103" i="1"/>
  <c r="AN223" i="1"/>
  <c r="V223" i="1"/>
  <c r="AL61" i="1"/>
  <c r="AO61" i="1" s="1"/>
  <c r="Z61" i="1"/>
  <c r="K236" i="1"/>
  <c r="L235" i="1"/>
  <c r="AE253" i="1"/>
  <c r="AA253" i="1"/>
  <c r="O68" i="1"/>
  <c r="P67" i="1"/>
  <c r="AL205" i="1"/>
  <c r="AO205" i="1" s="1"/>
  <c r="Z205" i="1"/>
  <c r="K92" i="1"/>
  <c r="L91" i="1"/>
  <c r="Z163" i="1"/>
  <c r="AL163" i="1"/>
  <c r="AO163" i="1" s="1"/>
  <c r="O176" i="1"/>
  <c r="P175" i="1"/>
  <c r="AE157" i="1"/>
  <c r="AA157" i="1"/>
  <c r="Z265" i="1"/>
  <c r="T266" i="1"/>
  <c r="AL265" i="1"/>
  <c r="AO265" i="1" s="1"/>
  <c r="Z115" i="1"/>
  <c r="AL115" i="1"/>
  <c r="AO115" i="1" s="1"/>
  <c r="P38" i="1"/>
  <c r="Q37" i="1"/>
  <c r="W248" i="1"/>
  <c r="W247" i="1"/>
  <c r="V248" i="1"/>
  <c r="L73" i="1"/>
  <c r="K74" i="1"/>
  <c r="V31" i="1"/>
  <c r="AN31" i="1"/>
  <c r="W170" i="1"/>
  <c r="W169" i="1"/>
  <c r="V170" i="1"/>
  <c r="W116" i="1"/>
  <c r="W115" i="1"/>
  <c r="V116" i="1"/>
  <c r="H67" i="1"/>
  <c r="H68" i="1" s="1"/>
  <c r="G68" i="1"/>
  <c r="Z121" i="1"/>
  <c r="AL121" i="1"/>
  <c r="AO121" i="1" s="1"/>
  <c r="W152" i="1"/>
  <c r="W151" i="1"/>
  <c r="V152" i="1"/>
  <c r="W140" i="1"/>
  <c r="W139" i="1"/>
  <c r="V140" i="1"/>
  <c r="P188" i="1"/>
  <c r="Q187" i="1"/>
  <c r="P31" i="1"/>
  <c r="O32" i="1"/>
  <c r="L140" i="1"/>
  <c r="M139" i="1"/>
  <c r="M140" i="1" s="1"/>
  <c r="Z169" i="1"/>
  <c r="AL169" i="1"/>
  <c r="AO169" i="1" s="1"/>
  <c r="K62" i="1"/>
  <c r="L61" i="1"/>
  <c r="Z193" i="1"/>
  <c r="AL193" i="1"/>
  <c r="AO193" i="1" s="1"/>
  <c r="M37" i="1"/>
  <c r="M38" i="1" s="1"/>
  <c r="L38" i="1"/>
  <c r="M79" i="1"/>
  <c r="M80" i="1" s="1"/>
  <c r="L80" i="1"/>
  <c r="K146" i="1"/>
  <c r="L145" i="1"/>
  <c r="P235" i="1"/>
  <c r="O236" i="1"/>
  <c r="W188" i="1"/>
  <c r="W187" i="1"/>
  <c r="V188" i="1"/>
  <c r="G128" i="1"/>
  <c r="H127" i="1"/>
  <c r="H128" i="1" s="1"/>
  <c r="P61" i="1"/>
  <c r="O62" i="1"/>
  <c r="AN199" i="1"/>
  <c r="V199" i="1"/>
  <c r="Z67" i="1"/>
  <c r="AL67" i="1"/>
  <c r="AO67" i="1" s="1"/>
  <c r="P205" i="1"/>
  <c r="O206" i="1"/>
  <c r="O164" i="1"/>
  <c r="P163" i="1"/>
  <c r="AL175" i="1"/>
  <c r="AO175" i="1" s="1"/>
  <c r="Z175" i="1"/>
  <c r="V128" i="1"/>
  <c r="W128" i="1"/>
  <c r="W127" i="1"/>
  <c r="J230" i="1"/>
  <c r="K229" i="1"/>
  <c r="L248" i="1"/>
  <c r="M247" i="1"/>
  <c r="M248" i="1" s="1"/>
  <c r="V73" i="1"/>
  <c r="AN73" i="1"/>
  <c r="AA49" i="1"/>
  <c r="AE49" i="1"/>
  <c r="P50" i="1"/>
  <c r="Q49" i="1"/>
  <c r="V176" i="1"/>
  <c r="W176" i="1"/>
  <c r="W175" i="1"/>
  <c r="AA109" i="1"/>
  <c r="AE109" i="1"/>
  <c r="Q86" i="1"/>
  <c r="R85" i="1"/>
  <c r="P121" i="1"/>
  <c r="O122" i="1"/>
  <c r="K164" i="1"/>
  <c r="L163" i="1"/>
  <c r="AA133" i="1"/>
  <c r="AE133" i="1"/>
  <c r="AA151" i="1"/>
  <c r="AE151" i="1"/>
  <c r="AL31" i="1"/>
  <c r="AO31" i="1" s="1"/>
  <c r="Z31" i="1"/>
  <c r="P169" i="1"/>
  <c r="O170" i="1"/>
  <c r="W134" i="1"/>
  <c r="W133" i="1"/>
  <c r="V134" i="1"/>
  <c r="P8" i="1"/>
  <c r="Q7" i="1"/>
  <c r="L110" i="1"/>
  <c r="M109" i="1"/>
  <c r="M110" i="1" s="1"/>
  <c r="AL235" i="1"/>
  <c r="AO235" i="1" s="1"/>
  <c r="Z235" i="1"/>
  <c r="AE79" i="1"/>
  <c r="AA79" i="1"/>
  <c r="K104" i="1"/>
  <c r="L103" i="1"/>
  <c r="Q157" i="1"/>
  <c r="P158" i="1"/>
  <c r="Q55" i="1"/>
  <c r="P56" i="1"/>
  <c r="X218" i="1"/>
  <c r="X217" i="1"/>
  <c r="Y217" i="1" s="1"/>
  <c r="Y218" i="1" s="1"/>
  <c r="W182" i="1"/>
  <c r="W181" i="1"/>
  <c r="V182" i="1"/>
  <c r="H97" i="1"/>
  <c r="H98" i="1" s="1"/>
  <c r="G98" i="1"/>
  <c r="L188" i="1"/>
  <c r="M187" i="1"/>
  <c r="M188" i="1" s="1"/>
  <c r="K128" i="1"/>
  <c r="L127" i="1"/>
  <c r="O260" i="1"/>
  <c r="P259" i="1"/>
  <c r="Z241" i="1"/>
  <c r="AL241" i="1"/>
  <c r="AO241" i="1" s="1"/>
  <c r="O200" i="1"/>
  <c r="P199" i="1"/>
  <c r="K176" i="1"/>
  <c r="L175" i="1"/>
  <c r="H163" i="1"/>
  <c r="H164" i="1" s="1"/>
  <c r="G164" i="1"/>
  <c r="K200" i="1"/>
  <c r="L199" i="1"/>
  <c r="AN265" i="1"/>
  <c r="V265" i="1"/>
  <c r="Q109" i="1"/>
  <c r="P110" i="1"/>
  <c r="Q218" i="1"/>
  <c r="R217" i="1"/>
  <c r="K194" i="1"/>
  <c r="L193" i="1"/>
  <c r="AL25" i="1"/>
  <c r="AO25" i="1" s="1"/>
  <c r="Z25" i="1"/>
  <c r="W157" i="1"/>
  <c r="W158" i="1"/>
  <c r="V158" i="1"/>
  <c r="G104" i="1"/>
  <c r="H103" i="1"/>
  <c r="H104" i="1" s="1"/>
  <c r="V211" i="1"/>
  <c r="AN211" i="1"/>
  <c r="AN145" i="1"/>
  <c r="V145" i="1"/>
  <c r="O74" i="1"/>
  <c r="P73" i="1"/>
  <c r="W110" i="1"/>
  <c r="W109" i="1"/>
  <c r="V110" i="1"/>
  <c r="P20" i="1"/>
  <c r="Q19" i="1"/>
  <c r="H91" i="1"/>
  <c r="H92" i="1" s="1"/>
  <c r="G92" i="1"/>
  <c r="H25" i="1"/>
  <c r="H26" i="1" s="1"/>
  <c r="G26" i="1"/>
  <c r="AA181" i="1"/>
  <c r="AE181" i="1"/>
  <c r="V86" i="1"/>
  <c r="W85" i="1"/>
  <c r="W86" i="1"/>
  <c r="K116" i="1"/>
  <c r="L115" i="1"/>
  <c r="AN229" i="1"/>
  <c r="V229" i="1"/>
  <c r="W37" i="1" l="1"/>
  <c r="W38" i="1"/>
  <c r="V38" i="1"/>
  <c r="P122" i="1"/>
  <c r="Q121" i="1"/>
  <c r="AE61" i="1"/>
  <c r="AA61" i="1"/>
  <c r="AF19" i="1"/>
  <c r="AK19" i="1"/>
  <c r="P98" i="1"/>
  <c r="Q97" i="1"/>
  <c r="M175" i="1"/>
  <c r="M176" i="1" s="1"/>
  <c r="L176" i="1"/>
  <c r="M127" i="1"/>
  <c r="M128" i="1" s="1"/>
  <c r="L128" i="1"/>
  <c r="AA31" i="1"/>
  <c r="AE31" i="1"/>
  <c r="P164" i="1"/>
  <c r="Q163" i="1"/>
  <c r="P236" i="1"/>
  <c r="Q235" i="1"/>
  <c r="AA193" i="1"/>
  <c r="AE193" i="1"/>
  <c r="Q31" i="1"/>
  <c r="P32" i="1"/>
  <c r="X248" i="1"/>
  <c r="X247" i="1"/>
  <c r="Y247" i="1" s="1"/>
  <c r="Y248" i="1" s="1"/>
  <c r="AA265" i="1"/>
  <c r="AE265" i="1"/>
  <c r="Q254" i="1"/>
  <c r="R253" i="1"/>
  <c r="L26" i="1"/>
  <c r="M25" i="1"/>
  <c r="M26" i="1" s="1"/>
  <c r="Q223" i="1"/>
  <c r="P224" i="1"/>
  <c r="AA20" i="1"/>
  <c r="AB19" i="1"/>
  <c r="P104" i="1"/>
  <c r="Q103" i="1"/>
  <c r="AK13" i="1"/>
  <c r="AF13" i="1"/>
  <c r="P229" i="1"/>
  <c r="O230" i="1"/>
  <c r="L266" i="1"/>
  <c r="M265" i="1"/>
  <c r="M266" i="1" s="1"/>
  <c r="R266" i="1"/>
  <c r="S265" i="1"/>
  <c r="S266" i="1" s="1"/>
  <c r="R79" i="1"/>
  <c r="Q80" i="1"/>
  <c r="W146" i="1"/>
  <c r="W145" i="1"/>
  <c r="V146" i="1"/>
  <c r="L146" i="1"/>
  <c r="M145" i="1"/>
  <c r="M146" i="1" s="1"/>
  <c r="Z276" i="1"/>
  <c r="AL276" i="1"/>
  <c r="AO276" i="1" s="1"/>
  <c r="AF7" i="1"/>
  <c r="AK7" i="1"/>
  <c r="X86" i="1"/>
  <c r="X85" i="1"/>
  <c r="Y85" i="1" s="1"/>
  <c r="Y86" i="1" s="1"/>
  <c r="R19" i="1"/>
  <c r="Q20" i="1"/>
  <c r="AE25" i="1"/>
  <c r="AA25" i="1"/>
  <c r="W265" i="1"/>
  <c r="V266" i="1"/>
  <c r="Q199" i="1"/>
  <c r="P200" i="1"/>
  <c r="AF151" i="1"/>
  <c r="AK151" i="1"/>
  <c r="S85" i="1"/>
  <c r="S86" i="1" s="1"/>
  <c r="R86" i="1"/>
  <c r="AE121" i="1"/>
  <c r="AA121" i="1"/>
  <c r="Q38" i="1"/>
  <c r="R37" i="1"/>
  <c r="AF157" i="1"/>
  <c r="AK157" i="1"/>
  <c r="W43" i="1"/>
  <c r="W44" i="1"/>
  <c r="V44" i="1"/>
  <c r="AA127" i="1"/>
  <c r="AE127" i="1"/>
  <c r="L44" i="1"/>
  <c r="M43" i="1"/>
  <c r="M44" i="1" s="1"/>
  <c r="X254" i="1"/>
  <c r="X253" i="1"/>
  <c r="Y253" i="1" s="1"/>
  <c r="Y254" i="1" s="1"/>
  <c r="L206" i="1"/>
  <c r="M205" i="1"/>
  <c r="M206" i="1" s="1"/>
  <c r="L170" i="1"/>
  <c r="M169" i="1"/>
  <c r="M170" i="1" s="1"/>
  <c r="V68" i="1"/>
  <c r="W68" i="1"/>
  <c r="W67" i="1"/>
  <c r="AB7" i="1"/>
  <c r="AA8" i="1"/>
  <c r="P26" i="1"/>
  <c r="Q25" i="1"/>
  <c r="W26" i="1"/>
  <c r="W25" i="1"/>
  <c r="V26" i="1"/>
  <c r="Q50" i="1"/>
  <c r="R49" i="1"/>
  <c r="L62" i="1"/>
  <c r="M61" i="1"/>
  <c r="M62" i="1" s="1"/>
  <c r="M211" i="1"/>
  <c r="M212" i="1" s="1"/>
  <c r="L212" i="1"/>
  <c r="AA80" i="1"/>
  <c r="AB79" i="1"/>
  <c r="AA152" i="1"/>
  <c r="AB151" i="1"/>
  <c r="AF49" i="1"/>
  <c r="AK49" i="1"/>
  <c r="X127" i="1"/>
  <c r="Y127" i="1" s="1"/>
  <c r="Y128" i="1" s="1"/>
  <c r="X128" i="1"/>
  <c r="P206" i="1"/>
  <c r="Q205" i="1"/>
  <c r="P176" i="1"/>
  <c r="Q175" i="1"/>
  <c r="P68" i="1"/>
  <c r="Q67" i="1"/>
  <c r="W224" i="1"/>
  <c r="W223" i="1"/>
  <c r="V224" i="1"/>
  <c r="Q145" i="1"/>
  <c r="P146" i="1"/>
  <c r="X20" i="1"/>
  <c r="X19" i="1"/>
  <c r="W194" i="1"/>
  <c r="W193" i="1"/>
  <c r="V194" i="1"/>
  <c r="AA140" i="1"/>
  <c r="AB139" i="1"/>
  <c r="X122" i="1"/>
  <c r="X121" i="1"/>
  <c r="Y121" i="1" s="1"/>
  <c r="Y122" i="1" s="1"/>
  <c r="M31" i="1"/>
  <c r="M32" i="1" s="1"/>
  <c r="L32" i="1"/>
  <c r="AE97" i="1"/>
  <c r="AA97" i="1"/>
  <c r="P116" i="1"/>
  <c r="Q115" i="1"/>
  <c r="AA91" i="1"/>
  <c r="AE91" i="1"/>
  <c r="W14" i="1"/>
  <c r="W13" i="1"/>
  <c r="V14" i="1"/>
  <c r="P242" i="1"/>
  <c r="Q241" i="1"/>
  <c r="X157" i="1"/>
  <c r="Y157" i="1" s="1"/>
  <c r="Y158" i="1" s="1"/>
  <c r="X158" i="1"/>
  <c r="R7" i="1"/>
  <c r="Q8" i="1"/>
  <c r="P62" i="1"/>
  <c r="Q61" i="1"/>
  <c r="AA158" i="1"/>
  <c r="AB157" i="1"/>
  <c r="P212" i="1"/>
  <c r="Q211" i="1"/>
  <c r="AF181" i="1"/>
  <c r="AK181" i="1"/>
  <c r="V212" i="1"/>
  <c r="W211" i="1"/>
  <c r="W212" i="1"/>
  <c r="L194" i="1"/>
  <c r="M193" i="1"/>
  <c r="M194" i="1" s="1"/>
  <c r="L200" i="1"/>
  <c r="M199" i="1"/>
  <c r="M200" i="1" s="1"/>
  <c r="R55" i="1"/>
  <c r="Q56" i="1"/>
  <c r="AK79" i="1"/>
  <c r="AF79" i="1"/>
  <c r="X134" i="1"/>
  <c r="X133" i="1"/>
  <c r="Y133" i="1" s="1"/>
  <c r="Y134" i="1" s="1"/>
  <c r="AF133" i="1"/>
  <c r="AK133" i="1"/>
  <c r="AF109" i="1"/>
  <c r="AK109" i="1"/>
  <c r="AA50" i="1"/>
  <c r="AB49" i="1"/>
  <c r="AE169" i="1"/>
  <c r="AA169" i="1"/>
  <c r="X140" i="1"/>
  <c r="X139" i="1"/>
  <c r="Y139" i="1" s="1"/>
  <c r="Y140" i="1" s="1"/>
  <c r="V32" i="1"/>
  <c r="W32" i="1"/>
  <c r="W31" i="1"/>
  <c r="AN276" i="1"/>
  <c r="V276" i="1"/>
  <c r="W276" i="1" s="1"/>
  <c r="Q193" i="1"/>
  <c r="P194" i="1"/>
  <c r="X92" i="1"/>
  <c r="X91" i="1"/>
  <c r="Y91" i="1" s="1"/>
  <c r="Y92" i="1" s="1"/>
  <c r="AL271" i="1"/>
  <c r="AO271" i="1" s="1"/>
  <c r="Z271" i="1"/>
  <c r="AA211" i="1"/>
  <c r="AE211" i="1"/>
  <c r="AK139" i="1"/>
  <c r="AF139" i="1"/>
  <c r="AG217" i="1"/>
  <c r="AF218" i="1"/>
  <c r="R247" i="1"/>
  <c r="Q248" i="1"/>
  <c r="L242" i="1"/>
  <c r="M241" i="1"/>
  <c r="M242" i="1" s="1"/>
  <c r="R139" i="1"/>
  <c r="Q140" i="1"/>
  <c r="AK37" i="1"/>
  <c r="AF37" i="1"/>
  <c r="W230" i="1"/>
  <c r="W229" i="1"/>
  <c r="V230" i="1"/>
  <c r="AB181" i="1"/>
  <c r="AA182" i="1"/>
  <c r="X110" i="1"/>
  <c r="X109" i="1"/>
  <c r="Y109" i="1" s="1"/>
  <c r="Y110" i="1" s="1"/>
  <c r="AA241" i="1"/>
  <c r="AE241" i="1"/>
  <c r="AE235" i="1"/>
  <c r="AA235" i="1"/>
  <c r="AB133" i="1"/>
  <c r="AA134" i="1"/>
  <c r="AB109" i="1"/>
  <c r="AA110" i="1"/>
  <c r="AA67" i="1"/>
  <c r="AE67" i="1"/>
  <c r="X188" i="1"/>
  <c r="X187" i="1"/>
  <c r="Y187" i="1" s="1"/>
  <c r="Y188" i="1" s="1"/>
  <c r="AE115" i="1"/>
  <c r="AA115" i="1"/>
  <c r="AB253" i="1"/>
  <c r="AA254" i="1"/>
  <c r="AA103" i="1"/>
  <c r="AE103" i="1"/>
  <c r="AC85" i="1"/>
  <c r="AB86" i="1"/>
  <c r="V236" i="1"/>
  <c r="W236" i="1"/>
  <c r="W235" i="1"/>
  <c r="X164" i="1"/>
  <c r="X163" i="1"/>
  <c r="Y163" i="1" s="1"/>
  <c r="Y164" i="1" s="1"/>
  <c r="AA56" i="1"/>
  <c r="AB55" i="1"/>
  <c r="P44" i="1"/>
  <c r="Q43" i="1"/>
  <c r="AA259" i="1"/>
  <c r="AE259" i="1"/>
  <c r="AE199" i="1"/>
  <c r="AA199" i="1"/>
  <c r="S151" i="1"/>
  <c r="S152" i="1" s="1"/>
  <c r="R152" i="1"/>
  <c r="X56" i="1"/>
  <c r="X55" i="1"/>
  <c r="AB37" i="1"/>
  <c r="AA38" i="1"/>
  <c r="X170" i="1"/>
  <c r="X169" i="1"/>
  <c r="Y169" i="1" s="1"/>
  <c r="Y170" i="1" s="1"/>
  <c r="X260" i="1"/>
  <c r="X259" i="1"/>
  <c r="Y259" i="1" s="1"/>
  <c r="Y260" i="1" s="1"/>
  <c r="X8" i="1"/>
  <c r="X7" i="1"/>
  <c r="P128" i="1"/>
  <c r="Q127" i="1"/>
  <c r="S217" i="1"/>
  <c r="S218" i="1" s="1"/>
  <c r="R218" i="1"/>
  <c r="P260" i="1"/>
  <c r="Q259" i="1"/>
  <c r="Q158" i="1"/>
  <c r="R157" i="1"/>
  <c r="L164" i="1"/>
  <c r="M163" i="1"/>
  <c r="M164" i="1" s="1"/>
  <c r="X176" i="1"/>
  <c r="X175" i="1"/>
  <c r="Y175" i="1" s="1"/>
  <c r="Y176" i="1" s="1"/>
  <c r="W74" i="1"/>
  <c r="W73" i="1"/>
  <c r="V74" i="1"/>
  <c r="AA175" i="1"/>
  <c r="AE175" i="1"/>
  <c r="W200" i="1"/>
  <c r="W199" i="1"/>
  <c r="V200" i="1"/>
  <c r="X116" i="1"/>
  <c r="X115" i="1"/>
  <c r="Y115" i="1" s="1"/>
  <c r="Y116" i="1" s="1"/>
  <c r="M73" i="1"/>
  <c r="M74" i="1" s="1"/>
  <c r="L74" i="1"/>
  <c r="AE163" i="1"/>
  <c r="AA163" i="1"/>
  <c r="AF253" i="1"/>
  <c r="AK253" i="1"/>
  <c r="M259" i="1"/>
  <c r="M260" i="1" s="1"/>
  <c r="L260" i="1"/>
  <c r="X103" i="1"/>
  <c r="Y103" i="1" s="1"/>
  <c r="Y104" i="1" s="1"/>
  <c r="X104" i="1"/>
  <c r="AA188" i="1"/>
  <c r="AB187" i="1"/>
  <c r="Q182" i="1"/>
  <c r="R181" i="1"/>
  <c r="AF55" i="1"/>
  <c r="AK55" i="1"/>
  <c r="M67" i="1"/>
  <c r="M68" i="1" s="1"/>
  <c r="L68" i="1"/>
  <c r="X242" i="1"/>
  <c r="X241" i="1"/>
  <c r="Y241" i="1" s="1"/>
  <c r="Y242" i="1" s="1"/>
  <c r="W49" i="1"/>
  <c r="W50" i="1"/>
  <c r="V50" i="1"/>
  <c r="L98" i="1"/>
  <c r="M97" i="1"/>
  <c r="M98" i="1" s="1"/>
  <c r="X62" i="1"/>
  <c r="X61" i="1"/>
  <c r="Q134" i="1"/>
  <c r="R133" i="1"/>
  <c r="AA248" i="1"/>
  <c r="AB247" i="1"/>
  <c r="Q14" i="1"/>
  <c r="R13" i="1"/>
  <c r="Q110" i="1"/>
  <c r="R109" i="1"/>
  <c r="K230" i="1"/>
  <c r="L229" i="1"/>
  <c r="R187" i="1"/>
  <c r="Q188" i="1"/>
  <c r="AE205" i="1"/>
  <c r="AA205" i="1"/>
  <c r="AE43" i="1"/>
  <c r="AA43" i="1"/>
  <c r="AB13" i="1"/>
  <c r="AA14" i="1"/>
  <c r="P92" i="1"/>
  <c r="Q91" i="1"/>
  <c r="AG85" i="1"/>
  <c r="AF86" i="1"/>
  <c r="AE73" i="1"/>
  <c r="AA73" i="1"/>
  <c r="L116" i="1"/>
  <c r="M115" i="1"/>
  <c r="M116" i="1" s="1"/>
  <c r="P74" i="1"/>
  <c r="Q73" i="1"/>
  <c r="X182" i="1"/>
  <c r="X181" i="1"/>
  <c r="Y181" i="1" s="1"/>
  <c r="Y182" i="1" s="1"/>
  <c r="M103" i="1"/>
  <c r="M104" i="1" s="1"/>
  <c r="L104" i="1"/>
  <c r="P170" i="1"/>
  <c r="Q169" i="1"/>
  <c r="X152" i="1"/>
  <c r="X151" i="1"/>
  <c r="Y151" i="1" s="1"/>
  <c r="Y152" i="1" s="1"/>
  <c r="L92" i="1"/>
  <c r="M91" i="1"/>
  <c r="M92" i="1" s="1"/>
  <c r="M235" i="1"/>
  <c r="M236" i="1" s="1"/>
  <c r="L236" i="1"/>
  <c r="X98" i="1"/>
  <c r="X97" i="1"/>
  <c r="Y97" i="1" s="1"/>
  <c r="Y98" i="1" s="1"/>
  <c r="W206" i="1"/>
  <c r="W205" i="1"/>
  <c r="V206" i="1"/>
  <c r="AK187" i="1"/>
  <c r="AF187" i="1"/>
  <c r="L122" i="1"/>
  <c r="M121" i="1"/>
  <c r="M122" i="1" s="1"/>
  <c r="L224" i="1"/>
  <c r="M223" i="1"/>
  <c r="M224" i="1" s="1"/>
  <c r="AE223" i="1"/>
  <c r="AA223" i="1"/>
  <c r="AL229" i="1"/>
  <c r="AO229" i="1" s="1"/>
  <c r="Z229" i="1"/>
  <c r="X271" i="1"/>
  <c r="Y271" i="1"/>
  <c r="AE145" i="1"/>
  <c r="AA145" i="1"/>
  <c r="AB218" i="1"/>
  <c r="AC217" i="1"/>
  <c r="X79" i="1"/>
  <c r="Y79" i="1" s="1"/>
  <c r="Y80" i="1" s="1"/>
  <c r="X80" i="1"/>
  <c r="AF247" i="1"/>
  <c r="AK247" i="1"/>
  <c r="X38" i="1" l="1"/>
  <c r="X37" i="1"/>
  <c r="AE271" i="1"/>
  <c r="AA271" i="1"/>
  <c r="AB271" i="1" s="1"/>
  <c r="AC271" i="1" s="1"/>
  <c r="AD271" i="1" s="1"/>
  <c r="AF223" i="1"/>
  <c r="AK223" i="1"/>
  <c r="X206" i="1"/>
  <c r="X205" i="1"/>
  <c r="Y205" i="1" s="1"/>
  <c r="Y206" i="1" s="1"/>
  <c r="R73" i="1"/>
  <c r="Q74" i="1"/>
  <c r="R91" i="1"/>
  <c r="Q92" i="1"/>
  <c r="R14" i="1"/>
  <c r="S13" i="1"/>
  <c r="S14" i="1" s="1"/>
  <c r="AB235" i="1"/>
  <c r="AA236" i="1"/>
  <c r="AB211" i="1"/>
  <c r="AA212" i="1"/>
  <c r="AB50" i="1"/>
  <c r="AC49" i="1"/>
  <c r="AF80" i="1"/>
  <c r="AG79" i="1"/>
  <c r="AB97" i="1"/>
  <c r="AA98" i="1"/>
  <c r="X224" i="1"/>
  <c r="X223" i="1"/>
  <c r="Y223" i="1" s="1"/>
  <c r="Y224" i="1" s="1"/>
  <c r="AK127" i="1"/>
  <c r="AF127" i="1"/>
  <c r="R199" i="1"/>
  <c r="Q200" i="1"/>
  <c r="X146" i="1"/>
  <c r="X145" i="1"/>
  <c r="Y145" i="1" s="1"/>
  <c r="Y146" i="1" s="1"/>
  <c r="R163" i="1"/>
  <c r="Q164" i="1"/>
  <c r="Q98" i="1"/>
  <c r="R97" i="1"/>
  <c r="AF97" i="1"/>
  <c r="AK97" i="1"/>
  <c r="AF145" i="1"/>
  <c r="AK145" i="1"/>
  <c r="Q170" i="1"/>
  <c r="R169" i="1"/>
  <c r="L230" i="1"/>
  <c r="M229" i="1"/>
  <c r="M230" i="1" s="1"/>
  <c r="AC247" i="1"/>
  <c r="AB248" i="1"/>
  <c r="AG55" i="1"/>
  <c r="AF56" i="1"/>
  <c r="AK103" i="1"/>
  <c r="AF103" i="1"/>
  <c r="AK67" i="1"/>
  <c r="AF67" i="1"/>
  <c r="AF241" i="1"/>
  <c r="AK241" i="1"/>
  <c r="S247" i="1"/>
  <c r="S248" i="1" s="1"/>
  <c r="R248" i="1"/>
  <c r="X14" i="1"/>
  <c r="X13" i="1"/>
  <c r="R67" i="1"/>
  <c r="Q68" i="1"/>
  <c r="AF121" i="1"/>
  <c r="AK121" i="1"/>
  <c r="X265" i="1"/>
  <c r="W266" i="1"/>
  <c r="AF8" i="1"/>
  <c r="AG7" i="1"/>
  <c r="AG13" i="1"/>
  <c r="AF14" i="1"/>
  <c r="AK31" i="1"/>
  <c r="AF31" i="1"/>
  <c r="R188" i="1"/>
  <c r="S187" i="1"/>
  <c r="S188" i="1" s="1"/>
  <c r="X73" i="1"/>
  <c r="Y73" i="1" s="1"/>
  <c r="Y74" i="1" s="1"/>
  <c r="X74" i="1"/>
  <c r="X230" i="1"/>
  <c r="X229" i="1"/>
  <c r="Y229" i="1" s="1"/>
  <c r="Y230" i="1" s="1"/>
  <c r="AB14" i="1"/>
  <c r="AC13" i="1"/>
  <c r="R182" i="1"/>
  <c r="S181" i="1"/>
  <c r="S182" i="1" s="1"/>
  <c r="AA200" i="1"/>
  <c r="AB199" i="1"/>
  <c r="AA104" i="1"/>
  <c r="AB103" i="1"/>
  <c r="AB67" i="1"/>
  <c r="AA68" i="1"/>
  <c r="AB241" i="1"/>
  <c r="AA242" i="1"/>
  <c r="AG37" i="1"/>
  <c r="AF38" i="1"/>
  <c r="AG109" i="1"/>
  <c r="AF110" i="1"/>
  <c r="S55" i="1"/>
  <c r="S56" i="1" s="1"/>
  <c r="R56" i="1"/>
  <c r="Y20" i="1"/>
  <c r="Y19" i="1"/>
  <c r="AF50" i="1"/>
  <c r="AG49" i="1"/>
  <c r="AA26" i="1"/>
  <c r="AB25" i="1"/>
  <c r="S79" i="1"/>
  <c r="S80" i="1" s="1"/>
  <c r="R80" i="1"/>
  <c r="Q32" i="1"/>
  <c r="R31" i="1"/>
  <c r="AB31" i="1"/>
  <c r="AA32" i="1"/>
  <c r="AG19" i="1"/>
  <c r="AF20" i="1"/>
  <c r="AB145" i="1"/>
  <c r="AA146" i="1"/>
  <c r="AD85" i="1"/>
  <c r="AD86" i="1" s="1"/>
  <c r="AC86" i="1"/>
  <c r="X32" i="1"/>
  <c r="X31" i="1"/>
  <c r="Q62" i="1"/>
  <c r="R61" i="1"/>
  <c r="R25" i="1"/>
  <c r="Q26" i="1"/>
  <c r="AA128" i="1"/>
  <c r="AB127" i="1"/>
  <c r="AB121" i="1"/>
  <c r="AA122" i="1"/>
  <c r="Q229" i="1"/>
  <c r="P230" i="1"/>
  <c r="AG247" i="1"/>
  <c r="AF248" i="1"/>
  <c r="AB73" i="1"/>
  <c r="AA74" i="1"/>
  <c r="AA44" i="1"/>
  <c r="AB43" i="1"/>
  <c r="R134" i="1"/>
  <c r="S133" i="1"/>
  <c r="S134" i="1" s="1"/>
  <c r="X50" i="1"/>
  <c r="X49" i="1"/>
  <c r="AF254" i="1"/>
  <c r="AG253" i="1"/>
  <c r="X199" i="1"/>
  <c r="Y199" i="1" s="1"/>
  <c r="Y200" i="1" s="1"/>
  <c r="X200" i="1"/>
  <c r="AK199" i="1"/>
  <c r="AF199" i="1"/>
  <c r="AH217" i="1"/>
  <c r="AG218" i="1"/>
  <c r="AG181" i="1"/>
  <c r="AF182" i="1"/>
  <c r="R8" i="1"/>
  <c r="S7" i="1"/>
  <c r="S8" i="1" s="1"/>
  <c r="AK91" i="1"/>
  <c r="AF91" i="1"/>
  <c r="Q176" i="1"/>
  <c r="R175" i="1"/>
  <c r="AB152" i="1"/>
  <c r="AC151" i="1"/>
  <c r="S49" i="1"/>
  <c r="S50" i="1" s="1"/>
  <c r="R50" i="1"/>
  <c r="AB8" i="1"/>
  <c r="AC7" i="1"/>
  <c r="X43" i="1"/>
  <c r="X44" i="1"/>
  <c r="AF25" i="1"/>
  <c r="AK25" i="1"/>
  <c r="AE276" i="1"/>
  <c r="AA276" i="1"/>
  <c r="AB276" i="1" s="1"/>
  <c r="AC276" i="1" s="1"/>
  <c r="AD276" i="1" s="1"/>
  <c r="Q104" i="1"/>
  <c r="R103" i="1"/>
  <c r="R254" i="1"/>
  <c r="S253" i="1"/>
  <c r="S254" i="1" s="1"/>
  <c r="AF193" i="1"/>
  <c r="AK193" i="1"/>
  <c r="AB61" i="1"/>
  <c r="AA62" i="1"/>
  <c r="X212" i="1"/>
  <c r="X211" i="1"/>
  <c r="Y211" i="1" s="1"/>
  <c r="Y212" i="1" s="1"/>
  <c r="R223" i="1"/>
  <c r="Q224" i="1"/>
  <c r="AE229" i="1"/>
  <c r="AA229" i="1"/>
  <c r="AG187" i="1"/>
  <c r="AF188" i="1"/>
  <c r="AK73" i="1"/>
  <c r="AF73" i="1"/>
  <c r="AF43" i="1"/>
  <c r="AK43" i="1"/>
  <c r="AB188" i="1"/>
  <c r="AC187" i="1"/>
  <c r="AA164" i="1"/>
  <c r="AB163" i="1"/>
  <c r="Q128" i="1"/>
  <c r="R127" i="1"/>
  <c r="AK259" i="1"/>
  <c r="AF259" i="1"/>
  <c r="X236" i="1"/>
  <c r="X235" i="1"/>
  <c r="Y235" i="1" s="1"/>
  <c r="Y236" i="1" s="1"/>
  <c r="AC253" i="1"/>
  <c r="AB254" i="1"/>
  <c r="AB110" i="1"/>
  <c r="AC109" i="1"/>
  <c r="AG139" i="1"/>
  <c r="AF140" i="1"/>
  <c r="AG133" i="1"/>
  <c r="AF134" i="1"/>
  <c r="Q212" i="1"/>
  <c r="R211" i="1"/>
  <c r="AA92" i="1"/>
  <c r="AB91" i="1"/>
  <c r="X68" i="1"/>
  <c r="X67" i="1"/>
  <c r="Y67" i="1" s="1"/>
  <c r="Y68" i="1" s="1"/>
  <c r="AB193" i="1"/>
  <c r="AA194" i="1"/>
  <c r="AF61" i="1"/>
  <c r="AK61" i="1"/>
  <c r="Q260" i="1"/>
  <c r="R259" i="1"/>
  <c r="AK235" i="1"/>
  <c r="AF235" i="1"/>
  <c r="X194" i="1"/>
  <c r="X193" i="1"/>
  <c r="Y193" i="1" s="1"/>
  <c r="Y194" i="1" s="1"/>
  <c r="AB205" i="1"/>
  <c r="AA206" i="1"/>
  <c r="R110" i="1"/>
  <c r="S109" i="1"/>
  <c r="S110" i="1" s="1"/>
  <c r="Y62" i="1"/>
  <c r="Y61" i="1"/>
  <c r="AK163" i="1"/>
  <c r="AF163" i="1"/>
  <c r="AK175" i="1"/>
  <c r="AF175" i="1"/>
  <c r="AB38" i="1"/>
  <c r="AC37" i="1"/>
  <c r="AB259" i="1"/>
  <c r="AA260" i="1"/>
  <c r="AA116" i="1"/>
  <c r="AB115" i="1"/>
  <c r="R140" i="1"/>
  <c r="S139" i="1"/>
  <c r="S140" i="1" s="1"/>
  <c r="Q194" i="1"/>
  <c r="R193" i="1"/>
  <c r="AB169" i="1"/>
  <c r="AA170" i="1"/>
  <c r="R115" i="1"/>
  <c r="Q116" i="1"/>
  <c r="AB140" i="1"/>
  <c r="AC139" i="1"/>
  <c r="R145" i="1"/>
  <c r="Q146" i="1"/>
  <c r="Q206" i="1"/>
  <c r="R205" i="1"/>
  <c r="AB80" i="1"/>
  <c r="AC79" i="1"/>
  <c r="AG157" i="1"/>
  <c r="AF158" i="1"/>
  <c r="AG151" i="1"/>
  <c r="AF152" i="1"/>
  <c r="R20" i="1"/>
  <c r="S19" i="1"/>
  <c r="S20" i="1" s="1"/>
  <c r="AC19" i="1"/>
  <c r="AB20" i="1"/>
  <c r="AF265" i="1"/>
  <c r="AK265" i="1"/>
  <c r="AE266" i="1"/>
  <c r="Q236" i="1"/>
  <c r="R235" i="1"/>
  <c r="Q122" i="1"/>
  <c r="R121" i="1"/>
  <c r="AC55" i="1"/>
  <c r="AB56" i="1"/>
  <c r="AC218" i="1"/>
  <c r="AD217" i="1"/>
  <c r="AD218" i="1" s="1"/>
  <c r="AA224" i="1"/>
  <c r="AB223" i="1"/>
  <c r="AH85" i="1"/>
  <c r="AG86" i="1"/>
  <c r="AK205" i="1"/>
  <c r="AF205" i="1"/>
  <c r="AA176" i="1"/>
  <c r="AB175" i="1"/>
  <c r="R158" i="1"/>
  <c r="S157" i="1"/>
  <c r="S158" i="1" s="1"/>
  <c r="Y8" i="1"/>
  <c r="Y7" i="1"/>
  <c r="Y56" i="1"/>
  <c r="Y55" i="1"/>
  <c r="R43" i="1"/>
  <c r="Q44" i="1"/>
  <c r="AK115" i="1"/>
  <c r="AF115" i="1"/>
  <c r="AB134" i="1"/>
  <c r="AC133" i="1"/>
  <c r="AB182" i="1"/>
  <c r="AC181" i="1"/>
  <c r="AK211" i="1"/>
  <c r="AF211" i="1"/>
  <c r="Y276" i="1"/>
  <c r="X276" i="1"/>
  <c r="AF169" i="1"/>
  <c r="AK169" i="1"/>
  <c r="AC157" i="1"/>
  <c r="AB158" i="1"/>
  <c r="Q242" i="1"/>
  <c r="R241" i="1"/>
  <c r="X26" i="1"/>
  <c r="X25" i="1"/>
  <c r="R38" i="1"/>
  <c r="S37" i="1"/>
  <c r="S38" i="1" s="1"/>
  <c r="AB265" i="1"/>
  <c r="AA266" i="1"/>
  <c r="Y38" i="1" l="1"/>
  <c r="Y37" i="1"/>
  <c r="AC205" i="1"/>
  <c r="AB206" i="1"/>
  <c r="AH37" i="1"/>
  <c r="AG38" i="1"/>
  <c r="R44" i="1"/>
  <c r="S43" i="1"/>
  <c r="S44" i="1" s="1"/>
  <c r="AD139" i="1"/>
  <c r="AD140" i="1" s="1"/>
  <c r="AC140" i="1"/>
  <c r="AF176" i="1"/>
  <c r="AG175" i="1"/>
  <c r="R212" i="1"/>
  <c r="S211" i="1"/>
  <c r="S212" i="1" s="1"/>
  <c r="AB164" i="1"/>
  <c r="AC163" i="1"/>
  <c r="AB44" i="1"/>
  <c r="AC43" i="1"/>
  <c r="Y31" i="1"/>
  <c r="Y32" i="1"/>
  <c r="AH49" i="1"/>
  <c r="AG50" i="1"/>
  <c r="AC199" i="1"/>
  <c r="AB200" i="1"/>
  <c r="AH7" i="1"/>
  <c r="AG8" i="1"/>
  <c r="Y14" i="1"/>
  <c r="Y13" i="1"/>
  <c r="AF104" i="1"/>
  <c r="AG103" i="1"/>
  <c r="R170" i="1"/>
  <c r="S169" i="1"/>
  <c r="S170" i="1" s="1"/>
  <c r="AC182" i="1"/>
  <c r="AD181" i="1"/>
  <c r="AD182" i="1" s="1"/>
  <c r="AG158" i="1"/>
  <c r="AH157" i="1"/>
  <c r="AD253" i="1"/>
  <c r="AD254" i="1" s="1"/>
  <c r="AC254" i="1"/>
  <c r="AF276" i="1"/>
  <c r="AG276" i="1" s="1"/>
  <c r="AH276" i="1" s="1"/>
  <c r="AI276" i="1" s="1"/>
  <c r="AJ276" i="1" s="1"/>
  <c r="AK276" i="1"/>
  <c r="AC121" i="1"/>
  <c r="AB122" i="1"/>
  <c r="R74" i="1"/>
  <c r="S73" i="1"/>
  <c r="S74" i="1" s="1"/>
  <c r="AB266" i="1"/>
  <c r="AC265" i="1"/>
  <c r="AC158" i="1"/>
  <c r="AD157" i="1"/>
  <c r="AD158" i="1" s="1"/>
  <c r="AD55" i="1"/>
  <c r="AD56" i="1" s="1"/>
  <c r="AC56" i="1"/>
  <c r="AD79" i="1"/>
  <c r="AD80" i="1" s="1"/>
  <c r="AC80" i="1"/>
  <c r="AB116" i="1"/>
  <c r="AC115" i="1"/>
  <c r="AG163" i="1"/>
  <c r="AF164" i="1"/>
  <c r="AD187" i="1"/>
  <c r="AD188" i="1" s="1"/>
  <c r="AC188" i="1"/>
  <c r="AB229" i="1"/>
  <c r="AA230" i="1"/>
  <c r="AD151" i="1"/>
  <c r="AD152" i="1" s="1"/>
  <c r="AC152" i="1"/>
  <c r="AG254" i="1"/>
  <c r="AH253" i="1"/>
  <c r="AC127" i="1"/>
  <c r="AB128" i="1"/>
  <c r="R32" i="1"/>
  <c r="S31" i="1"/>
  <c r="S32" i="1" s="1"/>
  <c r="AG265" i="1"/>
  <c r="AF266" i="1"/>
  <c r="AF62" i="1"/>
  <c r="AG61" i="1"/>
  <c r="AH187" i="1"/>
  <c r="AG188" i="1"/>
  <c r="AC211" i="1"/>
  <c r="AB212" i="1"/>
  <c r="AC134" i="1"/>
  <c r="AD133" i="1"/>
  <c r="AD134" i="1" s="1"/>
  <c r="R122" i="1"/>
  <c r="S121" i="1"/>
  <c r="S122" i="1" s="1"/>
  <c r="AC20" i="1"/>
  <c r="AD19" i="1"/>
  <c r="AD20" i="1" s="1"/>
  <c r="R116" i="1"/>
  <c r="S115" i="1"/>
  <c r="S116" i="1" s="1"/>
  <c r="AB194" i="1"/>
  <c r="AC193" i="1"/>
  <c r="AG134" i="1"/>
  <c r="AH133" i="1"/>
  <c r="AK229" i="1"/>
  <c r="AF229" i="1"/>
  <c r="AG193" i="1"/>
  <c r="AF194" i="1"/>
  <c r="AF26" i="1"/>
  <c r="AG25" i="1"/>
  <c r="AG182" i="1"/>
  <c r="AH181" i="1"/>
  <c r="AB74" i="1"/>
  <c r="AC73" i="1"/>
  <c r="AB242" i="1"/>
  <c r="AC241" i="1"/>
  <c r="Y265" i="1"/>
  <c r="Y266" i="1" s="1"/>
  <c r="X266" i="1"/>
  <c r="AG56" i="1"/>
  <c r="AH55" i="1"/>
  <c r="AF146" i="1"/>
  <c r="AG145" i="1"/>
  <c r="AC97" i="1"/>
  <c r="AB98" i="1"/>
  <c r="AC235" i="1"/>
  <c r="AB236" i="1"/>
  <c r="AC31" i="1"/>
  <c r="AB32" i="1"/>
  <c r="R164" i="1"/>
  <c r="S163" i="1"/>
  <c r="S164" i="1" s="1"/>
  <c r="AG169" i="1"/>
  <c r="AF170" i="1"/>
  <c r="AH86" i="1"/>
  <c r="AI85" i="1"/>
  <c r="R206" i="1"/>
  <c r="S205" i="1"/>
  <c r="S206" i="1" s="1"/>
  <c r="AF236" i="1"/>
  <c r="AG235" i="1"/>
  <c r="AF260" i="1"/>
  <c r="AG259" i="1"/>
  <c r="S175" i="1"/>
  <c r="S176" i="1" s="1"/>
  <c r="R176" i="1"/>
  <c r="Y50" i="1"/>
  <c r="Y49" i="1"/>
  <c r="AC14" i="1"/>
  <c r="AD13" i="1"/>
  <c r="AD14" i="1" s="1"/>
  <c r="AF32" i="1"/>
  <c r="AG31" i="1"/>
  <c r="AH79" i="1"/>
  <c r="AG80" i="1"/>
  <c r="AB62" i="1"/>
  <c r="AC61" i="1"/>
  <c r="Y26" i="1"/>
  <c r="Y25" i="1"/>
  <c r="AG115" i="1"/>
  <c r="AF116" i="1"/>
  <c r="AC223" i="1"/>
  <c r="AB224" i="1"/>
  <c r="R236" i="1"/>
  <c r="S235" i="1"/>
  <c r="S236" i="1" s="1"/>
  <c r="AC169" i="1"/>
  <c r="AB170" i="1"/>
  <c r="AC259" i="1"/>
  <c r="AB260" i="1"/>
  <c r="AH139" i="1"/>
  <c r="AG140" i="1"/>
  <c r="AG43" i="1"/>
  <c r="AF44" i="1"/>
  <c r="R224" i="1"/>
  <c r="S223" i="1"/>
  <c r="S224" i="1" s="1"/>
  <c r="Y43" i="1"/>
  <c r="Y44" i="1"/>
  <c r="AI217" i="1"/>
  <c r="AH218" i="1"/>
  <c r="AH247" i="1"/>
  <c r="AG248" i="1"/>
  <c r="R26" i="1"/>
  <c r="S25" i="1"/>
  <c r="S26" i="1" s="1"/>
  <c r="AC145" i="1"/>
  <c r="AB146" i="1"/>
  <c r="AC67" i="1"/>
  <c r="AB68" i="1"/>
  <c r="AG121" i="1"/>
  <c r="AF122" i="1"/>
  <c r="AG241" i="1"/>
  <c r="AF242" i="1"/>
  <c r="AD247" i="1"/>
  <c r="AD248" i="1" s="1"/>
  <c r="AC248" i="1"/>
  <c r="AG97" i="1"/>
  <c r="AF98" i="1"/>
  <c r="R200" i="1"/>
  <c r="S199" i="1"/>
  <c r="S200" i="1" s="1"/>
  <c r="AG223" i="1"/>
  <c r="AF224" i="1"/>
  <c r="AF206" i="1"/>
  <c r="AG205" i="1"/>
  <c r="S193" i="1"/>
  <c r="S194" i="1" s="1"/>
  <c r="R194" i="1"/>
  <c r="AC38" i="1"/>
  <c r="AD37" i="1"/>
  <c r="AD38" i="1" s="1"/>
  <c r="R260" i="1"/>
  <c r="S259" i="1"/>
  <c r="S260" i="1" s="1"/>
  <c r="AC91" i="1"/>
  <c r="AB92" i="1"/>
  <c r="AC110" i="1"/>
  <c r="AD109" i="1"/>
  <c r="AD110" i="1" s="1"/>
  <c r="S127" i="1"/>
  <c r="S128" i="1" s="1"/>
  <c r="R128" i="1"/>
  <c r="AF74" i="1"/>
  <c r="AG73" i="1"/>
  <c r="S103" i="1"/>
  <c r="S104" i="1" s="1"/>
  <c r="R104" i="1"/>
  <c r="AC8" i="1"/>
  <c r="AD7" i="1"/>
  <c r="AD8" i="1" s="1"/>
  <c r="AF92" i="1"/>
  <c r="AG91" i="1"/>
  <c r="AG199" i="1"/>
  <c r="AF200" i="1"/>
  <c r="R62" i="1"/>
  <c r="S61" i="1"/>
  <c r="S62" i="1" s="1"/>
  <c r="AC25" i="1"/>
  <c r="AB26" i="1"/>
  <c r="AC103" i="1"/>
  <c r="AB104" i="1"/>
  <c r="AF68" i="1"/>
  <c r="AG67" i="1"/>
  <c r="R98" i="1"/>
  <c r="S97" i="1"/>
  <c r="S98" i="1" s="1"/>
  <c r="AF128" i="1"/>
  <c r="AG127" i="1"/>
  <c r="AC50" i="1"/>
  <c r="AD49" i="1"/>
  <c r="AD50" i="1" s="1"/>
  <c r="R242" i="1"/>
  <c r="S241" i="1"/>
  <c r="S242" i="1" s="1"/>
  <c r="AG211" i="1"/>
  <c r="AF212" i="1"/>
  <c r="AC175" i="1"/>
  <c r="AB176" i="1"/>
  <c r="AH151" i="1"/>
  <c r="AG152" i="1"/>
  <c r="R146" i="1"/>
  <c r="S145" i="1"/>
  <c r="S146" i="1" s="1"/>
  <c r="Q230" i="1"/>
  <c r="R229" i="1"/>
  <c r="AH19" i="1"/>
  <c r="AG20" i="1"/>
  <c r="AG110" i="1"/>
  <c r="AH109" i="1"/>
  <c r="AH13" i="1"/>
  <c r="AG14" i="1"/>
  <c r="R68" i="1"/>
  <c r="S67" i="1"/>
  <c r="S68" i="1" s="1"/>
  <c r="S91" i="1"/>
  <c r="S92" i="1" s="1"/>
  <c r="R92" i="1"/>
  <c r="AK271" i="1"/>
  <c r="AF271" i="1"/>
  <c r="AG271" i="1" s="1"/>
  <c r="AH271" i="1" s="1"/>
  <c r="AI271" i="1" s="1"/>
  <c r="AJ271" i="1" s="1"/>
  <c r="AH241" i="1" l="1"/>
  <c r="AG242" i="1"/>
  <c r="AH67" i="1"/>
  <c r="AG68" i="1"/>
  <c r="AG74" i="1"/>
  <c r="AH73" i="1"/>
  <c r="AG236" i="1"/>
  <c r="AH235" i="1"/>
  <c r="AG146" i="1"/>
  <c r="AH145" i="1"/>
  <c r="AC74" i="1"/>
  <c r="AD73" i="1"/>
  <c r="AD74" i="1" s="1"/>
  <c r="AF230" i="1"/>
  <c r="AG229" i="1"/>
  <c r="AD43" i="1"/>
  <c r="AD44" i="1" s="1"/>
  <c r="AC44" i="1"/>
  <c r="AG200" i="1"/>
  <c r="AH199" i="1"/>
  <c r="AI109" i="1"/>
  <c r="AH110" i="1"/>
  <c r="AH91" i="1"/>
  <c r="AG92" i="1"/>
  <c r="AD61" i="1"/>
  <c r="AD62" i="1" s="1"/>
  <c r="AC62" i="1"/>
  <c r="AH56" i="1"/>
  <c r="AI55" i="1"/>
  <c r="AI181" i="1"/>
  <c r="AH182" i="1"/>
  <c r="AI133" i="1"/>
  <c r="AH134" i="1"/>
  <c r="AG62" i="1"/>
  <c r="AH61" i="1"/>
  <c r="AH254" i="1"/>
  <c r="AI253" i="1"/>
  <c r="AD163" i="1"/>
  <c r="AD164" i="1" s="1"/>
  <c r="AC164" i="1"/>
  <c r="AI151" i="1"/>
  <c r="AH152" i="1"/>
  <c r="AD103" i="1"/>
  <c r="AD104" i="1" s="1"/>
  <c r="AC104" i="1"/>
  <c r="AG122" i="1"/>
  <c r="AH121" i="1"/>
  <c r="AH248" i="1"/>
  <c r="AI247" i="1"/>
  <c r="AG44" i="1"/>
  <c r="AH43" i="1"/>
  <c r="AD31" i="1"/>
  <c r="AD32" i="1" s="1"/>
  <c r="AC32" i="1"/>
  <c r="AH163" i="1"/>
  <c r="AG164" i="1"/>
  <c r="AC200" i="1"/>
  <c r="AD199" i="1"/>
  <c r="AD200" i="1" s="1"/>
  <c r="AC170" i="1"/>
  <c r="AD169" i="1"/>
  <c r="AD170" i="1" s="1"/>
  <c r="AH127" i="1"/>
  <c r="AG128" i="1"/>
  <c r="AI86" i="1"/>
  <c r="AJ85" i="1"/>
  <c r="AJ86" i="1" s="1"/>
  <c r="AG26" i="1"/>
  <c r="AH25" i="1"/>
  <c r="AC194" i="1"/>
  <c r="AD193" i="1"/>
  <c r="AD194" i="1" s="1"/>
  <c r="AD115" i="1"/>
  <c r="AD116" i="1" s="1"/>
  <c r="AC116" i="1"/>
  <c r="AC266" i="1"/>
  <c r="AD265" i="1"/>
  <c r="AD266" i="1" s="1"/>
  <c r="AH103" i="1"/>
  <c r="AG104" i="1"/>
  <c r="AI187" i="1"/>
  <c r="AH188" i="1"/>
  <c r="AI7" i="1"/>
  <c r="AH8" i="1"/>
  <c r="AH20" i="1"/>
  <c r="AI19" i="1"/>
  <c r="AD175" i="1"/>
  <c r="AD176" i="1" s="1"/>
  <c r="AC176" i="1"/>
  <c r="AD25" i="1"/>
  <c r="AD26" i="1" s="1"/>
  <c r="AC26" i="1"/>
  <c r="AG98" i="1"/>
  <c r="AH97" i="1"/>
  <c r="AC68" i="1"/>
  <c r="AD67" i="1"/>
  <c r="AD68" i="1" s="1"/>
  <c r="AI218" i="1"/>
  <c r="AJ217" i="1"/>
  <c r="AJ218" i="1" s="1"/>
  <c r="AI139" i="1"/>
  <c r="AH140" i="1"/>
  <c r="AD223" i="1"/>
  <c r="AD224" i="1" s="1"/>
  <c r="AC224" i="1"/>
  <c r="AH80" i="1"/>
  <c r="AI79" i="1"/>
  <c r="AD235" i="1"/>
  <c r="AD236" i="1" s="1"/>
  <c r="AC236" i="1"/>
  <c r="AH265" i="1"/>
  <c r="AG266" i="1"/>
  <c r="AI49" i="1"/>
  <c r="AH50" i="1"/>
  <c r="AI37" i="1"/>
  <c r="AH38" i="1"/>
  <c r="AD127" i="1"/>
  <c r="AD128" i="1" s="1"/>
  <c r="AC128" i="1"/>
  <c r="AC122" i="1"/>
  <c r="AD121" i="1"/>
  <c r="AD122" i="1" s="1"/>
  <c r="R230" i="1"/>
  <c r="S229" i="1"/>
  <c r="S230" i="1" s="1"/>
  <c r="AG206" i="1"/>
  <c r="AH205" i="1"/>
  <c r="AG32" i="1"/>
  <c r="AH31" i="1"/>
  <c r="AH259" i="1"/>
  <c r="AG260" i="1"/>
  <c r="AC242" i="1"/>
  <c r="AD241" i="1"/>
  <c r="AD242" i="1" s="1"/>
  <c r="AH158" i="1"/>
  <c r="AI157" i="1"/>
  <c r="AH175" i="1"/>
  <c r="AG176" i="1"/>
  <c r="AI13" i="1"/>
  <c r="AH14" i="1"/>
  <c r="AG224" i="1"/>
  <c r="AH223" i="1"/>
  <c r="AH211" i="1"/>
  <c r="AG212" i="1"/>
  <c r="AD91" i="1"/>
  <c r="AD92" i="1" s="1"/>
  <c r="AC92" i="1"/>
  <c r="AD145" i="1"/>
  <c r="AD146" i="1" s="1"/>
  <c r="AC146" i="1"/>
  <c r="AD259" i="1"/>
  <c r="AD260" i="1" s="1"/>
  <c r="AC260" i="1"/>
  <c r="AH115" i="1"/>
  <c r="AG116" i="1"/>
  <c r="AG170" i="1"/>
  <c r="AH169" i="1"/>
  <c r="AC98" i="1"/>
  <c r="AD97" i="1"/>
  <c r="AD98" i="1" s="1"/>
  <c r="AG194" i="1"/>
  <c r="AH193" i="1"/>
  <c r="AC212" i="1"/>
  <c r="AD211" i="1"/>
  <c r="AD212" i="1" s="1"/>
  <c r="AC229" i="1"/>
  <c r="AB230" i="1"/>
  <c r="AD205" i="1"/>
  <c r="AD206" i="1" s="1"/>
  <c r="AC206" i="1"/>
  <c r="AI127" i="1" l="1"/>
  <c r="AH128" i="1"/>
  <c r="AI193" i="1"/>
  <c r="AH194" i="1"/>
  <c r="AH224" i="1"/>
  <c r="AI223" i="1"/>
  <c r="AH98" i="1"/>
  <c r="AI97" i="1"/>
  <c r="AH62" i="1"/>
  <c r="AI61" i="1"/>
  <c r="AI235" i="1"/>
  <c r="AH236" i="1"/>
  <c r="AI43" i="1"/>
  <c r="AH44" i="1"/>
  <c r="AG230" i="1"/>
  <c r="AH229" i="1"/>
  <c r="AH74" i="1"/>
  <c r="AI73" i="1"/>
  <c r="AJ13" i="1"/>
  <c r="AJ14" i="1" s="1"/>
  <c r="AI14" i="1"/>
  <c r="AI259" i="1"/>
  <c r="AH260" i="1"/>
  <c r="AI265" i="1"/>
  <c r="AH266" i="1"/>
  <c r="AI140" i="1"/>
  <c r="AJ139" i="1"/>
  <c r="AJ140" i="1" s="1"/>
  <c r="AI188" i="1"/>
  <c r="AJ187" i="1"/>
  <c r="AJ188" i="1" s="1"/>
  <c r="AI152" i="1"/>
  <c r="AJ151" i="1"/>
  <c r="AJ152" i="1" s="1"/>
  <c r="AJ133" i="1"/>
  <c r="AJ134" i="1" s="1"/>
  <c r="AI134" i="1"/>
  <c r="AI91" i="1"/>
  <c r="AH92" i="1"/>
  <c r="AJ49" i="1"/>
  <c r="AJ50" i="1" s="1"/>
  <c r="AI50" i="1"/>
  <c r="AH170" i="1"/>
  <c r="AI169" i="1"/>
  <c r="AI31" i="1"/>
  <c r="AH32" i="1"/>
  <c r="AH26" i="1"/>
  <c r="AI25" i="1"/>
  <c r="AI248" i="1"/>
  <c r="AJ247" i="1"/>
  <c r="AJ248" i="1" s="1"/>
  <c r="AD229" i="1"/>
  <c r="AD230" i="1" s="1"/>
  <c r="AC230" i="1"/>
  <c r="AI175" i="1"/>
  <c r="AH176" i="1"/>
  <c r="AI103" i="1"/>
  <c r="AH104" i="1"/>
  <c r="AJ181" i="1"/>
  <c r="AJ182" i="1" s="1"/>
  <c r="AI182" i="1"/>
  <c r="AJ109" i="1"/>
  <c r="AJ110" i="1" s="1"/>
  <c r="AI110" i="1"/>
  <c r="AI67" i="1"/>
  <c r="AH68" i="1"/>
  <c r="AJ7" i="1"/>
  <c r="AJ8" i="1" s="1"/>
  <c r="AI8" i="1"/>
  <c r="AI158" i="1"/>
  <c r="AJ157" i="1"/>
  <c r="AJ158" i="1" s="1"/>
  <c r="AI205" i="1"/>
  <c r="AH206" i="1"/>
  <c r="AJ79" i="1"/>
  <c r="AJ80" i="1" s="1"/>
  <c r="AI80" i="1"/>
  <c r="AI20" i="1"/>
  <c r="AJ19" i="1"/>
  <c r="AJ20" i="1" s="1"/>
  <c r="AH122" i="1"/>
  <c r="AI121" i="1"/>
  <c r="AJ253" i="1"/>
  <c r="AJ254" i="1" s="1"/>
  <c r="AI254" i="1"/>
  <c r="AI56" i="1"/>
  <c r="AJ55" i="1"/>
  <c r="AJ56" i="1" s="1"/>
  <c r="AH200" i="1"/>
  <c r="AI199" i="1"/>
  <c r="AH146" i="1"/>
  <c r="AI145" i="1"/>
  <c r="AI115" i="1"/>
  <c r="AH116" i="1"/>
  <c r="AI211" i="1"/>
  <c r="AH212" i="1"/>
  <c r="AJ37" i="1"/>
  <c r="AJ38" i="1" s="1"/>
  <c r="AI38" i="1"/>
  <c r="AI163" i="1"/>
  <c r="AH164" i="1"/>
  <c r="AI241" i="1"/>
  <c r="AH242" i="1"/>
  <c r="AH230" i="1" l="1"/>
  <c r="AI229" i="1"/>
  <c r="AJ97" i="1"/>
  <c r="AJ98" i="1" s="1"/>
  <c r="AI98" i="1"/>
  <c r="AJ211" i="1"/>
  <c r="AJ212" i="1" s="1"/>
  <c r="AI212" i="1"/>
  <c r="AJ265" i="1"/>
  <c r="AJ266" i="1" s="1"/>
  <c r="AI266" i="1"/>
  <c r="AJ169" i="1"/>
  <c r="AJ170" i="1" s="1"/>
  <c r="AI170" i="1"/>
  <c r="AI224" i="1"/>
  <c r="AJ223" i="1"/>
  <c r="AJ224" i="1" s="1"/>
  <c r="AJ241" i="1"/>
  <c r="AJ242" i="1" s="1"/>
  <c r="AI242" i="1"/>
  <c r="AI116" i="1"/>
  <c r="AJ115" i="1"/>
  <c r="AJ116" i="1" s="1"/>
  <c r="AJ205" i="1"/>
  <c r="AJ206" i="1" s="1"/>
  <c r="AI206" i="1"/>
  <c r="AJ259" i="1"/>
  <c r="AJ260" i="1" s="1"/>
  <c r="AI260" i="1"/>
  <c r="AI44" i="1"/>
  <c r="AJ43" i="1"/>
  <c r="AJ44" i="1" s="1"/>
  <c r="AJ145" i="1"/>
  <c r="AJ146" i="1" s="1"/>
  <c r="AI146" i="1"/>
  <c r="AJ121" i="1"/>
  <c r="AJ122" i="1" s="1"/>
  <c r="AI122" i="1"/>
  <c r="AJ67" i="1"/>
  <c r="AJ68" i="1" s="1"/>
  <c r="AI68" i="1"/>
  <c r="AI164" i="1"/>
  <c r="AJ163" i="1"/>
  <c r="AJ164" i="1" s="1"/>
  <c r="AJ235" i="1"/>
  <c r="AJ236" i="1" s="1"/>
  <c r="AI236" i="1"/>
  <c r="AI194" i="1"/>
  <c r="AJ193" i="1"/>
  <c r="AJ194" i="1" s="1"/>
  <c r="AJ175" i="1"/>
  <c r="AJ176" i="1" s="1"/>
  <c r="AI176" i="1"/>
  <c r="AI200" i="1"/>
  <c r="AJ199" i="1"/>
  <c r="AJ200" i="1" s="1"/>
  <c r="AI26" i="1"/>
  <c r="AJ25" i="1"/>
  <c r="AJ26" i="1" s="1"/>
  <c r="AJ73" i="1"/>
  <c r="AJ74" i="1" s="1"/>
  <c r="AI74" i="1"/>
  <c r="AJ61" i="1"/>
  <c r="AJ62" i="1" s="1"/>
  <c r="AI62" i="1"/>
  <c r="AJ31" i="1"/>
  <c r="AJ32" i="1" s="1"/>
  <c r="AI32" i="1"/>
  <c r="AJ103" i="1"/>
  <c r="AJ104" i="1" s="1"/>
  <c r="AI104" i="1"/>
  <c r="AJ91" i="1"/>
  <c r="AJ92" i="1" s="1"/>
  <c r="AI92" i="1"/>
  <c r="AJ127" i="1"/>
  <c r="AJ128" i="1" s="1"/>
  <c r="AI128" i="1"/>
  <c r="AJ229" i="1" l="1"/>
  <c r="AJ230" i="1" s="1"/>
  <c r="AI230" i="1"/>
  <c r="D120" i="3" l="1"/>
  <c r="C120" i="3"/>
  <c r="F119" i="3"/>
  <c r="C119" i="3"/>
  <c r="AJ118" i="3"/>
  <c r="AJ119" i="3" s="1"/>
  <c r="AJ120" i="3" s="1"/>
  <c r="AI118" i="3"/>
  <c r="AI119" i="3" s="1"/>
  <c r="AI120" i="3" s="1"/>
  <c r="AH118" i="3"/>
  <c r="AH119" i="3" s="1"/>
  <c r="AH120" i="3" s="1"/>
  <c r="AG118" i="3"/>
  <c r="AG119" i="3" s="1"/>
  <c r="AG120" i="3" s="1"/>
  <c r="AF118" i="3"/>
  <c r="AD118" i="3"/>
  <c r="AD119" i="3" s="1"/>
  <c r="AC118" i="3"/>
  <c r="AC119" i="3" s="1"/>
  <c r="AC120" i="3" s="1"/>
  <c r="AB118" i="3"/>
  <c r="AA118" i="3"/>
  <c r="AA119" i="3" s="1"/>
  <c r="Y118" i="3"/>
  <c r="Y119" i="3" s="1"/>
  <c r="Y120" i="3" s="1"/>
  <c r="X118" i="3"/>
  <c r="W118" i="3"/>
  <c r="W119" i="3" s="1"/>
  <c r="W120" i="3" s="1"/>
  <c r="V118" i="3"/>
  <c r="V119" i="3" s="1"/>
  <c r="S118" i="3"/>
  <c r="S119" i="3" s="1"/>
  <c r="S120" i="3" s="1"/>
  <c r="R118" i="3"/>
  <c r="R119" i="3" s="1"/>
  <c r="Q118" i="3"/>
  <c r="P118" i="3"/>
  <c r="P119" i="3" s="1"/>
  <c r="P120" i="3" s="1"/>
  <c r="O118" i="3"/>
  <c r="O119" i="3" s="1"/>
  <c r="M118" i="3"/>
  <c r="M119" i="3" s="1"/>
  <c r="M120" i="3" s="1"/>
  <c r="L118" i="3"/>
  <c r="K118" i="3"/>
  <c r="K119" i="3" s="1"/>
  <c r="K120" i="3" s="1"/>
  <c r="J118" i="3"/>
  <c r="J119" i="3" s="1"/>
  <c r="G118" i="3"/>
  <c r="G119" i="3" s="1"/>
  <c r="G120" i="3" s="1"/>
  <c r="F118" i="3"/>
  <c r="E118" i="3"/>
  <c r="C118" i="3"/>
  <c r="AJ117" i="3"/>
  <c r="AI117" i="3"/>
  <c r="AH117" i="3"/>
  <c r="AG117" i="3"/>
  <c r="AF117" i="3"/>
  <c r="AK117" i="3" s="1"/>
  <c r="AE117" i="3"/>
  <c r="AD117" i="3"/>
  <c r="AC117" i="3"/>
  <c r="AB117" i="3"/>
  <c r="AA117" i="3"/>
  <c r="Y117" i="3"/>
  <c r="X117" i="3"/>
  <c r="W117" i="3"/>
  <c r="Z117" i="3" s="1"/>
  <c r="V117" i="3"/>
  <c r="T117" i="3"/>
  <c r="S117" i="3"/>
  <c r="R117" i="3"/>
  <c r="Q117" i="3"/>
  <c r="P117" i="3"/>
  <c r="O117" i="3"/>
  <c r="M117" i="3"/>
  <c r="L117" i="3"/>
  <c r="K117" i="3"/>
  <c r="J117" i="3"/>
  <c r="H117" i="3"/>
  <c r="G117" i="3"/>
  <c r="F117" i="3"/>
  <c r="E117" i="3"/>
  <c r="I117" i="3" s="1"/>
  <c r="AJ116" i="3"/>
  <c r="AI116" i="3"/>
  <c r="AH116" i="3"/>
  <c r="AG116" i="3"/>
  <c r="AK116" i="3" s="1"/>
  <c r="AF116" i="3"/>
  <c r="AD116" i="3"/>
  <c r="AC116" i="3"/>
  <c r="AB116" i="3"/>
  <c r="AE116" i="3" s="1"/>
  <c r="AA116" i="3"/>
  <c r="Z116" i="3"/>
  <c r="Y116" i="3"/>
  <c r="X116" i="3"/>
  <c r="W116" i="3"/>
  <c r="V116" i="3"/>
  <c r="S116" i="3"/>
  <c r="R116" i="3"/>
  <c r="Q116" i="3"/>
  <c r="P116" i="3"/>
  <c r="O116" i="3"/>
  <c r="M116" i="3"/>
  <c r="L116" i="3"/>
  <c r="K116" i="3"/>
  <c r="J116" i="3"/>
  <c r="N116" i="3" s="1"/>
  <c r="I116" i="3"/>
  <c r="H116" i="3"/>
  <c r="G116" i="3"/>
  <c r="F116" i="3"/>
  <c r="E116" i="3"/>
  <c r="L115" i="3"/>
  <c r="K115" i="3"/>
  <c r="D115" i="3"/>
  <c r="C115" i="3"/>
  <c r="AJ114" i="3"/>
  <c r="AJ115" i="3" s="1"/>
  <c r="AF114" i="3"/>
  <c r="AB114" i="3"/>
  <c r="AB115" i="3" s="1"/>
  <c r="X114" i="3"/>
  <c r="X115" i="3" s="1"/>
  <c r="W114" i="3"/>
  <c r="P114" i="3"/>
  <c r="P115" i="3" s="1"/>
  <c r="L114" i="3"/>
  <c r="C114" i="3"/>
  <c r="AJ113" i="3"/>
  <c r="AI113" i="3"/>
  <c r="AI114" i="3" s="1"/>
  <c r="AI115" i="3" s="1"/>
  <c r="AH113" i="3"/>
  <c r="AG113" i="3"/>
  <c r="AF113" i="3"/>
  <c r="AD113" i="3"/>
  <c r="AD114" i="3" s="1"/>
  <c r="AD115" i="3" s="1"/>
  <c r="AC113" i="3"/>
  <c r="AC114" i="3" s="1"/>
  <c r="AC115" i="3" s="1"/>
  <c r="AB113" i="3"/>
  <c r="AA113" i="3"/>
  <c r="Z113" i="3"/>
  <c r="Y113" i="3"/>
  <c r="Y114" i="3" s="1"/>
  <c r="Y115" i="3" s="1"/>
  <c r="X113" i="3"/>
  <c r="W113" i="3"/>
  <c r="V113" i="3"/>
  <c r="V114" i="3" s="1"/>
  <c r="S113" i="3"/>
  <c r="S114" i="3" s="1"/>
  <c r="S115" i="3" s="1"/>
  <c r="R113" i="3"/>
  <c r="Q113" i="3"/>
  <c r="Q114" i="3" s="1"/>
  <c r="Q115" i="3" s="1"/>
  <c r="P113" i="3"/>
  <c r="O113" i="3"/>
  <c r="M113" i="3"/>
  <c r="L113" i="3"/>
  <c r="K113" i="3"/>
  <c r="K114" i="3" s="1"/>
  <c r="J113" i="3"/>
  <c r="G113" i="3"/>
  <c r="G114" i="3" s="1"/>
  <c r="G115" i="3" s="1"/>
  <c r="F113" i="3"/>
  <c r="E113" i="3"/>
  <c r="C113" i="3"/>
  <c r="AJ112" i="3"/>
  <c r="AI112" i="3"/>
  <c r="AH112" i="3"/>
  <c r="AK112" i="3" s="1"/>
  <c r="AG112" i="3"/>
  <c r="AG114" i="3" s="1"/>
  <c r="AG115" i="3" s="1"/>
  <c r="AF112" i="3"/>
  <c r="AD112" i="3"/>
  <c r="AC112" i="3"/>
  <c r="AB112" i="3"/>
  <c r="AA112" i="3"/>
  <c r="AE112" i="3" s="1"/>
  <c r="Z112" i="3"/>
  <c r="Y112" i="3"/>
  <c r="X112" i="3"/>
  <c r="W112" i="3"/>
  <c r="V112" i="3"/>
  <c r="S112" i="3"/>
  <c r="R112" i="3"/>
  <c r="Q112" i="3"/>
  <c r="P112" i="3"/>
  <c r="O112" i="3"/>
  <c r="M112" i="3"/>
  <c r="L112" i="3"/>
  <c r="K112" i="3"/>
  <c r="J112" i="3"/>
  <c r="N112" i="3" s="1"/>
  <c r="H112" i="3"/>
  <c r="G112" i="3"/>
  <c r="F112" i="3"/>
  <c r="E112" i="3"/>
  <c r="AJ111" i="3"/>
  <c r="AI111" i="3"/>
  <c r="AH111" i="3"/>
  <c r="AG111" i="3"/>
  <c r="AF111" i="3"/>
  <c r="AE111" i="3"/>
  <c r="AD111" i="3"/>
  <c r="AC111" i="3"/>
  <c r="AB111" i="3"/>
  <c r="AA111" i="3"/>
  <c r="Y111" i="3"/>
  <c r="X111" i="3"/>
  <c r="W111" i="3"/>
  <c r="Z111" i="3" s="1"/>
  <c r="V111" i="3"/>
  <c r="S111" i="3"/>
  <c r="R111" i="3"/>
  <c r="Q111" i="3"/>
  <c r="P111" i="3"/>
  <c r="O111" i="3"/>
  <c r="T111" i="3" s="1"/>
  <c r="M111" i="3"/>
  <c r="L111" i="3"/>
  <c r="K111" i="3"/>
  <c r="J111" i="3"/>
  <c r="H111" i="3"/>
  <c r="G111" i="3"/>
  <c r="F111" i="3"/>
  <c r="E111" i="3"/>
  <c r="I111" i="3" s="1"/>
  <c r="AJ108" i="3"/>
  <c r="AI108" i="3"/>
  <c r="AH108" i="3"/>
  <c r="AK108" i="3" s="1"/>
  <c r="AL108" i="3" s="1"/>
  <c r="AG108" i="3"/>
  <c r="AF108" i="3"/>
  <c r="AD108" i="3"/>
  <c r="AC108" i="3"/>
  <c r="AB108" i="3"/>
  <c r="AA108" i="3"/>
  <c r="AE108" i="3" s="1"/>
  <c r="Z108" i="3"/>
  <c r="Y108" i="3"/>
  <c r="X108" i="3"/>
  <c r="W108" i="3"/>
  <c r="V108" i="3"/>
  <c r="S108" i="3"/>
  <c r="R108" i="3"/>
  <c r="Q108" i="3"/>
  <c r="P108" i="3"/>
  <c r="O108" i="3"/>
  <c r="M108" i="3"/>
  <c r="L108" i="3"/>
  <c r="K108" i="3"/>
  <c r="J108" i="3"/>
  <c r="N108" i="3" s="1"/>
  <c r="G108" i="3"/>
  <c r="F108" i="3"/>
  <c r="E108" i="3"/>
  <c r="AK107" i="3"/>
  <c r="AE107" i="3"/>
  <c r="Z107" i="3"/>
  <c r="AL107" i="3" s="1"/>
  <c r="T107" i="3"/>
  <c r="N107" i="3"/>
  <c r="I107" i="3"/>
  <c r="H107" i="3"/>
  <c r="H108" i="3" s="1"/>
  <c r="AK106" i="3"/>
  <c r="AE106" i="3"/>
  <c r="Z106" i="3"/>
  <c r="T106" i="3"/>
  <c r="N106" i="3"/>
  <c r="I106" i="3"/>
  <c r="AL105" i="3"/>
  <c r="AK105" i="3"/>
  <c r="AE105" i="3"/>
  <c r="Z105" i="3"/>
  <c r="U105" i="3"/>
  <c r="T105" i="3"/>
  <c r="N105" i="3"/>
  <c r="I105" i="3"/>
  <c r="F104" i="3"/>
  <c r="G103" i="3"/>
  <c r="AJ102" i="3"/>
  <c r="AI102" i="3"/>
  <c r="AH102" i="3"/>
  <c r="AG102" i="3"/>
  <c r="AK102" i="3" s="1"/>
  <c r="AF102" i="3"/>
  <c r="AD102" i="3"/>
  <c r="AC102" i="3"/>
  <c r="AE102" i="3" s="1"/>
  <c r="AB102" i="3"/>
  <c r="AA102" i="3"/>
  <c r="Z102" i="3"/>
  <c r="AL102" i="3" s="1"/>
  <c r="Y102" i="3"/>
  <c r="X102" i="3"/>
  <c r="W102" i="3"/>
  <c r="V102" i="3"/>
  <c r="S102" i="3"/>
  <c r="R102" i="3"/>
  <c r="Q102" i="3"/>
  <c r="P102" i="3"/>
  <c r="O102" i="3"/>
  <c r="M102" i="3"/>
  <c r="L102" i="3"/>
  <c r="K102" i="3"/>
  <c r="J102" i="3"/>
  <c r="N102" i="3" s="1"/>
  <c r="I102" i="3"/>
  <c r="I103" i="3" s="1"/>
  <c r="G102" i="3"/>
  <c r="F102" i="3"/>
  <c r="E102" i="3"/>
  <c r="E103" i="3" s="1"/>
  <c r="F103" i="3" s="1"/>
  <c r="AK101" i="3"/>
  <c r="AE101" i="3"/>
  <c r="Z101" i="3"/>
  <c r="AL101" i="3" s="1"/>
  <c r="T101" i="3"/>
  <c r="N101" i="3"/>
  <c r="I101" i="3"/>
  <c r="H101" i="3"/>
  <c r="H102" i="3" s="1"/>
  <c r="AK100" i="3"/>
  <c r="AE100" i="3"/>
  <c r="Z100" i="3"/>
  <c r="T100" i="3"/>
  <c r="N100" i="3"/>
  <c r="I100" i="3"/>
  <c r="AL99" i="3"/>
  <c r="AK99" i="3"/>
  <c r="AE99" i="3"/>
  <c r="Z99" i="3"/>
  <c r="T99" i="3"/>
  <c r="U99" i="3" s="1"/>
  <c r="N99" i="3"/>
  <c r="I99" i="3"/>
  <c r="AK96" i="3"/>
  <c r="AJ96" i="3"/>
  <c r="AI96" i="3"/>
  <c r="AH96" i="3"/>
  <c r="AG96" i="3"/>
  <c r="AF96" i="3"/>
  <c r="AD96" i="3"/>
  <c r="AC96" i="3"/>
  <c r="AB96" i="3"/>
  <c r="AA96" i="3"/>
  <c r="Y96" i="3"/>
  <c r="X96" i="3"/>
  <c r="W96" i="3"/>
  <c r="V96" i="3"/>
  <c r="Z96" i="3" s="1"/>
  <c r="S96" i="3"/>
  <c r="R96" i="3"/>
  <c r="Q96" i="3"/>
  <c r="P96" i="3"/>
  <c r="O96" i="3"/>
  <c r="M96" i="3"/>
  <c r="L96" i="3"/>
  <c r="K96" i="3"/>
  <c r="J96" i="3"/>
  <c r="N96" i="3" s="1"/>
  <c r="G96" i="3"/>
  <c r="F96" i="3"/>
  <c r="E96" i="3"/>
  <c r="AK95" i="3"/>
  <c r="AE95" i="3"/>
  <c r="Z95" i="3"/>
  <c r="AL95" i="3" s="1"/>
  <c r="T95" i="3"/>
  <c r="N95" i="3"/>
  <c r="H95" i="3"/>
  <c r="H96" i="3" s="1"/>
  <c r="AK94" i="3"/>
  <c r="AE94" i="3"/>
  <c r="Z94" i="3"/>
  <c r="T94" i="3"/>
  <c r="N94" i="3"/>
  <c r="I94" i="3"/>
  <c r="AK93" i="3"/>
  <c r="AL93" i="3" s="1"/>
  <c r="AE93" i="3"/>
  <c r="Z93" i="3"/>
  <c r="U93" i="3"/>
  <c r="T93" i="3"/>
  <c r="N93" i="3"/>
  <c r="I93" i="3"/>
  <c r="AJ90" i="3"/>
  <c r="AI90" i="3"/>
  <c r="AH90" i="3"/>
  <c r="AG90" i="3"/>
  <c r="AK90" i="3" s="1"/>
  <c r="AF90" i="3"/>
  <c r="AD90" i="3"/>
  <c r="AC90" i="3"/>
  <c r="AB90" i="3"/>
  <c r="AA90" i="3"/>
  <c r="Y90" i="3"/>
  <c r="X90" i="3"/>
  <c r="W90" i="3"/>
  <c r="V90" i="3"/>
  <c r="Z90" i="3" s="1"/>
  <c r="S90" i="3"/>
  <c r="R90" i="3"/>
  <c r="Q90" i="3"/>
  <c r="P90" i="3"/>
  <c r="O90" i="3"/>
  <c r="M90" i="3"/>
  <c r="L90" i="3"/>
  <c r="K90" i="3"/>
  <c r="J90" i="3"/>
  <c r="N90" i="3" s="1"/>
  <c r="I90" i="3"/>
  <c r="I91" i="3" s="1"/>
  <c r="H90" i="3"/>
  <c r="G90" i="3"/>
  <c r="F90" i="3"/>
  <c r="E90" i="3"/>
  <c r="E91" i="3" s="1"/>
  <c r="AK89" i="3"/>
  <c r="AE89" i="3"/>
  <c r="Z89" i="3"/>
  <c r="AL89" i="3" s="1"/>
  <c r="T89" i="3"/>
  <c r="N89" i="3"/>
  <c r="I89" i="3"/>
  <c r="AK88" i="3"/>
  <c r="AE88" i="3"/>
  <c r="Z88" i="3"/>
  <c r="T88" i="3"/>
  <c r="N88" i="3"/>
  <c r="I88" i="3"/>
  <c r="AK87" i="3"/>
  <c r="AL87" i="3" s="1"/>
  <c r="AE87" i="3"/>
  <c r="Z87" i="3"/>
  <c r="T87" i="3"/>
  <c r="N87" i="3"/>
  <c r="I87" i="3"/>
  <c r="E85" i="3"/>
  <c r="F85" i="3" s="1"/>
  <c r="AJ84" i="3"/>
  <c r="AI84" i="3"/>
  <c r="AH84" i="3"/>
  <c r="AG84" i="3"/>
  <c r="AF84" i="3"/>
  <c r="AD84" i="3"/>
  <c r="AC84" i="3"/>
  <c r="AB84" i="3"/>
  <c r="AA84" i="3"/>
  <c r="AE84" i="3" s="1"/>
  <c r="Z84" i="3"/>
  <c r="Y84" i="3"/>
  <c r="X84" i="3"/>
  <c r="W84" i="3"/>
  <c r="V84" i="3"/>
  <c r="S84" i="3"/>
  <c r="R84" i="3"/>
  <c r="Q84" i="3"/>
  <c r="P84" i="3"/>
  <c r="O84" i="3"/>
  <c r="T84" i="3" s="1"/>
  <c r="U84" i="3" s="1"/>
  <c r="M84" i="3"/>
  <c r="L84" i="3"/>
  <c r="K84" i="3"/>
  <c r="J84" i="3"/>
  <c r="N84" i="3" s="1"/>
  <c r="G84" i="3"/>
  <c r="F84" i="3"/>
  <c r="E84" i="3"/>
  <c r="I84" i="3" s="1"/>
  <c r="I85" i="3" s="1"/>
  <c r="AK83" i="3"/>
  <c r="AE83" i="3"/>
  <c r="Z83" i="3"/>
  <c r="T83" i="3"/>
  <c r="N83" i="3"/>
  <c r="I83" i="3"/>
  <c r="H83" i="3"/>
  <c r="H84" i="3" s="1"/>
  <c r="AK82" i="3"/>
  <c r="AE82" i="3"/>
  <c r="Z82" i="3"/>
  <c r="T82" i="3"/>
  <c r="N82" i="3"/>
  <c r="I82" i="3"/>
  <c r="AK81" i="3"/>
  <c r="AE81" i="3"/>
  <c r="Z81" i="3"/>
  <c r="AL81" i="3" s="1"/>
  <c r="U81" i="3"/>
  <c r="T81" i="3"/>
  <c r="N81" i="3"/>
  <c r="I81" i="3"/>
  <c r="I79" i="3"/>
  <c r="E79" i="3"/>
  <c r="AJ78" i="3"/>
  <c r="AI78" i="3"/>
  <c r="AH78" i="3"/>
  <c r="AG78" i="3"/>
  <c r="AF78" i="3"/>
  <c r="AK78" i="3" s="1"/>
  <c r="AE78" i="3"/>
  <c r="AD78" i="3"/>
  <c r="AC78" i="3"/>
  <c r="AB78" i="3"/>
  <c r="AA78" i="3"/>
  <c r="Y78" i="3"/>
  <c r="X78" i="3"/>
  <c r="W78" i="3"/>
  <c r="V78" i="3"/>
  <c r="Z78" i="3" s="1"/>
  <c r="S78" i="3"/>
  <c r="R78" i="3"/>
  <c r="Q78" i="3"/>
  <c r="P78" i="3"/>
  <c r="O78" i="3"/>
  <c r="T78" i="3" s="1"/>
  <c r="N78" i="3"/>
  <c r="M78" i="3"/>
  <c r="L78" i="3"/>
  <c r="K78" i="3"/>
  <c r="J78" i="3"/>
  <c r="G78" i="3"/>
  <c r="F78" i="3"/>
  <c r="E78" i="3"/>
  <c r="I78" i="3" s="1"/>
  <c r="AK77" i="3"/>
  <c r="AE77" i="3"/>
  <c r="Z77" i="3"/>
  <c r="AL77" i="3" s="1"/>
  <c r="T77" i="3"/>
  <c r="N77" i="3"/>
  <c r="I77" i="3"/>
  <c r="H77" i="3"/>
  <c r="H78" i="3" s="1"/>
  <c r="AK76" i="3"/>
  <c r="AE76" i="3"/>
  <c r="Z76" i="3"/>
  <c r="T76" i="3"/>
  <c r="N76" i="3"/>
  <c r="I76" i="3"/>
  <c r="AK75" i="3"/>
  <c r="AE75" i="3"/>
  <c r="Z75" i="3"/>
  <c r="AL75" i="3" s="1"/>
  <c r="T75" i="3"/>
  <c r="U75" i="3" s="1"/>
  <c r="N75" i="3"/>
  <c r="I75" i="3"/>
  <c r="G73" i="3"/>
  <c r="F73" i="3"/>
  <c r="AK72" i="3"/>
  <c r="AJ72" i="3"/>
  <c r="AI72" i="3"/>
  <c r="AH72" i="3"/>
  <c r="AG72" i="3"/>
  <c r="AF72" i="3"/>
  <c r="AD72" i="3"/>
  <c r="AC72" i="3"/>
  <c r="AB72" i="3"/>
  <c r="AA72" i="3"/>
  <c r="AE72" i="3" s="1"/>
  <c r="Y72" i="3"/>
  <c r="X72" i="3"/>
  <c r="W72" i="3"/>
  <c r="V72" i="3"/>
  <c r="S72" i="3"/>
  <c r="R72" i="3"/>
  <c r="Q72" i="3"/>
  <c r="P72" i="3"/>
  <c r="O72" i="3"/>
  <c r="M72" i="3"/>
  <c r="L72" i="3"/>
  <c r="K72" i="3"/>
  <c r="J72" i="3"/>
  <c r="N72" i="3" s="1"/>
  <c r="H72" i="3"/>
  <c r="I72" i="3" s="1"/>
  <c r="I73" i="3" s="1"/>
  <c r="G72" i="3"/>
  <c r="F72" i="3"/>
  <c r="E72" i="3"/>
  <c r="E73" i="3" s="1"/>
  <c r="AK71" i="3"/>
  <c r="AE71" i="3"/>
  <c r="Z71" i="3"/>
  <c r="AL71" i="3" s="1"/>
  <c r="T71" i="3"/>
  <c r="N71" i="3"/>
  <c r="H71" i="3"/>
  <c r="I71" i="3" s="1"/>
  <c r="AK70" i="3"/>
  <c r="AE70" i="3"/>
  <c r="Z70" i="3"/>
  <c r="T70" i="3"/>
  <c r="N70" i="3"/>
  <c r="I70" i="3"/>
  <c r="AK69" i="3"/>
  <c r="AL69" i="3" s="1"/>
  <c r="AE69" i="3"/>
  <c r="Z69" i="3"/>
  <c r="T69" i="3"/>
  <c r="N69" i="3"/>
  <c r="I69" i="3"/>
  <c r="E67" i="3"/>
  <c r="F67" i="3" s="1"/>
  <c r="G67" i="3" s="1"/>
  <c r="H67" i="3" s="1"/>
  <c r="AJ66" i="3"/>
  <c r="AI66" i="3"/>
  <c r="AH66" i="3"/>
  <c r="AG66" i="3"/>
  <c r="AF66" i="3"/>
  <c r="AE66" i="3"/>
  <c r="AD66" i="3"/>
  <c r="AC66" i="3"/>
  <c r="AB66" i="3"/>
  <c r="AA66" i="3"/>
  <c r="Y66" i="3"/>
  <c r="X66" i="3"/>
  <c r="W66" i="3"/>
  <c r="Z66" i="3" s="1"/>
  <c r="Z67" i="3" s="1"/>
  <c r="V66" i="3"/>
  <c r="V67" i="3" s="1"/>
  <c r="S66" i="3"/>
  <c r="R66" i="3"/>
  <c r="Q66" i="3"/>
  <c r="P66" i="3"/>
  <c r="O66" i="3"/>
  <c r="M66" i="3"/>
  <c r="L66" i="3"/>
  <c r="K66" i="3"/>
  <c r="J66" i="3"/>
  <c r="N66" i="3" s="1"/>
  <c r="I66" i="3"/>
  <c r="I67" i="3" s="1"/>
  <c r="H66" i="3"/>
  <c r="G66" i="3"/>
  <c r="F66" i="3"/>
  <c r="E66" i="3"/>
  <c r="AK65" i="3"/>
  <c r="AE65" i="3"/>
  <c r="Z65" i="3"/>
  <c r="AL65" i="3" s="1"/>
  <c r="U65" i="3"/>
  <c r="T65" i="3"/>
  <c r="N65" i="3"/>
  <c r="I65" i="3"/>
  <c r="H65" i="3"/>
  <c r="AK64" i="3"/>
  <c r="AE64" i="3"/>
  <c r="Z64" i="3"/>
  <c r="U64" i="3"/>
  <c r="T64" i="3"/>
  <c r="N64" i="3"/>
  <c r="I64" i="3"/>
  <c r="AK63" i="3"/>
  <c r="AL63" i="3" s="1"/>
  <c r="AE63" i="3"/>
  <c r="Z63" i="3"/>
  <c r="U63" i="3"/>
  <c r="T63" i="3"/>
  <c r="N63" i="3"/>
  <c r="I63" i="3"/>
  <c r="E61" i="3"/>
  <c r="E62" i="3" s="1"/>
  <c r="AJ60" i="3"/>
  <c r="AI60" i="3"/>
  <c r="AH60" i="3"/>
  <c r="AG60" i="3"/>
  <c r="AF60" i="3"/>
  <c r="AK60" i="3" s="1"/>
  <c r="AL60" i="3" s="1"/>
  <c r="AE60" i="3"/>
  <c r="AD60" i="3"/>
  <c r="AC60" i="3"/>
  <c r="AB60" i="3"/>
  <c r="AA60" i="3"/>
  <c r="Y60" i="3"/>
  <c r="X60" i="3"/>
  <c r="W60" i="3"/>
  <c r="V60" i="3"/>
  <c r="Z60" i="3" s="1"/>
  <c r="S60" i="3"/>
  <c r="R60" i="3"/>
  <c r="Q60" i="3"/>
  <c r="P60" i="3"/>
  <c r="O60" i="3"/>
  <c r="N60" i="3"/>
  <c r="M60" i="3"/>
  <c r="L60" i="3"/>
  <c r="K60" i="3"/>
  <c r="J60" i="3"/>
  <c r="H60" i="3"/>
  <c r="I60" i="3" s="1"/>
  <c r="I61" i="3" s="1"/>
  <c r="G60" i="3"/>
  <c r="F60" i="3"/>
  <c r="E60" i="3"/>
  <c r="AK59" i="3"/>
  <c r="AE59" i="3"/>
  <c r="Z59" i="3"/>
  <c r="AL59" i="3" s="1"/>
  <c r="T59" i="3"/>
  <c r="N59" i="3"/>
  <c r="I59" i="3"/>
  <c r="H59" i="3"/>
  <c r="AK58" i="3"/>
  <c r="AE58" i="3"/>
  <c r="Z58" i="3"/>
  <c r="T58" i="3"/>
  <c r="N58" i="3"/>
  <c r="I58" i="3"/>
  <c r="AL57" i="3"/>
  <c r="AK57" i="3"/>
  <c r="AE57" i="3"/>
  <c r="Z57" i="3"/>
  <c r="T57" i="3"/>
  <c r="U57" i="3" s="1"/>
  <c r="N57" i="3"/>
  <c r="I57" i="3"/>
  <c r="AK54" i="3"/>
  <c r="AJ54" i="3"/>
  <c r="AI54" i="3"/>
  <c r="AH54" i="3"/>
  <c r="AG54" i="3"/>
  <c r="AF54" i="3"/>
  <c r="AD54" i="3"/>
  <c r="AC54" i="3"/>
  <c r="AB54" i="3"/>
  <c r="AA54" i="3"/>
  <c r="Z54" i="3"/>
  <c r="Y54" i="3"/>
  <c r="X54" i="3"/>
  <c r="W54" i="3"/>
  <c r="V54" i="3"/>
  <c r="T54" i="3"/>
  <c r="S54" i="3"/>
  <c r="R54" i="3"/>
  <c r="Q54" i="3"/>
  <c r="P54" i="3"/>
  <c r="O54" i="3"/>
  <c r="M54" i="3"/>
  <c r="L54" i="3"/>
  <c r="K54" i="3"/>
  <c r="J54" i="3"/>
  <c r="G54" i="3"/>
  <c r="F54" i="3"/>
  <c r="E54" i="3"/>
  <c r="AK53" i="3"/>
  <c r="AE53" i="3"/>
  <c r="AL53" i="3" s="1"/>
  <c r="Z53" i="3"/>
  <c r="T53" i="3"/>
  <c r="N53" i="3"/>
  <c r="H53" i="3"/>
  <c r="AK52" i="3"/>
  <c r="AE52" i="3"/>
  <c r="Z52" i="3"/>
  <c r="T52" i="3"/>
  <c r="N52" i="3"/>
  <c r="I52" i="3"/>
  <c r="AK51" i="3"/>
  <c r="AE51" i="3"/>
  <c r="Z51" i="3"/>
  <c r="U51" i="3"/>
  <c r="T51" i="3"/>
  <c r="N51" i="3"/>
  <c r="I51" i="3"/>
  <c r="E49" i="3"/>
  <c r="AJ48" i="3"/>
  <c r="AI48" i="3"/>
  <c r="AH48" i="3"/>
  <c r="AG48" i="3"/>
  <c r="AF48" i="3"/>
  <c r="AK48" i="3" s="1"/>
  <c r="AD48" i="3"/>
  <c r="AE48" i="3" s="1"/>
  <c r="AC48" i="3"/>
  <c r="AB48" i="3"/>
  <c r="AA48" i="3"/>
  <c r="Y48" i="3"/>
  <c r="X48" i="3"/>
  <c r="W48" i="3"/>
  <c r="V48" i="3"/>
  <c r="S48" i="3"/>
  <c r="R48" i="3"/>
  <c r="Q48" i="3"/>
  <c r="P48" i="3"/>
  <c r="O48" i="3"/>
  <c r="T48" i="3" s="1"/>
  <c r="N48" i="3"/>
  <c r="M48" i="3"/>
  <c r="L48" i="3"/>
  <c r="K48" i="3"/>
  <c r="J48" i="3"/>
  <c r="H48" i="3"/>
  <c r="G48" i="3"/>
  <c r="F48" i="3"/>
  <c r="I48" i="3" s="1"/>
  <c r="I49" i="3" s="1"/>
  <c r="E48" i="3"/>
  <c r="AK47" i="3"/>
  <c r="AE47" i="3"/>
  <c r="Z47" i="3"/>
  <c r="AL47" i="3" s="1"/>
  <c r="T47" i="3"/>
  <c r="N47" i="3"/>
  <c r="I47" i="3"/>
  <c r="H47" i="3"/>
  <c r="AK46" i="3"/>
  <c r="AE46" i="3"/>
  <c r="Z46" i="3"/>
  <c r="T46" i="3"/>
  <c r="N46" i="3"/>
  <c r="I46" i="3"/>
  <c r="AL45" i="3"/>
  <c r="AK45" i="3"/>
  <c r="AE45" i="3"/>
  <c r="Z45" i="3"/>
  <c r="T45" i="3"/>
  <c r="N45" i="3"/>
  <c r="I45" i="3"/>
  <c r="V43" i="3"/>
  <c r="W43" i="3" s="1"/>
  <c r="I43" i="3"/>
  <c r="F43" i="3"/>
  <c r="G43" i="3" s="1"/>
  <c r="H43" i="3" s="1"/>
  <c r="E43" i="3"/>
  <c r="AJ42" i="3"/>
  <c r="AI42" i="3"/>
  <c r="AH42" i="3"/>
  <c r="AG42" i="3"/>
  <c r="AF42" i="3"/>
  <c r="AD42" i="3"/>
  <c r="AC42" i="3"/>
  <c r="AB42" i="3"/>
  <c r="AA42" i="3"/>
  <c r="AE42" i="3" s="1"/>
  <c r="Y42" i="3"/>
  <c r="X42" i="3"/>
  <c r="Z42" i="3" s="1"/>
  <c r="Z43" i="3" s="1"/>
  <c r="W42" i="3"/>
  <c r="V42" i="3"/>
  <c r="S42" i="3"/>
  <c r="R42" i="3"/>
  <c r="Q42" i="3"/>
  <c r="P42" i="3"/>
  <c r="O42" i="3"/>
  <c r="M42" i="3"/>
  <c r="L42" i="3"/>
  <c r="K42" i="3"/>
  <c r="J42" i="3"/>
  <c r="N42" i="3" s="1"/>
  <c r="I42" i="3"/>
  <c r="H42" i="3"/>
  <c r="G42" i="3"/>
  <c r="F42" i="3"/>
  <c r="E42" i="3"/>
  <c r="AK41" i="3"/>
  <c r="AE41" i="3"/>
  <c r="Z41" i="3"/>
  <c r="U41" i="3"/>
  <c r="T41" i="3"/>
  <c r="N41" i="3"/>
  <c r="H41" i="3"/>
  <c r="I41" i="3" s="1"/>
  <c r="AL40" i="3"/>
  <c r="AK40" i="3"/>
  <c r="AE40" i="3"/>
  <c r="Z40" i="3"/>
  <c r="U40" i="3"/>
  <c r="T40" i="3"/>
  <c r="N40" i="3"/>
  <c r="I40" i="3"/>
  <c r="AL39" i="3"/>
  <c r="AK39" i="3"/>
  <c r="AE39" i="3"/>
  <c r="Z39" i="3"/>
  <c r="U39" i="3"/>
  <c r="T39" i="3"/>
  <c r="N39" i="3"/>
  <c r="I39" i="3"/>
  <c r="AJ36" i="3"/>
  <c r="AI36" i="3"/>
  <c r="AH36" i="3"/>
  <c r="AG36" i="3"/>
  <c r="AF36" i="3"/>
  <c r="AK36" i="3" s="1"/>
  <c r="AE36" i="3"/>
  <c r="AD36" i="3"/>
  <c r="AC36" i="3"/>
  <c r="AB36" i="3"/>
  <c r="AA36" i="3"/>
  <c r="Y36" i="3"/>
  <c r="X36" i="3"/>
  <c r="W36" i="3"/>
  <c r="V36" i="3"/>
  <c r="Z36" i="3" s="1"/>
  <c r="S36" i="3"/>
  <c r="R36" i="3"/>
  <c r="Q36" i="3"/>
  <c r="P36" i="3"/>
  <c r="O36" i="3"/>
  <c r="T36" i="3" s="1"/>
  <c r="N36" i="3"/>
  <c r="M36" i="3"/>
  <c r="L36" i="3"/>
  <c r="K36" i="3"/>
  <c r="J36" i="3"/>
  <c r="G36" i="3"/>
  <c r="F36" i="3"/>
  <c r="E36" i="3"/>
  <c r="E37" i="3" s="1"/>
  <c r="F37" i="3" s="1"/>
  <c r="G37" i="3" s="1"/>
  <c r="H37" i="3" s="1"/>
  <c r="AL35" i="3"/>
  <c r="AK35" i="3"/>
  <c r="AE35" i="3"/>
  <c r="Z35" i="3"/>
  <c r="T35" i="3"/>
  <c r="N35" i="3"/>
  <c r="H35" i="3"/>
  <c r="H36" i="3" s="1"/>
  <c r="AK34" i="3"/>
  <c r="AE34" i="3"/>
  <c r="Z34" i="3"/>
  <c r="T34" i="3"/>
  <c r="N34" i="3"/>
  <c r="I34" i="3"/>
  <c r="AK33" i="3"/>
  <c r="AL33" i="3" s="1"/>
  <c r="AE33" i="3"/>
  <c r="Z33" i="3"/>
  <c r="T33" i="3"/>
  <c r="U33" i="3" s="1"/>
  <c r="N33" i="3"/>
  <c r="I33" i="3"/>
  <c r="E31" i="3"/>
  <c r="E32" i="3" s="1"/>
  <c r="AJ30" i="3"/>
  <c r="AI30" i="3"/>
  <c r="AH30" i="3"/>
  <c r="AG30" i="3"/>
  <c r="AF30" i="3"/>
  <c r="AD30" i="3"/>
  <c r="AE30" i="3" s="1"/>
  <c r="AC30" i="3"/>
  <c r="AB30" i="3"/>
  <c r="AA30" i="3"/>
  <c r="Y30" i="3"/>
  <c r="Z30" i="3" s="1"/>
  <c r="X30" i="3"/>
  <c r="W30" i="3"/>
  <c r="V30" i="3"/>
  <c r="S30" i="3"/>
  <c r="R30" i="3"/>
  <c r="Q30" i="3"/>
  <c r="P30" i="3"/>
  <c r="O30" i="3"/>
  <c r="M30" i="3"/>
  <c r="L30" i="3"/>
  <c r="K30" i="3"/>
  <c r="J30" i="3"/>
  <c r="H30" i="3"/>
  <c r="G30" i="3"/>
  <c r="F30" i="3"/>
  <c r="I30" i="3" s="1"/>
  <c r="I31" i="3" s="1"/>
  <c r="J31" i="3" s="1"/>
  <c r="E30" i="3"/>
  <c r="AK29" i="3"/>
  <c r="AE29" i="3"/>
  <c r="Z29" i="3"/>
  <c r="T29" i="3"/>
  <c r="N29" i="3"/>
  <c r="I29" i="3"/>
  <c r="H29" i="3"/>
  <c r="AK28" i="3"/>
  <c r="AE28" i="3"/>
  <c r="Z28" i="3"/>
  <c r="T28" i="3"/>
  <c r="N28" i="3"/>
  <c r="I28" i="3"/>
  <c r="AL27" i="3"/>
  <c r="AK27" i="3"/>
  <c r="AE27" i="3"/>
  <c r="Z27" i="3"/>
  <c r="U27" i="3"/>
  <c r="T27" i="3"/>
  <c r="N27" i="3"/>
  <c r="I27" i="3"/>
  <c r="AJ24" i="3"/>
  <c r="AI24" i="3"/>
  <c r="AH24" i="3"/>
  <c r="AK24" i="3" s="1"/>
  <c r="AG24" i="3"/>
  <c r="AF24" i="3"/>
  <c r="AD24" i="3"/>
  <c r="AC24" i="3"/>
  <c r="AB24" i="3"/>
  <c r="AA24" i="3"/>
  <c r="Y24" i="3"/>
  <c r="X24" i="3"/>
  <c r="W24" i="3"/>
  <c r="V24" i="3"/>
  <c r="Z24" i="3" s="1"/>
  <c r="S24" i="3"/>
  <c r="R24" i="3"/>
  <c r="Q24" i="3"/>
  <c r="P24" i="3"/>
  <c r="O24" i="3"/>
  <c r="T24" i="3" s="1"/>
  <c r="M24" i="3"/>
  <c r="L24" i="3"/>
  <c r="K24" i="3"/>
  <c r="J24" i="3"/>
  <c r="N24" i="3" s="1"/>
  <c r="G24" i="3"/>
  <c r="F24" i="3"/>
  <c r="E24" i="3"/>
  <c r="AK23" i="3"/>
  <c r="AE23" i="3"/>
  <c r="Z23" i="3"/>
  <c r="T23" i="3"/>
  <c r="N23" i="3"/>
  <c r="H23" i="3"/>
  <c r="H24" i="3" s="1"/>
  <c r="AK22" i="3"/>
  <c r="AE22" i="3"/>
  <c r="Z22" i="3"/>
  <c r="T22" i="3"/>
  <c r="N22" i="3"/>
  <c r="I22" i="3"/>
  <c r="AK21" i="3"/>
  <c r="AL21" i="3" s="1"/>
  <c r="AE21" i="3"/>
  <c r="Z21" i="3"/>
  <c r="U21" i="3"/>
  <c r="T21" i="3"/>
  <c r="N21" i="3"/>
  <c r="I21" i="3"/>
  <c r="V19" i="3"/>
  <c r="F19" i="3"/>
  <c r="G19" i="3" s="1"/>
  <c r="E19" i="3"/>
  <c r="AJ18" i="3"/>
  <c r="AI18" i="3"/>
  <c r="AH18" i="3"/>
  <c r="AG18" i="3"/>
  <c r="AF18" i="3"/>
  <c r="AK18" i="3" s="1"/>
  <c r="AD18" i="3"/>
  <c r="AC18" i="3"/>
  <c r="AB18" i="3"/>
  <c r="AE18" i="3" s="1"/>
  <c r="AA18" i="3"/>
  <c r="Y18" i="3"/>
  <c r="X18" i="3"/>
  <c r="W18" i="3"/>
  <c r="V18" i="3"/>
  <c r="T18" i="3"/>
  <c r="S18" i="3"/>
  <c r="R18" i="3"/>
  <c r="Q18" i="3"/>
  <c r="P18" i="3"/>
  <c r="O18" i="3"/>
  <c r="M18" i="3"/>
  <c r="L18" i="3"/>
  <c r="K18" i="3"/>
  <c r="J18" i="3"/>
  <c r="N18" i="3" s="1"/>
  <c r="G18" i="3"/>
  <c r="F18" i="3"/>
  <c r="E18" i="3"/>
  <c r="AL17" i="3"/>
  <c r="AK17" i="3"/>
  <c r="AE17" i="3"/>
  <c r="Z17" i="3"/>
  <c r="T17" i="3"/>
  <c r="N17" i="3"/>
  <c r="H17" i="3"/>
  <c r="I17" i="3" s="1"/>
  <c r="U17" i="3" s="1"/>
  <c r="AK16" i="3"/>
  <c r="AE16" i="3"/>
  <c r="Z16" i="3"/>
  <c r="T16" i="3"/>
  <c r="N16" i="3"/>
  <c r="I16" i="3"/>
  <c r="U16" i="3" s="1"/>
  <c r="AK15" i="3"/>
  <c r="AL15" i="3" s="1"/>
  <c r="AE15" i="3"/>
  <c r="Z15" i="3"/>
  <c r="U15" i="3"/>
  <c r="T15" i="3"/>
  <c r="N15" i="3"/>
  <c r="I15" i="3"/>
  <c r="I13" i="3"/>
  <c r="E13" i="3"/>
  <c r="AJ12" i="3"/>
  <c r="AI12" i="3"/>
  <c r="AH12" i="3"/>
  <c r="AG12" i="3"/>
  <c r="AF12" i="3"/>
  <c r="AE12" i="3"/>
  <c r="AD12" i="3"/>
  <c r="AC12" i="3"/>
  <c r="AB12" i="3"/>
  <c r="AA12" i="3"/>
  <c r="Y12" i="3"/>
  <c r="X12" i="3"/>
  <c r="W12" i="3"/>
  <c r="V12" i="3"/>
  <c r="Z12" i="3" s="1"/>
  <c r="S12" i="3"/>
  <c r="R12" i="3"/>
  <c r="Q12" i="3"/>
  <c r="P12" i="3"/>
  <c r="O12" i="3"/>
  <c r="T12" i="3" s="1"/>
  <c r="U12" i="3" s="1"/>
  <c r="N12" i="3"/>
  <c r="M12" i="3"/>
  <c r="L12" i="3"/>
  <c r="K12" i="3"/>
  <c r="J12" i="3"/>
  <c r="H12" i="3"/>
  <c r="G12" i="3"/>
  <c r="F12" i="3"/>
  <c r="I12" i="3" s="1"/>
  <c r="E12" i="3"/>
  <c r="AK11" i="3"/>
  <c r="AL11" i="3" s="1"/>
  <c r="AE11" i="3"/>
  <c r="Z11" i="3"/>
  <c r="T11" i="3"/>
  <c r="N11" i="3"/>
  <c r="I11" i="3"/>
  <c r="H11" i="3"/>
  <c r="AK10" i="3"/>
  <c r="AE10" i="3"/>
  <c r="Z10" i="3"/>
  <c r="T10" i="3"/>
  <c r="N10" i="3"/>
  <c r="I10" i="3"/>
  <c r="AK9" i="3"/>
  <c r="AE9" i="3"/>
  <c r="Z9" i="3"/>
  <c r="T9" i="3"/>
  <c r="N9" i="3"/>
  <c r="I9" i="3"/>
  <c r="AJ6" i="3"/>
  <c r="AI6" i="3"/>
  <c r="AH6" i="3"/>
  <c r="AG6" i="3"/>
  <c r="AF6" i="3"/>
  <c r="AD6" i="3"/>
  <c r="AC6" i="3"/>
  <c r="AB6" i="3"/>
  <c r="AA6" i="3"/>
  <c r="Y6" i="3"/>
  <c r="X6" i="3"/>
  <c r="W6" i="3"/>
  <c r="V6" i="3"/>
  <c r="V7" i="3" s="1"/>
  <c r="W7" i="3" s="1"/>
  <c r="X7" i="3" s="1"/>
  <c r="Y7" i="3" s="1"/>
  <c r="S6" i="3"/>
  <c r="R6" i="3"/>
  <c r="Q6" i="3"/>
  <c r="P6" i="3"/>
  <c r="O6" i="3"/>
  <c r="M6" i="3"/>
  <c r="L6" i="3"/>
  <c r="K6" i="3"/>
  <c r="J6" i="3"/>
  <c r="N6" i="3" s="1"/>
  <c r="G6" i="3"/>
  <c r="F6" i="3"/>
  <c r="I6" i="3" s="1"/>
  <c r="I7" i="3" s="1"/>
  <c r="E6" i="3"/>
  <c r="E7" i="3" s="1"/>
  <c r="AK5" i="3"/>
  <c r="AE5" i="3"/>
  <c r="Z5" i="3"/>
  <c r="AL5" i="3" s="1"/>
  <c r="T5" i="3"/>
  <c r="N5" i="3"/>
  <c r="I5" i="3"/>
  <c r="U5" i="3" s="1"/>
  <c r="H5" i="3"/>
  <c r="H6" i="3" s="1"/>
  <c r="AK4" i="3"/>
  <c r="AE4" i="3"/>
  <c r="Z4" i="3"/>
  <c r="T4" i="3"/>
  <c r="U4" i="3" s="1"/>
  <c r="N4" i="3"/>
  <c r="I4" i="3"/>
  <c r="AK3" i="3"/>
  <c r="AL3" i="3" s="1"/>
  <c r="AE3" i="3"/>
  <c r="Z3" i="3"/>
  <c r="T3" i="3"/>
  <c r="U3" i="3" s="1"/>
  <c r="N3" i="3"/>
  <c r="I3" i="3"/>
  <c r="J7" i="3" l="1"/>
  <c r="K7" i="3" s="1"/>
  <c r="L7" i="3" s="1"/>
  <c r="M7" i="3" s="1"/>
  <c r="N7" i="3"/>
  <c r="N13" i="3"/>
  <c r="J13" i="3"/>
  <c r="AL16" i="3"/>
  <c r="Z18" i="3"/>
  <c r="Z19" i="3" s="1"/>
  <c r="AL18" i="3"/>
  <c r="I24" i="3"/>
  <c r="I25" i="3" s="1"/>
  <c r="E25" i="3"/>
  <c r="AL29" i="3"/>
  <c r="E50" i="3"/>
  <c r="F49" i="3"/>
  <c r="N67" i="3"/>
  <c r="J67" i="3"/>
  <c r="K67" i="3" s="1"/>
  <c r="L67" i="3" s="1"/>
  <c r="M67" i="3" s="1"/>
  <c r="J73" i="3"/>
  <c r="K73" i="3" s="1"/>
  <c r="L73" i="3" s="1"/>
  <c r="M73" i="3" s="1"/>
  <c r="N73" i="3"/>
  <c r="U85" i="3"/>
  <c r="V85" i="3" s="1"/>
  <c r="W85" i="3" s="1"/>
  <c r="X85" i="3" s="1"/>
  <c r="Y85" i="3" s="1"/>
  <c r="W115" i="3"/>
  <c r="AL9" i="3"/>
  <c r="I23" i="3"/>
  <c r="U45" i="3"/>
  <c r="N85" i="3"/>
  <c r="J85" i="3"/>
  <c r="K85" i="3" s="1"/>
  <c r="L85" i="3" s="1"/>
  <c r="M85" i="3" s="1"/>
  <c r="T119" i="3"/>
  <c r="O120" i="3"/>
  <c r="AE24" i="3"/>
  <c r="AL24" i="3" s="1"/>
  <c r="AE67" i="3"/>
  <c r="AA67" i="3"/>
  <c r="AB67" i="3" s="1"/>
  <c r="AC67" i="3" s="1"/>
  <c r="AD67" i="3" s="1"/>
  <c r="J79" i="3"/>
  <c r="N79" i="3"/>
  <c r="AK111" i="3"/>
  <c r="AL111" i="3" s="1"/>
  <c r="AF115" i="3"/>
  <c r="E119" i="3"/>
  <c r="AA120" i="3"/>
  <c r="AL4" i="3"/>
  <c r="F7" i="3"/>
  <c r="G7" i="3" s="1"/>
  <c r="H7" i="3" s="1"/>
  <c r="AK6" i="3"/>
  <c r="AL6" i="3" s="1"/>
  <c r="AL7" i="3" s="1"/>
  <c r="H18" i="3"/>
  <c r="H19" i="3" s="1"/>
  <c r="W19" i="3"/>
  <c r="X19" i="3" s="1"/>
  <c r="Y19" i="3" s="1"/>
  <c r="J32" i="3"/>
  <c r="K31" i="3"/>
  <c r="AL36" i="3"/>
  <c r="AK42" i="3"/>
  <c r="AL42" i="3" s="1"/>
  <c r="J43" i="3"/>
  <c r="K43" i="3" s="1"/>
  <c r="L43" i="3" s="1"/>
  <c r="M43" i="3" s="1"/>
  <c r="N43" i="3"/>
  <c r="T6" i="3"/>
  <c r="U6" i="3" s="1"/>
  <c r="U7" i="3" s="1"/>
  <c r="Z6" i="3" s="1"/>
  <c r="Z7" i="3" s="1"/>
  <c r="U10" i="3"/>
  <c r="E14" i="3"/>
  <c r="F13" i="3"/>
  <c r="AL23" i="3"/>
  <c r="J49" i="3"/>
  <c r="N49" i="3"/>
  <c r="J61" i="3"/>
  <c r="N61" i="3"/>
  <c r="AL116" i="3"/>
  <c r="I36" i="3"/>
  <c r="I37" i="3" s="1"/>
  <c r="U36" i="3"/>
  <c r="U37" i="3" s="1"/>
  <c r="V37" i="3" s="1"/>
  <c r="W37" i="3" s="1"/>
  <c r="X37" i="3" s="1"/>
  <c r="Y37" i="3" s="1"/>
  <c r="AA43" i="3"/>
  <c r="AB43" i="3" s="1"/>
  <c r="AC43" i="3" s="1"/>
  <c r="AD43" i="3" s="1"/>
  <c r="AE43" i="3"/>
  <c r="X43" i="3"/>
  <c r="Y43" i="3" s="1"/>
  <c r="AL54" i="3"/>
  <c r="AE6" i="3"/>
  <c r="U9" i="3"/>
  <c r="U13" i="3" s="1"/>
  <c r="V13" i="3" s="1"/>
  <c r="AK12" i="3"/>
  <c r="AL12" i="3" s="1"/>
  <c r="N30" i="3"/>
  <c r="N31" i="3" s="1"/>
  <c r="I35" i="3"/>
  <c r="F61" i="3"/>
  <c r="AL41" i="3"/>
  <c r="AL51" i="3"/>
  <c r="T66" i="3"/>
  <c r="U66" i="3" s="1"/>
  <c r="U67" i="3" s="1"/>
  <c r="AE96" i="3"/>
  <c r="AL96" i="3" s="1"/>
  <c r="H113" i="3"/>
  <c r="H114" i="3" s="1"/>
  <c r="H115" i="3" s="1"/>
  <c r="N54" i="3"/>
  <c r="AE54" i="3"/>
  <c r="X119" i="3"/>
  <c r="X120" i="3" s="1"/>
  <c r="T42" i="3"/>
  <c r="U42" i="3" s="1"/>
  <c r="U43" i="3" s="1"/>
  <c r="Z48" i="3"/>
  <c r="AL48" i="3" s="1"/>
  <c r="N103" i="3"/>
  <c r="J103" i="3"/>
  <c r="F114" i="3"/>
  <c r="F115" i="3" s="1"/>
  <c r="AA114" i="3"/>
  <c r="AE113" i="3"/>
  <c r="AL117" i="3"/>
  <c r="Q119" i="3"/>
  <c r="Q120" i="3" s="1"/>
  <c r="T118" i="3"/>
  <c r="H118" i="3"/>
  <c r="H119" i="3" s="1"/>
  <c r="H120" i="3" s="1"/>
  <c r="F31" i="3"/>
  <c r="AL78" i="3"/>
  <c r="U87" i="3"/>
  <c r="F91" i="3"/>
  <c r="E92" i="3"/>
  <c r="G104" i="3"/>
  <c r="H103" i="3"/>
  <c r="H104" i="3" s="1"/>
  <c r="R114" i="3"/>
  <c r="R115" i="3" s="1"/>
  <c r="R120" i="3"/>
  <c r="AK30" i="3"/>
  <c r="AL30" i="3" s="1"/>
  <c r="E55" i="3"/>
  <c r="T60" i="3"/>
  <c r="U60" i="3" s="1"/>
  <c r="U61" i="3" s="1"/>
  <c r="V61" i="3" s="1"/>
  <c r="AL64" i="3"/>
  <c r="N113" i="3"/>
  <c r="J114" i="3"/>
  <c r="T30" i="3"/>
  <c r="U30" i="3" s="1"/>
  <c r="U31" i="3" s="1"/>
  <c r="V31" i="3" s="1"/>
  <c r="U48" i="3"/>
  <c r="U49" i="3" s="1"/>
  <c r="V49" i="3" s="1"/>
  <c r="H54" i="3"/>
  <c r="I54" i="3" s="1"/>
  <c r="I55" i="3" s="1"/>
  <c r="I53" i="3"/>
  <c r="AK66" i="3"/>
  <c r="AL66" i="3" s="1"/>
  <c r="AL67" i="3" s="1"/>
  <c r="H73" i="3"/>
  <c r="U78" i="3"/>
  <c r="U79" i="3" s="1"/>
  <c r="V79" i="3" s="1"/>
  <c r="T112" i="3"/>
  <c r="AL112" i="3"/>
  <c r="V115" i="3"/>
  <c r="Z114" i="3"/>
  <c r="Z115" i="3" s="1"/>
  <c r="G85" i="3"/>
  <c r="H85" i="3" s="1"/>
  <c r="J120" i="3"/>
  <c r="AB119" i="3"/>
  <c r="AB120" i="3" s="1"/>
  <c r="AE118" i="3"/>
  <c r="U69" i="3"/>
  <c r="Z72" i="3"/>
  <c r="AL72" i="3" s="1"/>
  <c r="T90" i="3"/>
  <c r="U90" i="3" s="1"/>
  <c r="U91" i="3" s="1"/>
  <c r="V91" i="3" s="1"/>
  <c r="I96" i="3"/>
  <c r="I97" i="3" s="1"/>
  <c r="E97" i="3"/>
  <c r="T96" i="3"/>
  <c r="U96" i="3" s="1"/>
  <c r="U97" i="3" s="1"/>
  <c r="V97" i="3" s="1"/>
  <c r="M114" i="3"/>
  <c r="M115" i="3" s="1"/>
  <c r="AK113" i="3"/>
  <c r="F120" i="3"/>
  <c r="T113" i="3"/>
  <c r="O114" i="3"/>
  <c r="L119" i="3"/>
  <c r="L120" i="3" s="1"/>
  <c r="AD120" i="3"/>
  <c r="W67" i="3"/>
  <c r="X67" i="3" s="1"/>
  <c r="Y67" i="3" s="1"/>
  <c r="T72" i="3"/>
  <c r="U72" i="3" s="1"/>
  <c r="E80" i="3"/>
  <c r="F79" i="3"/>
  <c r="AL83" i="3"/>
  <c r="AK84" i="3"/>
  <c r="AL84" i="3" s="1"/>
  <c r="N91" i="3"/>
  <c r="J91" i="3"/>
  <c r="AE90" i="3"/>
  <c r="AL90" i="3" s="1"/>
  <c r="I95" i="3"/>
  <c r="T102" i="3"/>
  <c r="U102" i="3" s="1"/>
  <c r="U103" i="3" s="1"/>
  <c r="V103" i="3" s="1"/>
  <c r="E104" i="3"/>
  <c r="I108" i="3"/>
  <c r="I109" i="3" s="1"/>
  <c r="E109" i="3"/>
  <c r="T108" i="3"/>
  <c r="U108" i="3" s="1"/>
  <c r="U109" i="3" s="1"/>
  <c r="V109" i="3" s="1"/>
  <c r="N111" i="3"/>
  <c r="U111" i="3" s="1"/>
  <c r="I112" i="3"/>
  <c r="I113" i="3"/>
  <c r="U113" i="3" s="1"/>
  <c r="AL113" i="3"/>
  <c r="AH114" i="3"/>
  <c r="AH115" i="3" s="1"/>
  <c r="T116" i="3"/>
  <c r="U116" i="3" s="1"/>
  <c r="N117" i="3"/>
  <c r="U117" i="3" s="1"/>
  <c r="V120" i="3"/>
  <c r="AK118" i="3"/>
  <c r="N118" i="3"/>
  <c r="E114" i="3"/>
  <c r="Z118" i="3"/>
  <c r="AL118" i="3" s="1"/>
  <c r="AF119" i="3"/>
  <c r="N55" i="3" l="1"/>
  <c r="J55" i="3"/>
  <c r="W13" i="3"/>
  <c r="V14" i="3"/>
  <c r="U54" i="3"/>
  <c r="U55" i="3" s="1"/>
  <c r="V55" i="3" s="1"/>
  <c r="O13" i="3"/>
  <c r="T13" i="3"/>
  <c r="E110" i="3"/>
  <c r="F109" i="3"/>
  <c r="O115" i="3"/>
  <c r="T114" i="3"/>
  <c r="J97" i="3"/>
  <c r="N97" i="3"/>
  <c r="E56" i="3"/>
  <c r="F55" i="3"/>
  <c r="F92" i="3"/>
  <c r="G91" i="3"/>
  <c r="F62" i="3"/>
  <c r="G61" i="3"/>
  <c r="AK43" i="3"/>
  <c r="AF43" i="3"/>
  <c r="AG43" i="3" s="1"/>
  <c r="AH43" i="3" s="1"/>
  <c r="AI43" i="3" s="1"/>
  <c r="AJ43" i="3" s="1"/>
  <c r="O49" i="3"/>
  <c r="T49" i="3"/>
  <c r="I18" i="3"/>
  <c r="J109" i="3"/>
  <c r="N109" i="3"/>
  <c r="W91" i="3"/>
  <c r="V92" i="3"/>
  <c r="AE115" i="3"/>
  <c r="AK115" i="3" s="1"/>
  <c r="J50" i="3"/>
  <c r="K49" i="3"/>
  <c r="AL43" i="3"/>
  <c r="O79" i="3"/>
  <c r="T79" i="3"/>
  <c r="O85" i="3"/>
  <c r="P85" i="3" s="1"/>
  <c r="Q85" i="3" s="1"/>
  <c r="R85" i="3" s="1"/>
  <c r="S85" i="3" s="1"/>
  <c r="T85" i="3"/>
  <c r="E26" i="3"/>
  <c r="F25" i="3"/>
  <c r="T7" i="3"/>
  <c r="O7" i="3"/>
  <c r="P7" i="3" s="1"/>
  <c r="Q7" i="3" s="1"/>
  <c r="R7" i="3" s="1"/>
  <c r="S7" i="3" s="1"/>
  <c r="W61" i="3"/>
  <c r="V62" i="3"/>
  <c r="AK119" i="3"/>
  <c r="AF120" i="3"/>
  <c r="F80" i="3"/>
  <c r="G79" i="3"/>
  <c r="W49" i="3"/>
  <c r="V50" i="3"/>
  <c r="AE114" i="3"/>
  <c r="AA115" i="3"/>
  <c r="T31" i="3"/>
  <c r="O31" i="3"/>
  <c r="AE119" i="3"/>
  <c r="J80" i="3"/>
  <c r="K79" i="3"/>
  <c r="T73" i="3"/>
  <c r="O73" i="3"/>
  <c r="P73" i="3" s="1"/>
  <c r="Q73" i="3" s="1"/>
  <c r="R73" i="3" s="1"/>
  <c r="S73" i="3" s="1"/>
  <c r="N25" i="3"/>
  <c r="J25" i="3"/>
  <c r="V104" i="3"/>
  <c r="W103" i="3"/>
  <c r="AK114" i="3"/>
  <c r="V32" i="3"/>
  <c r="W31" i="3"/>
  <c r="J37" i="3"/>
  <c r="K37" i="3" s="1"/>
  <c r="L37" i="3" s="1"/>
  <c r="M37" i="3" s="1"/>
  <c r="N37" i="3"/>
  <c r="F14" i="3"/>
  <c r="G13" i="3"/>
  <c r="K32" i="3"/>
  <c r="L31" i="3"/>
  <c r="M31" i="3" s="1"/>
  <c r="M32" i="3" s="1"/>
  <c r="U24" i="3"/>
  <c r="U25" i="3" s="1"/>
  <c r="V25" i="3" s="1"/>
  <c r="T91" i="3"/>
  <c r="O91" i="3"/>
  <c r="E115" i="3"/>
  <c r="I114" i="3"/>
  <c r="I115" i="3" s="1"/>
  <c r="U73" i="3"/>
  <c r="V73" i="3" s="1"/>
  <c r="W73" i="3" s="1"/>
  <c r="X73" i="3" s="1"/>
  <c r="Y73" i="3" s="1"/>
  <c r="U112" i="3"/>
  <c r="J115" i="3"/>
  <c r="N114" i="3"/>
  <c r="F32" i="3"/>
  <c r="G31" i="3"/>
  <c r="J104" i="3"/>
  <c r="K103" i="3"/>
  <c r="I118" i="3"/>
  <c r="U118" i="3" s="1"/>
  <c r="AK67" i="3"/>
  <c r="AF67" i="3"/>
  <c r="AG67" i="3" s="1"/>
  <c r="AH67" i="3" s="1"/>
  <c r="AI67" i="3" s="1"/>
  <c r="AJ67" i="3" s="1"/>
  <c r="AE19" i="3"/>
  <c r="AA19" i="3"/>
  <c r="AB19" i="3" s="1"/>
  <c r="AC19" i="3" s="1"/>
  <c r="AD19" i="3" s="1"/>
  <c r="W109" i="3"/>
  <c r="V110" i="3"/>
  <c r="E98" i="3"/>
  <c r="F97" i="3"/>
  <c r="W79" i="3"/>
  <c r="V80" i="3"/>
  <c r="O103" i="3"/>
  <c r="T103" i="3"/>
  <c r="E120" i="3"/>
  <c r="I119" i="3"/>
  <c r="I120" i="3" s="1"/>
  <c r="T67" i="3"/>
  <c r="O67" i="3"/>
  <c r="P67" i="3" s="1"/>
  <c r="Q67" i="3" s="1"/>
  <c r="R67" i="3" s="1"/>
  <c r="S67" i="3" s="1"/>
  <c r="J62" i="3"/>
  <c r="K61" i="3"/>
  <c r="T43" i="3"/>
  <c r="O43" i="3"/>
  <c r="P43" i="3" s="1"/>
  <c r="Q43" i="3" s="1"/>
  <c r="R43" i="3" s="1"/>
  <c r="S43" i="3" s="1"/>
  <c r="J92" i="3"/>
  <c r="K91" i="3"/>
  <c r="W97" i="3"/>
  <c r="V98" i="3"/>
  <c r="N119" i="3"/>
  <c r="U119" i="3" s="1"/>
  <c r="U120" i="3" s="1"/>
  <c r="Z119" i="3" s="1"/>
  <c r="Z120" i="3" s="1"/>
  <c r="AE120" i="3" s="1"/>
  <c r="AK120" i="3" s="1"/>
  <c r="T61" i="3"/>
  <c r="O61" i="3"/>
  <c r="AA7" i="3"/>
  <c r="AB7" i="3" s="1"/>
  <c r="AC7" i="3" s="1"/>
  <c r="AD7" i="3" s="1"/>
  <c r="AE7" i="3"/>
  <c r="F50" i="3"/>
  <c r="G49" i="3"/>
  <c r="J14" i="3"/>
  <c r="K13" i="3"/>
  <c r="L13" i="3" l="1"/>
  <c r="K14" i="3"/>
  <c r="X79" i="3"/>
  <c r="W80" i="3"/>
  <c r="H79" i="3"/>
  <c r="H80" i="3" s="1"/>
  <c r="G80" i="3"/>
  <c r="F26" i="3"/>
  <c r="G25" i="3"/>
  <c r="Z49" i="3"/>
  <c r="AL49" i="3"/>
  <c r="G55" i="3"/>
  <c r="F56" i="3"/>
  <c r="AL13" i="3"/>
  <c r="Z13" i="3"/>
  <c r="G97" i="3"/>
  <c r="F98" i="3"/>
  <c r="W104" i="3"/>
  <c r="X103" i="3"/>
  <c r="P49" i="3"/>
  <c r="O50" i="3"/>
  <c r="P13" i="3"/>
  <c r="O14" i="3"/>
  <c r="X49" i="3"/>
  <c r="W50" i="3"/>
  <c r="G50" i="3"/>
  <c r="H49" i="3"/>
  <c r="H50" i="3" s="1"/>
  <c r="W98" i="3"/>
  <c r="X97" i="3"/>
  <c r="L103" i="3"/>
  <c r="K104" i="3"/>
  <c r="N115" i="3"/>
  <c r="T115" i="3" s="1"/>
  <c r="H13" i="3"/>
  <c r="H14" i="3" s="1"/>
  <c r="G14" i="3"/>
  <c r="P31" i="3"/>
  <c r="O32" i="3"/>
  <c r="AL85" i="3"/>
  <c r="Z85" i="3"/>
  <c r="O97" i="3"/>
  <c r="T97" i="3"/>
  <c r="W55" i="3"/>
  <c r="V56" i="3"/>
  <c r="K92" i="3"/>
  <c r="L91" i="3"/>
  <c r="N120" i="3"/>
  <c r="T120" i="3" s="1"/>
  <c r="K25" i="3"/>
  <c r="J26" i="3"/>
  <c r="Z31" i="3"/>
  <c r="AL31" i="3"/>
  <c r="AL119" i="3"/>
  <c r="AL120" i="3" s="1"/>
  <c r="W92" i="3"/>
  <c r="X91" i="3"/>
  <c r="K97" i="3"/>
  <c r="J98" i="3"/>
  <c r="Z61" i="3"/>
  <c r="AL61" i="3"/>
  <c r="K50" i="3"/>
  <c r="L49" i="3"/>
  <c r="AK7" i="3"/>
  <c r="AF7" i="3"/>
  <c r="AG7" i="3" s="1"/>
  <c r="AH7" i="3" s="1"/>
  <c r="AI7" i="3" s="1"/>
  <c r="AJ7" i="3" s="1"/>
  <c r="W110" i="3"/>
  <c r="X109" i="3"/>
  <c r="G32" i="3"/>
  <c r="H31" i="3"/>
  <c r="H32" i="3" s="1"/>
  <c r="P91" i="3"/>
  <c r="O92" i="3"/>
  <c r="O37" i="3"/>
  <c r="P37" i="3" s="1"/>
  <c r="Q37" i="3" s="1"/>
  <c r="R37" i="3" s="1"/>
  <c r="S37" i="3" s="1"/>
  <c r="T37" i="3"/>
  <c r="O25" i="3"/>
  <c r="T25" i="3"/>
  <c r="Z79" i="3"/>
  <c r="AL79" i="3"/>
  <c r="O109" i="3"/>
  <c r="T109" i="3"/>
  <c r="G62" i="3"/>
  <c r="H61" i="3"/>
  <c r="H62" i="3" s="1"/>
  <c r="U114" i="3"/>
  <c r="U115" i="3" s="1"/>
  <c r="AL114" i="3" s="1"/>
  <c r="AL115" i="3" s="1"/>
  <c r="X13" i="3"/>
  <c r="W14" i="3"/>
  <c r="K62" i="3"/>
  <c r="L61" i="3"/>
  <c r="I19" i="3"/>
  <c r="U18" i="3"/>
  <c r="U19" i="3" s="1"/>
  <c r="AL19" i="3" s="1"/>
  <c r="AL103" i="3"/>
  <c r="Z103" i="3"/>
  <c r="AL91" i="3"/>
  <c r="Z91" i="3"/>
  <c r="X61" i="3"/>
  <c r="W62" i="3"/>
  <c r="P79" i="3"/>
  <c r="O80" i="3"/>
  <c r="K109" i="3"/>
  <c r="J110" i="3"/>
  <c r="J56" i="3"/>
  <c r="K55" i="3"/>
  <c r="K80" i="3"/>
  <c r="L79" i="3"/>
  <c r="P61" i="3"/>
  <c r="O62" i="3"/>
  <c r="P103" i="3"/>
  <c r="O104" i="3"/>
  <c r="AF19" i="3"/>
  <c r="AG19" i="3" s="1"/>
  <c r="AH19" i="3" s="1"/>
  <c r="AI19" i="3" s="1"/>
  <c r="AJ19" i="3" s="1"/>
  <c r="AK19" i="3"/>
  <c r="W25" i="3"/>
  <c r="V26" i="3"/>
  <c r="W32" i="3"/>
  <c r="X31" i="3"/>
  <c r="Z73" i="3"/>
  <c r="AL73" i="3"/>
  <c r="G92" i="3"/>
  <c r="H91" i="3"/>
  <c r="H92" i="3" s="1"/>
  <c r="G109" i="3"/>
  <c r="F110" i="3"/>
  <c r="O55" i="3"/>
  <c r="T55" i="3"/>
  <c r="G110" i="3" l="1"/>
  <c r="H109" i="3"/>
  <c r="H110" i="3" s="1"/>
  <c r="W26" i="3"/>
  <c r="X25" i="3"/>
  <c r="Y61" i="3"/>
  <c r="Y62" i="3" s="1"/>
  <c r="X62" i="3"/>
  <c r="K56" i="3"/>
  <c r="L55" i="3"/>
  <c r="AA91" i="3"/>
  <c r="AE91" i="3"/>
  <c r="AA79" i="3"/>
  <c r="AE79" i="3"/>
  <c r="AA61" i="3"/>
  <c r="AE61" i="3"/>
  <c r="O98" i="3"/>
  <c r="P97" i="3"/>
  <c r="AE13" i="3"/>
  <c r="AA13" i="3"/>
  <c r="AA31" i="3"/>
  <c r="AE31" i="3"/>
  <c r="Z97" i="3"/>
  <c r="AL97" i="3"/>
  <c r="Y49" i="3"/>
  <c r="Y50" i="3" s="1"/>
  <c r="X50" i="3"/>
  <c r="G98" i="3"/>
  <c r="H97" i="3"/>
  <c r="H98" i="3" s="1"/>
  <c r="X14" i="3"/>
  <c r="Y13" i="3"/>
  <c r="Y14" i="3" s="1"/>
  <c r="AL25" i="3"/>
  <c r="Z25" i="3"/>
  <c r="Y109" i="3"/>
  <c r="Y110" i="3" s="1"/>
  <c r="X110" i="3"/>
  <c r="K26" i="3"/>
  <c r="L25" i="3"/>
  <c r="AE85" i="3"/>
  <c r="AA85" i="3"/>
  <c r="AB85" i="3" s="1"/>
  <c r="AC85" i="3" s="1"/>
  <c r="AD85" i="3" s="1"/>
  <c r="L104" i="3"/>
  <c r="M103" i="3"/>
  <c r="M104" i="3" s="1"/>
  <c r="P14" i="3"/>
  <c r="Q13" i="3"/>
  <c r="L80" i="3"/>
  <c r="M79" i="3"/>
  <c r="M80" i="3" s="1"/>
  <c r="Q91" i="3"/>
  <c r="P92" i="3"/>
  <c r="Y97" i="3"/>
  <c r="Y98" i="3" s="1"/>
  <c r="X98" i="3"/>
  <c r="AE73" i="3"/>
  <c r="AA73" i="3"/>
  <c r="AB73" i="3" s="1"/>
  <c r="AC73" i="3" s="1"/>
  <c r="AD73" i="3" s="1"/>
  <c r="Q103" i="3"/>
  <c r="P104" i="3"/>
  <c r="L109" i="3"/>
  <c r="K110" i="3"/>
  <c r="Z37" i="3"/>
  <c r="AL37" i="3"/>
  <c r="X92" i="3"/>
  <c r="Y91" i="3"/>
  <c r="Y92" i="3" s="1"/>
  <c r="L92" i="3"/>
  <c r="M91" i="3"/>
  <c r="M92" i="3" s="1"/>
  <c r="Q49" i="3"/>
  <c r="P50" i="3"/>
  <c r="G56" i="3"/>
  <c r="H55" i="3"/>
  <c r="H56" i="3" s="1"/>
  <c r="L62" i="3"/>
  <c r="M61" i="3"/>
  <c r="M62" i="3" s="1"/>
  <c r="L14" i="3"/>
  <c r="M13" i="3"/>
  <c r="M14" i="3" s="1"/>
  <c r="AA103" i="3"/>
  <c r="AE103" i="3"/>
  <c r="O26" i="3"/>
  <c r="P25" i="3"/>
  <c r="L97" i="3"/>
  <c r="K98" i="3"/>
  <c r="AL55" i="3"/>
  <c r="Z55" i="3"/>
  <c r="X32" i="3"/>
  <c r="Y31" i="3"/>
  <c r="Y32" i="3" s="1"/>
  <c r="Q31" i="3"/>
  <c r="P32" i="3"/>
  <c r="X104" i="3"/>
  <c r="Y103" i="3"/>
  <c r="Y104" i="3" s="1"/>
  <c r="X80" i="3"/>
  <c r="Y79" i="3"/>
  <c r="Y80" i="3" s="1"/>
  <c r="O110" i="3"/>
  <c r="P109" i="3"/>
  <c r="W56" i="3"/>
  <c r="X55" i="3"/>
  <c r="G26" i="3"/>
  <c r="H25" i="3"/>
  <c r="H26" i="3" s="1"/>
  <c r="O56" i="3"/>
  <c r="P55" i="3"/>
  <c r="Q61" i="3"/>
  <c r="P62" i="3"/>
  <c r="P80" i="3"/>
  <c r="Q79" i="3"/>
  <c r="J19" i="3"/>
  <c r="K19" i="3" s="1"/>
  <c r="L19" i="3" s="1"/>
  <c r="M19" i="3" s="1"/>
  <c r="N19" i="3"/>
  <c r="Z109" i="3"/>
  <c r="AL109" i="3"/>
  <c r="L50" i="3"/>
  <c r="M49" i="3"/>
  <c r="M50" i="3" s="1"/>
  <c r="AA49" i="3"/>
  <c r="AE49" i="3"/>
  <c r="R13" i="3" l="1"/>
  <c r="Q14" i="3"/>
  <c r="L56" i="3"/>
  <c r="M55" i="3"/>
  <c r="M56" i="3" s="1"/>
  <c r="L98" i="3"/>
  <c r="M97" i="3"/>
  <c r="M98" i="3" s="1"/>
  <c r="AK73" i="3"/>
  <c r="AF73" i="3"/>
  <c r="AG73" i="3" s="1"/>
  <c r="AH73" i="3" s="1"/>
  <c r="AI73" i="3" s="1"/>
  <c r="AJ73" i="3" s="1"/>
  <c r="O19" i="3"/>
  <c r="P19" i="3" s="1"/>
  <c r="Q19" i="3" s="1"/>
  <c r="R19" i="3" s="1"/>
  <c r="S19" i="3" s="1"/>
  <c r="T19" i="3"/>
  <c r="Q97" i="3"/>
  <c r="P98" i="3"/>
  <c r="AF49" i="3"/>
  <c r="AK49" i="3"/>
  <c r="R79" i="3"/>
  <c r="Q80" i="3"/>
  <c r="X56" i="3"/>
  <c r="Y55" i="3"/>
  <c r="Y56" i="3" s="1"/>
  <c r="P26" i="3"/>
  <c r="Q25" i="3"/>
  <c r="AE25" i="3"/>
  <c r="AA25" i="3"/>
  <c r="AF61" i="3"/>
  <c r="AK61" i="3"/>
  <c r="R31" i="3"/>
  <c r="Q32" i="3"/>
  <c r="AE37" i="3"/>
  <c r="AA37" i="3"/>
  <c r="AB37" i="3" s="1"/>
  <c r="AC37" i="3" s="1"/>
  <c r="AD37" i="3" s="1"/>
  <c r="AE97" i="3"/>
  <c r="AA97" i="3"/>
  <c r="AA62" i="3"/>
  <c r="AB61" i="3"/>
  <c r="AA50" i="3"/>
  <c r="AB49" i="3"/>
  <c r="Q109" i="3"/>
  <c r="P110" i="3"/>
  <c r="AK103" i="3"/>
  <c r="AF103" i="3"/>
  <c r="AF31" i="3"/>
  <c r="AK31" i="3"/>
  <c r="AF79" i="3"/>
  <c r="AK79" i="3"/>
  <c r="X26" i="3"/>
  <c r="Y25" i="3"/>
  <c r="Y26" i="3" s="1"/>
  <c r="AA104" i="3"/>
  <c r="AB103" i="3"/>
  <c r="L110" i="3"/>
  <c r="M109" i="3"/>
  <c r="M110" i="3" s="1"/>
  <c r="AF85" i="3"/>
  <c r="AG85" i="3" s="1"/>
  <c r="AH85" i="3" s="1"/>
  <c r="AI85" i="3" s="1"/>
  <c r="AJ85" i="3" s="1"/>
  <c r="AK85" i="3"/>
  <c r="P56" i="3"/>
  <c r="Q55" i="3"/>
  <c r="AE55" i="3"/>
  <c r="AA55" i="3"/>
  <c r="L26" i="3"/>
  <c r="M25" i="3"/>
  <c r="M26" i="3" s="1"/>
  <c r="AA14" i="3"/>
  <c r="AB13" i="3"/>
  <c r="AK91" i="3"/>
  <c r="AF91" i="3"/>
  <c r="R61" i="3"/>
  <c r="Q62" i="3"/>
  <c r="R49" i="3"/>
  <c r="Q50" i="3"/>
  <c r="R91" i="3"/>
  <c r="Q92" i="3"/>
  <c r="AA32" i="3"/>
  <c r="AB31" i="3"/>
  <c r="AA80" i="3"/>
  <c r="AB79" i="3"/>
  <c r="AE109" i="3"/>
  <c r="AA109" i="3"/>
  <c r="R103" i="3"/>
  <c r="Q104" i="3"/>
  <c r="AF13" i="3"/>
  <c r="AK13" i="3"/>
  <c r="AA92" i="3"/>
  <c r="AB91" i="3"/>
  <c r="AB62" i="3" l="1"/>
  <c r="AC61" i="3"/>
  <c r="AK109" i="3"/>
  <c r="AF109" i="3"/>
  <c r="S49" i="3"/>
  <c r="S50" i="3" s="1"/>
  <c r="R50" i="3"/>
  <c r="AF32" i="3"/>
  <c r="AG31" i="3"/>
  <c r="AG61" i="3"/>
  <c r="AF62" i="3"/>
  <c r="S79" i="3"/>
  <c r="S80" i="3" s="1"/>
  <c r="R80" i="3"/>
  <c r="AG103" i="3"/>
  <c r="AF104" i="3"/>
  <c r="S61" i="3"/>
  <c r="S62" i="3" s="1"/>
  <c r="R62" i="3"/>
  <c r="AK55" i="3"/>
  <c r="AF55" i="3"/>
  <c r="AK97" i="3"/>
  <c r="AF97" i="3"/>
  <c r="AK25" i="3"/>
  <c r="AF25" i="3"/>
  <c r="AG49" i="3"/>
  <c r="AF50" i="3"/>
  <c r="AC91" i="3"/>
  <c r="AB92" i="3"/>
  <c r="AB55" i="3"/>
  <c r="AA56" i="3"/>
  <c r="AC103" i="3"/>
  <c r="AB104" i="3"/>
  <c r="AC31" i="3"/>
  <c r="AB32" i="3"/>
  <c r="AG91" i="3"/>
  <c r="AF92" i="3"/>
  <c r="R55" i="3"/>
  <c r="Q56" i="3"/>
  <c r="R25" i="3"/>
  <c r="Q26" i="3"/>
  <c r="AA110" i="3"/>
  <c r="AB109" i="3"/>
  <c r="AG13" i="3"/>
  <c r="AF14" i="3"/>
  <c r="R109" i="3"/>
  <c r="Q110" i="3"/>
  <c r="AF37" i="3"/>
  <c r="AG37" i="3" s="1"/>
  <c r="AH37" i="3" s="1"/>
  <c r="AI37" i="3" s="1"/>
  <c r="AJ37" i="3" s="1"/>
  <c r="AK37" i="3"/>
  <c r="R97" i="3"/>
  <c r="Q98" i="3"/>
  <c r="AA26" i="3"/>
  <c r="AB25" i="3"/>
  <c r="AC13" i="3"/>
  <c r="AB14" i="3"/>
  <c r="AB50" i="3"/>
  <c r="AC49" i="3"/>
  <c r="AC79" i="3"/>
  <c r="AB80" i="3"/>
  <c r="AA98" i="3"/>
  <c r="AB97" i="3"/>
  <c r="S103" i="3"/>
  <c r="S104" i="3" s="1"/>
  <c r="R104" i="3"/>
  <c r="S91" i="3"/>
  <c r="S92" i="3" s="1"/>
  <c r="R92" i="3"/>
  <c r="AF80" i="3"/>
  <c r="AG79" i="3"/>
  <c r="S31" i="3"/>
  <c r="S32" i="3" s="1"/>
  <c r="R32" i="3"/>
  <c r="S13" i="3"/>
  <c r="S14" i="3" s="1"/>
  <c r="R14" i="3"/>
  <c r="AB110" i="3" l="1"/>
  <c r="AC109" i="3"/>
  <c r="AG32" i="3"/>
  <c r="AH31" i="3"/>
  <c r="AC80" i="3"/>
  <c r="AD79" i="3"/>
  <c r="AD80" i="3" s="1"/>
  <c r="R98" i="3"/>
  <c r="S97" i="3"/>
  <c r="S98" i="3" s="1"/>
  <c r="AD31" i="3"/>
  <c r="AD32" i="3" s="1"/>
  <c r="AC32" i="3"/>
  <c r="AH49" i="3"/>
  <c r="AG50" i="3"/>
  <c r="R26" i="3"/>
  <c r="S25" i="3"/>
  <c r="S26" i="3" s="1"/>
  <c r="AD103" i="3"/>
  <c r="AD104" i="3" s="1"/>
  <c r="AC104" i="3"/>
  <c r="AG104" i="3"/>
  <c r="AH103" i="3"/>
  <c r="AG25" i="3"/>
  <c r="AF26" i="3"/>
  <c r="AG97" i="3"/>
  <c r="AF98" i="3"/>
  <c r="AG109" i="3"/>
  <c r="AF110" i="3"/>
  <c r="AH79" i="3"/>
  <c r="AG80" i="3"/>
  <c r="AC50" i="3"/>
  <c r="AD49" i="3"/>
  <c r="AD50" i="3" s="1"/>
  <c r="AD13" i="3"/>
  <c r="AD14" i="3" s="1"/>
  <c r="AC14" i="3"/>
  <c r="R110" i="3"/>
  <c r="S109" i="3"/>
  <c r="S110" i="3" s="1"/>
  <c r="R56" i="3"/>
  <c r="S55" i="3"/>
  <c r="S56" i="3" s="1"/>
  <c r="AC55" i="3"/>
  <c r="AB56" i="3"/>
  <c r="AB98" i="3"/>
  <c r="AC97" i="3"/>
  <c r="AC25" i="3"/>
  <c r="AB26" i="3"/>
  <c r="AF56" i="3"/>
  <c r="AG55" i="3"/>
  <c r="AC62" i="3"/>
  <c r="AD61" i="3"/>
  <c r="AD62" i="3" s="1"/>
  <c r="AH13" i="3"/>
  <c r="AG14" i="3"/>
  <c r="AG92" i="3"/>
  <c r="AH91" i="3"/>
  <c r="AD91" i="3"/>
  <c r="AD92" i="3" s="1"/>
  <c r="AC92" i="3"/>
  <c r="AH61" i="3"/>
  <c r="AG62" i="3"/>
  <c r="AD25" i="3" l="1"/>
  <c r="AD26" i="3" s="1"/>
  <c r="AC26" i="3"/>
  <c r="AH109" i="3"/>
  <c r="AG110" i="3"/>
  <c r="AC98" i="3"/>
  <c r="AD97" i="3"/>
  <c r="AD98" i="3" s="1"/>
  <c r="AH14" i="3"/>
  <c r="AI13" i="3"/>
  <c r="AH97" i="3"/>
  <c r="AG98" i="3"/>
  <c r="AH92" i="3"/>
  <c r="AI91" i="3"/>
  <c r="AI31" i="3"/>
  <c r="AH32" i="3"/>
  <c r="AI61" i="3"/>
  <c r="AH62" i="3"/>
  <c r="AD55" i="3"/>
  <c r="AD56" i="3" s="1"/>
  <c r="AC56" i="3"/>
  <c r="AG26" i="3"/>
  <c r="AH25" i="3"/>
  <c r="AI49" i="3"/>
  <c r="AH50" i="3"/>
  <c r="AG56" i="3"/>
  <c r="AH55" i="3"/>
  <c r="AH104" i="3"/>
  <c r="AI103" i="3"/>
  <c r="AC110" i="3"/>
  <c r="AD109" i="3"/>
  <c r="AD110" i="3" s="1"/>
  <c r="AI79" i="3"/>
  <c r="AH80" i="3"/>
  <c r="AI14" i="3" l="1"/>
  <c r="AJ13" i="3"/>
  <c r="AJ14" i="3" s="1"/>
  <c r="AJ61" i="3"/>
  <c r="AJ62" i="3" s="1"/>
  <c r="AI62" i="3"/>
  <c r="AH56" i="3"/>
  <c r="AI55" i="3"/>
  <c r="AI80" i="3"/>
  <c r="AJ79" i="3"/>
  <c r="AJ80" i="3" s="1"/>
  <c r="AI50" i="3"/>
  <c r="AJ49" i="3"/>
  <c r="AJ50" i="3" s="1"/>
  <c r="AJ31" i="3"/>
  <c r="AJ32" i="3" s="1"/>
  <c r="AI32" i="3"/>
  <c r="AH26" i="3"/>
  <c r="AI25" i="3"/>
  <c r="AI92" i="3"/>
  <c r="AJ91" i="3"/>
  <c r="AJ92" i="3" s="1"/>
  <c r="AH110" i="3"/>
  <c r="AI109" i="3"/>
  <c r="AJ103" i="3"/>
  <c r="AJ104" i="3" s="1"/>
  <c r="AI104" i="3"/>
  <c r="AH98" i="3"/>
  <c r="AI97" i="3"/>
  <c r="AI98" i="3" l="1"/>
  <c r="AJ97" i="3"/>
  <c r="AJ98" i="3" s="1"/>
  <c r="AI26" i="3"/>
  <c r="AJ25" i="3"/>
  <c r="AJ26" i="3" s="1"/>
  <c r="AI56" i="3"/>
  <c r="AJ55" i="3"/>
  <c r="AJ56" i="3" s="1"/>
  <c r="AI110" i="3"/>
  <c r="AJ109" i="3"/>
  <c r="AJ110" i="3" s="1"/>
</calcChain>
</file>

<file path=xl/sharedStrings.xml><?xml version="1.0" encoding="utf-8"?>
<sst xmlns="http://schemas.openxmlformats.org/spreadsheetml/2006/main" count="1128" uniqueCount="173">
  <si>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</si>
  <si>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</si>
  <si>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</si>
  <si>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</si>
  <si>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</si>
  <si>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</si>
  <si>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</si>
  <si>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</si>
  <si>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</si>
  <si>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</si>
  <si>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</si>
  <si>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4GB DDR4 3200 SODIMM</t>
    <phoneticPr fontId="4" type="noConversion"/>
  </si>
  <si>
    <t>Memory 8GB DDR4 3200 SODIMM</t>
    <phoneticPr fontId="4" type="noConversion"/>
  </si>
  <si>
    <t>Memory 16GB DDR4 3200 SODIMM</t>
    <phoneticPr fontId="4" type="noConversion"/>
  </si>
  <si>
    <t xml:space="preserve">Total </t>
    <phoneticPr fontId="3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</si>
  <si>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</si>
  <si>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</si>
  <si>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</si>
  <si>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</si>
  <si>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</si>
  <si>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</si>
  <si>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</si>
  <si>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</si>
  <si>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</si>
  <si>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</si>
  <si>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</si>
  <si>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</si>
  <si>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</si>
  <si>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</si>
  <si>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</si>
  <si>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</si>
  <si>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</si>
  <si>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Jan</t>
    <phoneticPr fontId="3" type="noConversion"/>
  </si>
  <si>
    <t>Unnamed: 4_level_1</t>
    <phoneticPr fontId="3" type="noConversion"/>
  </si>
  <si>
    <t>TTL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</si>
  <si>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</si>
  <si>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</si>
  <si>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</si>
  <si>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</si>
  <si>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Apr</t>
    <phoneticPr fontId="3" type="noConversion"/>
  </si>
  <si>
    <t>May</t>
    <phoneticPr fontId="3" type="noConversion"/>
  </si>
  <si>
    <t>Jun</t>
    <phoneticPr fontId="3" type="noConversion"/>
  </si>
  <si>
    <t>FYQ1</t>
    <phoneticPr fontId="3" type="noConversion"/>
  </si>
  <si>
    <t xml:space="preserve">last Q </t>
    <phoneticPr fontId="3" type="noConversion"/>
  </si>
  <si>
    <t>TTL supply</t>
  </si>
  <si>
    <t>Memory 4GB DDR4 2666 SODIMM</t>
    <phoneticPr fontId="2" type="noConversion"/>
  </si>
  <si>
    <t>Memory 8GB DDR4 2666 SODIMM</t>
  </si>
  <si>
    <t xml:space="preserve"> </t>
    <phoneticPr fontId="4" type="noConversion"/>
  </si>
  <si>
    <t>Memory 16GB DDR4 2666 SODIMM</t>
  </si>
  <si>
    <t>Memory 32GB DDR4 2666 SODIMM</t>
  </si>
  <si>
    <t>Memory 32GB DDR4 3200 SODIMM G3</t>
    <phoneticPr fontId="4" type="noConversion"/>
  </si>
  <si>
    <t>Memory 16GB DDR4 XMP5400 SODIMM</t>
    <phoneticPr fontId="4" type="noConversion"/>
  </si>
  <si>
    <t>Memory 16GB DDR5 XMP6400 SODIMM</t>
    <phoneticPr fontId="4" type="noConversion"/>
  </si>
  <si>
    <t xml:space="preserve">Total </t>
  </si>
  <si>
    <t>1Gb  Eqv.</t>
  </si>
  <si>
    <t>Jul</t>
    <phoneticPr fontId="4" type="noConversion"/>
  </si>
  <si>
    <t>Aug</t>
    <phoneticPr fontId="3" type="noConversion"/>
  </si>
  <si>
    <t>Sep</t>
    <phoneticPr fontId="3" type="noConversion"/>
  </si>
  <si>
    <t>FYQ2</t>
    <phoneticPr fontId="3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</si>
  <si>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</si>
  <si>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</si>
  <si>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</si>
  <si>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</si>
  <si>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FYQ2</t>
  </si>
  <si>
    <t>FYQ3</t>
  </si>
  <si>
    <t>2023/07/01~2023/07/05</t>
    <phoneticPr fontId="4" type="noConversion"/>
  </si>
  <si>
    <t>2023/07/06~2023/07/09</t>
  </si>
  <si>
    <t>2023/07/10~2023/07/16</t>
  </si>
  <si>
    <t>2023/07/17~2023/07/23</t>
  </si>
  <si>
    <t>TTL</t>
    <phoneticPr fontId="4" type="noConversion"/>
  </si>
  <si>
    <t>2023/07/24~2023/07/30</t>
  </si>
  <si>
    <t>2023/07/31~2023/08/06</t>
  </si>
  <si>
    <t>2023/08/07~2023/08/13</t>
  </si>
  <si>
    <t>2023/08/14~2023/08/20</t>
  </si>
  <si>
    <t>Total</t>
  </si>
  <si>
    <t>2023/08/21~2023/08/27</t>
  </si>
  <si>
    <t>2023/08/28~2023/09/03</t>
  </si>
  <si>
    <t>2023/09/04~2023/09/10</t>
  </si>
  <si>
    <t>2023/09/11~2023/09/17</t>
  </si>
  <si>
    <t>2023/09/18~2023/09/24</t>
  </si>
  <si>
    <t>2023/09/25~2023/10/01</t>
  </si>
  <si>
    <t>2023/10/02~2023/10/08</t>
  </si>
  <si>
    <t>2023/10/09~2023/10/15</t>
  </si>
  <si>
    <t>2023/10/16~2023/10/22</t>
  </si>
  <si>
    <t>2023/10/23~2023/10/29</t>
  </si>
  <si>
    <t>2023/10/30~2023/11/05</t>
  </si>
  <si>
    <t>2023/11/06~2023/11/12</t>
  </si>
  <si>
    <t>2023/11/13~2023/11/19</t>
  </si>
  <si>
    <t>2023/11/20~2023/11/26</t>
  </si>
  <si>
    <t>2023/11/27~2023/12/03</t>
  </si>
  <si>
    <t>2023/12/04~2023/12/10</t>
  </si>
  <si>
    <t>2023/12/11~2023/12/17</t>
  </si>
  <si>
    <t>2023/12/18~2023/12/24</t>
  </si>
  <si>
    <t>Memory 8GB DDR4 2666 SODIMM</t>
    <phoneticPr fontId="4" type="noConversion"/>
  </si>
  <si>
    <t>Memory 16GB DDR4 2666 SODIMM</t>
    <phoneticPr fontId="4" type="noConversion"/>
  </si>
  <si>
    <t>Memory 32GB DDR4 3200 SODIMM</t>
    <phoneticPr fontId="4" type="noConversion"/>
  </si>
  <si>
    <t>Memory 32GB DDR4 3200 SODIMM G2</t>
    <phoneticPr fontId="4" type="noConversion"/>
  </si>
  <si>
    <t>Memory 16GB DDR4 2666 UDIMM</t>
    <phoneticPr fontId="4" type="noConversion"/>
  </si>
  <si>
    <t>Memory 16GB DDR4 2933 UDIMM</t>
    <phoneticPr fontId="4" type="noConversion"/>
  </si>
  <si>
    <t>Memory 16GB DDR4 3200 UDIMM</t>
    <phoneticPr fontId="4" type="noConversion"/>
  </si>
  <si>
    <t>Memory 16GB DDR4 3200 UDIMM G2</t>
    <phoneticPr fontId="4" type="noConversion"/>
  </si>
  <si>
    <t>Memory 32GB DDR4 2933 UDIMM</t>
    <phoneticPr fontId="4" type="noConversion"/>
  </si>
  <si>
    <t>Memory 32GB DDR4 3200 UDIMM</t>
    <phoneticPr fontId="4" type="noConversion"/>
  </si>
  <si>
    <t>Memory 32GB DDR4 3200 UDIMM G2</t>
    <phoneticPr fontId="4" type="noConversion"/>
  </si>
  <si>
    <t>Memory 4GB DDR4 2933 UDIMM</t>
    <phoneticPr fontId="4" type="noConversion"/>
  </si>
  <si>
    <t>Memory 4GB DDR4 3200 UDIMM</t>
    <phoneticPr fontId="4" type="noConversion"/>
  </si>
  <si>
    <t>Memory 8GB DDR4 2933 UDIMM</t>
    <phoneticPr fontId="4" type="noConversion"/>
  </si>
  <si>
    <t>Memory 8GB DDR4 3200 UDIMM</t>
    <phoneticPr fontId="4" type="noConversion"/>
  </si>
  <si>
    <t>Memory 8GB DDR4 3200 UDIMM G2</t>
    <phoneticPr fontId="4" type="noConversion"/>
  </si>
  <si>
    <t>Memory 16GB DDR4 3200 UDIMM Armor</t>
    <phoneticPr fontId="4" type="noConversion"/>
  </si>
  <si>
    <t>Memory 8GB DDR5 4800 UDIMM</t>
    <phoneticPr fontId="4" type="noConversion"/>
  </si>
  <si>
    <t>Memory 16GB DDR5 4800 UDIMM</t>
    <phoneticPr fontId="4" type="noConversion"/>
  </si>
  <si>
    <t>Memory 32GB DDR5 4800 UDIMM</t>
    <phoneticPr fontId="4" type="noConversion"/>
  </si>
  <si>
    <t>Memory 32GB DDR5 4800 SODIMM</t>
    <phoneticPr fontId="4" type="noConversion"/>
  </si>
  <si>
    <t>Memory 16GB DDR5 5600 UDIMM</t>
    <phoneticPr fontId="4" type="noConversion"/>
  </si>
  <si>
    <t>Memory 32GB DDR5 5600 UDIMM</t>
    <phoneticPr fontId="4" type="noConversion"/>
  </si>
  <si>
    <t>Memory 32GB DDR5 5600 SODIMM</t>
    <phoneticPr fontId="4" type="noConversion"/>
  </si>
  <si>
    <t>Memory 4GB DDR4 2666 SODIMM</t>
    <phoneticPr fontId="4" type="noConversion"/>
  </si>
  <si>
    <t>Memory 8GB DDR4 3200 UDIMM Armor</t>
    <phoneticPr fontId="4" type="noConversion"/>
  </si>
  <si>
    <t>Memory 8GB DDR4 3200 UDIMM OC</t>
    <phoneticPr fontId="4" type="noConversion"/>
  </si>
  <si>
    <t>Memory 8GB DDR4 XMP3600 UDIMM</t>
    <phoneticPr fontId="4" type="noConversion"/>
  </si>
  <si>
    <t>Memory 16GB DDR5 4800 UDIMM Armor</t>
    <phoneticPr fontId="4" type="noConversion"/>
  </si>
  <si>
    <t>Memory 8GB DDR5 4800 UDIMM Armor</t>
    <phoneticPr fontId="4" type="noConversion"/>
  </si>
  <si>
    <t>Memory 16Gb LPDDR4X 200B 4266 onboard G2</t>
    <phoneticPr fontId="4" type="noConversion"/>
  </si>
  <si>
    <t>Memory 32Gb LPDDR4X 200B 4266 onboard G2</t>
    <phoneticPr fontId="4" type="noConversion"/>
  </si>
  <si>
    <t>Memory 8GB DDR5 5600 UDIMM</t>
    <phoneticPr fontId="4" type="noConversion"/>
  </si>
  <si>
    <t>Measure</t>
    <phoneticPr fontId="3" type="noConversion"/>
  </si>
  <si>
    <t>Measure</t>
    <phoneticPr fontId="4" type="noConversion"/>
  </si>
  <si>
    <t>CON</t>
    <phoneticPr fontId="4" type="noConversion"/>
  </si>
  <si>
    <t>Middle group</t>
    <phoneticPr fontId="3" type="noConversion"/>
  </si>
  <si>
    <t>LP5/5X</t>
    <phoneticPr fontId="4" type="noConversion"/>
  </si>
  <si>
    <t>D5 ob</t>
    <phoneticPr fontId="4" type="noConversion"/>
  </si>
  <si>
    <t>D4 4GB</t>
    <phoneticPr fontId="4" type="noConversion"/>
  </si>
  <si>
    <t>D4 8GB</t>
    <phoneticPr fontId="4" type="noConversion"/>
  </si>
  <si>
    <t>D4 16GB</t>
    <phoneticPr fontId="4" type="noConversion"/>
  </si>
  <si>
    <t>Memory 32GB DDR4 2666 SODIMM</t>
    <phoneticPr fontId="4" type="noConversion"/>
  </si>
  <si>
    <t>D4 32GB</t>
    <phoneticPr fontId="4" type="noConversion"/>
  </si>
  <si>
    <t>Memory 16GB DDR4 2400 UDIMM</t>
    <phoneticPr fontId="4" type="noConversion"/>
  </si>
  <si>
    <t>Memory 16GB DDR4 3200 UDIMM G3</t>
    <phoneticPr fontId="4" type="noConversion"/>
  </si>
  <si>
    <t>Memory 32GB DDR4 2666 UDIMM</t>
    <phoneticPr fontId="4" type="noConversion"/>
  </si>
  <si>
    <t>Memory 4GB DDR4 2400 UDIMM</t>
    <phoneticPr fontId="4" type="noConversion"/>
  </si>
  <si>
    <t>Memory 4GB DDR4 2666 UDIMM</t>
    <phoneticPr fontId="4" type="noConversion"/>
  </si>
  <si>
    <t xml:space="preserve">Memory 8GB DDR5 5600 UDIMM </t>
  </si>
  <si>
    <t>D5 8GB</t>
    <phoneticPr fontId="4" type="noConversion"/>
  </si>
  <si>
    <t>Memory 8GB DDR4 2666 UDIMM Armor</t>
    <phoneticPr fontId="4" type="noConversion"/>
  </si>
  <si>
    <t>D5 16GB</t>
    <phoneticPr fontId="4" type="noConversion"/>
  </si>
  <si>
    <t>Memory 16GB DDR5 5400 SODIMM</t>
    <phoneticPr fontId="4" type="noConversion"/>
  </si>
  <si>
    <t>D5 32GB</t>
    <phoneticPr fontId="4" type="noConversion"/>
  </si>
  <si>
    <t>Memory 32GB DDR5 XMP6400 SODIMM</t>
    <phoneticPr fontId="4" type="noConversion"/>
  </si>
  <si>
    <t>D5 48GB</t>
    <phoneticPr fontId="4" type="noConversion"/>
  </si>
  <si>
    <t>FQ2</t>
    <phoneticPr fontId="4" type="noConversion"/>
  </si>
  <si>
    <t>LP3</t>
    <phoneticPr fontId="2" type="noConversion"/>
  </si>
  <si>
    <t>LP4/4X</t>
    <phoneticPr fontId="2" type="noConversion"/>
  </si>
  <si>
    <t>LP5/5X</t>
    <phoneticPr fontId="2" type="noConversion"/>
  </si>
  <si>
    <t>D4 ob</t>
    <phoneticPr fontId="4" type="noConversion"/>
  </si>
  <si>
    <t>DIMM</t>
    <phoneticPr fontId="4" type="noConversion"/>
  </si>
  <si>
    <t>TTL</t>
    <phoneticPr fontId="2" type="noConversion"/>
  </si>
  <si>
    <t>8Gb</t>
    <phoneticPr fontId="2" type="noConversion"/>
  </si>
  <si>
    <t>16Gb</t>
    <phoneticPr fontId="2" type="noConversion"/>
  </si>
  <si>
    <t xml:space="preserve">32Gb </t>
    <phoneticPr fontId="2" type="noConversion"/>
  </si>
  <si>
    <t>D4 4GB</t>
    <phoneticPr fontId="2" type="noConversion"/>
  </si>
  <si>
    <t>D4 8GB</t>
    <phoneticPr fontId="2" type="noConversion"/>
  </si>
  <si>
    <t>D4 16GB</t>
    <phoneticPr fontId="2" type="noConversion"/>
  </si>
  <si>
    <t>D4 32GB</t>
    <phoneticPr fontId="2" type="noConversion"/>
  </si>
  <si>
    <t>FQ3</t>
    <phoneticPr fontId="4" type="noConversion"/>
  </si>
  <si>
    <t>CQ3</t>
    <phoneticPr fontId="4" type="noConversion"/>
  </si>
  <si>
    <t>0704 DS</t>
    <phoneticPr fontId="4" type="noConversion"/>
  </si>
  <si>
    <t>TNB</t>
    <phoneticPr fontId="4" type="noConversion"/>
  </si>
  <si>
    <t>LNB</t>
    <phoneticPr fontId="4" type="noConversion"/>
  </si>
  <si>
    <t>TDT</t>
    <phoneticPr fontId="4" type="noConversion"/>
  </si>
  <si>
    <t>LDT</t>
    <phoneticPr fontId="4" type="noConversion"/>
  </si>
  <si>
    <t>Ttl</t>
    <phoneticPr fontId="4" type="noConversion"/>
  </si>
  <si>
    <t>Capabity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</si>
</sst>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 * #,##0.00_ ;_ * \-#,##0.00_ ;_ * &quot;-&quot;??_ ;_ @_ "/>
    <numFmt numFmtId="177" formatCode="0.0_);[Red]\(0.0\)"/>
    <numFmt numFmtId="178" formatCode="0.0,;[Red]\(0.0,\)"/>
    <numFmt numFmtId="179" formatCode="m/d;@"/>
    <numFmt numFmtId="180" formatCode="0.0,"/>
    <numFmt numFmtId="181" formatCode="0_);[Red]\(0\)"/>
    <numFmt numFmtId="182" formatCode="0_ "/>
  </numFmts>
  <fonts count="2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sz val="11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0"/>
      <color rgb="FFFF0000"/>
      <name val="Arial"/>
      <family val="2"/>
    </font>
    <font>
      <sz val="10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b/>
      <sz val="10"/>
      <color theme="3" tint="0.3999755851924192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  <xf numFmtId="176" fontId="17" fillId="0" borderId="0" applyFont="0" applyFill="0" applyBorder="0" applyAlignment="0" applyProtection="0">
      <alignment vertical="center"/>
    </xf>
  </cellStyleXfs>
  <cellXfs count="179">
    <xf numFmtId="0" fontId="0" fillId="0" borderId="0" xfId="0">
      <alignment vertical="center"/>
    </xf>
    <xf numFmtId="177" fontId="7" fillId="0" borderId="7" xfId="0" applyNumberFormat="1" applyFont="1" applyBorder="1" applyAlignment="1">
      <alignment horizontal="center" vertical="center"/>
    </xf>
    <xf numFmtId="177" fontId="7" fillId="0" borderId="1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7" fontId="10" fillId="12" borderId="3" xfId="0" applyNumberFormat="1" applyFont="1" applyFill="1" applyBorder="1" applyAlignment="1">
      <alignment horizontal="center" vertical="center"/>
    </xf>
    <xf numFmtId="178" fontId="11" fillId="11" borderId="3" xfId="0" applyNumberFormat="1" applyFont="1" applyFill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178" fontId="12" fillId="3" borderId="8" xfId="0" applyNumberFormat="1" applyFont="1" applyFill="1" applyBorder="1" applyAlignment="1">
      <alignment horizontal="center" vertical="center"/>
    </xf>
    <xf numFmtId="178" fontId="12" fillId="0" borderId="13" xfId="0" applyNumberFormat="1" applyFont="1" applyBorder="1" applyAlignment="1">
      <alignment horizontal="center" vertical="center"/>
    </xf>
    <xf numFmtId="178" fontId="12" fillId="0" borderId="13" xfId="1" applyNumberFormat="1" applyFont="1" applyBorder="1" applyAlignment="1">
      <alignment horizontal="center" vertical="center"/>
    </xf>
    <xf numFmtId="177" fontId="13" fillId="0" borderId="7" xfId="2" applyNumberFormat="1" applyFont="1" applyBorder="1" applyAlignment="1">
      <alignment horizontal="center" vertical="center"/>
    </xf>
    <xf numFmtId="178" fontId="12" fillId="0" borderId="8" xfId="2" applyNumberFormat="1" applyFont="1" applyBorder="1" applyAlignment="1">
      <alignment horizontal="center" vertical="center"/>
    </xf>
    <xf numFmtId="178" fontId="12" fillId="0" borderId="0" xfId="2" applyNumberFormat="1" applyFont="1" applyAlignment="1">
      <alignment horizontal="center" vertical="center"/>
    </xf>
    <xf numFmtId="178" fontId="12" fillId="3" borderId="8" xfId="2" applyNumberFormat="1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0" borderId="11" xfId="2" applyNumberFormat="1" applyFont="1" applyBorder="1" applyAlignment="1">
      <alignment horizontal="center" vertical="center"/>
    </xf>
    <xf numFmtId="178" fontId="12" fillId="4" borderId="12" xfId="2" applyNumberFormat="1" applyFont="1" applyFill="1" applyBorder="1" applyAlignment="1">
      <alignment horizontal="center" vertical="center"/>
    </xf>
    <xf numFmtId="178" fontId="12" fillId="5" borderId="12" xfId="2" applyNumberFormat="1" applyFont="1" applyFill="1" applyBorder="1" applyAlignment="1">
      <alignment horizontal="center" vertical="center"/>
    </xf>
    <xf numFmtId="177" fontId="13" fillId="0" borderId="9" xfId="2" applyNumberFormat="1" applyFont="1" applyBorder="1" applyAlignment="1">
      <alignment horizontal="left" vertical="center"/>
    </xf>
    <xf numFmtId="177" fontId="14" fillId="0" borderId="3" xfId="2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77" fontId="14" fillId="3" borderId="20" xfId="0" applyNumberFormat="1" applyFont="1" applyFill="1" applyBorder="1" applyAlignment="1">
      <alignment horizontal="center" vertical="center"/>
    </xf>
    <xf numFmtId="177" fontId="14" fillId="3" borderId="3" xfId="0" applyNumberFormat="1" applyFont="1" applyFill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 vertical="center"/>
    </xf>
    <xf numFmtId="178" fontId="14" fillId="9" borderId="3" xfId="1" applyNumberFormat="1" applyFont="1" applyFill="1" applyBorder="1" applyAlignment="1">
      <alignment horizontal="center" vertical="center"/>
    </xf>
    <xf numFmtId="38" fontId="15" fillId="0" borderId="0" xfId="2" applyNumberFormat="1" applyFont="1" applyAlignment="1">
      <alignment horizontal="center" vertical="center"/>
    </xf>
    <xf numFmtId="177" fontId="14" fillId="9" borderId="3" xfId="0" applyNumberFormat="1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178" fontId="12" fillId="0" borderId="22" xfId="0" applyNumberFormat="1" applyFont="1" applyBorder="1" applyAlignment="1">
      <alignment horizontal="center" vertical="center"/>
    </xf>
    <xf numFmtId="178" fontId="12" fillId="0" borderId="22" xfId="1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77" fontId="7" fillId="3" borderId="23" xfId="0" applyNumberFormat="1" applyFont="1" applyFill="1" applyBorder="1" applyAlignment="1">
      <alignment horizontal="center" vertical="center"/>
    </xf>
    <xf numFmtId="177" fontId="7" fillId="3" borderId="24" xfId="0" applyNumberFormat="1" applyFont="1" applyFill="1" applyBorder="1" applyAlignment="1">
      <alignment horizontal="center" vertical="center"/>
    </xf>
    <xf numFmtId="177" fontId="7" fillId="3" borderId="25" xfId="0" applyNumberFormat="1" applyFont="1" applyFill="1" applyBorder="1" applyAlignment="1">
      <alignment horizontal="center" vertical="center"/>
    </xf>
    <xf numFmtId="177" fontId="7" fillId="6" borderId="23" xfId="0" applyNumberFormat="1" applyFont="1" applyFill="1" applyBorder="1" applyAlignment="1">
      <alignment horizontal="center" vertical="center"/>
    </xf>
    <xf numFmtId="177" fontId="7" fillId="6" borderId="24" xfId="0" applyNumberFormat="1" applyFont="1" applyFill="1" applyBorder="1" applyAlignment="1">
      <alignment horizontal="center" vertical="center"/>
    </xf>
    <xf numFmtId="177" fontId="7" fillId="6" borderId="25" xfId="0" applyNumberFormat="1" applyFont="1" applyFill="1" applyBorder="1" applyAlignment="1">
      <alignment horizontal="center" vertical="center"/>
    </xf>
    <xf numFmtId="179" fontId="14" fillId="0" borderId="3" xfId="0" applyNumberFormat="1" applyFont="1" applyBorder="1" applyAlignment="1">
      <alignment horizontal="center" vertical="center"/>
    </xf>
    <xf numFmtId="179" fontId="14" fillId="9" borderId="3" xfId="1" applyNumberFormat="1" applyFont="1" applyFill="1" applyBorder="1" applyAlignment="1">
      <alignment horizontal="center" vertical="center"/>
    </xf>
    <xf numFmtId="178" fontId="12" fillId="3" borderId="14" xfId="0" applyNumberFormat="1" applyFont="1" applyFill="1" applyBorder="1" applyAlignment="1">
      <alignment horizontal="center" vertical="center"/>
    </xf>
    <xf numFmtId="178" fontId="12" fillId="3" borderId="27" xfId="0" applyNumberFormat="1" applyFont="1" applyFill="1" applyBorder="1" applyAlignment="1">
      <alignment horizontal="center" vertical="center"/>
    </xf>
    <xf numFmtId="178" fontId="12" fillId="3" borderId="16" xfId="0" applyNumberFormat="1" applyFont="1" applyFill="1" applyBorder="1" applyAlignment="1">
      <alignment horizontal="center" vertical="center"/>
    </xf>
    <xf numFmtId="178" fontId="12" fillId="3" borderId="28" xfId="0" applyNumberFormat="1" applyFont="1" applyFill="1" applyBorder="1" applyAlignment="1">
      <alignment horizontal="center" vertical="center"/>
    </xf>
    <xf numFmtId="178" fontId="12" fillId="3" borderId="29" xfId="0" applyNumberFormat="1" applyFont="1" applyFill="1" applyBorder="1" applyAlignment="1">
      <alignment horizontal="center" vertical="center"/>
    </xf>
    <xf numFmtId="178" fontId="12" fillId="3" borderId="7" xfId="0" applyNumberFormat="1" applyFont="1" applyFill="1" applyBorder="1" applyAlignment="1">
      <alignment horizontal="center" vertical="center"/>
    </xf>
    <xf numFmtId="178" fontId="12" fillId="6" borderId="16" xfId="0" applyNumberFormat="1" applyFont="1" applyFill="1" applyBorder="1" applyAlignment="1">
      <alignment horizontal="center" vertical="center"/>
    </xf>
    <xf numFmtId="178" fontId="12" fillId="6" borderId="29" xfId="0" applyNumberFormat="1" applyFont="1" applyFill="1" applyBorder="1" applyAlignment="1">
      <alignment horizontal="center" vertical="center"/>
    </xf>
    <xf numFmtId="38" fontId="8" fillId="0" borderId="0" xfId="0" applyNumberFormat="1" applyFont="1" applyAlignment="1">
      <alignment horizontal="center" vertical="center"/>
    </xf>
    <xf numFmtId="178" fontId="12" fillId="5" borderId="11" xfId="0" applyNumberFormat="1" applyFont="1" applyFill="1" applyBorder="1" applyAlignment="1">
      <alignment horizontal="center" vertical="center"/>
    </xf>
    <xf numFmtId="177" fontId="7" fillId="0" borderId="3" xfId="0" applyNumberFormat="1" applyFont="1" applyBorder="1" applyAlignment="1">
      <alignment horizontal="left" vertical="center"/>
    </xf>
    <xf numFmtId="178" fontId="12" fillId="0" borderId="1" xfId="0" applyNumberFormat="1" applyFont="1" applyBorder="1" applyAlignment="1">
      <alignment horizontal="center" vertical="center"/>
    </xf>
    <xf numFmtId="178" fontId="12" fillId="0" borderId="30" xfId="0" applyNumberFormat="1" applyFont="1" applyBorder="1" applyAlignment="1">
      <alignment horizontal="center" vertical="center"/>
    </xf>
    <xf numFmtId="178" fontId="12" fillId="0" borderId="2" xfId="0" applyNumberFormat="1" applyFont="1" applyBorder="1" applyAlignment="1">
      <alignment horizontal="center" vertical="center"/>
    </xf>
    <xf numFmtId="178" fontId="12" fillId="0" borderId="31" xfId="0" applyNumberFormat="1" applyFont="1" applyBorder="1" applyAlignment="1">
      <alignment horizontal="center" vertical="center"/>
    </xf>
    <xf numFmtId="178" fontId="12" fillId="3" borderId="9" xfId="0" applyNumberFormat="1" applyFont="1" applyFill="1" applyBorder="1" applyAlignment="1">
      <alignment horizontal="center" vertical="center"/>
    </xf>
    <xf numFmtId="0" fontId="12" fillId="14" borderId="0" xfId="2" applyFont="1" applyFill="1" applyAlignment="1">
      <alignment horizontal="center" vertical="center"/>
    </xf>
    <xf numFmtId="178" fontId="12" fillId="4" borderId="12" xfId="0" applyNumberFormat="1" applyFont="1" applyFill="1" applyBorder="1" applyAlignment="1">
      <alignment horizontal="center" vertical="center"/>
    </xf>
    <xf numFmtId="178" fontId="12" fillId="5" borderId="10" xfId="2" applyNumberFormat="1" applyFont="1" applyFill="1" applyBorder="1" applyAlignment="1">
      <alignment horizontal="center" vertical="center"/>
    </xf>
    <xf numFmtId="178" fontId="12" fillId="0" borderId="32" xfId="0" applyNumberFormat="1" applyFont="1" applyBorder="1" applyAlignment="1">
      <alignment horizontal="center" vertical="center"/>
    </xf>
    <xf numFmtId="178" fontId="12" fillId="0" borderId="33" xfId="0" applyNumberFormat="1" applyFont="1" applyBorder="1" applyAlignment="1">
      <alignment horizontal="center" vertical="center"/>
    </xf>
    <xf numFmtId="178" fontId="12" fillId="0" borderId="34" xfId="0" applyNumberFormat="1" applyFont="1" applyBorder="1" applyAlignment="1">
      <alignment horizontal="center" vertical="center"/>
    </xf>
    <xf numFmtId="177" fontId="7" fillId="0" borderId="3" xfId="0" applyNumberFormat="1" applyFont="1" applyBorder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0" fontId="12" fillId="3" borderId="0" xfId="0" applyFont="1" applyFill="1">
      <alignment vertical="center"/>
    </xf>
    <xf numFmtId="38" fontId="12" fillId="3" borderId="0" xfId="0" applyNumberFormat="1" applyFont="1" applyFill="1">
      <alignment vertical="center"/>
    </xf>
    <xf numFmtId="178" fontId="12" fillId="6" borderId="14" xfId="0" applyNumberFormat="1" applyFont="1" applyFill="1" applyBorder="1">
      <alignment vertical="center"/>
    </xf>
    <xf numFmtId="178" fontId="12" fillId="6" borderId="27" xfId="0" applyNumberFormat="1" applyFont="1" applyFill="1" applyBorder="1">
      <alignment vertical="center"/>
    </xf>
    <xf numFmtId="0" fontId="12" fillId="6" borderId="0" xfId="0" applyFont="1" applyFill="1">
      <alignment vertical="center"/>
    </xf>
    <xf numFmtId="178" fontId="12" fillId="6" borderId="16" xfId="0" applyNumberFormat="1" applyFont="1" applyFill="1" applyBorder="1">
      <alignment vertical="center"/>
    </xf>
    <xf numFmtId="178" fontId="12" fillId="6" borderId="28" xfId="0" applyNumberFormat="1" applyFont="1" applyFill="1" applyBorder="1">
      <alignment vertical="center"/>
    </xf>
    <xf numFmtId="177" fontId="7" fillId="3" borderId="3" xfId="0" applyNumberFormat="1" applyFont="1" applyFill="1" applyBorder="1" applyAlignment="1">
      <alignment horizontal="center" vertical="center"/>
    </xf>
    <xf numFmtId="49" fontId="13" fillId="15" borderId="0" xfId="0" applyNumberFormat="1" applyFont="1" applyFill="1" applyAlignment="1">
      <alignment horizontal="left" vertical="center"/>
    </xf>
    <xf numFmtId="178" fontId="12" fillId="4" borderId="0" xfId="0" applyNumberFormat="1" applyFont="1" applyFill="1" applyAlignment="1">
      <alignment horizontal="center" vertical="center"/>
    </xf>
    <xf numFmtId="177" fontId="7" fillId="0" borderId="9" xfId="0" applyNumberFormat="1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78" fontId="8" fillId="0" borderId="8" xfId="0" applyNumberFormat="1" applyFont="1" applyBorder="1" applyAlignment="1">
      <alignment horizontal="center" vertical="center"/>
    </xf>
    <xf numFmtId="177" fontId="7" fillId="3" borderId="19" xfId="0" applyNumberFormat="1" applyFont="1" applyFill="1" applyBorder="1" applyAlignment="1">
      <alignment horizontal="center" vertical="center"/>
    </xf>
    <xf numFmtId="178" fontId="12" fillId="3" borderId="21" xfId="0" applyNumberFormat="1" applyFont="1" applyFill="1" applyBorder="1" applyAlignment="1">
      <alignment horizontal="center" vertical="center"/>
    </xf>
    <xf numFmtId="177" fontId="7" fillId="3" borderId="17" xfId="0" applyNumberFormat="1" applyFont="1" applyFill="1" applyBorder="1" applyAlignment="1">
      <alignment horizontal="center" vertical="center"/>
    </xf>
    <xf numFmtId="177" fontId="7" fillId="3" borderId="40" xfId="0" applyNumberFormat="1" applyFont="1" applyFill="1" applyBorder="1" applyAlignment="1">
      <alignment horizontal="center" vertical="center"/>
    </xf>
    <xf numFmtId="177" fontId="7" fillId="6" borderId="19" xfId="0" applyNumberFormat="1" applyFont="1" applyFill="1" applyBorder="1" applyAlignment="1">
      <alignment horizontal="center" vertical="center"/>
    </xf>
    <xf numFmtId="177" fontId="7" fillId="6" borderId="17" xfId="0" applyNumberFormat="1" applyFont="1" applyFill="1" applyBorder="1" applyAlignment="1">
      <alignment horizontal="center" vertical="center"/>
    </xf>
    <xf numFmtId="177" fontId="7" fillId="6" borderId="18" xfId="0" applyNumberFormat="1" applyFont="1" applyFill="1" applyBorder="1" applyAlignment="1">
      <alignment horizontal="center" vertical="center"/>
    </xf>
    <xf numFmtId="178" fontId="12" fillId="0" borderId="26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38" fontId="18" fillId="0" borderId="0" xfId="0" applyNumberFormat="1" applyFont="1">
      <alignment vertical="center"/>
    </xf>
    <xf numFmtId="178" fontId="12" fillId="5" borderId="12" xfId="0" applyNumberFormat="1" applyFont="1" applyFill="1" applyBorder="1" applyAlignment="1">
      <alignment horizontal="center" vertical="center"/>
    </xf>
    <xf numFmtId="178" fontId="12" fillId="16" borderId="0" xfId="0" applyNumberFormat="1" applyFont="1" applyFill="1" applyAlignment="1">
      <alignment horizontal="center" vertical="center"/>
    </xf>
    <xf numFmtId="178" fontId="12" fillId="17" borderId="0" xfId="0" applyNumberFormat="1" applyFont="1" applyFill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178" fontId="12" fillId="18" borderId="0" xfId="0" applyNumberFormat="1" applyFont="1" applyFill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18" fillId="0" borderId="0" xfId="0" applyNumberFormat="1" applyFont="1">
      <alignment vertical="center"/>
    </xf>
    <xf numFmtId="178" fontId="12" fillId="0" borderId="21" xfId="2" applyNumberFormat="1" applyFont="1" applyBorder="1" applyAlignment="1">
      <alignment horizontal="center" vertical="center"/>
    </xf>
    <xf numFmtId="38" fontId="8" fillId="3" borderId="0" xfId="0" applyNumberFormat="1" applyFont="1" applyFill="1">
      <alignment vertical="center"/>
    </xf>
    <xf numFmtId="38" fontId="8" fillId="6" borderId="0" xfId="0" applyNumberFormat="1" applyFont="1" applyFill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>
      <alignment vertical="center"/>
    </xf>
    <xf numFmtId="178" fontId="8" fillId="0" borderId="13" xfId="1" applyNumberFormat="1" applyFont="1" applyBorder="1" applyAlignment="1">
      <alignment horizontal="center" vertical="center"/>
    </xf>
    <xf numFmtId="177" fontId="14" fillId="0" borderId="4" xfId="2" applyNumberFormat="1" applyFont="1" applyBorder="1">
      <alignment vertical="center"/>
    </xf>
    <xf numFmtId="177" fontId="14" fillId="0" borderId="5" xfId="2" applyNumberFormat="1" applyFont="1" applyBorder="1">
      <alignment vertical="center"/>
    </xf>
    <xf numFmtId="177" fontId="7" fillId="0" borderId="3" xfId="0" applyNumberFormat="1" applyFont="1" applyBorder="1">
      <alignment vertical="center"/>
    </xf>
    <xf numFmtId="177" fontId="10" fillId="0" borderId="3" xfId="0" applyNumberFormat="1" applyFont="1" applyBorder="1" applyAlignment="1">
      <alignment horizontal="center" vertical="center"/>
    </xf>
    <xf numFmtId="180" fontId="20" fillId="0" borderId="3" xfId="5" applyNumberFormat="1" applyFont="1" applyFill="1" applyBorder="1">
      <alignment vertical="center"/>
    </xf>
    <xf numFmtId="180" fontId="11" fillId="3" borderId="3" xfId="5" applyNumberFormat="1" applyFont="1" applyFill="1" applyBorder="1" applyAlignment="1">
      <alignment horizontal="center" vertical="center"/>
    </xf>
    <xf numFmtId="181" fontId="10" fillId="0" borderId="3" xfId="0" applyNumberFormat="1" applyFont="1" applyBorder="1" applyAlignment="1">
      <alignment horizontal="left" vertical="center"/>
    </xf>
    <xf numFmtId="177" fontId="10" fillId="11" borderId="3" xfId="0" applyNumberFormat="1" applyFont="1" applyFill="1" applyBorder="1" applyAlignment="1">
      <alignment horizontal="left" vertical="center"/>
    </xf>
    <xf numFmtId="177" fontId="10" fillId="11" borderId="3" xfId="0" applyNumberFormat="1" applyFont="1" applyFill="1" applyBorder="1" applyAlignment="1">
      <alignment horizontal="center" vertical="center"/>
    </xf>
    <xf numFmtId="177" fontId="10" fillId="0" borderId="3" xfId="2" applyNumberFormat="1" applyFont="1" applyBorder="1" applyAlignment="1">
      <alignment horizontal="center" vertical="center"/>
    </xf>
    <xf numFmtId="177" fontId="10" fillId="11" borderId="3" xfId="2" applyNumberFormat="1" applyFont="1" applyFill="1" applyBorder="1" applyAlignment="1">
      <alignment horizontal="left" vertical="center"/>
    </xf>
    <xf numFmtId="177" fontId="10" fillId="11" borderId="3" xfId="2" applyNumberFormat="1" applyFont="1" applyFill="1" applyBorder="1" applyAlignment="1">
      <alignment horizontal="center" vertical="center"/>
    </xf>
    <xf numFmtId="177" fontId="10" fillId="11" borderId="3" xfId="0" applyNumberFormat="1" applyFont="1" applyFill="1" applyBorder="1" applyAlignment="1">
      <alignment horizontal="left" vertical="center" wrapText="1"/>
    </xf>
    <xf numFmtId="177" fontId="10" fillId="3" borderId="3" xfId="0" applyNumberFormat="1" applyFont="1" applyFill="1" applyBorder="1" applyAlignment="1">
      <alignment horizontal="center" vertical="center"/>
    </xf>
    <xf numFmtId="177" fontId="10" fillId="6" borderId="3" xfId="0" applyNumberFormat="1" applyFont="1" applyFill="1" applyBorder="1" applyAlignment="1">
      <alignment horizontal="center" vertical="center"/>
    </xf>
    <xf numFmtId="178" fontId="11" fillId="6" borderId="3" xfId="0" applyNumberFormat="1" applyFont="1" applyFill="1" applyBorder="1">
      <alignment vertical="center"/>
    </xf>
    <xf numFmtId="178" fontId="21" fillId="6" borderId="3" xfId="0" applyNumberFormat="1" applyFont="1" applyFill="1" applyBorder="1">
      <alignment vertical="center"/>
    </xf>
    <xf numFmtId="178" fontId="10" fillId="6" borderId="3" xfId="0" applyNumberFormat="1" applyFont="1" applyFill="1" applyBorder="1">
      <alignment vertical="center"/>
    </xf>
    <xf numFmtId="0" fontId="20" fillId="0" borderId="0" xfId="0" applyFont="1">
      <alignment vertical="center"/>
    </xf>
    <xf numFmtId="177" fontId="13" fillId="20" borderId="15" xfId="0" applyNumberFormat="1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177" fontId="13" fillId="20" borderId="43" xfId="0" applyNumberFormat="1" applyFont="1" applyFill="1" applyBorder="1" applyAlignment="1">
      <alignment vertical="center" wrapText="1"/>
    </xf>
    <xf numFmtId="181" fontId="23" fillId="20" borderId="15" xfId="0" applyNumberFormat="1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2" fontId="0" fillId="0" borderId="15" xfId="0" applyNumberFormat="1" applyBorder="1">
      <alignment vertical="center"/>
    </xf>
    <xf numFmtId="177" fontId="7" fillId="0" borderId="4" xfId="0" applyNumberFormat="1" applyFont="1" applyBorder="1">
      <alignment vertical="center"/>
    </xf>
    <xf numFmtId="177" fontId="7" fillId="0" borderId="5" xfId="0" applyNumberFormat="1" applyFont="1" applyBorder="1">
      <alignment vertical="center"/>
    </xf>
    <xf numFmtId="177" fontId="10" fillId="0" borderId="3" xfId="0" applyNumberFormat="1" applyFont="1" applyBorder="1" applyAlignment="1">
      <alignment horizontal="left" vertical="center"/>
    </xf>
    <xf numFmtId="177" fontId="14" fillId="9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177" fontId="7" fillId="2" borderId="3" xfId="0" applyNumberFormat="1" applyFont="1" applyFill="1" applyBorder="1" applyAlignment="1">
      <alignment horizontal="center" vertical="center"/>
    </xf>
    <xf numFmtId="177" fontId="10" fillId="0" borderId="3" xfId="2" applyNumberFormat="1" applyFont="1" applyBorder="1" applyAlignment="1">
      <alignment horizontal="left" vertical="center"/>
    </xf>
    <xf numFmtId="177" fontId="10" fillId="19" borderId="3" xfId="0" applyNumberFormat="1" applyFont="1" applyFill="1" applyBorder="1" applyAlignment="1">
      <alignment horizontal="left" vertical="center"/>
    </xf>
    <xf numFmtId="177" fontId="22" fillId="3" borderId="3" xfId="0" applyNumberFormat="1" applyFont="1" applyFill="1" applyBorder="1" applyAlignment="1">
      <alignment horizontal="left" vertical="center"/>
    </xf>
    <xf numFmtId="177" fontId="22" fillId="6" borderId="3" xfId="0" applyNumberFormat="1" applyFont="1" applyFill="1" applyBorder="1" applyAlignment="1">
      <alignment horizontal="left" vertical="center"/>
    </xf>
    <xf numFmtId="177" fontId="13" fillId="20" borderId="15" xfId="0" applyNumberFormat="1" applyFont="1" applyFill="1" applyBorder="1" applyAlignment="1">
      <alignment horizontal="center" vertical="center" wrapText="1"/>
    </xf>
    <xf numFmtId="177" fontId="13" fillId="20" borderId="42" xfId="0" applyNumberFormat="1" applyFont="1" applyFill="1" applyBorder="1" applyAlignment="1">
      <alignment horizontal="center" vertical="center" wrapText="1"/>
    </xf>
    <xf numFmtId="177" fontId="13" fillId="20" borderId="43" xfId="0" applyNumberFormat="1" applyFont="1" applyFill="1" applyBorder="1" applyAlignment="1">
      <alignment horizontal="center" vertical="center" wrapText="1"/>
    </xf>
    <xf numFmtId="177" fontId="13" fillId="20" borderId="17" xfId="0" applyNumberFormat="1" applyFont="1" applyFill="1" applyBorder="1" applyAlignment="1">
      <alignment horizontal="center" vertical="center" wrapText="1"/>
    </xf>
    <xf numFmtId="177" fontId="13" fillId="20" borderId="28" xfId="0" applyNumberFormat="1" applyFont="1" applyFill="1" applyBorder="1" applyAlignment="1">
      <alignment horizontal="center" vertical="center" wrapText="1"/>
    </xf>
    <xf numFmtId="177" fontId="13" fillId="20" borderId="20" xfId="0" applyNumberFormat="1" applyFont="1" applyFill="1" applyBorder="1" applyAlignment="1">
      <alignment horizontal="center" vertical="center" wrapText="1"/>
    </xf>
    <xf numFmtId="177" fontId="16" fillId="6" borderId="35" xfId="0" applyNumberFormat="1" applyFont="1" applyFill="1" applyBorder="1" applyAlignment="1">
      <alignment horizontal="left" vertical="center"/>
    </xf>
    <xf numFmtId="177" fontId="16" fillId="6" borderId="36" xfId="0" applyNumberFormat="1" applyFont="1" applyFill="1" applyBorder="1" applyAlignment="1">
      <alignment horizontal="left" vertical="center"/>
    </xf>
    <xf numFmtId="177" fontId="16" fillId="6" borderId="37" xfId="0" applyNumberFormat="1" applyFont="1" applyFill="1" applyBorder="1" applyAlignment="1">
      <alignment horizontal="left" vertical="center"/>
    </xf>
    <xf numFmtId="177" fontId="13" fillId="8" borderId="6" xfId="2" applyNumberFormat="1" applyFont="1" applyFill="1" applyBorder="1" applyAlignment="1">
      <alignment horizontal="left" vertical="center"/>
    </xf>
    <xf numFmtId="177" fontId="13" fillId="8" borderId="9" xfId="2" applyNumberFormat="1" applyFont="1" applyFill="1" applyBorder="1" applyAlignment="1">
      <alignment horizontal="left" vertical="center"/>
    </xf>
    <xf numFmtId="177" fontId="13" fillId="8" borderId="10" xfId="2" applyNumberFormat="1" applyFont="1" applyFill="1" applyBorder="1" applyAlignment="1">
      <alignment horizontal="left" vertical="center"/>
    </xf>
    <xf numFmtId="177" fontId="7" fillId="13" borderId="21" xfId="0" applyNumberFormat="1" applyFont="1" applyFill="1" applyBorder="1" applyAlignment="1">
      <alignment horizontal="left" vertical="center"/>
    </xf>
    <xf numFmtId="177" fontId="7" fillId="13" borderId="8" xfId="0" applyNumberFormat="1" applyFont="1" applyFill="1" applyBorder="1" applyAlignment="1">
      <alignment horizontal="left" vertical="center"/>
    </xf>
    <xf numFmtId="177" fontId="7" fillId="13" borderId="26" xfId="0" applyNumberFormat="1" applyFont="1" applyFill="1" applyBorder="1" applyAlignment="1">
      <alignment horizontal="left" vertical="center"/>
    </xf>
    <xf numFmtId="177" fontId="14" fillId="2" borderId="1" xfId="2" applyNumberFormat="1" applyFont="1" applyFill="1" applyBorder="1" applyAlignment="1">
      <alignment horizontal="center" vertical="center"/>
    </xf>
    <xf numFmtId="177" fontId="14" fillId="2" borderId="2" xfId="2" applyNumberFormat="1" applyFont="1" applyFill="1" applyBorder="1" applyAlignment="1">
      <alignment horizontal="center" vertical="center"/>
    </xf>
    <xf numFmtId="177" fontId="13" fillId="8" borderId="1" xfId="2" applyNumberFormat="1" applyFont="1" applyFill="1" applyBorder="1" applyAlignment="1">
      <alignment horizontal="left" vertical="center"/>
    </xf>
    <xf numFmtId="177" fontId="16" fillId="3" borderId="35" xfId="0" applyNumberFormat="1" applyFont="1" applyFill="1" applyBorder="1" applyAlignment="1">
      <alignment horizontal="left" vertical="center"/>
    </xf>
    <xf numFmtId="177" fontId="16" fillId="3" borderId="36" xfId="0" applyNumberFormat="1" applyFont="1" applyFill="1" applyBorder="1" applyAlignment="1">
      <alignment horizontal="left" vertical="center"/>
    </xf>
    <xf numFmtId="177" fontId="16" fillId="3" borderId="37" xfId="0" applyNumberFormat="1" applyFont="1" applyFill="1" applyBorder="1" applyAlignment="1">
      <alignment horizontal="left" vertical="center"/>
    </xf>
    <xf numFmtId="177" fontId="7" fillId="8" borderId="6" xfId="0" applyNumberFormat="1" applyFont="1" applyFill="1" applyBorder="1" applyAlignment="1">
      <alignment horizontal="left" vertical="center"/>
    </xf>
    <xf numFmtId="177" fontId="7" fillId="8" borderId="9" xfId="0" applyNumberFormat="1" applyFont="1" applyFill="1" applyBorder="1" applyAlignment="1">
      <alignment horizontal="left" vertical="center"/>
    </xf>
    <xf numFmtId="177" fontId="7" fillId="8" borderId="10" xfId="0" applyNumberFormat="1" applyFont="1" applyFill="1" applyBorder="1" applyAlignment="1">
      <alignment horizontal="left" vertical="center"/>
    </xf>
    <xf numFmtId="177" fontId="7" fillId="2" borderId="1" xfId="0" applyNumberFormat="1" applyFont="1" applyFill="1" applyBorder="1" applyAlignment="1">
      <alignment horizontal="center" vertical="center"/>
    </xf>
    <xf numFmtId="177" fontId="7" fillId="2" borderId="2" xfId="0" applyNumberFormat="1" applyFont="1" applyFill="1" applyBorder="1" applyAlignment="1">
      <alignment horizontal="center" vertical="center"/>
    </xf>
    <xf numFmtId="177" fontId="9" fillId="3" borderId="38" xfId="0" applyNumberFormat="1" applyFont="1" applyFill="1" applyBorder="1" applyAlignment="1">
      <alignment horizontal="left" vertical="center"/>
    </xf>
    <xf numFmtId="177" fontId="9" fillId="3" borderId="29" xfId="0" applyNumberFormat="1" applyFont="1" applyFill="1" applyBorder="1" applyAlignment="1">
      <alignment horizontal="left" vertical="center"/>
    </xf>
    <xf numFmtId="177" fontId="9" fillId="3" borderId="39" xfId="0" applyNumberFormat="1" applyFont="1" applyFill="1" applyBorder="1" applyAlignment="1">
      <alignment horizontal="left" vertical="center"/>
    </xf>
    <xf numFmtId="177" fontId="9" fillId="6" borderId="38" xfId="0" applyNumberFormat="1" applyFont="1" applyFill="1" applyBorder="1" applyAlignment="1">
      <alignment horizontal="left" vertical="center"/>
    </xf>
    <xf numFmtId="177" fontId="9" fillId="6" borderId="29" xfId="0" applyNumberFormat="1" applyFont="1" applyFill="1" applyBorder="1" applyAlignment="1">
      <alignment horizontal="left" vertical="center"/>
    </xf>
    <xf numFmtId="177" fontId="9" fillId="6" borderId="41" xfId="0" applyNumberFormat="1" applyFont="1" applyFill="1" applyBorder="1" applyAlignment="1">
      <alignment horizontal="left" vertical="center"/>
    </xf>
    <xf numFmtId="177" fontId="7" fillId="7" borderId="6" xfId="0" applyNumberFormat="1" applyFont="1" applyFill="1" applyBorder="1" applyAlignment="1">
      <alignment horizontal="left" vertical="center"/>
    </xf>
    <xf numFmtId="177" fontId="7" fillId="7" borderId="9" xfId="0" applyNumberFormat="1" applyFont="1" applyFill="1" applyBorder="1" applyAlignment="1">
      <alignment horizontal="left" vertical="center"/>
    </xf>
    <xf numFmtId="177" fontId="7" fillId="7" borderId="10" xfId="0" applyNumberFormat="1" applyFont="1" applyFill="1" applyBorder="1" applyAlignment="1">
      <alignment horizontal="left" vertical="center"/>
    </xf>
  </cellXfs>
  <cellStyles count="6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  <cellStyle name="千位分隔" xfId="5" builtinId="3"/>
  </cellStyles>
  <dxfs count="391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yuyia/Desktop/Team%20DS%20&#23439;/Basic%20Memor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Work/Joyce%202022%2001/Team/DS/2023/0710%20DS%20te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"/>
    </sheetNames>
    <sheetDataSet>
      <sheetData sheetId="0">
        <row r="1">
          <cell r="B1" t="str">
            <v>SPEC</v>
          </cell>
          <cell r="C1" t="str">
            <v>Supplier</v>
          </cell>
          <cell r="D1" t="str">
            <v>Supplier PN</v>
          </cell>
          <cell r="E1" t="str">
            <v>Remark</v>
          </cell>
          <cell r="F1" t="str">
            <v>Middle Group</v>
          </cell>
        </row>
        <row r="2">
          <cell r="B2" t="str">
            <v>Memory 16GB DDR5 5600 onboard</v>
          </cell>
          <cell r="C2" t="str">
            <v>Hynix SG</v>
          </cell>
          <cell r="D2" t="str">
            <v>H5CG48AGBDX018</v>
          </cell>
          <cell r="E2" t="str">
            <v>1anm/16Gb SDP/82ball</v>
          </cell>
          <cell r="F2" t="str">
            <v>D5 ob</v>
          </cell>
        </row>
        <row r="3">
          <cell r="B3" t="str">
            <v>Memory 16GB DDR5 5600 onboard</v>
          </cell>
          <cell r="C3" t="str">
            <v>Samsung</v>
          </cell>
          <cell r="D3" t="str">
            <v>K4RAH086VD-BCWM</v>
          </cell>
          <cell r="E3" t="str">
            <v>1anm 16Gb SDP/82ball</v>
          </cell>
          <cell r="F3" t="str">
            <v>D5 ob</v>
          </cell>
        </row>
        <row r="4">
          <cell r="B4" t="str">
            <v>Memory 6Memory 4GB LPDDR5x 496B 7500 onboard</v>
          </cell>
          <cell r="C4" t="str">
            <v>Hynix SG</v>
          </cell>
          <cell r="D4" t="str">
            <v>H58G66BK7HX096</v>
          </cell>
          <cell r="E4" t="str">
            <v>1anm 16Gb QDP</v>
          </cell>
          <cell r="F4" t="str">
            <v>LP5/5X</v>
          </cell>
        </row>
        <row r="5">
          <cell r="B5" t="str">
            <v>Memory 6Memory 4GB LPDDR5x 496B 7500 onboard</v>
          </cell>
          <cell r="C5" t="str">
            <v>Samsung</v>
          </cell>
          <cell r="D5" t="str">
            <v>K3KL3L30CM-BGCT</v>
          </cell>
          <cell r="E5" t="str">
            <v>1anm/16Gb QDP</v>
          </cell>
          <cell r="F5" t="str">
            <v>LP5/5X</v>
          </cell>
        </row>
        <row r="6">
          <cell r="B6" t="str">
            <v>Memory 12Memory 8GB LPDDR5X 315B 7500 onboard</v>
          </cell>
          <cell r="C6" t="str">
            <v>Samsung</v>
          </cell>
          <cell r="D6" t="str">
            <v>K3KLALA0CM-MGCT</v>
          </cell>
          <cell r="E6" t="str">
            <v>1anm/16Gb ODP</v>
          </cell>
          <cell r="F6" t="str">
            <v>LP5/5X</v>
          </cell>
        </row>
        <row r="7">
          <cell r="B7" t="str">
            <v>Memory 12Memory 8GB LPDDR5X 315B 7500 onboard</v>
          </cell>
          <cell r="C7" t="str">
            <v>Micron</v>
          </cell>
          <cell r="D7" t="str">
            <v>MT62F4G32D8DV-026 WT:B</v>
          </cell>
          <cell r="E7" t="str">
            <v>Y42M/1anm/16Gb 8DP</v>
          </cell>
          <cell r="F7" t="str">
            <v>LP5/5X</v>
          </cell>
        </row>
        <row r="8">
          <cell r="B8" t="str">
            <v>Memory 6Memory 4GB LPDDR5x 315B 7500 onboard</v>
          </cell>
          <cell r="C8" t="str">
            <v>Micron</v>
          </cell>
          <cell r="D8" t="str">
            <v>MT62F2G32D4DS-026 WT:B</v>
          </cell>
          <cell r="E8" t="str">
            <v>Y42M/1anm/16Gb QDP</v>
          </cell>
          <cell r="F8" t="str">
            <v>LP5/5X</v>
          </cell>
        </row>
        <row r="9">
          <cell r="B9" t="str">
            <v>Memory 6Memory 4GB LPDDR5x 315B 7500 onboard</v>
          </cell>
          <cell r="C9" t="str">
            <v>Samsung</v>
          </cell>
          <cell r="D9" t="str">
            <v>K3KL9L90CM-MGCT</v>
          </cell>
          <cell r="E9" t="str">
            <v>1anm/16Gb QDP</v>
          </cell>
          <cell r="F9" t="str">
            <v>LP5/5X</v>
          </cell>
        </row>
        <row r="10">
          <cell r="B10" t="str">
            <v>Memory 6Memory 4GB LPDDR5x 315B 7500 onboard</v>
          </cell>
          <cell r="C10" t="str">
            <v>Hynix SG</v>
          </cell>
          <cell r="D10" t="str">
            <v>H58G66BK7BX067</v>
          </cell>
          <cell r="E10" t="str">
            <v>1anm/16Gb QDP</v>
          </cell>
          <cell r="F10" t="str">
            <v>LP5/5X</v>
          </cell>
        </row>
        <row r="11">
          <cell r="B11" t="str">
            <v>Memory 32GB LPDDR5x 315B 7500 onboard</v>
          </cell>
          <cell r="C11" t="str">
            <v>Samsung</v>
          </cell>
          <cell r="D11" t="str">
            <v>K3KL8L80CM-MGCT</v>
          </cell>
          <cell r="E11" t="str">
            <v>1anm/16Gb DDP</v>
          </cell>
          <cell r="F11" t="str">
            <v>LP5/5X</v>
          </cell>
        </row>
        <row r="12">
          <cell r="B12" t="str">
            <v>Memory 32GB LPDDR5x 315B 7500 onboard</v>
          </cell>
          <cell r="C12" t="str">
            <v>Micron</v>
          </cell>
          <cell r="D12" t="str">
            <v>MT62F1G32D2DS-026 WT:B</v>
          </cell>
          <cell r="E12" t="str">
            <v>Y42M/1anm/16Gb DDP</v>
          </cell>
          <cell r="F12" t="str">
            <v>LP5/5X</v>
          </cell>
        </row>
        <row r="13">
          <cell r="B13" t="str">
            <v>Memory 32GB LPDDR5x 315B 7500 onboard</v>
          </cell>
          <cell r="C13" t="str">
            <v>Hynix SG</v>
          </cell>
          <cell r="D13" t="str">
            <v>H58G56BK7BX068</v>
          </cell>
          <cell r="E13" t="str">
            <v>1anm/16Gb DDP</v>
          </cell>
          <cell r="F13" t="str">
            <v>LP5/5X</v>
          </cell>
        </row>
        <row r="14">
          <cell r="B14" t="str">
            <v>Memory 16GB DDR4 3200 SODIMM G3</v>
          </cell>
          <cell r="C14" t="str">
            <v>Samsung</v>
          </cell>
          <cell r="D14" t="str">
            <v>M471A2G43BB2-CWE</v>
          </cell>
          <cell r="E14" t="str">
            <v>B die/1ynm /16Gb SDP</v>
          </cell>
          <cell r="F14" t="str">
            <v>D4 16GB</v>
          </cell>
        </row>
        <row r="15">
          <cell r="B15" t="str">
            <v>Memory 16GB DDR4 3200 SODIMM G3</v>
          </cell>
          <cell r="C15" t="str">
            <v>Ramaxel</v>
          </cell>
          <cell r="D15" t="str">
            <v>RMSA3340MF88HBF-3200</v>
          </cell>
          <cell r="E15" t="str">
            <v>Micron  F-die / Z42B / 16Gb x8 SDP</v>
          </cell>
          <cell r="F15" t="str">
            <v>D4 16GB</v>
          </cell>
        </row>
        <row r="16">
          <cell r="B16" t="str">
            <v>Memory 8GB DDR4 3200 SODIMM G3</v>
          </cell>
          <cell r="C16" t="str">
            <v>Samsung</v>
          </cell>
          <cell r="D16" t="str">
            <v>M471A1G44BB0-CWE</v>
          </cell>
          <cell r="E16" t="str">
            <v>B die/1ynm /16Gb SDP</v>
          </cell>
          <cell r="F16" t="str">
            <v>D4 8GB</v>
          </cell>
        </row>
        <row r="17">
          <cell r="B17" t="str">
            <v>Memory 8GB DDR4 3200 SODIMM G3</v>
          </cell>
          <cell r="C17" t="str">
            <v>Ramaxel</v>
          </cell>
          <cell r="D17" t="str">
            <v>RMSA3310MF96HAF-3200</v>
          </cell>
          <cell r="E17" t="str">
            <v>Micron  F-die / Z42B /16Gb x16 SDP</v>
          </cell>
          <cell r="F17" t="str">
            <v>D4 8GB</v>
          </cell>
        </row>
        <row r="18">
          <cell r="B18" t="str">
            <v>Memory 8GB DDR4 3200 SODIMM G3</v>
          </cell>
          <cell r="C18" t="str">
            <v>Hynix SG</v>
          </cell>
          <cell r="D18" t="str">
            <v>HMAA1GS6CJR6N-XNN0</v>
          </cell>
          <cell r="E18" t="str">
            <v>1znm/16Gb mono/C-die</v>
          </cell>
          <cell r="F18" t="str">
            <v>D4 8GB</v>
          </cell>
        </row>
        <row r="19">
          <cell r="B19" t="str">
            <v>Memory 16GB DDR4 3200 SODIMM G3</v>
          </cell>
          <cell r="C19" t="str">
            <v>Hynix SG</v>
          </cell>
          <cell r="D19" t="str">
            <v>HMAA2GS6CJR8N-XNN0</v>
          </cell>
          <cell r="E19" t="str">
            <v>1znm/16Gb mono/C-die</v>
          </cell>
          <cell r="F19" t="str">
            <v>D4 16GB</v>
          </cell>
        </row>
        <row r="20">
          <cell r="B20" t="str">
            <v>Memory 32GB DDR4 3200 SODIMM G3</v>
          </cell>
          <cell r="C20" t="str">
            <v>Samsung</v>
          </cell>
          <cell r="D20" t="str">
            <v>M471A4G43BB1-CWE</v>
          </cell>
          <cell r="E20" t="str">
            <v>B die/1ynm /16Gb SDP</v>
          </cell>
          <cell r="F20" t="str">
            <v>D4 32GB</v>
          </cell>
        </row>
        <row r="21">
          <cell r="B21" t="str">
            <v>Memory 8GB DDR5 4800 SODIMM</v>
          </cell>
          <cell r="C21" t="str">
            <v>Samsung</v>
          </cell>
          <cell r="D21" t="str">
            <v>M425R1GB4BB0-CQKOD</v>
          </cell>
          <cell r="E21" t="str">
            <v>B-die/1ynm/16Gbx16/SDP/Renesas</v>
          </cell>
          <cell r="F21" t="str">
            <v>D5 8GB</v>
          </cell>
        </row>
        <row r="22">
          <cell r="B22" t="str">
            <v>Memory 16GB DDR5 4800 SODIMM</v>
          </cell>
          <cell r="C22" t="str">
            <v>Samsung</v>
          </cell>
          <cell r="D22" t="str">
            <v>M425R2GA3BB0-CQKOD</v>
          </cell>
          <cell r="E22" t="str">
            <v>B-die/1ynm/16Gbx8/SDP/Renesas</v>
          </cell>
          <cell r="F22" t="str">
            <v>D5 16GB</v>
          </cell>
        </row>
        <row r="23">
          <cell r="B23" t="str">
            <v>Memory 16GB DDR5 4800 SODIMM</v>
          </cell>
          <cell r="C23" t="str">
            <v>Samsung</v>
          </cell>
          <cell r="D23" t="str">
            <v>M425R2GA3BB0-CQKOL</v>
          </cell>
          <cell r="E23" t="str">
            <v>B-die/1ynm/16Gbx8/SDP/S.LSI</v>
          </cell>
          <cell r="F23" t="str">
            <v>D5 16GB</v>
          </cell>
        </row>
        <row r="24">
          <cell r="B24" t="str">
            <v>Memory 32GB DDR5 4800 SODIMM</v>
          </cell>
          <cell r="C24" t="str">
            <v>Samsung</v>
          </cell>
          <cell r="D24" t="str">
            <v>M425R4GA3BB0-CQKOD</v>
          </cell>
          <cell r="E24" t="str">
            <v>B-die/1ynm/16Gbx8/SDP/Renesas</v>
          </cell>
          <cell r="F24" t="str">
            <v>D5 32GB</v>
          </cell>
        </row>
        <row r="25">
          <cell r="B25" t="str">
            <v>Memory 32GB DDR5 4800 SODIMM</v>
          </cell>
          <cell r="C25" t="str">
            <v>Samsung</v>
          </cell>
          <cell r="D25" t="str">
            <v>M425R4GA3BB0-CQKOL</v>
          </cell>
          <cell r="E25" t="str">
            <v>B-die/1ynm/16Gbx8/SDP/S.LSI</v>
          </cell>
          <cell r="F25" t="str">
            <v>D5 32GB</v>
          </cell>
        </row>
        <row r="26">
          <cell r="B26" t="str">
            <v>Memory 8GB DDR5 5600 SODIMM</v>
          </cell>
          <cell r="C26" t="str">
            <v>Hynix SG</v>
          </cell>
          <cell r="D26" t="str">
            <v>HMCG66AGBSA092N</v>
          </cell>
          <cell r="E26" t="str">
            <v>Hynix/A-Die/1anm/16Gbx16 SDP/Renesas</v>
          </cell>
          <cell r="F26" t="str">
            <v>D5 8GB</v>
          </cell>
        </row>
        <row r="27">
          <cell r="B27" t="str">
            <v>Memory 8GB DDR5 5600 SODIMM</v>
          </cell>
          <cell r="C27" t="str">
            <v>Samsung</v>
          </cell>
          <cell r="D27" t="str">
            <v>M425R1GB4BB0-CWMOD</v>
          </cell>
          <cell r="E27" t="str">
            <v>B-die/1ynm/16Gb/Renesas</v>
          </cell>
          <cell r="F27" t="str">
            <v>D5 8GB</v>
          </cell>
        </row>
        <row r="28">
          <cell r="B28" t="str">
            <v>Memory 8GB DDR5 5600 SODIMM</v>
          </cell>
          <cell r="C28" t="str">
            <v>Samsung</v>
          </cell>
          <cell r="D28" t="str">
            <v>M425R1GB4BB0-CWMOL</v>
          </cell>
          <cell r="E28" t="str">
            <v>B-die/1ynm/16Gb/S.LSI</v>
          </cell>
          <cell r="F28" t="str">
            <v>D5 8GB</v>
          </cell>
        </row>
        <row r="29">
          <cell r="B29" t="str">
            <v>Memory 16GB DDR5 5600 SODIMM</v>
          </cell>
          <cell r="C29" t="str">
            <v>Hynix SG</v>
          </cell>
          <cell r="D29" t="str">
            <v>HMCG78AGBSA095N</v>
          </cell>
          <cell r="E29" t="str">
            <v>Hynix/A-Die/1anm/16Gbx8 SDP/MPS</v>
          </cell>
          <cell r="F29" t="str">
            <v>D5 16GB</v>
          </cell>
        </row>
        <row r="30">
          <cell r="B30" t="str">
            <v>Memory 16GB DDR5 5600 SODIMM</v>
          </cell>
          <cell r="C30" t="str">
            <v>Samsung</v>
          </cell>
          <cell r="D30" t="str">
            <v>M425R2GA3BB0-CWMOL</v>
          </cell>
          <cell r="E30" t="str">
            <v>B-die/1ynm/16Gb/S.LSI</v>
          </cell>
          <cell r="F30" t="str">
            <v>D5 16GB</v>
          </cell>
        </row>
        <row r="31">
          <cell r="B31" t="str">
            <v>Memory 16GB DDR5 5600 SODIMM</v>
          </cell>
          <cell r="C31" t="str">
            <v>Samsung</v>
          </cell>
          <cell r="D31" t="str">
            <v>M425R2GA3BB0-CWMOD</v>
          </cell>
          <cell r="E31" t="str">
            <v>B-die/1ynm/16Gb/Renesas</v>
          </cell>
          <cell r="F31" t="str">
            <v>D5 16GB</v>
          </cell>
        </row>
        <row r="32">
          <cell r="B32" t="str">
            <v>Memory 32GB DDR5 5600 SODIMM</v>
          </cell>
          <cell r="C32" t="str">
            <v>Samsung</v>
          </cell>
          <cell r="D32" t="str">
            <v>M425R4GA3BB0-CWMOD</v>
          </cell>
          <cell r="E32" t="str">
            <v>B-die/1ynm/16Gb/Renesas</v>
          </cell>
          <cell r="F32" t="str">
            <v>D5 32GB</v>
          </cell>
        </row>
        <row r="33">
          <cell r="B33" t="str">
            <v>Memory 32GB DDR5 5600 SODIMM</v>
          </cell>
          <cell r="C33" t="str">
            <v>Samsung</v>
          </cell>
          <cell r="D33" t="str">
            <v>M425R4GA3BB0-CWMOL</v>
          </cell>
          <cell r="E33" t="str">
            <v>B-die/1ynm/16Gb/S.LSI</v>
          </cell>
          <cell r="F33" t="str">
            <v>D5 32GB</v>
          </cell>
        </row>
        <row r="34">
          <cell r="B34" t="str">
            <v>Memory 32GB DDR5 5600 SODIMM</v>
          </cell>
          <cell r="C34" t="str">
            <v>Hynix SG</v>
          </cell>
          <cell r="D34" t="str">
            <v>HMCG88AGBSA092N</v>
          </cell>
          <cell r="E34" t="str">
            <v>Hynix/A-Die/1anm/16Gbx8 SDP/Renesas</v>
          </cell>
          <cell r="F34" t="str">
            <v>D5 32GB</v>
          </cell>
        </row>
        <row r="35">
          <cell r="B35" t="str">
            <v xml:space="preserve">Memory 32GB LPDDR5 315B 6400 onboard </v>
          </cell>
          <cell r="C35" t="str">
            <v>Hynix SG</v>
          </cell>
          <cell r="D35" t="str">
            <v>H58G56AK6BX069</v>
          </cell>
          <cell r="E35" t="str">
            <v>1znm/16Gb DDP</v>
          </cell>
          <cell r="F35" t="str">
            <v>LP5/5X</v>
          </cell>
        </row>
        <row r="36">
          <cell r="B36" t="str">
            <v xml:space="preserve">Memory 6Memory 4GB LPDDR5 315B 6400 onboard </v>
          </cell>
          <cell r="C36" t="str">
            <v>Hynix SG</v>
          </cell>
          <cell r="D36" t="str">
            <v>H58G66AK6BX070</v>
          </cell>
          <cell r="E36" t="str">
            <v>1znm/16Gb QDP</v>
          </cell>
          <cell r="F36" t="str">
            <v>LP5/5X</v>
          </cell>
        </row>
        <row r="37">
          <cell r="B37" t="str">
            <v>Ramaxel Z42B Memory 16GB*16</v>
          </cell>
          <cell r="C37" t="str">
            <v>Micron</v>
          </cell>
          <cell r="D37" t="str">
            <v>MT40A1G16TB-062E:F</v>
          </cell>
          <cell r="E37" t="str">
            <v>Z42B/1anm/16Gb SDP</v>
          </cell>
          <cell r="F37" t="str">
            <v>D4 8GB</v>
          </cell>
        </row>
        <row r="38">
          <cell r="B38" t="str">
            <v>Ramaxel Z42B Memory 16GB*8</v>
          </cell>
          <cell r="C38" t="str">
            <v>Micron</v>
          </cell>
          <cell r="D38" t="str">
            <v>MT40A2G8SA-062E:F</v>
          </cell>
          <cell r="E38" t="str">
            <v>Z42B/1anm/16Gb SDP</v>
          </cell>
          <cell r="F38" t="str">
            <v>D4 16GB</v>
          </cell>
        </row>
        <row r="39">
          <cell r="B39" t="str">
            <v>Memory 16GB DDR4 3200 onboard G3</v>
          </cell>
          <cell r="C39" t="str">
            <v>Samsung</v>
          </cell>
          <cell r="D39" t="str">
            <v>K4AAG165WB-BCWE</v>
          </cell>
          <cell r="E39" t="str">
            <v>B die/1ynm/16Gb SDP</v>
          </cell>
          <cell r="F39" t="str">
            <v>16Gb</v>
          </cell>
        </row>
        <row r="40">
          <cell r="B40" t="str">
            <v>Memory 32GB DDR4 3200 onboard G2</v>
          </cell>
          <cell r="C40" t="str">
            <v>Samsung</v>
          </cell>
          <cell r="D40" t="str">
            <v>K4ABG165WB-MCWE</v>
          </cell>
          <cell r="E40" t="str">
            <v>B die/1ynm/16Gb DDP</v>
          </cell>
          <cell r="F40" t="str">
            <v>32Gb</v>
          </cell>
        </row>
        <row r="41">
          <cell r="B41" t="str">
            <v>Memory 6Memory 4GB LPDDR4X 200B 4266 onboard G3</v>
          </cell>
          <cell r="C41" t="str">
            <v>Micron</v>
          </cell>
          <cell r="D41" t="str">
            <v>MT53E2G32D4NQ-046 WT:C</v>
          </cell>
          <cell r="E41" t="str">
            <v>Z42N/1anm/16Gb QDP</v>
          </cell>
          <cell r="F41" t="str">
            <v>LP4/4X</v>
          </cell>
        </row>
        <row r="42">
          <cell r="B42" t="str">
            <v>Memory 32GB LPDDR4X 200B 4266 onboard G3</v>
          </cell>
          <cell r="C42" t="str">
            <v>Micron</v>
          </cell>
          <cell r="D42" t="str">
            <v>MT53E1G32D2NP-046 WT:B</v>
          </cell>
          <cell r="E42" t="str">
            <v>Z42M/1anm/16Gb DDP</v>
          </cell>
          <cell r="F42" t="str">
            <v>LP4/4X</v>
          </cell>
        </row>
        <row r="43">
          <cell r="B43" t="str">
            <v>Memory 16GB LPDDR5 315B 6400 onboard</v>
          </cell>
          <cell r="C43" t="str">
            <v>Micron</v>
          </cell>
          <cell r="D43" t="str">
            <v>MT62F512M32D2DR-031 WT:B</v>
          </cell>
          <cell r="E43" t="str">
            <v>Y31M/1znm/8Gb DDP</v>
          </cell>
          <cell r="F43" t="str">
            <v>LP5/5X</v>
          </cell>
        </row>
        <row r="44">
          <cell r="B44" t="str">
            <v>Memory 32GB LPDDR5 315B 6400 onboard</v>
          </cell>
          <cell r="C44" t="str">
            <v>Micron</v>
          </cell>
          <cell r="D44" t="str">
            <v>MT62F1G32D4DR-031 WT:B</v>
          </cell>
          <cell r="E44" t="str">
            <v>Y31M/1znm/8Gb QDP</v>
          </cell>
          <cell r="F44" t="str">
            <v>LP5/5X</v>
          </cell>
        </row>
        <row r="45">
          <cell r="B45" t="str">
            <v>Memory 6Memory 4GB LPDDR5 315B 6400 onboard</v>
          </cell>
          <cell r="C45" t="str">
            <v>Micron</v>
          </cell>
          <cell r="D45" t="str">
            <v>MT62F2G32D8DR-031 WT:B</v>
          </cell>
          <cell r="E45" t="str">
            <v>Y31M/1znm/8Gb ODP</v>
          </cell>
          <cell r="F45" t="str">
            <v>LP5/5X</v>
          </cell>
        </row>
        <row r="46">
          <cell r="B46" t="str">
            <v>Memory 16GB DDR5 5600 ECC SODIMM</v>
          </cell>
          <cell r="C46" t="str">
            <v>Samsung</v>
          </cell>
          <cell r="D46" t="str">
            <v>M426R2GA3DB0-CWMOD</v>
          </cell>
          <cell r="E46" t="str">
            <v>14nm/D die/16Gb/Renesas</v>
          </cell>
          <cell r="F46" t="str">
            <v>D5 16GB</v>
          </cell>
        </row>
        <row r="47">
          <cell r="B47" t="str">
            <v>Memory 32GB DDR5 5600 ECC SODIMM</v>
          </cell>
          <cell r="C47" t="str">
            <v>Samsung</v>
          </cell>
          <cell r="D47" t="str">
            <v>M426R4GA3DB0-CWMOD</v>
          </cell>
          <cell r="E47" t="str">
            <v>14nm/D die/16Gb/Renesas</v>
          </cell>
          <cell r="F47" t="str">
            <v>D5 32GB</v>
          </cell>
        </row>
        <row r="48">
          <cell r="B48" t="str">
            <v>Memory 6Memory 4GB LPDDR4X 432B 4266 onboard G2</v>
          </cell>
          <cell r="C48" t="str">
            <v>Samsung</v>
          </cell>
          <cell r="D48" t="str">
            <v>K3UH7H70AM-JGCR</v>
          </cell>
          <cell r="E48" t="str">
            <v>A die/1ynm/16Gb QDP</v>
          </cell>
          <cell r="F48" t="str">
            <v>LP4/4X</v>
          </cell>
        </row>
        <row r="49">
          <cell r="B49" t="str">
            <v>Memory 4GB DDR4 3200 SODIMM</v>
          </cell>
          <cell r="C49" t="str">
            <v xml:space="preserve">Samsung </v>
          </cell>
          <cell r="D49" t="str">
            <v>M471A5244CB0-CWE</v>
          </cell>
          <cell r="E49" t="str">
            <v>C die/1xnm /8Gb mono</v>
          </cell>
          <cell r="F49" t="str">
            <v>D4 4GB</v>
          </cell>
        </row>
        <row r="50">
          <cell r="B50" t="str">
            <v>Memory 8GB DDR4 3200 SODIMM</v>
          </cell>
          <cell r="C50" t="str">
            <v xml:space="preserve">Samsung </v>
          </cell>
          <cell r="D50" t="str">
            <v>M471A1K43EB1-CWE</v>
          </cell>
          <cell r="E50" t="str">
            <v xml:space="preserve">E die/1Znm /8Gb </v>
          </cell>
          <cell r="F50" t="str">
            <v>D4 8GB</v>
          </cell>
        </row>
        <row r="51">
          <cell r="B51" t="str">
            <v>Memory 8GB DDR4 3200 onboard</v>
          </cell>
          <cell r="C51" t="str">
            <v xml:space="preserve">Samsung </v>
          </cell>
          <cell r="D51" t="str">
            <v>K4A8G165WC-BCWE</v>
          </cell>
          <cell r="E51" t="str">
            <v>C die/1xnm/8Gb SDP</v>
          </cell>
          <cell r="F51" t="str">
            <v>8Gb</v>
          </cell>
        </row>
        <row r="52">
          <cell r="B52" t="str">
            <v>Memory 6Memory 4GB LPDDR5 315B 6400 onboard G2</v>
          </cell>
          <cell r="C52" t="str">
            <v xml:space="preserve">Samsung </v>
          </cell>
          <cell r="D52" t="str">
            <v>K3LKCKC0BM-MGCP</v>
          </cell>
          <cell r="E52" t="str">
            <v>1znm/16Gb QDP</v>
          </cell>
          <cell r="F52" t="str">
            <v>LP5/5X</v>
          </cell>
        </row>
        <row r="53">
          <cell r="B53" t="str">
            <v>Memory 32GB LPDDR5 315B 6400 onboard G2</v>
          </cell>
          <cell r="C53" t="str">
            <v xml:space="preserve">Samsung </v>
          </cell>
          <cell r="D53" t="str">
            <v>K3LKBKB0BM-MGCP</v>
          </cell>
          <cell r="E53" t="str">
            <v>1znm/16Gb DDP</v>
          </cell>
          <cell r="F53" t="str">
            <v>LP5/5X</v>
          </cell>
        </row>
        <row r="54">
          <cell r="B54" t="str">
            <v>Memory 16GB LPDDR4X 200B 4266 onboard G3</v>
          </cell>
          <cell r="C54" t="str">
            <v xml:space="preserve">Samsung </v>
          </cell>
          <cell r="D54" t="str">
            <v>K4U6E3S4AB-MGCL</v>
          </cell>
          <cell r="E54" t="str">
            <v>B die/1znm/16Gb Mono</v>
          </cell>
          <cell r="F54" t="str">
            <v>LP4/4X</v>
          </cell>
        </row>
        <row r="55">
          <cell r="B55" t="str">
            <v>Memory 32GB LPDDR4X 200B 4266 onboard G3</v>
          </cell>
          <cell r="C55" t="str">
            <v xml:space="preserve">Samsung </v>
          </cell>
          <cell r="D55" t="str">
            <v>K4UBE3D4AB-MGCL</v>
          </cell>
          <cell r="E55" t="str">
            <v>B die/1znm/16Gb Mono</v>
          </cell>
          <cell r="F55" t="str">
            <v>LP4/4X</v>
          </cell>
        </row>
        <row r="56">
          <cell r="B56" t="str">
            <v>Memory 16GB DDR4 3200 onboard</v>
          </cell>
          <cell r="C56" t="str">
            <v xml:space="preserve">Samsung </v>
          </cell>
          <cell r="D56" t="str">
            <v>K4AAG165WA-BCWE</v>
          </cell>
          <cell r="E56" t="str">
            <v>A die/1xnm/16Gb SDP</v>
          </cell>
          <cell r="F56" t="str">
            <v>16Gb</v>
          </cell>
        </row>
        <row r="57">
          <cell r="B57" t="str">
            <v>Memory 16GB LPDDR4X 200B 4266 onboard G2</v>
          </cell>
          <cell r="C57" t="str">
            <v xml:space="preserve">Samsung </v>
          </cell>
          <cell r="D57" t="str">
            <v>K4U6E3S4AA-MGCR</v>
          </cell>
          <cell r="E57" t="str">
            <v>A-die/1ynm/16Gb Mono</v>
          </cell>
          <cell r="F57" t="str">
            <v>LP4/4X</v>
          </cell>
        </row>
        <row r="58">
          <cell r="B58" t="str">
            <v>Memory 32GB LPDDR4X 200B 4266 onboard G2</v>
          </cell>
          <cell r="C58" t="str">
            <v xml:space="preserve">Samsung </v>
          </cell>
          <cell r="D58" t="str">
            <v>K4UBE3D4AA-MGCR</v>
          </cell>
          <cell r="E58" t="str">
            <v>A-die/1ynm/16Gb DDP</v>
          </cell>
          <cell r="F58" t="str">
            <v>LP4/4X</v>
          </cell>
        </row>
        <row r="59">
          <cell r="B59" t="str">
            <v>Memory 8GB DDR5 5600 SODIMM</v>
          </cell>
          <cell r="C59" t="str">
            <v>Hynix</v>
          </cell>
          <cell r="D59" t="str">
            <v>HMCG66AGBSA095N</v>
          </cell>
          <cell r="E59" t="str">
            <v>Hynix/A-Die/1anm/16Gbx16 SDP/MPS</v>
          </cell>
          <cell r="F59" t="str">
            <v>D5 8GB</v>
          </cell>
        </row>
        <row r="60">
          <cell r="B60" t="str">
            <v>Memory 16GB DDR5 5600 SODIMM</v>
          </cell>
          <cell r="C60" t="str">
            <v>Hynix</v>
          </cell>
          <cell r="D60" t="str">
            <v>HMCG78AGBSA092N</v>
          </cell>
          <cell r="E60" t="str">
            <v>Hynix/A-Die/1anm/16Gbx8 SDP/Renesas</v>
          </cell>
          <cell r="F60" t="str">
            <v>D5 16GB</v>
          </cell>
        </row>
        <row r="61">
          <cell r="B61" t="str">
            <v>Memory 12Memory 8GB LPDDR5X 315B 7500 onboard</v>
          </cell>
          <cell r="C61" t="str">
            <v>Hynix</v>
          </cell>
          <cell r="D61" t="str">
            <v>H58G78BK7BX114</v>
          </cell>
          <cell r="E61" t="str">
            <v>1anm/16Gb ODP</v>
          </cell>
          <cell r="F61" t="str">
            <v>LP5/5X</v>
          </cell>
        </row>
        <row r="62">
          <cell r="B62" t="str">
            <v>Memory 16GB LPDDR5 315B 6400 onboard</v>
          </cell>
          <cell r="C62" t="str">
            <v>Hynix</v>
          </cell>
          <cell r="D62" t="str">
            <v>H9JCNNNBK3MLYR-N6E</v>
          </cell>
          <cell r="E62" t="str">
            <v>1ynm 8Gb DDP</v>
          </cell>
          <cell r="F62" t="str">
            <v>LP5/5X</v>
          </cell>
        </row>
        <row r="63">
          <cell r="B63" t="str">
            <v>Memory 16GB LPDDR4X 200B 4266 onboard G3</v>
          </cell>
          <cell r="C63" t="str">
            <v>Hynix</v>
          </cell>
          <cell r="D63" t="str">
            <v>H54G46CYRBX267N</v>
          </cell>
          <cell r="E63" t="str">
            <v>1anm 8Gb/DDP</v>
          </cell>
          <cell r="F63" t="str">
            <v>LP4/4X</v>
          </cell>
        </row>
        <row r="64">
          <cell r="B64" t="str">
            <v>Memory 8GB DDR5 5600 SODIMM</v>
          </cell>
          <cell r="C64" t="str">
            <v>Micron</v>
          </cell>
          <cell r="D64" t="str">
            <v>MTC4C10163S1SC56BG1 B</v>
          </cell>
          <cell r="E64" t="str">
            <v>Micron/Y32B/1znm/16Gbx16 SDP/Renesas</v>
          </cell>
          <cell r="F64" t="str">
            <v>D5 8GB</v>
          </cell>
        </row>
        <row r="65">
          <cell r="B65" t="str">
            <v>Memory 16GB DDR5 5600 SODIMM</v>
          </cell>
          <cell r="C65" t="str">
            <v>Micron</v>
          </cell>
          <cell r="D65" t="str">
            <v>MTC8C1084S1SC56BG1 B</v>
          </cell>
          <cell r="E65" t="str">
            <v>Micron/Y32B/1znm/16Gbx8 SDP/Renesas</v>
          </cell>
          <cell r="F65" t="str">
            <v>D5 16GB</v>
          </cell>
        </row>
        <row r="66">
          <cell r="B66" t="str">
            <v>Memory 4GB DDR4 3200 SODIMM</v>
          </cell>
          <cell r="C66" t="str">
            <v>Ramaxel</v>
          </cell>
          <cell r="D66" t="str">
            <v>RMSA3310MR86H9F-3200</v>
          </cell>
          <cell r="E66" t="str">
            <v>Z41C/1anm/8Gb SDP</v>
          </cell>
          <cell r="F66" t="str">
            <v>D4 4GB</v>
          </cell>
        </row>
        <row r="67">
          <cell r="B67" t="str">
            <v>Ramaxel Z41C Memory 8GB*16</v>
          </cell>
          <cell r="C67" t="str">
            <v>Micron</v>
          </cell>
          <cell r="D67" t="str">
            <v>MT40A512M16TB-062E:R</v>
          </cell>
          <cell r="E67" t="str">
            <v>Z41C/1anm/8Gb SDP</v>
          </cell>
          <cell r="F67" t="str">
            <v>D4 4GB</v>
          </cell>
        </row>
        <row r="68">
          <cell r="B68" t="str">
            <v>Memory 16GB LPDDR4X 200B 4266 onboard G3</v>
          </cell>
          <cell r="C68" t="str">
            <v>Micron</v>
          </cell>
          <cell r="D68" t="str">
            <v>MT53E512M32D1NP-046 WT:B</v>
          </cell>
          <cell r="E68" t="str">
            <v>Z42M/1anm/16Gb SDP</v>
          </cell>
          <cell r="F68" t="str">
            <v>LP4/4X</v>
          </cell>
        </row>
        <row r="69">
          <cell r="B69" t="str">
            <v>Memory 16GB DDR4 3200 onboard G3</v>
          </cell>
          <cell r="C69" t="str">
            <v>Kingston</v>
          </cell>
          <cell r="D69" t="str">
            <v>H5ANAG6NCJR-XNC</v>
          </cell>
          <cell r="E69" t="str">
            <v>C-die/1znm/16Gb SDP (Kingston)</v>
          </cell>
          <cell r="F69" t="str">
            <v>16Gb</v>
          </cell>
        </row>
        <row r="70">
          <cell r="B70" t="str">
            <v>Memory 16GB DDR4 3200 onboard G3</v>
          </cell>
          <cell r="C70" t="str">
            <v>Kingston</v>
          </cell>
          <cell r="D70" t="str">
            <v>MT40A1G16TB-062E:F</v>
          </cell>
          <cell r="E70" t="str">
            <v>Micron Z42B F-die/1znm/16Gb 1Gx16 SDP</v>
          </cell>
          <cell r="F70" t="str">
            <v>16Gb</v>
          </cell>
        </row>
        <row r="71">
          <cell r="B71" t="str">
            <v>Memory 4GB DDR4 3200 UDIMM</v>
          </cell>
          <cell r="C71" t="str">
            <v>Samsung</v>
          </cell>
          <cell r="D71" t="str">
            <v xml:space="preserve">M378A5244CB0-CWE  </v>
          </cell>
          <cell r="E71" t="str">
            <v>C-die/1xnm/8Gb SDP</v>
          </cell>
          <cell r="F71" t="str">
            <v>D4 4GB</v>
          </cell>
        </row>
        <row r="72">
          <cell r="B72" t="str">
            <v>Memory 8GB DDR4 3200 UDIMM G2</v>
          </cell>
          <cell r="C72" t="str">
            <v>Samsung</v>
          </cell>
          <cell r="D72" t="str">
            <v>M378A1G44BB0-CWE</v>
          </cell>
          <cell r="E72" t="str">
            <v>B die/1ynm /16Gb SDP</v>
          </cell>
          <cell r="F72" t="str">
            <v>D4 8GB</v>
          </cell>
        </row>
        <row r="73">
          <cell r="B73" t="str">
            <v>Memory 8GB DDR4 3200 UDIMM</v>
          </cell>
          <cell r="C73" t="str">
            <v>Samsung</v>
          </cell>
          <cell r="D73" t="str">
            <v>M378A1K43EB2-CWE</v>
          </cell>
          <cell r="E73" t="str">
            <v>E die/1Znm /8Gb RH Improved</v>
          </cell>
          <cell r="F73" t="str">
            <v>D4 8GB</v>
          </cell>
        </row>
        <row r="74">
          <cell r="B74" t="str">
            <v>Memory 16GB DDR4 3200 UDIMM G2</v>
          </cell>
          <cell r="C74" t="str">
            <v>Samsung</v>
          </cell>
          <cell r="D74" t="str">
            <v>M378A2G43BB3-CWE</v>
          </cell>
          <cell r="E74" t="str">
            <v>B die/1ynm /16Gb SDP</v>
          </cell>
          <cell r="F74" t="str">
            <v>D4 16GB</v>
          </cell>
        </row>
        <row r="75">
          <cell r="B75" t="str">
            <v>Memory 32GB DDR4 3200 UDIMM G2</v>
          </cell>
          <cell r="C75" t="str">
            <v>Samsung</v>
          </cell>
          <cell r="D75" t="str">
            <v>M378A4G43BB2-CWE</v>
          </cell>
          <cell r="E75" t="str">
            <v>B die/1ynm /16Gb SDP</v>
          </cell>
          <cell r="F75" t="str">
            <v>D4 32GB</v>
          </cell>
        </row>
        <row r="76">
          <cell r="B76" t="str">
            <v>Memory 8GB DDR5 4800 SODIMM</v>
          </cell>
          <cell r="C76" t="str">
            <v>Samsung</v>
          </cell>
          <cell r="D76" t="str">
            <v>M425R1GB4BB0-CQKOL</v>
          </cell>
          <cell r="E76" t="str">
            <v>B-die/1ynm/16Gbx16/SDP/S.LSI</v>
          </cell>
          <cell r="F76" t="str">
            <v>D5 8GB</v>
          </cell>
        </row>
        <row r="77">
          <cell r="B77" t="str">
            <v>Memory 8GB DDR5 5600 UDIMM</v>
          </cell>
          <cell r="C77" t="str">
            <v>Samsung</v>
          </cell>
          <cell r="D77" t="str">
            <v>M323R1GB4DB0-CWMOD</v>
          </cell>
          <cell r="E77" t="str">
            <v>Samsung/D-die/D1a/16Gbx16 SDP/Renesas</v>
          </cell>
          <cell r="F77" t="str">
            <v>D5 8GB</v>
          </cell>
        </row>
        <row r="78">
          <cell r="B78" t="str">
            <v>Memory 8GB DDR5 5600 UDIMM</v>
          </cell>
          <cell r="C78" t="str">
            <v>Samsung</v>
          </cell>
          <cell r="D78" t="str">
            <v>M323R1GB4DB0-CWMOL</v>
          </cell>
          <cell r="E78" t="str">
            <v>Samsung/D-die/D1a/16Gbx16 SDP/S.LSI</v>
          </cell>
          <cell r="F78" t="str">
            <v>D5 8GB</v>
          </cell>
        </row>
        <row r="79">
          <cell r="B79" t="str">
            <v>Memory 16GB DDR5 5600 UDIMM</v>
          </cell>
          <cell r="C79" t="str">
            <v>Samsung</v>
          </cell>
          <cell r="D79" t="str">
            <v>M323R2GA3DB0-CWMOD</v>
          </cell>
          <cell r="E79" t="str">
            <v>Samsung/D-die/D1a/16Gbx8 SDP/Renesas</v>
          </cell>
          <cell r="F79" t="str">
            <v>D5 16GB</v>
          </cell>
        </row>
        <row r="80">
          <cell r="B80" t="str">
            <v>Memory 16GB DDR5 5600 UDIMM</v>
          </cell>
          <cell r="C80" t="str">
            <v>Samsung</v>
          </cell>
          <cell r="D80" t="str">
            <v>M323R2GA3DB0-CWMOL</v>
          </cell>
          <cell r="E80" t="str">
            <v>Samsung/D-die/D1a/16Gbx8 SDP/S.LSI</v>
          </cell>
          <cell r="F80" t="str">
            <v>D5 16GB</v>
          </cell>
        </row>
        <row r="81">
          <cell r="B81" t="str">
            <v>Memory 8GB DDR4 3200 SODIMM</v>
          </cell>
          <cell r="C81" t="str">
            <v>Hynix</v>
          </cell>
          <cell r="D81" t="str">
            <v>HMA81GS6DJR8N-XNN0</v>
          </cell>
          <cell r="E81" t="str">
            <v>D-die/1ynm/8Gb Mono　</v>
          </cell>
          <cell r="F81" t="str">
            <v>D4 8GB</v>
          </cell>
        </row>
        <row r="82">
          <cell r="B82" t="str">
            <v>Memory 4GB DDR4 3200 UDIMM</v>
          </cell>
          <cell r="C82" t="str">
            <v>Hynix</v>
          </cell>
          <cell r="D82" t="str">
            <v>HMAG56EXNUA076N</v>
          </cell>
          <cell r="E82" t="str">
            <v>SKhynix/Rigel/1znm/8Gb x16 SDP</v>
          </cell>
          <cell r="F82" t="str">
            <v>D4 4GB</v>
          </cell>
        </row>
        <row r="83">
          <cell r="B83" t="str">
            <v>Memory 16GB DDR4 3200 UDIMM G2</v>
          </cell>
          <cell r="C83" t="str">
            <v>Hynix</v>
          </cell>
          <cell r="D83" t="str">
            <v>HMAA2GU6CJR8N-XNN0</v>
          </cell>
          <cell r="E83" t="str">
            <v>C die/1znm/16Gb/SDP</v>
          </cell>
          <cell r="F83" t="str">
            <v>D4 16GB</v>
          </cell>
        </row>
        <row r="84">
          <cell r="B84" t="str">
            <v>Memory 8GB DDR4 3200 UDIMM</v>
          </cell>
          <cell r="C84" t="str">
            <v>Hynix</v>
          </cell>
          <cell r="D84" t="str">
            <v>HMAG68EXNUA076N</v>
          </cell>
          <cell r="E84" t="str">
            <v>SKhynix/Rigel/1znm/8Gb x8 SDP</v>
          </cell>
          <cell r="F84" t="str">
            <v>D4 8GB</v>
          </cell>
        </row>
        <row r="85">
          <cell r="B85" t="str">
            <v>Memory 8GB DDR4 3200 UDIMM</v>
          </cell>
          <cell r="C85" t="str">
            <v>Hynix</v>
          </cell>
          <cell r="D85" t="str">
            <v xml:space="preserve">HMA81GU6DJR8N-XNN0  </v>
          </cell>
          <cell r="E85" t="str">
            <v>D-die/1ynm/8Gb SDP</v>
          </cell>
          <cell r="F85" t="str">
            <v>D4 8GB</v>
          </cell>
        </row>
        <row r="86">
          <cell r="B86" t="str">
            <v>Memory 8GB DDR4 3200 UDIMM G2</v>
          </cell>
          <cell r="C86" t="str">
            <v>Hynix</v>
          </cell>
          <cell r="D86" t="str">
            <v>HMAA1GU6CJR6N-XNN0</v>
          </cell>
          <cell r="E86" t="str">
            <v>C die/1znm/16Gb/SDP</v>
          </cell>
          <cell r="F86" t="str">
            <v>D4 8GB</v>
          </cell>
        </row>
        <row r="87">
          <cell r="B87" t="str">
            <v>Memory 8GB DDR5 5600 UDIMM</v>
          </cell>
          <cell r="C87" t="str">
            <v>Hynix</v>
          </cell>
          <cell r="D87" t="str">
            <v>HMCG66AGBUA081N</v>
          </cell>
          <cell r="E87" t="str">
            <v>Hynix/A-Die/1anm/16Gbx16 SDP/Renesas</v>
          </cell>
          <cell r="F87" t="str">
            <v>D5 8GB</v>
          </cell>
        </row>
        <row r="88">
          <cell r="B88" t="str">
            <v>Memory 8GB DDR5 5600 UDIMM</v>
          </cell>
          <cell r="C88" t="str">
            <v>Hynix</v>
          </cell>
          <cell r="D88" t="str">
            <v>HMCG66AGBUA084N</v>
          </cell>
          <cell r="E88" t="str">
            <v>Hynix/A-Die/1anm/16Gbx16 SDP/MPS</v>
          </cell>
          <cell r="F88" t="str">
            <v>D5 8GB</v>
          </cell>
        </row>
        <row r="89">
          <cell r="B89" t="str">
            <v>Memory 16GB DDR5 5600 UDIMM</v>
          </cell>
          <cell r="C89" t="str">
            <v>Hynix</v>
          </cell>
          <cell r="D89" t="str">
            <v>HMCG78AGBUA081N</v>
          </cell>
          <cell r="E89" t="str">
            <v>Hynix/A-Die/1anm/16Gbx8 SDP/Renesas</v>
          </cell>
          <cell r="F89" t="str">
            <v>D5 16GB</v>
          </cell>
        </row>
        <row r="90">
          <cell r="B90" t="str">
            <v>Memory 8GB DDR5 4800 SODIMM</v>
          </cell>
          <cell r="C90" t="str">
            <v>Micron</v>
          </cell>
          <cell r="D90" t="str">
            <v>MTC4C10163S1SC48BA1 B</v>
          </cell>
          <cell r="E90" t="str">
            <v>Y32A/A-die/1znm/16Gbx16/SDP/Renesas</v>
          </cell>
          <cell r="F90" t="str">
            <v>D5 8GB</v>
          </cell>
        </row>
        <row r="91">
          <cell r="B91" t="str">
            <v>Ramaxel Z41C Memory 8GB*8</v>
          </cell>
          <cell r="C91" t="str">
            <v>Micron</v>
          </cell>
          <cell r="D91" t="str">
            <v>MT40A1G8SA-062E:R</v>
          </cell>
          <cell r="E91" t="str">
            <v>Z41C/1anm/8Gb SDP</v>
          </cell>
          <cell r="F91" t="str">
            <v>D4 8GB</v>
          </cell>
        </row>
        <row r="92">
          <cell r="B92" t="str">
            <v>Ramaxel Z32D Memory 16GB*8</v>
          </cell>
          <cell r="C92" t="str">
            <v>Micron</v>
          </cell>
          <cell r="D92" t="str">
            <v xml:space="preserve">SDRAM MT40A2G8JC-062E:E </v>
          </cell>
          <cell r="E92" t="str">
            <v>Z32D/1znm/16Gb SDP</v>
          </cell>
          <cell r="F92" t="str">
            <v>D4 16GB</v>
          </cell>
        </row>
        <row r="93">
          <cell r="B93" t="str">
            <v>Memory 8GB DDR4 3200 UDIMM</v>
          </cell>
          <cell r="C93" t="str">
            <v>Kingston</v>
          </cell>
          <cell r="D93" t="str">
            <v>LV32D4U2S8SD-8</v>
          </cell>
          <cell r="E93" t="str">
            <v>Samsung D die/ 1ynm /8Gb SDP</v>
          </cell>
          <cell r="F93" t="str">
            <v>D4 8GB</v>
          </cell>
        </row>
        <row r="94">
          <cell r="B94" t="str">
            <v>Memory 16GB DDR4 3200 UDIMM G2</v>
          </cell>
          <cell r="C94" t="str">
            <v>Kingston</v>
          </cell>
          <cell r="D94" t="str">
            <v>LV32D4U2S8HC-16</v>
          </cell>
          <cell r="E94" t="str">
            <v>Hynix C die/ 1znm /16Gb SDP</v>
          </cell>
          <cell r="F94" t="str">
            <v>D4 16GB</v>
          </cell>
        </row>
        <row r="95">
          <cell r="B95" t="str">
            <v>Memory 4GB DDR4 3200 UDIMM</v>
          </cell>
          <cell r="C95" t="str">
            <v>Ramaxel</v>
          </cell>
          <cell r="D95" t="str">
            <v>RMUA5190MR86H9F-3200</v>
          </cell>
          <cell r="E95" t="str">
            <v>Z41C/1anm/8Gb SDP</v>
          </cell>
          <cell r="F95" t="str">
            <v>D4 4GB</v>
          </cell>
        </row>
        <row r="96">
          <cell r="B96" t="str">
            <v>Memory 8GB DDR4 3200 SODIMM</v>
          </cell>
          <cell r="C96" t="str">
            <v>Ramaxel</v>
          </cell>
          <cell r="D96" t="str">
            <v>RMSA3320MR78HAF-3200</v>
          </cell>
          <cell r="E96" t="str">
            <v>Z41C/1anm/8Gb SDP</v>
          </cell>
          <cell r="F96" t="str">
            <v>D4 8GB</v>
          </cell>
        </row>
        <row r="97">
          <cell r="B97" t="str">
            <v>Memory 8GB DDR4 3200 UDIMM</v>
          </cell>
          <cell r="C97" t="str">
            <v>Ramaxel</v>
          </cell>
          <cell r="D97" t="str">
            <v>RMUA5200MR78HAF-3200</v>
          </cell>
          <cell r="E97" t="str">
            <v>Z41C/1anm/8Gb SDP</v>
          </cell>
          <cell r="F97" t="str">
            <v>D4 8GB</v>
          </cell>
        </row>
        <row r="98">
          <cell r="B98" t="str">
            <v>Memory 8GB DDR4 3200 UDIMM G2</v>
          </cell>
          <cell r="C98" t="str">
            <v>Ramaxel</v>
          </cell>
          <cell r="D98" t="str">
            <v>RMUA5190MF96HAF-3200</v>
          </cell>
          <cell r="E98" t="str">
            <v>Micron  F-die / Z42B /16Gb x16 SDP</v>
          </cell>
          <cell r="F98" t="str">
            <v>D4 8GB</v>
          </cell>
        </row>
        <row r="99">
          <cell r="B99" t="str">
            <v>Memory 16GB DDR4 3200 UDIMM G2</v>
          </cell>
          <cell r="C99" t="str">
            <v>Ramaxel</v>
          </cell>
          <cell r="D99" t="str">
            <v>RMUA5200MF88HBF-3200</v>
          </cell>
          <cell r="E99" t="str">
            <v>Micron  F-die / Z42B / 16Gb x8 SDP</v>
          </cell>
          <cell r="F99" t="str">
            <v>D4 16GB</v>
          </cell>
        </row>
        <row r="100">
          <cell r="B100" t="str">
            <v>Memory 16GB DDR4 3200 SODIMM G3</v>
          </cell>
          <cell r="C100" t="str">
            <v>Ramaxel</v>
          </cell>
          <cell r="D100" t="str">
            <v>RMSA3320ME88HBF-3200</v>
          </cell>
          <cell r="E100" t="str">
            <v>Z32D/1znm/16Gb/SDP</v>
          </cell>
          <cell r="F100" t="str">
            <v>D4 16GB</v>
          </cell>
        </row>
        <row r="101">
          <cell r="B101" t="str">
            <v>Memory 8GB DDR4 3200 onboard G2</v>
          </cell>
          <cell r="C101" t="str">
            <v>Samsung</v>
          </cell>
          <cell r="D101" t="str">
            <v>K4A8G165WC-BIWE</v>
          </cell>
          <cell r="E101" t="str">
            <v>C die/1xnm/8Gb SDP</v>
          </cell>
          <cell r="F101" t="str">
            <v>8Gb</v>
          </cell>
        </row>
        <row r="102">
          <cell r="B102" t="str">
            <v>Memory 16GB DDR4 3200 onboard G2</v>
          </cell>
          <cell r="C102" t="str">
            <v>Samsung</v>
          </cell>
          <cell r="D102" t="str">
            <v>K4AAG165WA-BIWE</v>
          </cell>
          <cell r="E102" t="str">
            <v>A die/1xnm/16Gb SDP</v>
          </cell>
          <cell r="F102" t="str">
            <v>16Gb</v>
          </cell>
        </row>
        <row r="103">
          <cell r="B103" t="str">
            <v>Memory 16GB DDR4 3200 UDIMM</v>
          </cell>
          <cell r="C103" t="str">
            <v>Samsung</v>
          </cell>
          <cell r="D103" t="str">
            <v>M378A2K43EB1-CWE</v>
          </cell>
          <cell r="E103" t="str">
            <v xml:space="preserve">E die/1Znm /8Gb </v>
          </cell>
          <cell r="F103" t="str">
            <v>D4 16GB</v>
          </cell>
        </row>
        <row r="104">
          <cell r="B104" t="str">
            <v>Memory 8GB DDR5 4800 UDIMM</v>
          </cell>
          <cell r="C104" t="str">
            <v>Samsung</v>
          </cell>
          <cell r="D104" t="str">
            <v>M323R1GB4BB0-CQKOD</v>
          </cell>
          <cell r="E104" t="str">
            <v>B-die/1ynm/16Gbx16/SDP/Renesas</v>
          </cell>
          <cell r="F104" t="str">
            <v>D5 8GB</v>
          </cell>
        </row>
        <row r="105">
          <cell r="B105" t="str">
            <v>Memory 8GB DDR5 4800 UDIMM</v>
          </cell>
          <cell r="C105" t="str">
            <v>Samsung</v>
          </cell>
          <cell r="D105" t="str">
            <v>M323R1GB4BB0-CQKOL</v>
          </cell>
          <cell r="E105" t="str">
            <v>B-die/1ynm/16Gbx16/SDP/S.LSI</v>
          </cell>
          <cell r="F105" t="str">
            <v>D5 8GB</v>
          </cell>
        </row>
        <row r="106">
          <cell r="B106" t="str">
            <v>Memory 16GB DDR5 4800 UDIMM</v>
          </cell>
          <cell r="C106" t="str">
            <v>Samsung</v>
          </cell>
          <cell r="D106" t="str">
            <v>M323R2GA3BB0-CQKOD</v>
          </cell>
          <cell r="E106" t="str">
            <v>B-die/1ynm/16Gbx8/SDP/Renesas</v>
          </cell>
          <cell r="F106" t="str">
            <v>D5 16GB</v>
          </cell>
        </row>
        <row r="107">
          <cell r="B107" t="str">
            <v>Memory 4GB DDR4 3200 UDIMM</v>
          </cell>
          <cell r="C107" t="str">
            <v>Hynix</v>
          </cell>
          <cell r="D107" t="str">
            <v xml:space="preserve">HMA851U6DJR6N-XNN0  </v>
          </cell>
          <cell r="E107" t="str">
            <v>D-die/1ynm/8Gb SDP</v>
          </cell>
          <cell r="F107" t="str">
            <v>D4 4GB</v>
          </cell>
        </row>
        <row r="108">
          <cell r="B108" t="str">
            <v>Memory 32GB DDR5 5600 UDIMM</v>
          </cell>
          <cell r="C108" t="str">
            <v>Hynix</v>
          </cell>
          <cell r="D108" t="str">
            <v>HMCG88AGBUA084N</v>
          </cell>
          <cell r="E108" t="str">
            <v>Hynix/A-Die/1anm/16Gbx8 SDP/MPS</v>
          </cell>
          <cell r="F108" t="str">
            <v>D5 32GB</v>
          </cell>
        </row>
        <row r="109">
          <cell r="B109" t="str">
            <v>Memory 32GB DDR5 5600 UDIMM</v>
          </cell>
          <cell r="C109" t="str">
            <v>Hynix</v>
          </cell>
          <cell r="D109" t="str">
            <v>HMCG88AGBUA081N</v>
          </cell>
          <cell r="E109" t="str">
            <v>Hynix/A-Die/1anm/16Gbx8 SDP/Renesas</v>
          </cell>
          <cell r="F109" t="str">
            <v>D5 32GB</v>
          </cell>
        </row>
        <row r="110">
          <cell r="B110" t="str">
            <v>Memory 32GB DDR5 5600 SODIMM</v>
          </cell>
          <cell r="C110" t="str">
            <v>Hynix</v>
          </cell>
          <cell r="D110" t="str">
            <v>HMCG88AGBSA095N</v>
          </cell>
          <cell r="E110" t="str">
            <v>Hynix/A-Die/1anm/16Gbx8 SDP/MPS</v>
          </cell>
          <cell r="F110" t="str">
            <v>D5 32GB</v>
          </cell>
        </row>
        <row r="111">
          <cell r="B111" t="str">
            <v>Memory 32GB DDR4 3200 UDIMM</v>
          </cell>
          <cell r="C111" t="str">
            <v>Hynix</v>
          </cell>
          <cell r="D111" t="str">
            <v>HMAA4GU6CJR8N-XNN0</v>
          </cell>
          <cell r="E111" t="str">
            <v>C die/1znm/16Gb/SDP</v>
          </cell>
          <cell r="F111" t="str">
            <v>D4 32GB</v>
          </cell>
        </row>
        <row r="112">
          <cell r="B112" t="str">
            <v>Memory 8GB DDR5 4800 UDIMM</v>
          </cell>
          <cell r="C112" t="str">
            <v>Micron</v>
          </cell>
          <cell r="D112" t="str">
            <v>MTC4C10163S1UC48BA1 B</v>
          </cell>
          <cell r="E112" t="str">
            <v>Y32A/A-die/1znm/16Gbx16/SDP/Renesas</v>
          </cell>
          <cell r="F112" t="str">
            <v>D5 8GB</v>
          </cell>
        </row>
        <row r="113">
          <cell r="B113" t="str">
            <v>Memory 16GB DDR5 4800 UDIMM</v>
          </cell>
          <cell r="C113" t="str">
            <v>Micron</v>
          </cell>
          <cell r="D113" t="str">
            <v>MTC8C1084S1UC48BA1 B</v>
          </cell>
          <cell r="E113" t="str">
            <v>Y32A/A-die/1znm/16Gbx8/SDP/Renesas</v>
          </cell>
          <cell r="F113" t="str">
            <v>D5 16GB</v>
          </cell>
        </row>
        <row r="114">
          <cell r="B114" t="str">
            <v>Memory 8GB DDR4 3200 SODIMM</v>
          </cell>
          <cell r="C114" t="str">
            <v>Kingston</v>
          </cell>
          <cell r="D114" t="str">
            <v>LV32D4S2S8SD-8</v>
          </cell>
          <cell r="E114" t="str">
            <v>Samsung D die/ 1ynm /8Gb SDP</v>
          </cell>
          <cell r="F114" t="str">
            <v>D4 8GB</v>
          </cell>
        </row>
        <row r="115">
          <cell r="B115" t="str">
            <v>Memory 8GB DDR4 3200 SODIMM</v>
          </cell>
          <cell r="C115" t="str">
            <v>Kingston</v>
          </cell>
          <cell r="D115" t="str">
            <v>LV32D4S2S8HD-8</v>
          </cell>
          <cell r="E115" t="str">
            <v>Hynix D die /1ynm /8Gb x8/SDP</v>
          </cell>
          <cell r="F115" t="str">
            <v>D4 8GB</v>
          </cell>
        </row>
        <row r="116">
          <cell r="B116" t="str">
            <v>Memory 16GB DDR4 3200 SODIMM G2</v>
          </cell>
          <cell r="C116" t="str">
            <v>Kingston</v>
          </cell>
          <cell r="D116" t="str">
            <v>LV32D4S2S8HC-16</v>
          </cell>
          <cell r="E116" t="str">
            <v>Hynix C die/ 1znm /16Gb SDP</v>
          </cell>
          <cell r="F116" t="str">
            <v>D4 16GB</v>
          </cell>
        </row>
        <row r="117">
          <cell r="B117" t="str">
            <v>Memory 32GB DDR4 3200 UDIMM</v>
          </cell>
          <cell r="C117" t="str">
            <v>Ramaxel</v>
          </cell>
          <cell r="D117" t="str">
            <v>RMUA5210ME88HCF-3200</v>
          </cell>
          <cell r="E117" t="str">
            <v>Z32D/1znm/16Gb/SDP</v>
          </cell>
          <cell r="F117" t="str">
            <v>D4 32GB</v>
          </cell>
        </row>
        <row r="118">
          <cell r="B118" t="str">
            <v>Memory 16GB DDR5 5600 UDIMM</v>
          </cell>
          <cell r="C118" t="str">
            <v>Hynix</v>
          </cell>
          <cell r="D118" t="str">
            <v>HMCG78AGBUA084N</v>
          </cell>
          <cell r="E118" t="str">
            <v>Hynix/A-Die/1anm/16Gbx8 SDP/MPS</v>
          </cell>
          <cell r="F118" t="str">
            <v>D5 16GB</v>
          </cell>
        </row>
        <row r="119">
          <cell r="B119" t="str">
            <v>Memory 16GB DDR4 3200 ECC RDIMM</v>
          </cell>
          <cell r="C119" t="str">
            <v>Hynix</v>
          </cell>
          <cell r="D119" t="str">
            <v>HMA82GR7DJR8N-XN</v>
          </cell>
          <cell r="E119"/>
          <cell r="F119" t="str">
            <v>D4 ECC RD</v>
          </cell>
        </row>
        <row r="120">
          <cell r="B120" t="str">
            <v>Memory 32GB DDR4 3200 ECC RDIMM</v>
          </cell>
          <cell r="C120" t="str">
            <v>Hynix</v>
          </cell>
          <cell r="D120" t="str">
            <v>HMA84GR7DJR4N-XN</v>
          </cell>
          <cell r="E120"/>
          <cell r="F120" t="str">
            <v>D4 ECC RD</v>
          </cell>
        </row>
        <row r="121">
          <cell r="B121" t="str">
            <v>Memory 32GB DDR5 4800 ECC SODIMM</v>
          </cell>
          <cell r="C121" t="str">
            <v>Hynix</v>
          </cell>
          <cell r="D121" t="str">
            <v>HMCG88MEBAA092N</v>
          </cell>
          <cell r="E121" t="str">
            <v>M-die/1ynm/16Gbx8/SDP/Renesas</v>
          </cell>
          <cell r="F121" t="str">
            <v>D5 ECC SD</v>
          </cell>
        </row>
        <row r="122">
          <cell r="B122" t="str">
            <v>Memory 6Memory 4GB DDR4 3200 ECC RDIMM</v>
          </cell>
          <cell r="C122" t="str">
            <v>Hynix</v>
          </cell>
          <cell r="D122" t="str">
            <v>HMAA8GR7CJR4N-XN</v>
          </cell>
          <cell r="E122"/>
          <cell r="F122" t="str">
            <v>D4 ECC RD</v>
          </cell>
        </row>
        <row r="123">
          <cell r="B123" t="str">
            <v>Memory 16GB DDR5 4800 ECC UDIMM</v>
          </cell>
          <cell r="C123" t="str">
            <v>Hynix</v>
          </cell>
          <cell r="D123" t="str">
            <v>HMCG78MEBEA</v>
          </cell>
          <cell r="E123"/>
          <cell r="F123" t="str">
            <v>D5 ECC UD</v>
          </cell>
        </row>
        <row r="124">
          <cell r="B124" t="str">
            <v>Memory 32GB DDR5 4800 ECC UDIMM</v>
          </cell>
          <cell r="C124" t="str">
            <v>Hynix</v>
          </cell>
          <cell r="D124" t="str">
            <v>HMCG88MEBEA</v>
          </cell>
          <cell r="E124"/>
          <cell r="F124" t="str">
            <v>D5 ECC UD</v>
          </cell>
        </row>
        <row r="125">
          <cell r="B125" t="str">
            <v>Memory 12Memory 8GB DDR5 4800 ECC RDIMM</v>
          </cell>
          <cell r="C125" t="str">
            <v>Hynix</v>
          </cell>
          <cell r="D125" t="str">
            <v>HMCT04MEERA131N</v>
          </cell>
          <cell r="E125"/>
          <cell r="F125" t="str">
            <v>D5 ECC RD</v>
          </cell>
        </row>
        <row r="126">
          <cell r="B126" t="str">
            <v>Memory 16GB DDR5 4800 ECC RDIMM</v>
          </cell>
          <cell r="C126" t="str">
            <v>Hynix</v>
          </cell>
          <cell r="D126" t="str">
            <v>HMCG78MEBRA107N</v>
          </cell>
          <cell r="E126"/>
          <cell r="F126" t="str">
            <v>D4 ECC RD</v>
          </cell>
        </row>
        <row r="127">
          <cell r="B127" t="str">
            <v>Memory 16GB DDR5 4800 ECC SODIMM</v>
          </cell>
          <cell r="C127" t="str">
            <v>Samsung</v>
          </cell>
          <cell r="D127" t="str">
            <v>M426R2GA3BB0-CQKOD</v>
          </cell>
          <cell r="E127" t="str">
            <v>B-die/1ynm/16Gbx8/SDP/Renesas</v>
          </cell>
          <cell r="F127" t="str">
            <v>D5 ECC SD</v>
          </cell>
        </row>
        <row r="128">
          <cell r="B128" t="str">
            <v>Memory 32GB DDR5 4800 ECC SODIMM</v>
          </cell>
          <cell r="C128" t="str">
            <v>Samsung</v>
          </cell>
          <cell r="D128" t="str">
            <v>M426R4GA3BB0-CQKOD</v>
          </cell>
          <cell r="E128" t="str">
            <v>B-die/1ynm/16Gbx8/SDP/Renesas</v>
          </cell>
          <cell r="F128" t="str">
            <v>D5 ECC SD</v>
          </cell>
        </row>
        <row r="129">
          <cell r="B129" t="str">
            <v>Memory 32GB DDR5 4800 UDIMM</v>
          </cell>
          <cell r="C129" t="str">
            <v>Samsung</v>
          </cell>
          <cell r="D129" t="str">
            <v>M323R4GA3BB0-CQKOD</v>
          </cell>
          <cell r="E129" t="str">
            <v>B-die/1ynm/16Gbx8/SDP/Renesas</v>
          </cell>
          <cell r="F129" t="str">
            <v>D5 32GB</v>
          </cell>
        </row>
        <row r="130">
          <cell r="B130" t="str">
            <v>Memory 16GB DDR4 3200 SODIMM G2 Option</v>
          </cell>
          <cell r="C130" t="str">
            <v>Samsung</v>
          </cell>
          <cell r="D130" t="str">
            <v>M471A2G43BB2-CWE</v>
          </cell>
          <cell r="E130"/>
          <cell r="F130" t="str">
            <v>D4 16GB</v>
          </cell>
        </row>
        <row r="131">
          <cell r="B131" t="str">
            <v>Memory 32GB DDR5 4800 SODIMM Option</v>
          </cell>
          <cell r="C131" t="str">
            <v>Samsung</v>
          </cell>
          <cell r="D131" t="str">
            <v>M425R4GA3BB0-CQKOD</v>
          </cell>
          <cell r="E131"/>
          <cell r="F131" t="str">
            <v>D5 32GB</v>
          </cell>
        </row>
        <row r="132">
          <cell r="B132" t="str">
            <v>Memory 16GB DDR4 3200 UDIMM G2</v>
          </cell>
          <cell r="C132" t="str">
            <v>Samsung</v>
          </cell>
          <cell r="D132" t="str">
            <v xml:space="preserve">M378A2G43AB3-CWE  </v>
          </cell>
          <cell r="E132"/>
          <cell r="F132" t="str">
            <v>D4 16GB</v>
          </cell>
        </row>
        <row r="133">
          <cell r="B133" t="str">
            <v>Memory 32GB LPDDR5x 315B 7500 onboard</v>
          </cell>
          <cell r="C133" t="str">
            <v>Samsung</v>
          </cell>
          <cell r="D133" t="str">
            <v>K3KL8L80CM-MGCT</v>
          </cell>
          <cell r="E133"/>
          <cell r="F133" t="str">
            <v>LP5/5X</v>
          </cell>
        </row>
        <row r="134">
          <cell r="B134" t="str">
            <v>Memory 6Memory 4GB LPDDR5x 315B 7500 onboard</v>
          </cell>
          <cell r="C134" t="str">
            <v>Samsung</v>
          </cell>
          <cell r="D134" t="str">
            <v>K3KL9L90CM-MGCT</v>
          </cell>
          <cell r="E134"/>
          <cell r="F134" t="str">
            <v>LP5/5X</v>
          </cell>
        </row>
        <row r="135">
          <cell r="B135" t="str">
            <v>Memory 8GB DDR5 5600 SODIMM</v>
          </cell>
          <cell r="C135" t="str">
            <v>Samsung</v>
          </cell>
          <cell r="D135" t="str">
            <v>M425R1GB4BB0-CWMOD</v>
          </cell>
          <cell r="E135"/>
          <cell r="F135" t="str">
            <v>D5 8GB</v>
          </cell>
        </row>
        <row r="136">
          <cell r="B136" t="str">
            <v>Memory 16GB DDR4 3200 SODIMM</v>
          </cell>
          <cell r="C136" t="str">
            <v>Samsung</v>
          </cell>
          <cell r="D136" t="str">
            <v>M474A2K43DB1-CWE</v>
          </cell>
          <cell r="E136"/>
          <cell r="F136" t="str">
            <v>D4 16GB</v>
          </cell>
        </row>
        <row r="137">
          <cell r="B137" t="str">
            <v>Memory 16GB DDR4 3200 SODIMM</v>
          </cell>
          <cell r="C137" t="str">
            <v>Samsung</v>
          </cell>
          <cell r="D137" t="str">
            <v>M471A2G43AB2-CWE</v>
          </cell>
          <cell r="E137"/>
          <cell r="F137" t="str">
            <v>D4 16GB</v>
          </cell>
        </row>
        <row r="138">
          <cell r="B138" t="str">
            <v>Memory 32GB DDR5 4800 SODIMM</v>
          </cell>
          <cell r="C138" t="str">
            <v>Samsung</v>
          </cell>
          <cell r="D138" t="str">
            <v>M425R4GA3BB0-CQKOD</v>
          </cell>
          <cell r="E138"/>
          <cell r="F138" t="str">
            <v>D5 32GB</v>
          </cell>
        </row>
        <row r="139">
          <cell r="B139" t="str">
            <v>Memory 32GB DDR4 3200 UDIMM G2</v>
          </cell>
          <cell r="C139" t="str">
            <v>Samsung</v>
          </cell>
          <cell r="D139" t="str">
            <v>M378A4G43AB2-CWE</v>
          </cell>
          <cell r="E139"/>
          <cell r="F139" t="str">
            <v>D4 32GB</v>
          </cell>
        </row>
        <row r="140">
          <cell r="B140" t="str">
            <v>Memory 8GB DDR4 3200 onboard</v>
          </cell>
          <cell r="C140" t="str">
            <v>Hynix</v>
          </cell>
          <cell r="D140" t="str">
            <v xml:space="preserve">H5AG36EXNDX017N </v>
          </cell>
          <cell r="E140"/>
          <cell r="F140" t="str">
            <v>8Gb</v>
          </cell>
        </row>
        <row r="141">
          <cell r="B141" t="str">
            <v>Memory 16GB DDR4 3200 onboard</v>
          </cell>
          <cell r="C141" t="str">
            <v>Hynix</v>
          </cell>
          <cell r="D141" t="str">
            <v xml:space="preserve">H5ANAG6NCJR-XNC </v>
          </cell>
          <cell r="E141"/>
          <cell r="F141" t="str">
            <v>16Gb</v>
          </cell>
        </row>
        <row r="142">
          <cell r="B142" t="str">
            <v>Memory 32GB DDR4 3200 onboard</v>
          </cell>
          <cell r="C142" t="str">
            <v>Hynix</v>
          </cell>
          <cell r="D142" t="str">
            <v xml:space="preserve">H5ANBG6NCMR-XNC </v>
          </cell>
          <cell r="E142"/>
          <cell r="F142" t="str">
            <v>32Gb</v>
          </cell>
        </row>
        <row r="143">
          <cell r="B143" t="str">
            <v>Memory 16GB LPDDR4X 200B 4266 onboard G2</v>
          </cell>
          <cell r="C143" t="str">
            <v>Hynix</v>
          </cell>
          <cell r="D143" t="str">
            <v xml:space="preserve">H9HCNNNBKMMLXR-NEE </v>
          </cell>
          <cell r="E143"/>
          <cell r="F143" t="str">
            <v>LP4/4X</v>
          </cell>
        </row>
        <row r="144">
          <cell r="B144" t="str">
            <v>Memory 32GB LPDDR4X 200B 4266 onboard G2</v>
          </cell>
          <cell r="C144" t="str">
            <v>Hynix</v>
          </cell>
          <cell r="D144" t="str">
            <v xml:space="preserve">H9HCNNNCPMMLXR-NEE </v>
          </cell>
          <cell r="E144"/>
          <cell r="F144" t="str">
            <v>LP4/4X</v>
          </cell>
        </row>
        <row r="145">
          <cell r="B145" t="str">
            <v>Memory 32GB LPDDR4X 200B 4266 onboard G3</v>
          </cell>
          <cell r="C145" t="str">
            <v>Hynix</v>
          </cell>
          <cell r="D145" t="str">
            <v xml:space="preserve">H54G56CYRBX247N </v>
          </cell>
          <cell r="E145"/>
          <cell r="F145" t="str">
            <v>LP4/4X</v>
          </cell>
        </row>
        <row r="146">
          <cell r="B146" t="str">
            <v>Memory 6Memory 4GB LPDDR4X 200B 4266 onboard G2</v>
          </cell>
          <cell r="C146" t="str">
            <v>Hynix</v>
          </cell>
          <cell r="D146" t="str">
            <v>H9HCNNNFAMMLXR-NEE</v>
          </cell>
          <cell r="E146"/>
          <cell r="F146" t="str">
            <v>LP4/4X</v>
          </cell>
        </row>
        <row r="147">
          <cell r="B147" t="str">
            <v>Memory 32GB LPDDR5 315B 6400 onboard</v>
          </cell>
          <cell r="C147" t="str">
            <v>Hynix</v>
          </cell>
          <cell r="D147" t="str">
            <v xml:space="preserve">H9JCNNNCP3MLYR-N6E </v>
          </cell>
          <cell r="E147"/>
          <cell r="F147" t="str">
            <v>LP5/5X</v>
          </cell>
        </row>
        <row r="148">
          <cell r="B148" t="str">
            <v>Memory 6Memory 4GB LPDDR5 315B 6400 onboard</v>
          </cell>
          <cell r="C148" t="str">
            <v>Hynix</v>
          </cell>
          <cell r="D148" t="str">
            <v xml:space="preserve">H9JCNNNFA5MLYR-N6E </v>
          </cell>
          <cell r="E148"/>
          <cell r="F148" t="str">
            <v>LP5/5X</v>
          </cell>
        </row>
        <row r="149">
          <cell r="B149" t="str">
            <v>Memory 32GB DDR4 3200 SODIMM</v>
          </cell>
          <cell r="C149" t="str">
            <v>Hynix</v>
          </cell>
          <cell r="D149" t="str">
            <v xml:space="preserve">HMAA4GS6CJR8N-XNN0 </v>
          </cell>
          <cell r="E149"/>
          <cell r="F149" t="str">
            <v>D4 32GB</v>
          </cell>
        </row>
        <row r="150">
          <cell r="B150" t="str">
            <v>Memory 4GB DDR4 3200 SODIMM</v>
          </cell>
          <cell r="C150" t="str">
            <v>Hynix</v>
          </cell>
          <cell r="D150" t="str">
            <v xml:space="preserve">HMA851S6DJR6N-XNN0 </v>
          </cell>
          <cell r="E150"/>
          <cell r="F150" t="str">
            <v>D4 4GB</v>
          </cell>
        </row>
        <row r="151">
          <cell r="B151" t="str">
            <v>Memory 32GB DDR5 4800 SODIMM</v>
          </cell>
          <cell r="C151" t="str">
            <v>Hynix</v>
          </cell>
          <cell r="D151" t="str">
            <v>HMCG88MEBSA092N</v>
          </cell>
          <cell r="E151"/>
          <cell r="F151" t="str">
            <v>D5 32GB</v>
          </cell>
        </row>
        <row r="152">
          <cell r="B152" t="str">
            <v>Memory 32GB DDR5 4800 UDIMM</v>
          </cell>
          <cell r="C152" t="str">
            <v>Hynix</v>
          </cell>
          <cell r="D152" t="str">
            <v>HMCG88MEBUA081N</v>
          </cell>
          <cell r="E152"/>
          <cell r="F152" t="str">
            <v>D5 32GB</v>
          </cell>
        </row>
        <row r="153">
          <cell r="B153" t="str">
            <v>Memory 16GB DDR5 4800 SODIMM</v>
          </cell>
          <cell r="C153" t="str">
            <v>Hynix</v>
          </cell>
          <cell r="D153" t="str">
            <v>HMCG78MEBSA092N</v>
          </cell>
          <cell r="E153"/>
          <cell r="F153" t="str">
            <v>D5 16GB</v>
          </cell>
        </row>
        <row r="154">
          <cell r="B154" t="str">
            <v>Memory 16GB DDR5 4800 UDIMM</v>
          </cell>
          <cell r="C154" t="str">
            <v>Hynix</v>
          </cell>
          <cell r="D154" t="str">
            <v>HMCG78MEBUA081N</v>
          </cell>
          <cell r="E154"/>
          <cell r="F154" t="str">
            <v>D5 16GB</v>
          </cell>
        </row>
        <row r="155">
          <cell r="B155" t="str">
            <v>Memory 8GB DDR5 4800 SODIMM</v>
          </cell>
          <cell r="C155" t="str">
            <v>Hynix</v>
          </cell>
          <cell r="D155" t="str">
            <v>HMCG66MEBSA092N</v>
          </cell>
          <cell r="E155"/>
          <cell r="F155" t="str">
            <v>D5 8GB</v>
          </cell>
        </row>
        <row r="156">
          <cell r="B156" t="str">
            <v>Memory 8GB DDR5 4800 UDIMM</v>
          </cell>
          <cell r="C156" t="str">
            <v>Hynix</v>
          </cell>
          <cell r="D156" t="str">
            <v>HMCG66MEBUA081N</v>
          </cell>
          <cell r="E156"/>
          <cell r="F156" t="str">
            <v>D5 8GB</v>
          </cell>
        </row>
        <row r="157">
          <cell r="B157" t="str">
            <v>Memory 16GB DDR4 3200 onboard</v>
          </cell>
          <cell r="C157" t="str">
            <v>Micron</v>
          </cell>
          <cell r="D157" t="str">
            <v>MT40A1G16KD-062E:E</v>
          </cell>
          <cell r="E157"/>
          <cell r="F157" t="str">
            <v>16Gb</v>
          </cell>
        </row>
        <row r="158">
          <cell r="B158" t="str">
            <v>Memory 32GB DDR4 3200 onboard</v>
          </cell>
          <cell r="C158" t="str">
            <v>Micron</v>
          </cell>
          <cell r="D158" t="str">
            <v>MT40A2G16SKL-062E:B</v>
          </cell>
          <cell r="E158"/>
          <cell r="F158" t="str">
            <v>32Gb</v>
          </cell>
        </row>
        <row r="159">
          <cell r="B159" t="str">
            <v>Memory 16GB DDR5 4800 SODIMM</v>
          </cell>
          <cell r="C159" t="str">
            <v>Micron</v>
          </cell>
          <cell r="D159" t="str">
            <v>MTC8C1084S1SC48BA1</v>
          </cell>
          <cell r="E159"/>
          <cell r="F159" t="str">
            <v>D5 16GB</v>
          </cell>
        </row>
        <row r="160">
          <cell r="B160" t="str">
            <v>Memory 6Memory 4GB LPDDR5 496B 6400 onboard</v>
          </cell>
          <cell r="C160" t="str">
            <v>Micron</v>
          </cell>
          <cell r="D160" t="str">
            <v>MT62F1G64D8CH-031 WT:B</v>
          </cell>
          <cell r="E160"/>
          <cell r="F160" t="str">
            <v>LP5/5X</v>
          </cell>
        </row>
        <row r="161">
          <cell r="B161" t="str">
            <v>Memory 6Memory 4GB LPDDR4X 432B 4266 onboard G3</v>
          </cell>
          <cell r="C161" t="str">
            <v>Micron</v>
          </cell>
          <cell r="D161" t="str">
            <v>MT53E1G64D4NW-046 WT:C</v>
          </cell>
          <cell r="E161"/>
          <cell r="F161" t="str">
            <v>LP4/4X</v>
          </cell>
        </row>
        <row r="162">
          <cell r="B162" t="str">
            <v>Memory 32GB DDR5 4800 SODIMM</v>
          </cell>
          <cell r="C162" t="str">
            <v>Micron</v>
          </cell>
          <cell r="D162" t="str">
            <v>MTC16C2085S1SC48BA1</v>
          </cell>
          <cell r="E162"/>
          <cell r="F162" t="str">
            <v>D5 32GB</v>
          </cell>
        </row>
        <row r="163">
          <cell r="B163" t="str">
            <v>Memory 32GB DDR5 4800 UDIMM</v>
          </cell>
          <cell r="C163" t="str">
            <v>Micron</v>
          </cell>
          <cell r="D163" t="str">
            <v>MTC16C2085S1UC48BA1</v>
          </cell>
          <cell r="E163"/>
          <cell r="F163" t="str">
            <v>D5 32GB</v>
          </cell>
        </row>
        <row r="164">
          <cell r="B164" t="str">
            <v>Memory 8GB DDR5 5600 UDIMM</v>
          </cell>
          <cell r="C164" t="str">
            <v>Micron</v>
          </cell>
          <cell r="D164" t="str">
            <v>MTC4C10163S1UC56BG1</v>
          </cell>
          <cell r="E164"/>
          <cell r="F164" t="str">
            <v>D5 8GB</v>
          </cell>
        </row>
        <row r="165">
          <cell r="B165" t="str">
            <v>Memory 16GB DDR5 5600 UDIMM</v>
          </cell>
          <cell r="C165" t="str">
            <v>Micron</v>
          </cell>
          <cell r="D165" t="str">
            <v>MTC8C1084S1UC56BG1</v>
          </cell>
          <cell r="E165"/>
          <cell r="F165" t="str">
            <v>D5 16GB</v>
          </cell>
        </row>
        <row r="166">
          <cell r="B166" t="str">
            <v>Memory 8GB DDR5 5600 SODIMM</v>
          </cell>
          <cell r="C166" t="str">
            <v>Micron</v>
          </cell>
          <cell r="D166" t="str">
            <v>MTC4C10163S1SC56BG1</v>
          </cell>
          <cell r="E166"/>
          <cell r="F166" t="str">
            <v>D5 8GB</v>
          </cell>
        </row>
        <row r="167">
          <cell r="B167" t="str">
            <v>Memory 16GB DDR5 5600 SODIMM</v>
          </cell>
          <cell r="C167" t="str">
            <v>Micron</v>
          </cell>
          <cell r="D167" t="str">
            <v>MTC8C1084S1SC56BG1</v>
          </cell>
          <cell r="E167"/>
          <cell r="F167" t="str">
            <v>D5 16GB</v>
          </cell>
        </row>
        <row r="168">
          <cell r="B168" t="str">
            <v>Memory 6Memory 4GB LPDDR5x 496B 7500 onboard</v>
          </cell>
          <cell r="C168" t="str">
            <v>Micron</v>
          </cell>
          <cell r="D168" t="str">
            <v>MT62F1G64D4ZV-026 WT:B</v>
          </cell>
          <cell r="E168"/>
          <cell r="F168" t="str">
            <v>LP5/5X</v>
          </cell>
        </row>
        <row r="169">
          <cell r="B169" t="str">
            <v>Memory 16GB DDR5 5600 onboard</v>
          </cell>
          <cell r="C169" t="str">
            <v>Micron</v>
          </cell>
          <cell r="D169" t="str">
            <v>MT60B2G8HB-56B:G</v>
          </cell>
          <cell r="E169"/>
          <cell r="F169" t="str">
            <v>D5 ob</v>
          </cell>
        </row>
        <row r="170">
          <cell r="B170" t="str">
            <v>Memory 32GB DDR4 3200 onboard</v>
          </cell>
          <cell r="C170" t="str">
            <v>Micron</v>
          </cell>
          <cell r="D170" t="str">
            <v>MT40A2G16TBB-062E:F</v>
          </cell>
          <cell r="E170"/>
          <cell r="F170" t="str">
            <v>32Gb</v>
          </cell>
        </row>
        <row r="171">
          <cell r="B171" t="str">
            <v>Memory 32GB DDR5 5600 ECC UDIMM</v>
          </cell>
          <cell r="C171" t="str">
            <v>Hynix</v>
          </cell>
          <cell r="D171" t="str">
            <v>HMCG88AGBEA084N</v>
          </cell>
          <cell r="E171"/>
          <cell r="F171" t="str">
            <v>D5 ECC UD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ary"/>
      <sheetName val="TNB"/>
      <sheetName val="LNB"/>
      <sheetName val="TDT"/>
      <sheetName val="LDT"/>
    </sheetNames>
    <sheetDataSet>
      <sheetData sheetId="0"/>
      <sheetData sheetId="1"/>
      <sheetData sheetId="2">
        <row r="302">
          <cell r="U302">
            <v>474777208</v>
          </cell>
          <cell r="AL302">
            <v>8597296</v>
          </cell>
        </row>
      </sheetData>
      <sheetData sheetId="3">
        <row r="284">
          <cell r="U284">
            <v>728731784</v>
          </cell>
          <cell r="AL284">
            <v>6061216</v>
          </cell>
        </row>
      </sheetData>
      <sheetData sheetId="4">
        <row r="278">
          <cell r="U278">
            <v>164504536</v>
          </cell>
          <cell r="AL278">
            <v>51878800</v>
          </cell>
        </row>
      </sheetData>
      <sheetData sheetId="5">
        <row r="272">
          <cell r="U272">
            <v>169780672</v>
          </cell>
          <cell r="AL272">
            <v>139490368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396"/>
  <sheetViews>
    <sheetView tabSelected="1" zoomScale="110" zoomScaleNormal="55" workbookViewId="0">
      <pane xSplit="1" topLeftCell="B1" activePane="topRight" state="frozen"/>
      <selection pane="topRight" activeCell="B2" sqref="B2"/>
    </sheetView>
  </sheetViews>
  <sheetFormatPr baseColWidth="10" defaultColWidth="9" defaultRowHeight="16"/>
  <cols>
    <col min="1" max="1" width="44.83203125" style="93" customWidth="1"/>
    <col min="2" max="2" width="13.5" style="93" customWidth="1"/>
    <col min="3" max="3" width="15.1640625" style="93" bestFit="1" customWidth="1"/>
    <col min="4" max="4" width="14.1640625" style="93" customWidth="1"/>
    <col min="5" max="5" width="18.33203125" style="93" customWidth="1"/>
    <col min="6" max="20" width="10" style="93" customWidth="1"/>
    <col min="21" max="21" width="13.6640625" style="93" customWidth="1"/>
    <col min="22" max="38" width="10" style="93" customWidth="1"/>
    <col min="39" max="39" width="5.5" style="93" bestFit="1" customWidth="1"/>
    <col min="40" max="40" width="15" style="94" bestFit="1" customWidth="1"/>
    <col min="41" max="41" width="13.83203125" style="94" bestFit="1" customWidth="1"/>
    <col min="42" max="42" width="15.6640625" style="93" customWidth="1"/>
    <col min="43" max="16384" width="9" style="93"/>
  </cols>
  <sheetData>
    <row r="1" spans="1:42" s="4" customFormat="1" ht="14.25" customHeight="1" thickBot="1">
      <c r="A1" s="139" t="s">
        <v>0</v>
      </c>
      <c r="B1" s="139"/>
      <c r="C1" s="70" t="s">
        <v>1</v>
      </c>
      <c r="D1" s="7" t="s">
        <v>43</v>
      </c>
      <c r="E1" s="137" t="s">
        <v>55</v>
      </c>
      <c r="F1" s="137"/>
      <c r="G1" s="137"/>
      <c r="H1" s="137"/>
      <c r="I1" s="31" t="s">
        <v>55</v>
      </c>
      <c r="J1" s="138" t="s">
        <v>56</v>
      </c>
      <c r="K1" s="138"/>
      <c r="L1" s="138"/>
      <c r="M1" s="138"/>
      <c r="N1" s="25" t="s">
        <v>56</v>
      </c>
      <c r="O1" s="138" t="s">
        <v>57</v>
      </c>
      <c r="P1" s="138"/>
      <c r="Q1" s="138"/>
      <c r="R1" s="138"/>
      <c r="S1" s="138"/>
      <c r="T1" s="25" t="s">
        <v>57</v>
      </c>
      <c r="U1" s="26" t="s">
        <v>58</v>
      </c>
      <c r="V1" s="137" t="s">
        <v>59</v>
      </c>
      <c r="W1" s="137"/>
      <c r="X1" s="137"/>
      <c r="Y1" s="137"/>
      <c r="Z1" s="31" t="s">
        <v>59</v>
      </c>
      <c r="AA1" s="138" t="s">
        <v>60</v>
      </c>
      <c r="AB1" s="138"/>
      <c r="AC1" s="138"/>
      <c r="AD1" s="138"/>
      <c r="AE1" s="25" t="s">
        <v>60</v>
      </c>
      <c r="AF1" s="138" t="s">
        <v>61</v>
      </c>
      <c r="AG1" s="138"/>
      <c r="AH1" s="138"/>
      <c r="AI1" s="138"/>
      <c r="AJ1" s="138"/>
      <c r="AK1" s="25" t="s">
        <v>61</v>
      </c>
      <c r="AL1" s="26" t="s">
        <v>62</v>
      </c>
    </row>
    <row r="2" spans="1:42" s="4" customFormat="1" ht="17.25" customHeight="1" thickBot="1">
      <c r="A2" s="111" t="s">
        <v>172</v>
      </c>
      <c r="B2" s="111" t="s">
        <v>127</v>
      </c>
      <c r="C2" s="70" t="s">
        <v>3</v>
      </c>
      <c r="D2" s="7" t="s">
        <v>4</v>
      </c>
      <c r="E2" s="80" t="s">
        <v>65</v>
      </c>
      <c r="F2" s="80" t="s">
        <v>66</v>
      </c>
      <c r="G2" s="80" t="s">
        <v>67</v>
      </c>
      <c r="H2" s="80" t="s">
        <v>68</v>
      </c>
      <c r="I2" s="29" t="s">
        <v>69</v>
      </c>
      <c r="J2" s="80" t="s">
        <v>70</v>
      </c>
      <c r="K2" s="80" t="s">
        <v>71</v>
      </c>
      <c r="L2" s="80" t="s">
        <v>72</v>
      </c>
      <c r="M2" s="80" t="s">
        <v>73</v>
      </c>
      <c r="N2" s="25" t="s">
        <v>74</v>
      </c>
      <c r="O2" s="80" t="s">
        <v>75</v>
      </c>
      <c r="P2" s="80" t="s">
        <v>76</v>
      </c>
      <c r="Q2" s="80" t="s">
        <v>77</v>
      </c>
      <c r="R2" s="80" t="s">
        <v>78</v>
      </c>
      <c r="S2" s="80" t="s">
        <v>79</v>
      </c>
      <c r="T2" s="25" t="s">
        <v>74</v>
      </c>
      <c r="U2" s="26" t="s">
        <v>0</v>
      </c>
      <c r="V2" s="80" t="s">
        <v>80</v>
      </c>
      <c r="W2" s="80" t="s">
        <v>81</v>
      </c>
      <c r="X2" s="80" t="s">
        <v>82</v>
      </c>
      <c r="Y2" s="80" t="s">
        <v>83</v>
      </c>
      <c r="Z2" s="29" t="s">
        <v>69</v>
      </c>
      <c r="AA2" s="80" t="s">
        <v>84</v>
      </c>
      <c r="AB2" s="80" t="s">
        <v>85</v>
      </c>
      <c r="AC2" s="80" t="s">
        <v>86</v>
      </c>
      <c r="AD2" s="80" t="s">
        <v>87</v>
      </c>
      <c r="AE2" s="25" t="s">
        <v>74</v>
      </c>
      <c r="AF2" s="80" t="s">
        <v>88</v>
      </c>
      <c r="AG2" s="80" t="s">
        <v>89</v>
      </c>
      <c r="AH2" s="80" t="s">
        <v>90</v>
      </c>
      <c r="AI2" s="80" t="s">
        <v>91</v>
      </c>
      <c r="AJ2" s="80" t="s">
        <v>92</v>
      </c>
      <c r="AK2" s="25" t="s">
        <v>74</v>
      </c>
      <c r="AL2" s="26" t="s">
        <v>0</v>
      </c>
      <c r="AM2" s="4" t="s">
        <v>128</v>
      </c>
      <c r="AN2" s="79" t="s">
        <v>63</v>
      </c>
      <c r="AO2" s="79" t="s">
        <v>64</v>
      </c>
      <c r="AP2" s="79" t="s">
        <v>129</v>
      </c>
    </row>
    <row r="3" spans="1:42" s="4" customFormat="1" ht="17" thickBot="1">
      <c r="A3" s="140" t="s">
        <v>123</v>
      </c>
      <c r="B3" s="118" t="s">
        <v>5</v>
      </c>
      <c r="C3" s="113"/>
      <c r="D3" s="113"/>
      <c r="E3" s="113">
        <v>0</v>
      </c>
      <c r="F3" s="113">
        <v>-2238</v>
      </c>
      <c r="G3" s="113">
        <v>10837</v>
      </c>
      <c r="H3" s="113">
        <v>2389</v>
      </c>
      <c r="I3" s="113">
        <v>8861</v>
      </c>
      <c r="J3" s="113">
        <v>12035</v>
      </c>
      <c r="K3" s="113">
        <v>321</v>
      </c>
      <c r="L3" s="113">
        <v>13339</v>
      </c>
      <c r="M3" s="113">
        <v>191</v>
      </c>
      <c r="N3" s="113">
        <v>28013</v>
      </c>
      <c r="O3" s="113">
        <v>11973</v>
      </c>
      <c r="P3" s="113">
        <v>9699</v>
      </c>
      <c r="Q3" s="113">
        <v>21927</v>
      </c>
      <c r="R3" s="113">
        <v>7438</v>
      </c>
      <c r="S3" s="113">
        <v>30</v>
      </c>
      <c r="T3" s="113">
        <v>51067</v>
      </c>
      <c r="U3" s="114">
        <v>334897</v>
      </c>
      <c r="V3" s="113">
        <v>29</v>
      </c>
      <c r="W3" s="113">
        <v>27</v>
      </c>
      <c r="X3" s="113">
        <v>38</v>
      </c>
      <c r="Y3" s="113">
        <v>0</v>
      </c>
      <c r="Z3" s="113">
        <v>94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80</v>
      </c>
      <c r="AH3" s="113">
        <v>0</v>
      </c>
      <c r="AI3" s="113">
        <v>0</v>
      </c>
      <c r="AJ3" s="113">
        <v>0</v>
      </c>
      <c r="AK3" s="113">
        <v>80</v>
      </c>
      <c r="AL3" s="114">
        <v>174</v>
      </c>
      <c r="AM3" s="115">
        <v>16</v>
      </c>
      <c r="AN3" s="56">
        <f t="shared" ref="AN3:AN13" si="0">AM3*U3</f>
        <v>5358352</v>
      </c>
      <c r="AO3" s="56">
        <f t="shared" ref="AO3:AO13" si="1">AM3*AL3</f>
        <v>2784</v>
      </c>
      <c r="AP3" s="4" t="str">
        <f>VLOOKUP(A3,[1]Basic!$B:$F,5,0)</f>
        <v>LP4/4X</v>
      </c>
    </row>
    <row r="4" spans="1:42" s="4" customFormat="1" ht="17" thickBot="1">
      <c r="A4" s="140"/>
      <c r="B4" s="118" t="s">
        <v>6</v>
      </c>
      <c r="C4" s="113"/>
      <c r="D4" s="113"/>
      <c r="E4" s="113">
        <v>0</v>
      </c>
      <c r="F4" s="113">
        <v>0</v>
      </c>
      <c r="G4" s="113">
        <v>102100</v>
      </c>
      <c r="H4" s="113">
        <v>5000</v>
      </c>
      <c r="I4" s="113">
        <v>107100</v>
      </c>
      <c r="J4" s="113">
        <v>96365</v>
      </c>
      <c r="K4" s="113">
        <v>0</v>
      </c>
      <c r="L4" s="113">
        <v>0</v>
      </c>
      <c r="M4" s="113">
        <v>0</v>
      </c>
      <c r="N4" s="113">
        <v>96365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4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4">
        <v>0</v>
      </c>
      <c r="AM4" s="115"/>
      <c r="AN4" s="56">
        <f t="shared" si="0"/>
        <v>0</v>
      </c>
      <c r="AO4" s="56">
        <f t="shared" si="1"/>
        <v>0</v>
      </c>
    </row>
    <row r="5" spans="1:42" s="4" customFormat="1" ht="17" thickBot="1">
      <c r="A5" s="140"/>
      <c r="B5" s="118" t="s">
        <v>10</v>
      </c>
      <c r="C5" s="113">
        <v>40000</v>
      </c>
      <c r="D5" s="113"/>
      <c r="E5" s="113">
        <v>0</v>
      </c>
      <c r="F5" s="113">
        <v>40000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4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4">
        <v>0</v>
      </c>
      <c r="AM5" s="115"/>
      <c r="AN5" s="56">
        <f t="shared" si="0"/>
        <v>0</v>
      </c>
      <c r="AO5" s="56">
        <f t="shared" si="1"/>
        <v>0</v>
      </c>
    </row>
    <row r="6" spans="1:42" s="4" customFormat="1" ht="17" thickBot="1">
      <c r="A6" s="140"/>
      <c r="B6" s="118" t="s">
        <v>7</v>
      </c>
      <c r="C6" s="113"/>
      <c r="D6" s="113"/>
      <c r="E6" s="113">
        <v>0</v>
      </c>
      <c r="F6" s="113">
        <v>60400</v>
      </c>
      <c r="G6" s="113">
        <v>100000</v>
      </c>
      <c r="H6" s="113">
        <v>0</v>
      </c>
      <c r="I6" s="113">
        <v>160400</v>
      </c>
      <c r="J6" s="113">
        <v>96365</v>
      </c>
      <c r="K6" s="113">
        <v>0</v>
      </c>
      <c r="L6" s="113">
        <v>0</v>
      </c>
      <c r="M6" s="113">
        <v>0</v>
      </c>
      <c r="N6" s="113">
        <v>96365</v>
      </c>
      <c r="O6" s="113">
        <v>0</v>
      </c>
      <c r="P6" s="113">
        <v>0</v>
      </c>
      <c r="Q6" s="113">
        <v>0</v>
      </c>
      <c r="R6" s="113">
        <v>30000</v>
      </c>
      <c r="S6" s="113">
        <v>0</v>
      </c>
      <c r="T6" s="113">
        <v>30000</v>
      </c>
      <c r="U6" s="114">
        <v>533721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4">
        <v>150313</v>
      </c>
      <c r="AM6" s="115"/>
      <c r="AN6" s="56">
        <f t="shared" si="0"/>
        <v>0</v>
      </c>
      <c r="AO6" s="56">
        <f t="shared" si="1"/>
        <v>0</v>
      </c>
    </row>
    <row r="7" spans="1:42" s="4" customFormat="1" ht="17" thickBot="1">
      <c r="A7" s="140"/>
      <c r="B7" s="118" t="s">
        <v>8</v>
      </c>
      <c r="C7" s="113">
        <v>268854</v>
      </c>
      <c r="D7" s="113">
        <v>246956</v>
      </c>
      <c r="E7" s="113">
        <v>0</v>
      </c>
      <c r="F7" s="113">
        <v>40948</v>
      </c>
      <c r="G7" s="113">
        <v>130577</v>
      </c>
      <c r="H7" s="113">
        <v>128450</v>
      </c>
      <c r="I7" s="113">
        <v>151539</v>
      </c>
      <c r="J7" s="113">
        <v>213095</v>
      </c>
      <c r="K7" s="113">
        <v>213095</v>
      </c>
      <c r="L7" s="113">
        <v>199756</v>
      </c>
      <c r="M7" s="113">
        <v>199565</v>
      </c>
      <c r="N7" s="113">
        <v>219891</v>
      </c>
      <c r="O7" s="113">
        <v>207918</v>
      </c>
      <c r="P7" s="113">
        <v>198219</v>
      </c>
      <c r="Q7" s="113">
        <v>176292</v>
      </c>
      <c r="R7" s="113">
        <v>176670</v>
      </c>
      <c r="S7" s="113">
        <v>176640</v>
      </c>
      <c r="T7" s="113">
        <v>198824</v>
      </c>
      <c r="U7" s="114">
        <v>198824</v>
      </c>
      <c r="V7" s="113">
        <v>198795</v>
      </c>
      <c r="W7" s="113">
        <v>198768</v>
      </c>
      <c r="X7" s="113">
        <v>198730</v>
      </c>
      <c r="Y7" s="113">
        <v>198768</v>
      </c>
      <c r="Z7" s="113">
        <v>198730</v>
      </c>
      <c r="AA7" s="113">
        <v>198730</v>
      </c>
      <c r="AB7" s="113">
        <v>198730</v>
      </c>
      <c r="AC7" s="113">
        <v>198730</v>
      </c>
      <c r="AD7" s="113">
        <v>198730</v>
      </c>
      <c r="AE7" s="113">
        <v>198730</v>
      </c>
      <c r="AF7" s="113">
        <v>198730</v>
      </c>
      <c r="AG7" s="113">
        <v>198650</v>
      </c>
      <c r="AH7" s="113">
        <v>198650</v>
      </c>
      <c r="AI7" s="113">
        <v>198650</v>
      </c>
      <c r="AJ7" s="113">
        <v>198650</v>
      </c>
      <c r="AK7" s="113">
        <v>198650</v>
      </c>
      <c r="AL7" s="114">
        <v>198650</v>
      </c>
      <c r="AM7" s="115"/>
      <c r="AN7" s="56">
        <f t="shared" si="0"/>
        <v>0</v>
      </c>
      <c r="AO7" s="56">
        <f t="shared" si="1"/>
        <v>0</v>
      </c>
    </row>
    <row r="8" spans="1:42" s="4" customFormat="1" ht="17" thickBot="1">
      <c r="A8" s="119"/>
      <c r="B8" s="120" t="s">
        <v>9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114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14"/>
      <c r="AM8" s="115"/>
      <c r="AN8" s="56">
        <f t="shared" si="0"/>
        <v>0</v>
      </c>
      <c r="AO8" s="56">
        <f t="shared" si="1"/>
        <v>0</v>
      </c>
    </row>
    <row r="9" spans="1:42" s="4" customFormat="1" ht="17" thickBot="1">
      <c r="A9" s="140" t="s">
        <v>124</v>
      </c>
      <c r="B9" s="118" t="s">
        <v>5</v>
      </c>
      <c r="C9" s="113"/>
      <c r="D9" s="113"/>
      <c r="E9" s="113">
        <v>0</v>
      </c>
      <c r="F9" s="113">
        <v>25281</v>
      </c>
      <c r="G9" s="113">
        <v>5946</v>
      </c>
      <c r="H9" s="113">
        <v>3703</v>
      </c>
      <c r="I9" s="113">
        <v>32266</v>
      </c>
      <c r="J9" s="113">
        <v>937</v>
      </c>
      <c r="K9" s="113">
        <v>848</v>
      </c>
      <c r="L9" s="113">
        <v>5956</v>
      </c>
      <c r="M9" s="113">
        <v>1947</v>
      </c>
      <c r="N9" s="113">
        <v>10981</v>
      </c>
      <c r="O9" s="113">
        <v>3925</v>
      </c>
      <c r="P9" s="113">
        <v>111</v>
      </c>
      <c r="Q9" s="113">
        <v>1055</v>
      </c>
      <c r="R9" s="113">
        <v>3346</v>
      </c>
      <c r="S9" s="113">
        <v>18</v>
      </c>
      <c r="T9" s="113">
        <v>9826</v>
      </c>
      <c r="U9" s="114">
        <v>137922</v>
      </c>
      <c r="V9" s="113">
        <v>72</v>
      </c>
      <c r="W9" s="113">
        <v>16</v>
      </c>
      <c r="X9" s="113">
        <v>20</v>
      </c>
      <c r="Y9" s="113">
        <v>0</v>
      </c>
      <c r="Z9" s="113">
        <v>108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128</v>
      </c>
      <c r="AH9" s="113">
        <v>0</v>
      </c>
      <c r="AI9" s="113">
        <v>0</v>
      </c>
      <c r="AJ9" s="113">
        <v>0</v>
      </c>
      <c r="AK9" s="113">
        <v>128</v>
      </c>
      <c r="AL9" s="114">
        <v>236</v>
      </c>
      <c r="AM9" s="115">
        <v>32</v>
      </c>
      <c r="AN9" s="56">
        <f t="shared" si="0"/>
        <v>4413504</v>
      </c>
      <c r="AO9" s="56">
        <f t="shared" si="1"/>
        <v>7552</v>
      </c>
      <c r="AP9" s="4" t="str">
        <f>VLOOKUP(A9,[1]Basic!$B:$F,5,0)</f>
        <v>LP4/4X</v>
      </c>
    </row>
    <row r="10" spans="1:42" s="4" customFormat="1" ht="17" thickBot="1">
      <c r="A10" s="140"/>
      <c r="B10" s="118" t="s">
        <v>6</v>
      </c>
      <c r="C10" s="113"/>
      <c r="D10" s="113"/>
      <c r="E10" s="113">
        <v>0</v>
      </c>
      <c r="F10" s="113">
        <v>0</v>
      </c>
      <c r="G10" s="113">
        <v>10000</v>
      </c>
      <c r="H10" s="113">
        <v>2600</v>
      </c>
      <c r="I10" s="113">
        <v>12600</v>
      </c>
      <c r="J10" s="113">
        <v>4000</v>
      </c>
      <c r="K10" s="113">
        <v>0</v>
      </c>
      <c r="L10" s="113">
        <v>20000</v>
      </c>
      <c r="M10" s="113">
        <v>0</v>
      </c>
      <c r="N10" s="113">
        <v>4000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4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4">
        <v>0</v>
      </c>
      <c r="AM10" s="115"/>
      <c r="AN10" s="56">
        <f t="shared" si="0"/>
        <v>0</v>
      </c>
      <c r="AO10" s="56">
        <f t="shared" si="1"/>
        <v>0</v>
      </c>
    </row>
    <row r="11" spans="1:42" s="4" customFormat="1" ht="17" thickBot="1">
      <c r="A11" s="140"/>
      <c r="B11" s="118" t="s">
        <v>10</v>
      </c>
      <c r="C11" s="113">
        <v>0</v>
      </c>
      <c r="D11" s="113"/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4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4">
        <v>0</v>
      </c>
      <c r="AM11" s="115"/>
      <c r="AN11" s="56">
        <f t="shared" si="0"/>
        <v>0</v>
      </c>
      <c r="AO11" s="56">
        <f t="shared" si="1"/>
        <v>0</v>
      </c>
    </row>
    <row r="12" spans="1:42" s="4" customFormat="1" ht="17" thickBot="1">
      <c r="A12" s="140"/>
      <c r="B12" s="118" t="s">
        <v>7</v>
      </c>
      <c r="C12" s="113"/>
      <c r="D12" s="113"/>
      <c r="E12" s="113">
        <v>5370</v>
      </c>
      <c r="F12" s="113">
        <v>20230</v>
      </c>
      <c r="G12" s="113">
        <v>0</v>
      </c>
      <c r="H12" s="113">
        <v>0</v>
      </c>
      <c r="I12" s="113">
        <v>25600</v>
      </c>
      <c r="J12" s="113">
        <v>4000</v>
      </c>
      <c r="K12" s="113">
        <v>20000</v>
      </c>
      <c r="L12" s="113">
        <v>20000</v>
      </c>
      <c r="M12" s="113">
        <v>0</v>
      </c>
      <c r="N12" s="113">
        <v>44000</v>
      </c>
      <c r="O12" s="113">
        <v>0</v>
      </c>
      <c r="P12" s="113">
        <v>0</v>
      </c>
      <c r="Q12" s="113">
        <v>0</v>
      </c>
      <c r="R12" s="113">
        <v>160000</v>
      </c>
      <c r="S12" s="113">
        <v>0</v>
      </c>
      <c r="T12" s="113">
        <v>160000</v>
      </c>
      <c r="U12" s="114">
        <v>314449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4">
        <v>-14428</v>
      </c>
      <c r="AM12" s="115"/>
      <c r="AN12" s="56">
        <f t="shared" si="0"/>
        <v>0</v>
      </c>
      <c r="AO12" s="56">
        <f t="shared" si="1"/>
        <v>0</v>
      </c>
    </row>
    <row r="13" spans="1:42" s="4" customFormat="1" ht="17" thickBot="1">
      <c r="A13" s="140"/>
      <c r="B13" s="118" t="s">
        <v>8</v>
      </c>
      <c r="C13" s="113">
        <v>62083</v>
      </c>
      <c r="D13" s="113">
        <v>84849</v>
      </c>
      <c r="E13" s="113">
        <v>0</v>
      </c>
      <c r="F13" s="113">
        <v>-2825</v>
      </c>
      <c r="G13" s="113">
        <v>-5562</v>
      </c>
      <c r="H13" s="113">
        <v>-8226</v>
      </c>
      <c r="I13" s="113">
        <v>-6666</v>
      </c>
      <c r="J13" s="113">
        <v>-4226</v>
      </c>
      <c r="K13" s="113">
        <v>-4226</v>
      </c>
      <c r="L13" s="113">
        <v>9818</v>
      </c>
      <c r="M13" s="113">
        <v>7871</v>
      </c>
      <c r="N13" s="113">
        <v>26353</v>
      </c>
      <c r="O13" s="113">
        <v>21057</v>
      </c>
      <c r="P13" s="113">
        <v>20946</v>
      </c>
      <c r="Q13" s="113">
        <v>19891</v>
      </c>
      <c r="R13" s="113">
        <v>23554</v>
      </c>
      <c r="S13" s="113">
        <v>23536</v>
      </c>
      <c r="T13" s="113">
        <v>176527</v>
      </c>
      <c r="U13" s="114">
        <v>176527</v>
      </c>
      <c r="V13" s="113">
        <v>176455</v>
      </c>
      <c r="W13" s="113">
        <v>176439</v>
      </c>
      <c r="X13" s="113">
        <v>176419</v>
      </c>
      <c r="Y13" s="113">
        <v>176439</v>
      </c>
      <c r="Z13" s="113">
        <v>176419</v>
      </c>
      <c r="AA13" s="113">
        <v>176419</v>
      </c>
      <c r="AB13" s="113">
        <v>176419</v>
      </c>
      <c r="AC13" s="113">
        <v>176419</v>
      </c>
      <c r="AD13" s="113">
        <v>176419</v>
      </c>
      <c r="AE13" s="113">
        <v>176419</v>
      </c>
      <c r="AF13" s="113">
        <v>176419</v>
      </c>
      <c r="AG13" s="113">
        <v>176291</v>
      </c>
      <c r="AH13" s="113">
        <v>176291</v>
      </c>
      <c r="AI13" s="113">
        <v>176291</v>
      </c>
      <c r="AJ13" s="113">
        <v>176291</v>
      </c>
      <c r="AK13" s="113">
        <v>176291</v>
      </c>
      <c r="AL13" s="114">
        <v>176291</v>
      </c>
      <c r="AM13" s="115"/>
      <c r="AN13" s="56">
        <f t="shared" si="0"/>
        <v>0</v>
      </c>
      <c r="AO13" s="56">
        <f t="shared" si="1"/>
        <v>0</v>
      </c>
    </row>
    <row r="14" spans="1:42" s="4" customFormat="1" ht="17" thickBot="1">
      <c r="A14" s="119"/>
      <c r="B14" s="120" t="s">
        <v>9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114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14"/>
      <c r="AM14" s="115"/>
      <c r="AN14" s="56">
        <f t="shared" ref="AN14:AN23" si="2">AM14*U14</f>
        <v>0</v>
      </c>
      <c r="AO14" s="56">
        <f t="shared" ref="AO14:AO23" si="3">AM14*AL14</f>
        <v>0</v>
      </c>
    </row>
    <row r="15" spans="1:42" ht="17" thickBot="1">
      <c r="A15" s="136" t="s">
        <v>21</v>
      </c>
      <c r="B15" s="118" t="s">
        <v>5</v>
      </c>
      <c r="C15" s="113"/>
      <c r="D15" s="113"/>
      <c r="E15" s="113">
        <v>238080</v>
      </c>
      <c r="F15" s="113">
        <v>1299268</v>
      </c>
      <c r="G15" s="113">
        <v>211232</v>
      </c>
      <c r="H15" s="113">
        <v>923916</v>
      </c>
      <c r="I15" s="113">
        <v>1796018</v>
      </c>
      <c r="J15" s="113">
        <v>452711</v>
      </c>
      <c r="K15" s="113">
        <v>234163</v>
      </c>
      <c r="L15" s="113">
        <v>435305</v>
      </c>
      <c r="M15" s="113">
        <v>93951</v>
      </c>
      <c r="N15" s="113">
        <v>2030276</v>
      </c>
      <c r="O15" s="113">
        <v>666033</v>
      </c>
      <c r="P15" s="113">
        <v>312538</v>
      </c>
      <c r="Q15" s="113">
        <v>633714</v>
      </c>
      <c r="R15" s="113">
        <v>117519</v>
      </c>
      <c r="S15" s="113">
        <v>358</v>
      </c>
      <c r="T15" s="113">
        <v>1792494</v>
      </c>
      <c r="U15" s="114">
        <v>6474993</v>
      </c>
      <c r="V15" s="113">
        <v>762</v>
      </c>
      <c r="W15" s="113">
        <v>188</v>
      </c>
      <c r="X15" s="113">
        <v>362</v>
      </c>
      <c r="Y15" s="113">
        <v>428</v>
      </c>
      <c r="Z15" s="113">
        <v>1740</v>
      </c>
      <c r="AA15" s="113">
        <v>179</v>
      </c>
      <c r="AB15" s="113">
        <v>296</v>
      </c>
      <c r="AC15" s="113">
        <v>296</v>
      </c>
      <c r="AD15" s="113">
        <v>172</v>
      </c>
      <c r="AE15" s="113">
        <v>943</v>
      </c>
      <c r="AF15" s="113">
        <v>290</v>
      </c>
      <c r="AG15" s="113">
        <v>743</v>
      </c>
      <c r="AH15" s="113">
        <v>228</v>
      </c>
      <c r="AI15" s="113">
        <v>145</v>
      </c>
      <c r="AJ15" s="113">
        <v>187</v>
      </c>
      <c r="AK15" s="113">
        <v>1593</v>
      </c>
      <c r="AL15" s="114">
        <v>4276</v>
      </c>
      <c r="AM15" s="115">
        <v>32</v>
      </c>
      <c r="AN15" s="56">
        <f t="shared" si="2"/>
        <v>207199776</v>
      </c>
      <c r="AO15" s="56">
        <f t="shared" si="3"/>
        <v>136832</v>
      </c>
      <c r="AP15" s="4" t="str">
        <f>VLOOKUP(A15,[1]Basic!$B:$F,5,0)</f>
        <v>LP5/5X</v>
      </c>
    </row>
    <row r="16" spans="1:42" ht="17" thickBot="1">
      <c r="A16" s="136"/>
      <c r="B16" s="118" t="s">
        <v>6</v>
      </c>
      <c r="C16" s="113"/>
      <c r="D16" s="113"/>
      <c r="E16" s="113">
        <v>238080</v>
      </c>
      <c r="F16" s="113">
        <v>52000</v>
      </c>
      <c r="G16" s="113">
        <v>0</v>
      </c>
      <c r="H16" s="113">
        <v>0</v>
      </c>
      <c r="I16" s="113">
        <v>290080</v>
      </c>
      <c r="J16" s="113">
        <v>0</v>
      </c>
      <c r="K16" s="113">
        <v>100000</v>
      </c>
      <c r="L16" s="113">
        <v>100000</v>
      </c>
      <c r="M16" s="113">
        <v>300000</v>
      </c>
      <c r="N16" s="113">
        <v>0</v>
      </c>
      <c r="O16" s="113">
        <v>0</v>
      </c>
      <c r="P16" s="113">
        <v>0</v>
      </c>
      <c r="Q16" s="113">
        <v>100000</v>
      </c>
      <c r="R16" s="113">
        <v>300000</v>
      </c>
      <c r="S16" s="113">
        <v>200000</v>
      </c>
      <c r="T16" s="113">
        <v>600000</v>
      </c>
      <c r="U16" s="114">
        <v>0</v>
      </c>
      <c r="V16" s="113">
        <v>100000</v>
      </c>
      <c r="W16" s="113">
        <v>0</v>
      </c>
      <c r="X16" s="113">
        <v>0</v>
      </c>
      <c r="Y16" s="113">
        <v>0</v>
      </c>
      <c r="Z16" s="113">
        <v>200000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4">
        <v>0</v>
      </c>
      <c r="AM16" s="115"/>
      <c r="AN16" s="56">
        <f t="shared" si="2"/>
        <v>0</v>
      </c>
      <c r="AO16" s="56">
        <f t="shared" si="3"/>
        <v>0</v>
      </c>
      <c r="AP16" s="4"/>
    </row>
    <row r="17" spans="1:42" ht="17" thickBot="1">
      <c r="A17" s="136"/>
      <c r="B17" s="118" t="s">
        <v>10</v>
      </c>
      <c r="C17" s="113">
        <v>3107159</v>
      </c>
      <c r="D17" s="113"/>
      <c r="E17" s="113">
        <v>0</v>
      </c>
      <c r="F17" s="113">
        <v>3107159</v>
      </c>
      <c r="G17" s="113">
        <v>0</v>
      </c>
      <c r="H17" s="113">
        <v>0</v>
      </c>
      <c r="I17" s="113">
        <v>388000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4">
        <v>0</v>
      </c>
      <c r="V17" s="113">
        <v>388000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4">
        <v>0</v>
      </c>
      <c r="AM17" s="115"/>
      <c r="AN17" s="56">
        <f t="shared" si="2"/>
        <v>0</v>
      </c>
      <c r="AO17" s="56">
        <f t="shared" si="3"/>
        <v>0</v>
      </c>
      <c r="AP17" s="4"/>
    </row>
    <row r="18" spans="1:42" ht="17" thickBot="1">
      <c r="A18" s="136"/>
      <c r="B18" s="118" t="s">
        <v>7</v>
      </c>
      <c r="C18" s="113"/>
      <c r="D18" s="113"/>
      <c r="E18" s="113">
        <v>238080</v>
      </c>
      <c r="F18" s="113">
        <v>2891159</v>
      </c>
      <c r="G18" s="113">
        <v>203840</v>
      </c>
      <c r="H18" s="113">
        <v>1000</v>
      </c>
      <c r="I18" s="113">
        <v>3334079</v>
      </c>
      <c r="J18" s="113">
        <v>0</v>
      </c>
      <c r="K18" s="113">
        <v>206160</v>
      </c>
      <c r="L18" s="113">
        <v>100000</v>
      </c>
      <c r="M18" s="113">
        <v>300000</v>
      </c>
      <c r="N18" s="113">
        <v>306160</v>
      </c>
      <c r="O18" s="113">
        <v>0</v>
      </c>
      <c r="P18" s="113">
        <v>0</v>
      </c>
      <c r="Q18" s="113">
        <v>100000</v>
      </c>
      <c r="R18" s="113">
        <v>800000</v>
      </c>
      <c r="S18" s="113">
        <v>200000</v>
      </c>
      <c r="T18" s="113">
        <v>1200000</v>
      </c>
      <c r="U18" s="114">
        <v>5696444</v>
      </c>
      <c r="V18" s="113">
        <v>488000</v>
      </c>
      <c r="W18" s="113">
        <v>0</v>
      </c>
      <c r="X18" s="113">
        <v>0</v>
      </c>
      <c r="Y18" s="113">
        <v>0</v>
      </c>
      <c r="Z18" s="113">
        <v>688000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4">
        <v>-761745</v>
      </c>
      <c r="AM18" s="115"/>
      <c r="AN18" s="56">
        <f t="shared" si="2"/>
        <v>0</v>
      </c>
      <c r="AO18" s="56">
        <f t="shared" si="3"/>
        <v>0</v>
      </c>
      <c r="AP18" s="4"/>
    </row>
    <row r="19" spans="1:42" ht="17" thickBot="1">
      <c r="A19" s="136"/>
      <c r="B19" s="118" t="s">
        <v>8</v>
      </c>
      <c r="C19" s="113">
        <v>3913701</v>
      </c>
      <c r="D19" s="113">
        <v>856205</v>
      </c>
      <c r="E19" s="113">
        <v>0</v>
      </c>
      <c r="F19" s="113">
        <v>1682923</v>
      </c>
      <c r="G19" s="113">
        <v>1547546</v>
      </c>
      <c r="H19" s="113">
        <v>671068</v>
      </c>
      <c r="I19" s="113">
        <v>1538061</v>
      </c>
      <c r="J19" s="113">
        <v>273544</v>
      </c>
      <c r="K19" s="113">
        <v>88967</v>
      </c>
      <c r="L19" s="113">
        <v>-246338</v>
      </c>
      <c r="M19" s="113">
        <v>-40289</v>
      </c>
      <c r="N19" s="113">
        <v>-186055</v>
      </c>
      <c r="O19" s="113">
        <v>-614420</v>
      </c>
      <c r="P19" s="113">
        <v>-926958</v>
      </c>
      <c r="Q19" s="113">
        <v>-1460672</v>
      </c>
      <c r="R19" s="113">
        <v>-913448</v>
      </c>
      <c r="S19" s="113">
        <v>-713806</v>
      </c>
      <c r="T19" s="113">
        <v>-778549</v>
      </c>
      <c r="U19" s="114">
        <v>-778549</v>
      </c>
      <c r="V19" s="113">
        <v>-91311</v>
      </c>
      <c r="W19" s="113">
        <v>-91499</v>
      </c>
      <c r="X19" s="113">
        <v>-91861</v>
      </c>
      <c r="Y19" s="113">
        <v>-92113</v>
      </c>
      <c r="Z19" s="113">
        <v>-92289</v>
      </c>
      <c r="AA19" s="113">
        <v>-92468</v>
      </c>
      <c r="AB19" s="113">
        <v>-92764</v>
      </c>
      <c r="AC19" s="113">
        <v>-93060</v>
      </c>
      <c r="AD19" s="113">
        <v>-93232</v>
      </c>
      <c r="AE19" s="113">
        <v>-93232</v>
      </c>
      <c r="AF19" s="113">
        <v>-93522</v>
      </c>
      <c r="AG19" s="113">
        <v>-94265</v>
      </c>
      <c r="AH19" s="113">
        <v>-94493</v>
      </c>
      <c r="AI19" s="113">
        <v>-94638</v>
      </c>
      <c r="AJ19" s="113">
        <v>-94825</v>
      </c>
      <c r="AK19" s="113">
        <v>-94825</v>
      </c>
      <c r="AL19" s="114">
        <v>-94825</v>
      </c>
      <c r="AM19" s="115"/>
      <c r="AN19" s="56">
        <f t="shared" si="2"/>
        <v>0</v>
      </c>
      <c r="AO19" s="56">
        <f t="shared" si="3"/>
        <v>0</v>
      </c>
      <c r="AP19" s="4"/>
    </row>
    <row r="20" spans="1:42" ht="17" thickBot="1">
      <c r="A20" s="121"/>
      <c r="B20" s="120" t="s">
        <v>9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114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14"/>
      <c r="AM20" s="115"/>
      <c r="AN20" s="56">
        <f t="shared" si="2"/>
        <v>0</v>
      </c>
      <c r="AO20" s="56">
        <f t="shared" si="3"/>
        <v>0</v>
      </c>
      <c r="AP20" s="4"/>
    </row>
    <row r="21" spans="1:42" ht="17" thickBot="1">
      <c r="A21" s="136" t="s">
        <v>22</v>
      </c>
      <c r="B21" s="118" t="s">
        <v>5</v>
      </c>
      <c r="C21" s="113"/>
      <c r="D21" s="113"/>
      <c r="E21" s="113">
        <v>58440</v>
      </c>
      <c r="F21" s="113">
        <v>224911</v>
      </c>
      <c r="G21" s="113">
        <v>33430</v>
      </c>
      <c r="H21" s="113">
        <v>132913</v>
      </c>
      <c r="I21" s="113">
        <v>334058</v>
      </c>
      <c r="J21" s="113">
        <v>89953</v>
      </c>
      <c r="K21" s="113">
        <v>63018</v>
      </c>
      <c r="L21" s="113">
        <v>37027</v>
      </c>
      <c r="M21" s="113">
        <v>13218</v>
      </c>
      <c r="N21" s="113">
        <v>318702</v>
      </c>
      <c r="O21" s="113">
        <v>68744</v>
      </c>
      <c r="P21" s="113">
        <v>38801</v>
      </c>
      <c r="Q21" s="113">
        <v>52094</v>
      </c>
      <c r="R21" s="113">
        <v>11691</v>
      </c>
      <c r="S21" s="113">
        <v>69</v>
      </c>
      <c r="T21" s="113">
        <v>171549</v>
      </c>
      <c r="U21" s="114">
        <v>997987</v>
      </c>
      <c r="V21" s="113">
        <v>8</v>
      </c>
      <c r="W21" s="113">
        <v>0</v>
      </c>
      <c r="X21" s="113">
        <v>142</v>
      </c>
      <c r="Y21" s="113">
        <v>116</v>
      </c>
      <c r="Z21" s="113">
        <v>266</v>
      </c>
      <c r="AA21" s="113">
        <v>140</v>
      </c>
      <c r="AB21" s="113">
        <v>140</v>
      </c>
      <c r="AC21" s="113">
        <v>277</v>
      </c>
      <c r="AD21" s="113">
        <v>89</v>
      </c>
      <c r="AE21" s="113">
        <v>646</v>
      </c>
      <c r="AF21" s="113">
        <v>41</v>
      </c>
      <c r="AG21" s="113">
        <v>28</v>
      </c>
      <c r="AH21" s="113">
        <v>36</v>
      </c>
      <c r="AI21" s="113">
        <v>0</v>
      </c>
      <c r="AJ21" s="113">
        <v>0</v>
      </c>
      <c r="AK21" s="113">
        <v>105</v>
      </c>
      <c r="AL21" s="114">
        <v>1017</v>
      </c>
      <c r="AM21" s="115">
        <v>64</v>
      </c>
      <c r="AN21" s="56">
        <f t="shared" si="2"/>
        <v>63871168</v>
      </c>
      <c r="AO21" s="56">
        <f t="shared" si="3"/>
        <v>65088</v>
      </c>
      <c r="AP21" s="4" t="s">
        <v>130</v>
      </c>
    </row>
    <row r="22" spans="1:42" ht="17" thickBot="1">
      <c r="A22" s="136"/>
      <c r="B22" s="118" t="s">
        <v>6</v>
      </c>
      <c r="C22" s="113"/>
      <c r="D22" s="113"/>
      <c r="E22" s="113">
        <v>58440</v>
      </c>
      <c r="F22" s="113">
        <v>0</v>
      </c>
      <c r="G22" s="113">
        <v>0</v>
      </c>
      <c r="H22" s="113">
        <v>0</v>
      </c>
      <c r="I22" s="113">
        <v>58440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60000</v>
      </c>
      <c r="T22" s="113">
        <v>0</v>
      </c>
      <c r="U22" s="114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4">
        <v>0</v>
      </c>
      <c r="AM22" s="115"/>
      <c r="AN22" s="56">
        <f t="shared" si="2"/>
        <v>0</v>
      </c>
      <c r="AO22" s="56">
        <f t="shared" si="3"/>
        <v>0</v>
      </c>
      <c r="AP22" s="4"/>
    </row>
    <row r="23" spans="1:42" ht="17" thickBot="1">
      <c r="A23" s="136"/>
      <c r="B23" s="118" t="s">
        <v>10</v>
      </c>
      <c r="C23" s="113">
        <v>621014</v>
      </c>
      <c r="D23" s="113"/>
      <c r="E23" s="113">
        <v>0</v>
      </c>
      <c r="F23" s="113">
        <v>594014</v>
      </c>
      <c r="G23" s="113">
        <v>0</v>
      </c>
      <c r="H23" s="113">
        <v>0</v>
      </c>
      <c r="I23" s="113">
        <v>137574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4">
        <v>0</v>
      </c>
      <c r="V23" s="113">
        <v>137574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4">
        <v>0</v>
      </c>
      <c r="AM23" s="115"/>
      <c r="AN23" s="56">
        <f t="shared" si="2"/>
        <v>0</v>
      </c>
      <c r="AO23" s="56">
        <f t="shared" si="3"/>
        <v>0</v>
      </c>
      <c r="AP23" s="4"/>
    </row>
    <row r="24" spans="1:42" ht="17" thickBot="1">
      <c r="A24" s="136"/>
      <c r="B24" s="118" t="s">
        <v>7</v>
      </c>
      <c r="C24" s="113"/>
      <c r="D24" s="113"/>
      <c r="E24" s="113">
        <v>58440</v>
      </c>
      <c r="F24" s="113">
        <v>565440</v>
      </c>
      <c r="G24" s="113">
        <v>0</v>
      </c>
      <c r="H24" s="113">
        <v>46000</v>
      </c>
      <c r="I24" s="113">
        <v>669880</v>
      </c>
      <c r="J24" s="113">
        <v>0</v>
      </c>
      <c r="K24" s="113">
        <v>48000</v>
      </c>
      <c r="L24" s="113">
        <v>0</v>
      </c>
      <c r="M24" s="113">
        <v>0</v>
      </c>
      <c r="N24" s="113">
        <v>48000</v>
      </c>
      <c r="O24" s="113">
        <v>0</v>
      </c>
      <c r="P24" s="113">
        <v>0</v>
      </c>
      <c r="Q24" s="113">
        <v>0</v>
      </c>
      <c r="R24" s="113">
        <v>80000</v>
      </c>
      <c r="S24" s="113">
        <v>60000</v>
      </c>
      <c r="T24" s="113">
        <v>140000</v>
      </c>
      <c r="U24" s="114">
        <v>1031558</v>
      </c>
      <c r="V24" s="113">
        <v>137574</v>
      </c>
      <c r="W24" s="113">
        <v>0</v>
      </c>
      <c r="X24" s="113">
        <v>0</v>
      </c>
      <c r="Y24" s="113">
        <v>0</v>
      </c>
      <c r="Z24" s="113">
        <v>137574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4">
        <v>52622</v>
      </c>
      <c r="AM24" s="115"/>
      <c r="AN24" s="56">
        <f t="shared" ref="AN24:AN26" si="4">AM24*U24</f>
        <v>0</v>
      </c>
      <c r="AO24" s="56">
        <f t="shared" ref="AO24:AO26" si="5">AM24*AL24</f>
        <v>0</v>
      </c>
      <c r="AP24" s="4"/>
    </row>
    <row r="25" spans="1:42" ht="17" thickBot="1">
      <c r="A25" s="136"/>
      <c r="B25" s="118" t="s">
        <v>8</v>
      </c>
      <c r="C25" s="113">
        <v>808658</v>
      </c>
      <c r="D25" s="113">
        <v>173678</v>
      </c>
      <c r="E25" s="113">
        <v>0</v>
      </c>
      <c r="F25" s="113">
        <v>323874</v>
      </c>
      <c r="G25" s="113">
        <v>316190</v>
      </c>
      <c r="H25" s="113">
        <v>200532</v>
      </c>
      <c r="I25" s="113">
        <v>335822</v>
      </c>
      <c r="J25" s="113">
        <v>130901</v>
      </c>
      <c r="K25" s="113">
        <v>87643</v>
      </c>
      <c r="L25" s="113">
        <v>50616</v>
      </c>
      <c r="M25" s="113">
        <v>37398</v>
      </c>
      <c r="N25" s="113">
        <v>65120</v>
      </c>
      <c r="O25" s="113">
        <v>-3774</v>
      </c>
      <c r="P25" s="113">
        <v>-42575</v>
      </c>
      <c r="Q25" s="113">
        <v>-94669</v>
      </c>
      <c r="R25" s="113">
        <v>-111015</v>
      </c>
      <c r="S25" s="113">
        <v>-51084</v>
      </c>
      <c r="T25" s="113">
        <v>33571</v>
      </c>
      <c r="U25" s="114">
        <v>33571</v>
      </c>
      <c r="V25" s="113">
        <v>171137</v>
      </c>
      <c r="W25" s="113">
        <v>171137</v>
      </c>
      <c r="X25" s="113">
        <v>170995</v>
      </c>
      <c r="Y25" s="113">
        <v>171021</v>
      </c>
      <c r="Z25" s="113">
        <v>170879</v>
      </c>
      <c r="AA25" s="113">
        <v>170739</v>
      </c>
      <c r="AB25" s="113">
        <v>170599</v>
      </c>
      <c r="AC25" s="113">
        <v>170322</v>
      </c>
      <c r="AD25" s="113">
        <v>170233</v>
      </c>
      <c r="AE25" s="113">
        <v>170233</v>
      </c>
      <c r="AF25" s="113">
        <v>170192</v>
      </c>
      <c r="AG25" s="113">
        <v>170164</v>
      </c>
      <c r="AH25" s="113">
        <v>170128</v>
      </c>
      <c r="AI25" s="113">
        <v>170128</v>
      </c>
      <c r="AJ25" s="113">
        <v>170128</v>
      </c>
      <c r="AK25" s="113">
        <v>170128</v>
      </c>
      <c r="AL25" s="114">
        <v>170128</v>
      </c>
      <c r="AM25" s="115"/>
      <c r="AN25" s="56">
        <f t="shared" si="4"/>
        <v>0</v>
      </c>
      <c r="AO25" s="56">
        <f t="shared" si="5"/>
        <v>0</v>
      </c>
      <c r="AP25" s="4"/>
    </row>
    <row r="26" spans="1:42" ht="17" thickBot="1">
      <c r="A26" s="119"/>
      <c r="B26" s="120" t="s">
        <v>9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114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14"/>
      <c r="AM26" s="115"/>
      <c r="AN26" s="56">
        <f t="shared" si="4"/>
        <v>0</v>
      </c>
      <c r="AO26" s="56">
        <f t="shared" si="5"/>
        <v>0</v>
      </c>
      <c r="AP26" s="4"/>
    </row>
    <row r="27" spans="1:42" ht="17" thickBot="1">
      <c r="A27" s="136" t="s">
        <v>117</v>
      </c>
      <c r="B27" s="112" t="s">
        <v>5</v>
      </c>
      <c r="C27" s="113"/>
      <c r="D27" s="113"/>
      <c r="E27" s="113">
        <v>0</v>
      </c>
      <c r="F27" s="113">
        <v>-270</v>
      </c>
      <c r="G27" s="113">
        <v>45</v>
      </c>
      <c r="H27" s="113">
        <v>45</v>
      </c>
      <c r="I27" s="113">
        <v>-180</v>
      </c>
      <c r="J27" s="113">
        <v>45</v>
      </c>
      <c r="K27" s="113">
        <v>47</v>
      </c>
      <c r="L27" s="113">
        <v>0</v>
      </c>
      <c r="M27" s="113">
        <v>0</v>
      </c>
      <c r="N27" s="113">
        <v>92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4">
        <v>-88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47</v>
      </c>
      <c r="AB27" s="113">
        <v>42</v>
      </c>
      <c r="AC27" s="113">
        <v>0</v>
      </c>
      <c r="AD27" s="113">
        <v>0</v>
      </c>
      <c r="AE27" s="113">
        <v>89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4">
        <v>89</v>
      </c>
      <c r="AM27" s="115">
        <v>32</v>
      </c>
      <c r="AN27" s="56">
        <f t="shared" ref="AN27:AN67" si="6">AM27*U27</f>
        <v>-2816</v>
      </c>
      <c r="AO27" s="56">
        <f t="shared" ref="AO27:AO67" si="7">AM27*AL27</f>
        <v>2848</v>
      </c>
      <c r="AP27" s="4" t="s">
        <v>132</v>
      </c>
    </row>
    <row r="28" spans="1:42" ht="17" thickBot="1">
      <c r="A28" s="136"/>
      <c r="B28" s="112" t="s">
        <v>6</v>
      </c>
      <c r="C28" s="113"/>
      <c r="D28" s="113"/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4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4">
        <v>0</v>
      </c>
      <c r="AM28" s="115"/>
      <c r="AN28" s="56">
        <f t="shared" si="6"/>
        <v>0</v>
      </c>
      <c r="AO28" s="56">
        <f t="shared" si="7"/>
        <v>0</v>
      </c>
      <c r="AP28" s="4"/>
    </row>
    <row r="29" spans="1:42" ht="17" thickBot="1">
      <c r="A29" s="136"/>
      <c r="B29" s="112" t="s">
        <v>10</v>
      </c>
      <c r="C29" s="113">
        <v>0</v>
      </c>
      <c r="D29" s="113"/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4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</v>
      </c>
      <c r="AL29" s="114">
        <v>0</v>
      </c>
      <c r="AM29" s="115"/>
      <c r="AN29" s="56">
        <f t="shared" si="6"/>
        <v>0</v>
      </c>
      <c r="AO29" s="56">
        <f t="shared" si="7"/>
        <v>0</v>
      </c>
      <c r="AP29" s="4"/>
    </row>
    <row r="30" spans="1:42" ht="17" thickBot="1">
      <c r="A30" s="136"/>
      <c r="B30" s="112" t="s">
        <v>7</v>
      </c>
      <c r="C30" s="113"/>
      <c r="D30" s="113"/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4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4">
        <v>107</v>
      </c>
      <c r="AM30" s="115"/>
      <c r="AN30" s="56">
        <f t="shared" si="6"/>
        <v>0</v>
      </c>
      <c r="AO30" s="56">
        <f t="shared" si="7"/>
        <v>0</v>
      </c>
      <c r="AP30" s="4"/>
    </row>
    <row r="31" spans="1:42" ht="17" thickBot="1">
      <c r="A31" s="136"/>
      <c r="B31" s="112" t="s">
        <v>8</v>
      </c>
      <c r="C31" s="113">
        <v>315</v>
      </c>
      <c r="D31" s="113">
        <v>0</v>
      </c>
      <c r="E31" s="113">
        <v>0</v>
      </c>
      <c r="F31" s="113">
        <v>270</v>
      </c>
      <c r="G31" s="113">
        <v>225</v>
      </c>
      <c r="H31" s="113">
        <v>180</v>
      </c>
      <c r="I31" s="113">
        <v>180</v>
      </c>
      <c r="J31" s="113">
        <v>135</v>
      </c>
      <c r="K31" s="113">
        <v>88</v>
      </c>
      <c r="L31" s="113">
        <v>88</v>
      </c>
      <c r="M31" s="113">
        <v>88</v>
      </c>
      <c r="N31" s="113">
        <v>88</v>
      </c>
      <c r="O31" s="113">
        <v>88</v>
      </c>
      <c r="P31" s="113">
        <v>88</v>
      </c>
      <c r="Q31" s="113">
        <v>88</v>
      </c>
      <c r="R31" s="113">
        <v>88</v>
      </c>
      <c r="S31" s="113">
        <v>88</v>
      </c>
      <c r="T31" s="113">
        <v>88</v>
      </c>
      <c r="U31" s="114">
        <v>88</v>
      </c>
      <c r="V31" s="113">
        <v>88</v>
      </c>
      <c r="W31" s="113">
        <v>88</v>
      </c>
      <c r="X31" s="113">
        <v>88</v>
      </c>
      <c r="Y31" s="113">
        <v>88</v>
      </c>
      <c r="Z31" s="113">
        <v>88</v>
      </c>
      <c r="AA31" s="113">
        <v>41</v>
      </c>
      <c r="AB31" s="113">
        <v>-1</v>
      </c>
      <c r="AC31" s="113">
        <v>-1</v>
      </c>
      <c r="AD31" s="113">
        <v>-1</v>
      </c>
      <c r="AE31" s="113">
        <v>-1</v>
      </c>
      <c r="AF31" s="113">
        <v>-1</v>
      </c>
      <c r="AG31" s="113">
        <v>-1</v>
      </c>
      <c r="AH31" s="113">
        <v>-1</v>
      </c>
      <c r="AI31" s="113">
        <v>-1</v>
      </c>
      <c r="AJ31" s="113">
        <v>-1</v>
      </c>
      <c r="AK31" s="113">
        <v>-1</v>
      </c>
      <c r="AL31" s="114">
        <v>-1</v>
      </c>
      <c r="AM31" s="115"/>
      <c r="AN31" s="56">
        <f t="shared" si="6"/>
        <v>0</v>
      </c>
      <c r="AO31" s="56">
        <f t="shared" si="7"/>
        <v>0</v>
      </c>
      <c r="AP31" s="4"/>
    </row>
    <row r="32" spans="1:42" ht="17" thickBot="1">
      <c r="A32" s="116"/>
      <c r="B32" s="117" t="s">
        <v>9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114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14"/>
      <c r="AM32" s="115"/>
      <c r="AN32" s="56">
        <f t="shared" si="6"/>
        <v>0</v>
      </c>
      <c r="AO32" s="56">
        <f t="shared" si="7"/>
        <v>0</v>
      </c>
      <c r="AP32" s="4"/>
    </row>
    <row r="33" spans="1:42" ht="17" thickBot="1">
      <c r="A33" s="136" t="s">
        <v>11</v>
      </c>
      <c r="B33" s="112" t="s">
        <v>5</v>
      </c>
      <c r="C33" s="113"/>
      <c r="D33" s="113"/>
      <c r="E33" s="113">
        <v>21000</v>
      </c>
      <c r="F33" s="113">
        <v>-8780</v>
      </c>
      <c r="G33" s="113">
        <v>14426</v>
      </c>
      <c r="H33" s="113">
        <v>11027</v>
      </c>
      <c r="I33" s="113">
        <v>34158</v>
      </c>
      <c r="J33" s="113">
        <v>14802</v>
      </c>
      <c r="K33" s="113">
        <v>17903</v>
      </c>
      <c r="L33" s="113">
        <v>8888</v>
      </c>
      <c r="M33" s="113">
        <v>20124</v>
      </c>
      <c r="N33" s="113">
        <v>53119</v>
      </c>
      <c r="O33" s="113">
        <v>7757</v>
      </c>
      <c r="P33" s="113">
        <v>20087</v>
      </c>
      <c r="Q33" s="113">
        <v>9545</v>
      </c>
      <c r="R33" s="113">
        <v>21309</v>
      </c>
      <c r="S33" s="113">
        <v>5804</v>
      </c>
      <c r="T33" s="113">
        <v>75530</v>
      </c>
      <c r="U33" s="114">
        <v>229341</v>
      </c>
      <c r="V33" s="113">
        <v>1296</v>
      </c>
      <c r="W33" s="113">
        <v>2019</v>
      </c>
      <c r="X33" s="113">
        <v>2246</v>
      </c>
      <c r="Y33" s="113">
        <v>2336</v>
      </c>
      <c r="Z33" s="113">
        <v>8982</v>
      </c>
      <c r="AA33" s="113">
        <v>3573</v>
      </c>
      <c r="AB33" s="113">
        <v>6989</v>
      </c>
      <c r="AC33" s="113">
        <v>4649</v>
      </c>
      <c r="AD33" s="113">
        <v>4780</v>
      </c>
      <c r="AE33" s="113">
        <v>19991</v>
      </c>
      <c r="AF33" s="113">
        <v>2882</v>
      </c>
      <c r="AG33" s="113">
        <v>4827</v>
      </c>
      <c r="AH33" s="113">
        <v>5086</v>
      </c>
      <c r="AI33" s="113">
        <v>4796</v>
      </c>
      <c r="AJ33" s="113">
        <v>4195</v>
      </c>
      <c r="AK33" s="113">
        <v>21786</v>
      </c>
      <c r="AL33" s="114">
        <v>50759</v>
      </c>
      <c r="AM33" s="115">
        <v>32</v>
      </c>
      <c r="AN33" s="56">
        <f t="shared" si="6"/>
        <v>7338912</v>
      </c>
      <c r="AO33" s="56">
        <f t="shared" si="7"/>
        <v>1624288</v>
      </c>
      <c r="AP33" s="4" t="str">
        <f>VLOOKUP(A33,[1]Basic!$B:$F,5,0)</f>
        <v>D4 4GB</v>
      </c>
    </row>
    <row r="34" spans="1:42" ht="17" thickBot="1">
      <c r="A34" s="136"/>
      <c r="B34" s="112" t="s">
        <v>6</v>
      </c>
      <c r="C34" s="113"/>
      <c r="D34" s="113"/>
      <c r="E34" s="113">
        <v>21000</v>
      </c>
      <c r="F34" s="113">
        <v>0</v>
      </c>
      <c r="G34" s="113">
        <v>1000</v>
      </c>
      <c r="H34" s="113">
        <v>2000</v>
      </c>
      <c r="I34" s="113">
        <v>24000</v>
      </c>
      <c r="J34" s="113">
        <v>30500</v>
      </c>
      <c r="K34" s="113">
        <v>0</v>
      </c>
      <c r="L34" s="113">
        <v>0</v>
      </c>
      <c r="M34" s="113">
        <v>43000</v>
      </c>
      <c r="N34" s="113">
        <v>30500</v>
      </c>
      <c r="O34" s="113">
        <v>8000</v>
      </c>
      <c r="P34" s="113">
        <v>0</v>
      </c>
      <c r="Q34" s="113">
        <v>66000</v>
      </c>
      <c r="R34" s="113">
        <v>48000</v>
      </c>
      <c r="S34" s="113">
        <v>43000</v>
      </c>
      <c r="T34" s="113">
        <v>203000</v>
      </c>
      <c r="U34" s="114">
        <v>103000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0</v>
      </c>
      <c r="AI34" s="113">
        <v>0</v>
      </c>
      <c r="AJ34" s="113">
        <v>30000</v>
      </c>
      <c r="AK34" s="113">
        <v>30000</v>
      </c>
      <c r="AL34" s="114">
        <v>30000</v>
      </c>
      <c r="AM34" s="115"/>
      <c r="AN34" s="56">
        <f t="shared" si="6"/>
        <v>0</v>
      </c>
      <c r="AO34" s="56">
        <f t="shared" si="7"/>
        <v>0</v>
      </c>
      <c r="AP34" s="4"/>
    </row>
    <row r="35" spans="1:42" ht="17" thickBot="1">
      <c r="A35" s="136"/>
      <c r="B35" s="112" t="s">
        <v>10</v>
      </c>
      <c r="C35" s="113">
        <v>33375</v>
      </c>
      <c r="D35" s="113"/>
      <c r="E35" s="113">
        <v>0</v>
      </c>
      <c r="F35" s="113">
        <v>33375</v>
      </c>
      <c r="G35" s="113">
        <v>28000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4">
        <v>0</v>
      </c>
      <c r="V35" s="113">
        <v>54559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4">
        <v>0</v>
      </c>
      <c r="AM35" s="115"/>
      <c r="AN35" s="56">
        <f t="shared" si="6"/>
        <v>0</v>
      </c>
      <c r="AO35" s="56">
        <f t="shared" si="7"/>
        <v>0</v>
      </c>
      <c r="AP35" s="4"/>
    </row>
    <row r="36" spans="1:42" ht="17" thickBot="1">
      <c r="A36" s="136"/>
      <c r="B36" s="112" t="s">
        <v>7</v>
      </c>
      <c r="C36" s="113"/>
      <c r="D36" s="113"/>
      <c r="E36" s="113">
        <v>21000</v>
      </c>
      <c r="F36" s="113">
        <v>83500</v>
      </c>
      <c r="G36" s="113">
        <v>138475</v>
      </c>
      <c r="H36" s="113">
        <v>0</v>
      </c>
      <c r="I36" s="113">
        <v>242975</v>
      </c>
      <c r="J36" s="113">
        <v>30500</v>
      </c>
      <c r="K36" s="113">
        <v>22250</v>
      </c>
      <c r="L36" s="113">
        <v>0</v>
      </c>
      <c r="M36" s="113">
        <v>43000</v>
      </c>
      <c r="N36" s="113">
        <v>55750</v>
      </c>
      <c r="O36" s="113">
        <v>8000</v>
      </c>
      <c r="P36" s="113">
        <v>0</v>
      </c>
      <c r="Q36" s="113">
        <v>66000</v>
      </c>
      <c r="R36" s="113">
        <v>96000</v>
      </c>
      <c r="S36" s="113">
        <v>43000</v>
      </c>
      <c r="T36" s="113">
        <v>253000</v>
      </c>
      <c r="U36" s="114">
        <v>618259</v>
      </c>
      <c r="V36" s="113">
        <v>54559</v>
      </c>
      <c r="W36" s="113">
        <v>0</v>
      </c>
      <c r="X36" s="113">
        <v>0</v>
      </c>
      <c r="Y36" s="113">
        <v>0</v>
      </c>
      <c r="Z36" s="113">
        <v>54559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</v>
      </c>
      <c r="AJ36" s="113">
        <v>30000</v>
      </c>
      <c r="AK36" s="113">
        <v>30000</v>
      </c>
      <c r="AL36" s="114">
        <v>168066</v>
      </c>
      <c r="AM36" s="115"/>
      <c r="AN36" s="56">
        <f t="shared" si="6"/>
        <v>0</v>
      </c>
      <c r="AO36" s="56">
        <f t="shared" si="7"/>
        <v>0</v>
      </c>
      <c r="AP36" s="4"/>
    </row>
    <row r="37" spans="1:42" ht="17" thickBot="1">
      <c r="A37" s="136"/>
      <c r="B37" s="112" t="s">
        <v>8</v>
      </c>
      <c r="C37" s="113">
        <v>108979</v>
      </c>
      <c r="D37" s="113">
        <v>66534</v>
      </c>
      <c r="E37" s="113">
        <v>0</v>
      </c>
      <c r="F37" s="113">
        <v>42394</v>
      </c>
      <c r="G37" s="113">
        <v>56360</v>
      </c>
      <c r="H37" s="113">
        <v>45781</v>
      </c>
      <c r="I37" s="113">
        <v>208817</v>
      </c>
      <c r="J37" s="113">
        <v>61832</v>
      </c>
      <c r="K37" s="113">
        <v>44357</v>
      </c>
      <c r="L37" s="113">
        <v>35469</v>
      </c>
      <c r="M37" s="113">
        <v>58345</v>
      </c>
      <c r="N37" s="113">
        <v>211448</v>
      </c>
      <c r="O37" s="113">
        <v>239578</v>
      </c>
      <c r="P37" s="113">
        <v>219491</v>
      </c>
      <c r="Q37" s="113">
        <v>275946</v>
      </c>
      <c r="R37" s="113">
        <v>288243</v>
      </c>
      <c r="S37" s="113">
        <v>325439</v>
      </c>
      <c r="T37" s="113">
        <v>388918</v>
      </c>
      <c r="U37" s="114">
        <v>388918</v>
      </c>
      <c r="V37" s="113">
        <v>441096</v>
      </c>
      <c r="W37" s="113">
        <v>439077</v>
      </c>
      <c r="X37" s="113">
        <v>436831</v>
      </c>
      <c r="Y37" s="113">
        <v>435449</v>
      </c>
      <c r="Z37" s="113">
        <v>434495</v>
      </c>
      <c r="AA37" s="113">
        <v>430922</v>
      </c>
      <c r="AB37" s="113">
        <v>423933</v>
      </c>
      <c r="AC37" s="113">
        <v>419284</v>
      </c>
      <c r="AD37" s="113">
        <v>414504</v>
      </c>
      <c r="AE37" s="113">
        <v>414504</v>
      </c>
      <c r="AF37" s="113">
        <v>411622</v>
      </c>
      <c r="AG37" s="113">
        <v>406795</v>
      </c>
      <c r="AH37" s="113">
        <v>401709</v>
      </c>
      <c r="AI37" s="113">
        <v>396913</v>
      </c>
      <c r="AJ37" s="113">
        <v>422718</v>
      </c>
      <c r="AK37" s="113">
        <v>422718</v>
      </c>
      <c r="AL37" s="114">
        <v>422718</v>
      </c>
      <c r="AM37" s="115"/>
      <c r="AN37" s="56">
        <f t="shared" si="6"/>
        <v>0</v>
      </c>
      <c r="AO37" s="56">
        <f t="shared" si="7"/>
        <v>0</v>
      </c>
      <c r="AP37" s="4"/>
    </row>
    <row r="38" spans="1:42" ht="17" thickBot="1">
      <c r="A38" s="116"/>
      <c r="B38" s="117" t="s">
        <v>9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14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114"/>
      <c r="AM38" s="115"/>
      <c r="AN38" s="56">
        <f t="shared" si="6"/>
        <v>0</v>
      </c>
      <c r="AO38" s="56">
        <f t="shared" si="7"/>
        <v>0</v>
      </c>
      <c r="AP38" s="4"/>
    </row>
    <row r="39" spans="1:42" ht="17" thickBot="1">
      <c r="A39" s="136" t="s">
        <v>93</v>
      </c>
      <c r="B39" s="112" t="s">
        <v>5</v>
      </c>
      <c r="C39" s="113"/>
      <c r="D39" s="113"/>
      <c r="E39" s="113">
        <v>0</v>
      </c>
      <c r="F39" s="113">
        <v>-226</v>
      </c>
      <c r="G39" s="113">
        <v>273</v>
      </c>
      <c r="H39" s="113">
        <v>260</v>
      </c>
      <c r="I39" s="113">
        <v>307</v>
      </c>
      <c r="J39" s="113">
        <v>274</v>
      </c>
      <c r="K39" s="113">
        <v>274</v>
      </c>
      <c r="L39" s="113">
        <v>14</v>
      </c>
      <c r="M39" s="113">
        <v>19</v>
      </c>
      <c r="N39" s="113">
        <v>581</v>
      </c>
      <c r="O39" s="113">
        <v>0</v>
      </c>
      <c r="P39" s="113">
        <v>28</v>
      </c>
      <c r="Q39" s="113">
        <v>20</v>
      </c>
      <c r="R39" s="113">
        <v>38</v>
      </c>
      <c r="S39" s="113">
        <v>0</v>
      </c>
      <c r="T39" s="113">
        <v>86</v>
      </c>
      <c r="U39" s="114">
        <v>974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274</v>
      </c>
      <c r="AB39" s="113">
        <v>274</v>
      </c>
      <c r="AC39" s="113">
        <v>14</v>
      </c>
      <c r="AD39" s="113">
        <v>19</v>
      </c>
      <c r="AE39" s="113">
        <v>581</v>
      </c>
      <c r="AF39" s="113">
        <v>0</v>
      </c>
      <c r="AG39" s="113">
        <v>28</v>
      </c>
      <c r="AH39" s="113">
        <v>20</v>
      </c>
      <c r="AI39" s="113">
        <v>38</v>
      </c>
      <c r="AJ39" s="113">
        <v>0</v>
      </c>
      <c r="AK39" s="113">
        <v>86</v>
      </c>
      <c r="AL39" s="114">
        <v>667</v>
      </c>
      <c r="AM39" s="115">
        <v>64</v>
      </c>
      <c r="AN39" s="56">
        <f t="shared" si="6"/>
        <v>62336</v>
      </c>
      <c r="AO39" s="56">
        <f t="shared" si="7"/>
        <v>42688</v>
      </c>
      <c r="AP39" s="4" t="s">
        <v>133</v>
      </c>
    </row>
    <row r="40" spans="1:42" ht="17" thickBot="1">
      <c r="A40" s="136"/>
      <c r="B40" s="112" t="s">
        <v>6</v>
      </c>
      <c r="C40" s="113"/>
      <c r="D40" s="113"/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4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4">
        <v>0</v>
      </c>
      <c r="AM40" s="115"/>
      <c r="AN40" s="56">
        <f t="shared" si="6"/>
        <v>0</v>
      </c>
      <c r="AO40" s="56">
        <f t="shared" si="7"/>
        <v>0</v>
      </c>
      <c r="AP40" s="4"/>
    </row>
    <row r="41" spans="1:42" ht="17" thickBot="1">
      <c r="A41" s="136"/>
      <c r="B41" s="112" t="s">
        <v>10</v>
      </c>
      <c r="C41" s="113">
        <v>0</v>
      </c>
      <c r="D41" s="113"/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113">
        <v>0</v>
      </c>
      <c r="T41" s="113">
        <v>0</v>
      </c>
      <c r="U41" s="114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4">
        <v>0</v>
      </c>
      <c r="AM41" s="115"/>
      <c r="AN41" s="56">
        <f t="shared" si="6"/>
        <v>0</v>
      </c>
      <c r="AO41" s="56">
        <f t="shared" si="7"/>
        <v>0</v>
      </c>
      <c r="AP41" s="4"/>
    </row>
    <row r="42" spans="1:42" ht="17" thickBot="1">
      <c r="A42" s="136"/>
      <c r="B42" s="112" t="s">
        <v>7</v>
      </c>
      <c r="C42" s="113"/>
      <c r="D42" s="113"/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4">
        <v>0</v>
      </c>
      <c r="V42" s="113">
        <v>0</v>
      </c>
      <c r="W42" s="113">
        <v>0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4">
        <v>244</v>
      </c>
      <c r="AM42" s="115"/>
      <c r="AN42" s="56">
        <f t="shared" si="6"/>
        <v>0</v>
      </c>
      <c r="AO42" s="56">
        <f t="shared" si="7"/>
        <v>0</v>
      </c>
      <c r="AP42" s="4"/>
    </row>
    <row r="43" spans="1:42" ht="17" thickBot="1">
      <c r="A43" s="136"/>
      <c r="B43" s="112" t="s">
        <v>8</v>
      </c>
      <c r="C43" s="113">
        <v>941</v>
      </c>
      <c r="D43" s="113">
        <v>0</v>
      </c>
      <c r="E43" s="113">
        <v>0</v>
      </c>
      <c r="F43" s="113">
        <v>226</v>
      </c>
      <c r="G43" s="113">
        <v>-47</v>
      </c>
      <c r="H43" s="113">
        <v>-307</v>
      </c>
      <c r="I43" s="113">
        <v>-307</v>
      </c>
      <c r="J43" s="113">
        <v>-581</v>
      </c>
      <c r="K43" s="113">
        <v>-855</v>
      </c>
      <c r="L43" s="113">
        <v>-869</v>
      </c>
      <c r="M43" s="113">
        <v>-888</v>
      </c>
      <c r="N43" s="113">
        <v>-888</v>
      </c>
      <c r="O43" s="113">
        <v>-888</v>
      </c>
      <c r="P43" s="113">
        <v>-916</v>
      </c>
      <c r="Q43" s="113">
        <v>-936</v>
      </c>
      <c r="R43" s="113">
        <v>-974</v>
      </c>
      <c r="S43" s="113">
        <v>-974</v>
      </c>
      <c r="T43" s="113">
        <v>-974</v>
      </c>
      <c r="U43" s="114">
        <v>-974</v>
      </c>
      <c r="V43" s="113">
        <v>-974</v>
      </c>
      <c r="W43" s="113">
        <v>-974</v>
      </c>
      <c r="X43" s="113">
        <v>-974</v>
      </c>
      <c r="Y43" s="113">
        <v>-974</v>
      </c>
      <c r="Z43" s="113">
        <v>-974</v>
      </c>
      <c r="AA43" s="113">
        <v>-1248</v>
      </c>
      <c r="AB43" s="113">
        <v>-1522</v>
      </c>
      <c r="AC43" s="113">
        <v>-1536</v>
      </c>
      <c r="AD43" s="113">
        <v>-1555</v>
      </c>
      <c r="AE43" s="113">
        <v>-1555</v>
      </c>
      <c r="AF43" s="113">
        <v>-1555</v>
      </c>
      <c r="AG43" s="113">
        <v>-1583</v>
      </c>
      <c r="AH43" s="113">
        <v>-1603</v>
      </c>
      <c r="AI43" s="113">
        <v>-1641</v>
      </c>
      <c r="AJ43" s="113">
        <v>-1641</v>
      </c>
      <c r="AK43" s="113">
        <v>-1641</v>
      </c>
      <c r="AL43" s="114">
        <v>-1641</v>
      </c>
      <c r="AM43" s="115"/>
      <c r="AN43" s="56">
        <f t="shared" si="6"/>
        <v>0</v>
      </c>
      <c r="AO43" s="56">
        <f t="shared" si="7"/>
        <v>0</v>
      </c>
      <c r="AP43" s="4"/>
    </row>
    <row r="44" spans="1:42" ht="17" thickBot="1">
      <c r="A44" s="116"/>
      <c r="B44" s="117" t="s">
        <v>9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114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114"/>
      <c r="AM44" s="115"/>
      <c r="AN44" s="56">
        <f t="shared" si="6"/>
        <v>0</v>
      </c>
      <c r="AO44" s="56">
        <f t="shared" si="7"/>
        <v>0</v>
      </c>
      <c r="AP44" s="4"/>
    </row>
    <row r="45" spans="1:42" ht="17" thickBot="1">
      <c r="A45" s="136" t="s">
        <v>12</v>
      </c>
      <c r="B45" s="112" t="s">
        <v>5</v>
      </c>
      <c r="C45" s="113"/>
      <c r="D45" s="113"/>
      <c r="E45" s="113">
        <v>20000</v>
      </c>
      <c r="F45" s="113">
        <v>2104</v>
      </c>
      <c r="G45" s="113">
        <v>26555</v>
      </c>
      <c r="H45" s="113">
        <v>40565</v>
      </c>
      <c r="I45" s="113">
        <v>89153</v>
      </c>
      <c r="J45" s="113">
        <v>38098</v>
      </c>
      <c r="K45" s="113">
        <v>34490</v>
      </c>
      <c r="L45" s="113">
        <v>41790</v>
      </c>
      <c r="M45" s="113">
        <v>49504</v>
      </c>
      <c r="N45" s="113">
        <v>163255</v>
      </c>
      <c r="O45" s="113">
        <v>54471</v>
      </c>
      <c r="P45" s="113">
        <v>39684</v>
      </c>
      <c r="Q45" s="113">
        <v>81151</v>
      </c>
      <c r="R45" s="113">
        <v>57548</v>
      </c>
      <c r="S45" s="113">
        <v>35241</v>
      </c>
      <c r="T45" s="113">
        <v>268793</v>
      </c>
      <c r="U45" s="114">
        <v>678311</v>
      </c>
      <c r="V45" s="113">
        <v>3402</v>
      </c>
      <c r="W45" s="113">
        <v>14185</v>
      </c>
      <c r="X45" s="113">
        <v>17172</v>
      </c>
      <c r="Y45" s="113">
        <v>22026</v>
      </c>
      <c r="Z45" s="113">
        <v>56785</v>
      </c>
      <c r="AA45" s="113">
        <v>21222</v>
      </c>
      <c r="AB45" s="113">
        <v>27680</v>
      </c>
      <c r="AC45" s="113">
        <v>26333</v>
      </c>
      <c r="AD45" s="113">
        <v>25429</v>
      </c>
      <c r="AE45" s="113">
        <v>100664</v>
      </c>
      <c r="AF45" s="113">
        <v>16427</v>
      </c>
      <c r="AG45" s="113">
        <v>41712</v>
      </c>
      <c r="AH45" s="113">
        <v>51324</v>
      </c>
      <c r="AI45" s="113">
        <v>32099</v>
      </c>
      <c r="AJ45" s="113">
        <v>13676</v>
      </c>
      <c r="AK45" s="113">
        <v>155238</v>
      </c>
      <c r="AL45" s="114">
        <v>312687</v>
      </c>
      <c r="AM45" s="115">
        <v>64</v>
      </c>
      <c r="AN45" s="56">
        <f t="shared" si="6"/>
        <v>43411904</v>
      </c>
      <c r="AO45" s="56">
        <f t="shared" si="7"/>
        <v>20011968</v>
      </c>
      <c r="AP45" s="4" t="str">
        <f>VLOOKUP(A45,[1]Basic!$B:$F,5,0)</f>
        <v>D4 8GB</v>
      </c>
    </row>
    <row r="46" spans="1:42" ht="17" thickBot="1">
      <c r="A46" s="136"/>
      <c r="B46" s="112" t="s">
        <v>6</v>
      </c>
      <c r="C46" s="113"/>
      <c r="D46" s="113"/>
      <c r="E46" s="113">
        <v>20000</v>
      </c>
      <c r="F46" s="113">
        <v>0</v>
      </c>
      <c r="G46" s="113">
        <v>78918</v>
      </c>
      <c r="H46" s="113">
        <v>0</v>
      </c>
      <c r="I46" s="113">
        <v>98918</v>
      </c>
      <c r="J46" s="113">
        <v>88000</v>
      </c>
      <c r="K46" s="113">
        <v>0</v>
      </c>
      <c r="L46" s="113">
        <v>0</v>
      </c>
      <c r="M46" s="113">
        <v>15000</v>
      </c>
      <c r="N46" s="113">
        <v>103000</v>
      </c>
      <c r="O46" s="113">
        <v>196000</v>
      </c>
      <c r="P46" s="113">
        <v>0</v>
      </c>
      <c r="Q46" s="113">
        <v>15000</v>
      </c>
      <c r="R46" s="113">
        <v>0</v>
      </c>
      <c r="S46" s="113">
        <v>298000</v>
      </c>
      <c r="T46" s="113">
        <v>509000</v>
      </c>
      <c r="U46" s="114">
        <v>710918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10000</v>
      </c>
      <c r="AB46" s="113">
        <v>0</v>
      </c>
      <c r="AC46" s="113">
        <v>0</v>
      </c>
      <c r="AD46" s="113">
        <v>15000</v>
      </c>
      <c r="AE46" s="113">
        <v>25000</v>
      </c>
      <c r="AF46" s="113">
        <v>5000</v>
      </c>
      <c r="AG46" s="113">
        <v>0</v>
      </c>
      <c r="AH46" s="113">
        <v>0</v>
      </c>
      <c r="AI46" s="113">
        <v>0</v>
      </c>
      <c r="AJ46" s="113">
        <v>155000</v>
      </c>
      <c r="AK46" s="113">
        <v>160000</v>
      </c>
      <c r="AL46" s="114">
        <v>185000</v>
      </c>
      <c r="AM46" s="115"/>
      <c r="AN46" s="56">
        <f t="shared" si="6"/>
        <v>0</v>
      </c>
      <c r="AO46" s="56">
        <f t="shared" si="7"/>
        <v>0</v>
      </c>
      <c r="AP46" s="4"/>
    </row>
    <row r="47" spans="1:42" ht="17" thickBot="1">
      <c r="A47" s="136"/>
      <c r="B47" s="112" t="s">
        <v>10</v>
      </c>
      <c r="C47" s="113">
        <v>29957</v>
      </c>
      <c r="D47" s="113"/>
      <c r="E47" s="113">
        <v>0</v>
      </c>
      <c r="F47" s="113">
        <v>29957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0</v>
      </c>
      <c r="S47" s="113">
        <v>0</v>
      </c>
      <c r="T47" s="113">
        <v>0</v>
      </c>
      <c r="U47" s="114">
        <v>0</v>
      </c>
      <c r="V47" s="113">
        <v>0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0</v>
      </c>
      <c r="AE47" s="113">
        <v>0</v>
      </c>
      <c r="AF47" s="113">
        <v>0</v>
      </c>
      <c r="AG47" s="113">
        <v>0</v>
      </c>
      <c r="AH47" s="113">
        <v>0</v>
      </c>
      <c r="AI47" s="113">
        <v>0</v>
      </c>
      <c r="AJ47" s="113">
        <v>0</v>
      </c>
      <c r="AK47" s="113">
        <v>0</v>
      </c>
      <c r="AL47" s="114">
        <v>0</v>
      </c>
      <c r="AM47" s="115"/>
      <c r="AN47" s="56">
        <f t="shared" si="6"/>
        <v>0</v>
      </c>
      <c r="AO47" s="56">
        <f t="shared" si="7"/>
        <v>0</v>
      </c>
      <c r="AP47" s="4"/>
    </row>
    <row r="48" spans="1:42" ht="17" thickBot="1">
      <c r="A48" s="136"/>
      <c r="B48" s="112" t="s">
        <v>7</v>
      </c>
      <c r="C48" s="113"/>
      <c r="D48" s="113"/>
      <c r="E48" s="113">
        <v>20000</v>
      </c>
      <c r="F48" s="113">
        <v>29957</v>
      </c>
      <c r="G48" s="113">
        <v>78918</v>
      </c>
      <c r="H48" s="113">
        <v>0</v>
      </c>
      <c r="I48" s="113">
        <v>128875</v>
      </c>
      <c r="J48" s="113">
        <v>88000</v>
      </c>
      <c r="K48" s="113">
        <v>0</v>
      </c>
      <c r="L48" s="113">
        <v>0</v>
      </c>
      <c r="M48" s="113">
        <v>15000</v>
      </c>
      <c r="N48" s="113">
        <v>103000</v>
      </c>
      <c r="O48" s="113">
        <v>196000</v>
      </c>
      <c r="P48" s="113">
        <v>0</v>
      </c>
      <c r="Q48" s="113">
        <v>15000</v>
      </c>
      <c r="R48" s="113">
        <v>0</v>
      </c>
      <c r="S48" s="113">
        <v>298000</v>
      </c>
      <c r="T48" s="113">
        <v>509000</v>
      </c>
      <c r="U48" s="114">
        <v>897985</v>
      </c>
      <c r="V48" s="113">
        <v>0</v>
      </c>
      <c r="W48" s="113">
        <v>0</v>
      </c>
      <c r="X48" s="113">
        <v>0</v>
      </c>
      <c r="Y48" s="113">
        <v>0</v>
      </c>
      <c r="Z48" s="113">
        <v>0</v>
      </c>
      <c r="AA48" s="113">
        <v>10000</v>
      </c>
      <c r="AB48" s="113">
        <v>0</v>
      </c>
      <c r="AC48" s="113">
        <v>0</v>
      </c>
      <c r="AD48" s="113">
        <v>15000</v>
      </c>
      <c r="AE48" s="113">
        <v>25000</v>
      </c>
      <c r="AF48" s="113">
        <v>5000</v>
      </c>
      <c r="AG48" s="113">
        <v>0</v>
      </c>
      <c r="AH48" s="113">
        <v>0</v>
      </c>
      <c r="AI48" s="113">
        <v>0</v>
      </c>
      <c r="AJ48" s="113">
        <v>155000</v>
      </c>
      <c r="AK48" s="113">
        <v>160000</v>
      </c>
      <c r="AL48" s="114">
        <v>170110</v>
      </c>
      <c r="AM48" s="115"/>
      <c r="AN48" s="56">
        <f t="shared" si="6"/>
        <v>0</v>
      </c>
      <c r="AO48" s="56">
        <f t="shared" si="7"/>
        <v>0</v>
      </c>
      <c r="AP48" s="4"/>
    </row>
    <row r="49" spans="1:42" ht="17" thickBot="1">
      <c r="A49" s="136"/>
      <c r="B49" s="112" t="s">
        <v>8</v>
      </c>
      <c r="C49" s="113">
        <v>220551</v>
      </c>
      <c r="D49" s="113">
        <v>157110</v>
      </c>
      <c r="E49" s="113">
        <v>0</v>
      </c>
      <c r="F49" s="113">
        <v>27853</v>
      </c>
      <c r="G49" s="113">
        <v>80216</v>
      </c>
      <c r="H49" s="113">
        <v>39651</v>
      </c>
      <c r="I49" s="113">
        <v>39722</v>
      </c>
      <c r="J49" s="113">
        <v>89553</v>
      </c>
      <c r="K49" s="113">
        <v>55063</v>
      </c>
      <c r="L49" s="113">
        <v>13273</v>
      </c>
      <c r="M49" s="113">
        <v>-21231</v>
      </c>
      <c r="N49" s="113">
        <v>-20533</v>
      </c>
      <c r="O49" s="113">
        <v>120298</v>
      </c>
      <c r="P49" s="113">
        <v>80614</v>
      </c>
      <c r="Q49" s="113">
        <v>14463</v>
      </c>
      <c r="R49" s="113">
        <v>-43085</v>
      </c>
      <c r="S49" s="113">
        <v>219674</v>
      </c>
      <c r="T49" s="113">
        <v>219674</v>
      </c>
      <c r="U49" s="114">
        <v>219674</v>
      </c>
      <c r="V49" s="113">
        <v>216272</v>
      </c>
      <c r="W49" s="113">
        <v>202087</v>
      </c>
      <c r="X49" s="113">
        <v>184915</v>
      </c>
      <c r="Y49" s="113">
        <v>176539</v>
      </c>
      <c r="Z49" s="113">
        <v>162889</v>
      </c>
      <c r="AA49" s="113">
        <v>151667</v>
      </c>
      <c r="AB49" s="113">
        <v>123987</v>
      </c>
      <c r="AC49" s="113">
        <v>97654</v>
      </c>
      <c r="AD49" s="113">
        <v>87225</v>
      </c>
      <c r="AE49" s="113">
        <v>87225</v>
      </c>
      <c r="AF49" s="113">
        <v>75798</v>
      </c>
      <c r="AG49" s="113">
        <v>34086</v>
      </c>
      <c r="AH49" s="113">
        <v>-17238</v>
      </c>
      <c r="AI49" s="113">
        <v>-49337</v>
      </c>
      <c r="AJ49" s="113">
        <v>91987</v>
      </c>
      <c r="AK49" s="113">
        <v>91987</v>
      </c>
      <c r="AL49" s="114">
        <v>91987</v>
      </c>
      <c r="AM49" s="115"/>
      <c r="AN49" s="56">
        <f t="shared" si="6"/>
        <v>0</v>
      </c>
      <c r="AO49" s="56">
        <f t="shared" si="7"/>
        <v>0</v>
      </c>
      <c r="AP49" s="4"/>
    </row>
    <row r="50" spans="1:42" ht="17" thickBot="1">
      <c r="A50" s="116"/>
      <c r="B50" s="117" t="s">
        <v>9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114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114"/>
      <c r="AM50" s="115"/>
      <c r="AN50" s="56">
        <f t="shared" si="6"/>
        <v>0</v>
      </c>
      <c r="AO50" s="56">
        <f t="shared" si="7"/>
        <v>0</v>
      </c>
      <c r="AP50" s="4"/>
    </row>
    <row r="51" spans="1:42" ht="17" thickBot="1">
      <c r="A51" s="136" t="s">
        <v>15</v>
      </c>
      <c r="B51" s="112" t="s">
        <v>5</v>
      </c>
      <c r="C51" s="113"/>
      <c r="D51" s="113"/>
      <c r="E51" s="113">
        <v>0</v>
      </c>
      <c r="F51" s="113">
        <v>20902</v>
      </c>
      <c r="G51" s="113">
        <v>6727</v>
      </c>
      <c r="H51" s="113">
        <v>79</v>
      </c>
      <c r="I51" s="113">
        <v>27629</v>
      </c>
      <c r="J51" s="113">
        <v>3613</v>
      </c>
      <c r="K51" s="113">
        <v>4820</v>
      </c>
      <c r="L51" s="113">
        <v>2433</v>
      </c>
      <c r="M51" s="113">
        <v>8142</v>
      </c>
      <c r="N51" s="113">
        <v>10945</v>
      </c>
      <c r="O51" s="113">
        <v>111</v>
      </c>
      <c r="P51" s="113">
        <v>2032</v>
      </c>
      <c r="Q51" s="113">
        <v>1944</v>
      </c>
      <c r="R51" s="113">
        <v>3389</v>
      </c>
      <c r="S51" s="113">
        <v>55</v>
      </c>
      <c r="T51" s="113">
        <v>15618</v>
      </c>
      <c r="U51" s="114">
        <v>57281</v>
      </c>
      <c r="V51" s="113">
        <v>0</v>
      </c>
      <c r="W51" s="113">
        <v>0</v>
      </c>
      <c r="X51" s="113">
        <v>0</v>
      </c>
      <c r="Y51" s="113">
        <v>0</v>
      </c>
      <c r="Z51" s="113">
        <v>55</v>
      </c>
      <c r="AA51" s="113">
        <v>0</v>
      </c>
      <c r="AB51" s="113">
        <v>0</v>
      </c>
      <c r="AC51" s="113">
        <v>0</v>
      </c>
      <c r="AD51" s="113">
        <v>0</v>
      </c>
      <c r="AE51" s="113">
        <v>0</v>
      </c>
      <c r="AF51" s="113">
        <v>0</v>
      </c>
      <c r="AG51" s="113">
        <v>0</v>
      </c>
      <c r="AH51" s="113">
        <v>0</v>
      </c>
      <c r="AI51" s="113">
        <v>0</v>
      </c>
      <c r="AJ51" s="113">
        <v>0</v>
      </c>
      <c r="AK51" s="113">
        <v>0</v>
      </c>
      <c r="AL51" s="114">
        <v>55</v>
      </c>
      <c r="AM51" s="115">
        <v>64</v>
      </c>
      <c r="AN51" s="56">
        <f t="shared" si="6"/>
        <v>3665984</v>
      </c>
      <c r="AO51" s="56">
        <f t="shared" si="7"/>
        <v>3520</v>
      </c>
      <c r="AP51" s="4" t="s">
        <v>133</v>
      </c>
    </row>
    <row r="52" spans="1:42" ht="17" thickBot="1">
      <c r="A52" s="136"/>
      <c r="B52" s="112" t="s">
        <v>6</v>
      </c>
      <c r="C52" s="113"/>
      <c r="D52" s="113"/>
      <c r="E52" s="113">
        <v>0</v>
      </c>
      <c r="F52" s="113">
        <v>0</v>
      </c>
      <c r="G52" s="113">
        <v>100</v>
      </c>
      <c r="H52" s="113">
        <v>0</v>
      </c>
      <c r="I52" s="113">
        <v>100</v>
      </c>
      <c r="J52" s="113">
        <v>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4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0</v>
      </c>
      <c r="AH52" s="113">
        <v>0</v>
      </c>
      <c r="AI52" s="113">
        <v>0</v>
      </c>
      <c r="AJ52" s="113">
        <v>0</v>
      </c>
      <c r="AK52" s="113">
        <v>0</v>
      </c>
      <c r="AL52" s="114">
        <v>0</v>
      </c>
      <c r="AM52" s="115"/>
      <c r="AN52" s="56">
        <f t="shared" si="6"/>
        <v>0</v>
      </c>
      <c r="AO52" s="56">
        <f t="shared" si="7"/>
        <v>0</v>
      </c>
      <c r="AP52" s="4"/>
    </row>
    <row r="53" spans="1:42" ht="17" thickBot="1">
      <c r="A53" s="136"/>
      <c r="B53" s="112" t="s">
        <v>10</v>
      </c>
      <c r="C53" s="113">
        <v>0</v>
      </c>
      <c r="D53" s="113"/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</v>
      </c>
      <c r="L53" s="113">
        <v>0</v>
      </c>
      <c r="M53" s="113">
        <v>0</v>
      </c>
      <c r="N53" s="113">
        <v>0</v>
      </c>
      <c r="O53" s="113">
        <v>0</v>
      </c>
      <c r="P53" s="113">
        <v>0</v>
      </c>
      <c r="Q53" s="113">
        <v>0</v>
      </c>
      <c r="R53" s="113">
        <v>0</v>
      </c>
      <c r="S53" s="113">
        <v>0</v>
      </c>
      <c r="T53" s="113">
        <v>0</v>
      </c>
      <c r="U53" s="114">
        <v>0</v>
      </c>
      <c r="V53" s="113">
        <v>0</v>
      </c>
      <c r="W53" s="113">
        <v>0</v>
      </c>
      <c r="X53" s="113">
        <v>0</v>
      </c>
      <c r="Y53" s="113">
        <v>0</v>
      </c>
      <c r="Z53" s="113">
        <v>0</v>
      </c>
      <c r="AA53" s="113">
        <v>0</v>
      </c>
      <c r="AB53" s="113">
        <v>0</v>
      </c>
      <c r="AC53" s="113">
        <v>0</v>
      </c>
      <c r="AD53" s="113">
        <v>0</v>
      </c>
      <c r="AE53" s="113">
        <v>0</v>
      </c>
      <c r="AF53" s="113">
        <v>0</v>
      </c>
      <c r="AG53" s="113">
        <v>0</v>
      </c>
      <c r="AH53" s="113">
        <v>0</v>
      </c>
      <c r="AI53" s="113">
        <v>0</v>
      </c>
      <c r="AJ53" s="113">
        <v>0</v>
      </c>
      <c r="AK53" s="113">
        <v>0</v>
      </c>
      <c r="AL53" s="114">
        <v>0</v>
      </c>
      <c r="AM53" s="115"/>
      <c r="AN53" s="56">
        <f t="shared" si="6"/>
        <v>0</v>
      </c>
      <c r="AO53" s="56">
        <f t="shared" si="7"/>
        <v>0</v>
      </c>
      <c r="AP53" s="4"/>
    </row>
    <row r="54" spans="1:42" ht="17" thickBot="1">
      <c r="A54" s="136"/>
      <c r="B54" s="112" t="s">
        <v>7</v>
      </c>
      <c r="C54" s="113"/>
      <c r="D54" s="113"/>
      <c r="E54" s="113">
        <v>0</v>
      </c>
      <c r="F54" s="113">
        <v>3000</v>
      </c>
      <c r="G54" s="113">
        <v>3000</v>
      </c>
      <c r="H54" s="113">
        <v>0</v>
      </c>
      <c r="I54" s="113">
        <v>6000</v>
      </c>
      <c r="J54" s="113">
        <v>0</v>
      </c>
      <c r="K54" s="113">
        <v>0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113">
        <v>0</v>
      </c>
      <c r="T54" s="113">
        <v>0</v>
      </c>
      <c r="U54" s="114">
        <v>9089</v>
      </c>
      <c r="V54" s="113">
        <v>0</v>
      </c>
      <c r="W54" s="113">
        <v>0</v>
      </c>
      <c r="X54" s="113">
        <v>0</v>
      </c>
      <c r="Y54" s="113">
        <v>0</v>
      </c>
      <c r="Z54" s="113">
        <v>0</v>
      </c>
      <c r="AA54" s="113">
        <v>0</v>
      </c>
      <c r="AB54" s="113">
        <v>0</v>
      </c>
      <c r="AC54" s="113">
        <v>0</v>
      </c>
      <c r="AD54" s="113">
        <v>0</v>
      </c>
      <c r="AE54" s="113">
        <v>0</v>
      </c>
      <c r="AF54" s="113">
        <v>0</v>
      </c>
      <c r="AG54" s="113">
        <v>0</v>
      </c>
      <c r="AH54" s="113">
        <v>0</v>
      </c>
      <c r="AI54" s="113">
        <v>0</v>
      </c>
      <c r="AJ54" s="113">
        <v>0</v>
      </c>
      <c r="AK54" s="113">
        <v>0</v>
      </c>
      <c r="AL54" s="114">
        <v>-54241</v>
      </c>
      <c r="AM54" s="115"/>
      <c r="AN54" s="56">
        <f t="shared" si="6"/>
        <v>0</v>
      </c>
      <c r="AO54" s="56">
        <f t="shared" si="7"/>
        <v>0</v>
      </c>
      <c r="AP54" s="4"/>
    </row>
    <row r="55" spans="1:42" ht="17" thickBot="1">
      <c r="A55" s="136"/>
      <c r="B55" s="112" t="s">
        <v>8</v>
      </c>
      <c r="C55" s="113">
        <v>147</v>
      </c>
      <c r="D55" s="113">
        <v>3089</v>
      </c>
      <c r="E55" s="113">
        <v>0</v>
      </c>
      <c r="F55" s="113">
        <v>-20951</v>
      </c>
      <c r="G55" s="113">
        <v>-27678</v>
      </c>
      <c r="H55" s="113">
        <v>-27757</v>
      </c>
      <c r="I55" s="113">
        <v>-21629</v>
      </c>
      <c r="J55" s="113">
        <v>-31370</v>
      </c>
      <c r="K55" s="113">
        <v>-36190</v>
      </c>
      <c r="L55" s="113">
        <v>-38623</v>
      </c>
      <c r="M55" s="113">
        <v>-46765</v>
      </c>
      <c r="N55" s="113">
        <v>-32574</v>
      </c>
      <c r="O55" s="113">
        <v>-40827</v>
      </c>
      <c r="P55" s="113">
        <v>-42859</v>
      </c>
      <c r="Q55" s="113">
        <v>-44803</v>
      </c>
      <c r="R55" s="113">
        <v>-50682</v>
      </c>
      <c r="S55" s="113">
        <v>-50737</v>
      </c>
      <c r="T55" s="113">
        <v>-48192</v>
      </c>
      <c r="U55" s="114">
        <v>-48192</v>
      </c>
      <c r="V55" s="113">
        <v>-48247</v>
      </c>
      <c r="W55" s="113">
        <v>-48247</v>
      </c>
      <c r="X55" s="113">
        <v>-48247</v>
      </c>
      <c r="Y55" s="113">
        <v>-48247</v>
      </c>
      <c r="Z55" s="113">
        <v>-48247</v>
      </c>
      <c r="AA55" s="113">
        <v>-48247</v>
      </c>
      <c r="AB55" s="113">
        <v>-48247</v>
      </c>
      <c r="AC55" s="113">
        <v>-48247</v>
      </c>
      <c r="AD55" s="113">
        <v>-48247</v>
      </c>
      <c r="AE55" s="113">
        <v>-48247</v>
      </c>
      <c r="AF55" s="113">
        <v>-48247</v>
      </c>
      <c r="AG55" s="113">
        <v>-48247</v>
      </c>
      <c r="AH55" s="113">
        <v>-48247</v>
      </c>
      <c r="AI55" s="113">
        <v>-48247</v>
      </c>
      <c r="AJ55" s="113">
        <v>-48247</v>
      </c>
      <c r="AK55" s="113">
        <v>-48247</v>
      </c>
      <c r="AL55" s="114">
        <v>-48247</v>
      </c>
      <c r="AM55" s="115"/>
      <c r="AN55" s="56">
        <f t="shared" si="6"/>
        <v>0</v>
      </c>
      <c r="AO55" s="56">
        <f t="shared" si="7"/>
        <v>0</v>
      </c>
      <c r="AP55" s="4"/>
    </row>
    <row r="56" spans="1:42" ht="17" thickBot="1">
      <c r="A56" s="116"/>
      <c r="B56" s="117" t="s">
        <v>9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114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114"/>
      <c r="AM56" s="115"/>
      <c r="AN56" s="56">
        <f t="shared" si="6"/>
        <v>0</v>
      </c>
      <c r="AO56" s="56">
        <f t="shared" si="7"/>
        <v>0</v>
      </c>
      <c r="AP56" s="4"/>
    </row>
    <row r="57" spans="1:42" ht="17" thickBot="1">
      <c r="A57" s="136" t="s">
        <v>17</v>
      </c>
      <c r="B57" s="112" t="s">
        <v>5</v>
      </c>
      <c r="C57" s="113"/>
      <c r="D57" s="113"/>
      <c r="E57" s="113">
        <v>126800</v>
      </c>
      <c r="F57" s="113">
        <v>94986</v>
      </c>
      <c r="G57" s="113">
        <v>77070</v>
      </c>
      <c r="H57" s="113">
        <v>70617</v>
      </c>
      <c r="I57" s="113">
        <v>344537</v>
      </c>
      <c r="J57" s="113">
        <v>81818</v>
      </c>
      <c r="K57" s="113">
        <v>109443</v>
      </c>
      <c r="L57" s="113">
        <v>81783</v>
      </c>
      <c r="M57" s="113">
        <v>101419</v>
      </c>
      <c r="N57" s="113">
        <v>346088</v>
      </c>
      <c r="O57" s="113">
        <v>29127</v>
      </c>
      <c r="P57" s="113">
        <v>107703</v>
      </c>
      <c r="Q57" s="113">
        <v>96705</v>
      </c>
      <c r="R57" s="113">
        <v>124733</v>
      </c>
      <c r="S57" s="113">
        <v>60784</v>
      </c>
      <c r="T57" s="113">
        <v>449471</v>
      </c>
      <c r="U57" s="114">
        <v>1341669</v>
      </c>
      <c r="V57" s="113">
        <v>3983</v>
      </c>
      <c r="W57" s="113">
        <v>10785</v>
      </c>
      <c r="X57" s="113">
        <v>18458</v>
      </c>
      <c r="Y57" s="113">
        <v>10966</v>
      </c>
      <c r="Z57" s="113">
        <v>67084</v>
      </c>
      <c r="AA57" s="113">
        <v>8240</v>
      </c>
      <c r="AB57" s="113">
        <v>15916</v>
      </c>
      <c r="AC57" s="113">
        <v>21772</v>
      </c>
      <c r="AD57" s="113">
        <v>15191</v>
      </c>
      <c r="AE57" s="113">
        <v>61119</v>
      </c>
      <c r="AF57" s="113">
        <v>4613</v>
      </c>
      <c r="AG57" s="113">
        <v>20741</v>
      </c>
      <c r="AH57" s="113">
        <v>26008</v>
      </c>
      <c r="AI57" s="113">
        <v>19427</v>
      </c>
      <c r="AJ57" s="113">
        <v>3504</v>
      </c>
      <c r="AK57" s="113">
        <v>74293</v>
      </c>
      <c r="AL57" s="114">
        <v>202496</v>
      </c>
      <c r="AM57" s="115">
        <v>64</v>
      </c>
      <c r="AN57" s="56">
        <f t="shared" si="6"/>
        <v>85866816</v>
      </c>
      <c r="AO57" s="56">
        <f t="shared" si="7"/>
        <v>12959744</v>
      </c>
      <c r="AP57" s="4" t="str">
        <f>VLOOKUP(A57,[1]Basic!$B:$F,5,0)</f>
        <v>D4 8GB</v>
      </c>
    </row>
    <row r="58" spans="1:42" ht="17" thickBot="1">
      <c r="A58" s="136"/>
      <c r="B58" s="112" t="s">
        <v>6</v>
      </c>
      <c r="C58" s="113"/>
      <c r="D58" s="113"/>
      <c r="E58" s="113">
        <v>126800</v>
      </c>
      <c r="F58" s="113">
        <v>115000</v>
      </c>
      <c r="G58" s="113">
        <v>110375</v>
      </c>
      <c r="H58" s="113">
        <v>155000</v>
      </c>
      <c r="I58" s="113">
        <v>507175</v>
      </c>
      <c r="J58" s="113">
        <v>156998</v>
      </c>
      <c r="K58" s="113">
        <v>120000</v>
      </c>
      <c r="L58" s="113">
        <v>20000</v>
      </c>
      <c r="M58" s="113">
        <v>20000</v>
      </c>
      <c r="N58" s="113">
        <v>236998</v>
      </c>
      <c r="O58" s="113">
        <v>218000</v>
      </c>
      <c r="P58" s="113">
        <v>250000</v>
      </c>
      <c r="Q58" s="113">
        <v>144000</v>
      </c>
      <c r="R58" s="113">
        <v>40000</v>
      </c>
      <c r="S58" s="113">
        <v>182000</v>
      </c>
      <c r="T58" s="113">
        <v>714000</v>
      </c>
      <c r="U58" s="114">
        <v>294750</v>
      </c>
      <c r="V58" s="113">
        <v>40000</v>
      </c>
      <c r="W58" s="113">
        <v>0</v>
      </c>
      <c r="X58" s="113">
        <v>0</v>
      </c>
      <c r="Y58" s="113">
        <v>0</v>
      </c>
      <c r="Z58" s="113">
        <v>0</v>
      </c>
      <c r="AA58" s="113">
        <v>25000</v>
      </c>
      <c r="AB58" s="113">
        <v>0</v>
      </c>
      <c r="AC58" s="113">
        <v>0</v>
      </c>
      <c r="AD58" s="113">
        <v>0</v>
      </c>
      <c r="AE58" s="113">
        <v>25000</v>
      </c>
      <c r="AF58" s="113">
        <v>5000</v>
      </c>
      <c r="AG58" s="113">
        <v>0</v>
      </c>
      <c r="AH58" s="113">
        <v>0</v>
      </c>
      <c r="AI58" s="113">
        <v>0</v>
      </c>
      <c r="AJ58" s="113">
        <v>105000</v>
      </c>
      <c r="AK58" s="113">
        <v>110000</v>
      </c>
      <c r="AL58" s="114">
        <v>135000</v>
      </c>
      <c r="AM58" s="115"/>
      <c r="AN58" s="56">
        <f t="shared" si="6"/>
        <v>0</v>
      </c>
      <c r="AO58" s="56">
        <f t="shared" si="7"/>
        <v>0</v>
      </c>
      <c r="AP58" s="4"/>
    </row>
    <row r="59" spans="1:42" ht="17" thickBot="1">
      <c r="A59" s="136"/>
      <c r="B59" s="112" t="s">
        <v>10</v>
      </c>
      <c r="C59" s="113">
        <v>96134</v>
      </c>
      <c r="D59" s="113"/>
      <c r="E59" s="113">
        <v>0</v>
      </c>
      <c r="F59" s="113">
        <v>96134</v>
      </c>
      <c r="G59" s="113">
        <v>0</v>
      </c>
      <c r="H59" s="113">
        <v>0</v>
      </c>
      <c r="I59" s="113">
        <v>72684</v>
      </c>
      <c r="J59" s="113">
        <v>0</v>
      </c>
      <c r="K59" s="113">
        <v>0</v>
      </c>
      <c r="L59" s="113">
        <v>0</v>
      </c>
      <c r="M59" s="113">
        <v>0</v>
      </c>
      <c r="N59" s="113">
        <v>0</v>
      </c>
      <c r="O59" s="113">
        <v>0</v>
      </c>
      <c r="P59" s="113">
        <v>0</v>
      </c>
      <c r="Q59" s="113">
        <v>0</v>
      </c>
      <c r="R59" s="113">
        <v>0</v>
      </c>
      <c r="S59" s="113">
        <v>0</v>
      </c>
      <c r="T59" s="113">
        <v>0</v>
      </c>
      <c r="U59" s="114">
        <v>0</v>
      </c>
      <c r="V59" s="113">
        <v>0</v>
      </c>
      <c r="W59" s="113">
        <v>0</v>
      </c>
      <c r="X59" s="113">
        <v>0</v>
      </c>
      <c r="Y59" s="113">
        <v>0</v>
      </c>
      <c r="Z59" s="113">
        <v>0</v>
      </c>
      <c r="AA59" s="113">
        <v>0</v>
      </c>
      <c r="AB59" s="113">
        <v>0</v>
      </c>
      <c r="AC59" s="113">
        <v>0</v>
      </c>
      <c r="AD59" s="113">
        <v>0</v>
      </c>
      <c r="AE59" s="113">
        <v>0</v>
      </c>
      <c r="AF59" s="113">
        <v>0</v>
      </c>
      <c r="AG59" s="113">
        <v>0</v>
      </c>
      <c r="AH59" s="113">
        <v>0</v>
      </c>
      <c r="AI59" s="113">
        <v>0</v>
      </c>
      <c r="AJ59" s="113">
        <v>0</v>
      </c>
      <c r="AK59" s="113">
        <v>0</v>
      </c>
      <c r="AL59" s="114">
        <v>0</v>
      </c>
      <c r="AM59" s="115"/>
      <c r="AN59" s="56">
        <f t="shared" si="6"/>
        <v>0</v>
      </c>
      <c r="AO59" s="56">
        <f t="shared" si="7"/>
        <v>0</v>
      </c>
      <c r="AP59" s="4"/>
    </row>
    <row r="60" spans="1:42" ht="17" thickBot="1">
      <c r="A60" s="136"/>
      <c r="B60" s="112" t="s">
        <v>7</v>
      </c>
      <c r="C60" s="113"/>
      <c r="D60" s="113"/>
      <c r="E60" s="113">
        <v>112550</v>
      </c>
      <c r="F60" s="113">
        <v>28450</v>
      </c>
      <c r="G60" s="113">
        <v>54500</v>
      </c>
      <c r="H60" s="113">
        <v>0</v>
      </c>
      <c r="I60" s="113">
        <v>195500</v>
      </c>
      <c r="J60" s="113">
        <v>136998</v>
      </c>
      <c r="K60" s="113">
        <v>100000</v>
      </c>
      <c r="L60" s="113">
        <v>20000</v>
      </c>
      <c r="M60" s="113">
        <v>20000</v>
      </c>
      <c r="N60" s="113">
        <v>276998</v>
      </c>
      <c r="O60" s="113">
        <v>218000</v>
      </c>
      <c r="P60" s="113">
        <v>250000</v>
      </c>
      <c r="Q60" s="113">
        <v>144000</v>
      </c>
      <c r="R60" s="113">
        <v>0</v>
      </c>
      <c r="S60" s="113">
        <v>182000</v>
      </c>
      <c r="T60" s="113">
        <v>794000</v>
      </c>
      <c r="U60" s="114">
        <v>1468071</v>
      </c>
      <c r="V60" s="113">
        <v>40000</v>
      </c>
      <c r="W60" s="113">
        <v>0</v>
      </c>
      <c r="X60" s="113">
        <v>0</v>
      </c>
      <c r="Y60" s="113">
        <v>0</v>
      </c>
      <c r="Z60" s="113">
        <v>40000</v>
      </c>
      <c r="AA60" s="113">
        <v>25000</v>
      </c>
      <c r="AB60" s="113">
        <v>0</v>
      </c>
      <c r="AC60" s="113">
        <v>0</v>
      </c>
      <c r="AD60" s="113">
        <v>0</v>
      </c>
      <c r="AE60" s="113">
        <v>25000</v>
      </c>
      <c r="AF60" s="113">
        <v>5000</v>
      </c>
      <c r="AG60" s="113">
        <v>0</v>
      </c>
      <c r="AH60" s="113">
        <v>0</v>
      </c>
      <c r="AI60" s="113">
        <v>0</v>
      </c>
      <c r="AJ60" s="113">
        <v>105000</v>
      </c>
      <c r="AK60" s="113">
        <v>110000</v>
      </c>
      <c r="AL60" s="114">
        <v>477916</v>
      </c>
      <c r="AM60" s="115"/>
      <c r="AN60" s="56">
        <f t="shared" si="6"/>
        <v>0</v>
      </c>
      <c r="AO60" s="56">
        <f t="shared" si="7"/>
        <v>0</v>
      </c>
      <c r="AP60" s="4"/>
    </row>
    <row r="61" spans="1:42" ht="17" thickBot="1">
      <c r="A61" s="136"/>
      <c r="B61" s="112" t="s">
        <v>8</v>
      </c>
      <c r="C61" s="113">
        <v>369191</v>
      </c>
      <c r="D61" s="113">
        <v>201573</v>
      </c>
      <c r="E61" s="113">
        <v>0</v>
      </c>
      <c r="F61" s="113">
        <v>-18473</v>
      </c>
      <c r="G61" s="113">
        <v>-6220</v>
      </c>
      <c r="H61" s="113">
        <v>-36677</v>
      </c>
      <c r="I61" s="113">
        <v>-149037</v>
      </c>
      <c r="J61" s="113">
        <v>47237</v>
      </c>
      <c r="K61" s="113">
        <v>71393</v>
      </c>
      <c r="L61" s="113">
        <v>9610</v>
      </c>
      <c r="M61" s="113">
        <v>-71809</v>
      </c>
      <c r="N61" s="113">
        <v>-218127</v>
      </c>
      <c r="O61" s="113">
        <v>-82565</v>
      </c>
      <c r="P61" s="113">
        <v>59732</v>
      </c>
      <c r="Q61" s="113">
        <v>107027</v>
      </c>
      <c r="R61" s="113">
        <v>254111</v>
      </c>
      <c r="S61" s="113">
        <v>375327</v>
      </c>
      <c r="T61" s="113">
        <v>126402</v>
      </c>
      <c r="U61" s="114">
        <v>126402</v>
      </c>
      <c r="V61" s="113">
        <v>139527</v>
      </c>
      <c r="W61" s="113">
        <v>128742</v>
      </c>
      <c r="X61" s="113">
        <v>110284</v>
      </c>
      <c r="Y61" s="113">
        <v>111175</v>
      </c>
      <c r="Z61" s="113">
        <v>99318</v>
      </c>
      <c r="AA61" s="113">
        <v>116078</v>
      </c>
      <c r="AB61" s="113">
        <v>100162</v>
      </c>
      <c r="AC61" s="113">
        <v>78390</v>
      </c>
      <c r="AD61" s="113">
        <v>63199</v>
      </c>
      <c r="AE61" s="113">
        <v>63199</v>
      </c>
      <c r="AF61" s="113">
        <v>63586</v>
      </c>
      <c r="AG61" s="113">
        <v>42845</v>
      </c>
      <c r="AH61" s="113">
        <v>16837</v>
      </c>
      <c r="AI61" s="113">
        <v>-2590</v>
      </c>
      <c r="AJ61" s="113">
        <v>98906</v>
      </c>
      <c r="AK61" s="113">
        <v>98906</v>
      </c>
      <c r="AL61" s="114">
        <v>98906</v>
      </c>
      <c r="AM61" s="115"/>
      <c r="AN61" s="56">
        <f t="shared" si="6"/>
        <v>0</v>
      </c>
      <c r="AO61" s="56">
        <f t="shared" si="7"/>
        <v>0</v>
      </c>
      <c r="AP61" s="4"/>
    </row>
    <row r="62" spans="1:42" ht="17" thickBot="1">
      <c r="A62" s="116"/>
      <c r="B62" s="117" t="s">
        <v>9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114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114"/>
      <c r="AM62" s="115"/>
      <c r="AN62" s="56">
        <f t="shared" si="6"/>
        <v>0</v>
      </c>
      <c r="AO62" s="56">
        <f t="shared" si="7"/>
        <v>0</v>
      </c>
      <c r="AP62" s="4"/>
    </row>
    <row r="63" spans="1:42" ht="17" thickBot="1">
      <c r="A63" s="136" t="s">
        <v>94</v>
      </c>
      <c r="B63" s="112" t="s">
        <v>5</v>
      </c>
      <c r="C63" s="113"/>
      <c r="D63" s="113"/>
      <c r="E63" s="113">
        <v>0</v>
      </c>
      <c r="F63" s="113">
        <v>-32</v>
      </c>
      <c r="G63" s="113">
        <v>0</v>
      </c>
      <c r="H63" s="113">
        <v>0</v>
      </c>
      <c r="I63" s="113">
        <v>-32</v>
      </c>
      <c r="J63" s="113">
        <v>0</v>
      </c>
      <c r="K63" s="113">
        <v>0</v>
      </c>
      <c r="L63" s="113">
        <v>0</v>
      </c>
      <c r="M63" s="113">
        <v>0</v>
      </c>
      <c r="N63" s="113">
        <v>0</v>
      </c>
      <c r="O63" s="113">
        <v>0</v>
      </c>
      <c r="P63" s="113">
        <v>0</v>
      </c>
      <c r="Q63" s="113">
        <v>0</v>
      </c>
      <c r="R63" s="113">
        <v>0</v>
      </c>
      <c r="S63" s="113">
        <v>0</v>
      </c>
      <c r="T63" s="113">
        <v>0</v>
      </c>
      <c r="U63" s="114">
        <v>-30</v>
      </c>
      <c r="V63" s="113">
        <v>0</v>
      </c>
      <c r="W63" s="113">
        <v>0</v>
      </c>
      <c r="X63" s="113">
        <v>0</v>
      </c>
      <c r="Y63" s="113">
        <v>0</v>
      </c>
      <c r="Z63" s="113">
        <v>0</v>
      </c>
      <c r="AA63" s="113">
        <v>0</v>
      </c>
      <c r="AB63" s="113">
        <v>0</v>
      </c>
      <c r="AC63" s="113">
        <v>0</v>
      </c>
      <c r="AD63" s="113">
        <v>0</v>
      </c>
      <c r="AE63" s="113">
        <v>0</v>
      </c>
      <c r="AF63" s="113">
        <v>0</v>
      </c>
      <c r="AG63" s="113">
        <v>0</v>
      </c>
      <c r="AH63" s="113">
        <v>0</v>
      </c>
      <c r="AI63" s="113">
        <v>0</v>
      </c>
      <c r="AJ63" s="113">
        <v>0</v>
      </c>
      <c r="AK63" s="113">
        <v>0</v>
      </c>
      <c r="AL63" s="114">
        <v>0</v>
      </c>
      <c r="AM63" s="115">
        <v>128</v>
      </c>
      <c r="AN63" s="56">
        <f t="shared" si="6"/>
        <v>-3840</v>
      </c>
      <c r="AO63" s="56">
        <f t="shared" si="7"/>
        <v>0</v>
      </c>
      <c r="AP63" s="4" t="s">
        <v>134</v>
      </c>
    </row>
    <row r="64" spans="1:42" ht="17" thickBot="1">
      <c r="A64" s="136"/>
      <c r="B64" s="112" t="s">
        <v>6</v>
      </c>
      <c r="C64" s="113"/>
      <c r="D64" s="113"/>
      <c r="E64" s="113">
        <v>0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</v>
      </c>
      <c r="O64" s="113">
        <v>0</v>
      </c>
      <c r="P64" s="113">
        <v>0</v>
      </c>
      <c r="Q64" s="113">
        <v>0</v>
      </c>
      <c r="R64" s="113">
        <v>0</v>
      </c>
      <c r="S64" s="113">
        <v>0</v>
      </c>
      <c r="T64" s="113">
        <v>0</v>
      </c>
      <c r="U64" s="114">
        <v>0</v>
      </c>
      <c r="V64" s="113">
        <v>0</v>
      </c>
      <c r="W64" s="113">
        <v>0</v>
      </c>
      <c r="X64" s="113">
        <v>0</v>
      </c>
      <c r="Y64" s="113">
        <v>0</v>
      </c>
      <c r="Z64" s="113">
        <v>0</v>
      </c>
      <c r="AA64" s="113">
        <v>0</v>
      </c>
      <c r="AB64" s="113">
        <v>0</v>
      </c>
      <c r="AC64" s="113">
        <v>0</v>
      </c>
      <c r="AD64" s="113">
        <v>0</v>
      </c>
      <c r="AE64" s="113">
        <v>0</v>
      </c>
      <c r="AF64" s="113">
        <v>0</v>
      </c>
      <c r="AG64" s="113">
        <v>0</v>
      </c>
      <c r="AH64" s="113">
        <v>0</v>
      </c>
      <c r="AI64" s="113">
        <v>0</v>
      </c>
      <c r="AJ64" s="113">
        <v>0</v>
      </c>
      <c r="AK64" s="113">
        <v>0</v>
      </c>
      <c r="AL64" s="114">
        <v>0</v>
      </c>
      <c r="AM64" s="115"/>
      <c r="AN64" s="56">
        <f t="shared" si="6"/>
        <v>0</v>
      </c>
      <c r="AO64" s="56">
        <f t="shared" si="7"/>
        <v>0</v>
      </c>
      <c r="AP64" s="4"/>
    </row>
    <row r="65" spans="1:42" ht="17" thickBot="1">
      <c r="A65" s="136"/>
      <c r="B65" s="112" t="s">
        <v>10</v>
      </c>
      <c r="C65" s="113">
        <v>0</v>
      </c>
      <c r="D65" s="113"/>
      <c r="E65" s="113">
        <v>0</v>
      </c>
      <c r="F65" s="113">
        <v>0</v>
      </c>
      <c r="G65" s="113">
        <v>0</v>
      </c>
      <c r="H65" s="113">
        <v>0</v>
      </c>
      <c r="I65" s="113">
        <v>0</v>
      </c>
      <c r="J65" s="113">
        <v>0</v>
      </c>
      <c r="K65" s="113">
        <v>0</v>
      </c>
      <c r="L65" s="113">
        <v>0</v>
      </c>
      <c r="M65" s="113">
        <v>0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4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113">
        <v>0</v>
      </c>
      <c r="AE65" s="113">
        <v>0</v>
      </c>
      <c r="AF65" s="113">
        <v>0</v>
      </c>
      <c r="AG65" s="113">
        <v>0</v>
      </c>
      <c r="AH65" s="113">
        <v>0</v>
      </c>
      <c r="AI65" s="113">
        <v>0</v>
      </c>
      <c r="AJ65" s="113">
        <v>0</v>
      </c>
      <c r="AK65" s="113">
        <v>0</v>
      </c>
      <c r="AL65" s="114">
        <v>0</v>
      </c>
      <c r="AM65" s="115"/>
      <c r="AN65" s="56">
        <f t="shared" si="6"/>
        <v>0</v>
      </c>
      <c r="AO65" s="56">
        <f t="shared" si="7"/>
        <v>0</v>
      </c>
      <c r="AP65" s="4"/>
    </row>
    <row r="66" spans="1:42" ht="17" thickBot="1">
      <c r="A66" s="136"/>
      <c r="B66" s="112" t="s">
        <v>7</v>
      </c>
      <c r="C66" s="113"/>
      <c r="D66" s="113"/>
      <c r="E66" s="113">
        <v>0</v>
      </c>
      <c r="F66" s="113">
        <v>0</v>
      </c>
      <c r="G66" s="113">
        <v>0</v>
      </c>
      <c r="H66" s="113">
        <v>0</v>
      </c>
      <c r="I66" s="113">
        <v>0</v>
      </c>
      <c r="J66" s="113">
        <v>0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0</v>
      </c>
      <c r="S66" s="113">
        <v>0</v>
      </c>
      <c r="T66" s="113">
        <v>0</v>
      </c>
      <c r="U66" s="114">
        <v>2</v>
      </c>
      <c r="V66" s="113">
        <v>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113">
        <v>0</v>
      </c>
      <c r="AE66" s="113">
        <v>0</v>
      </c>
      <c r="AF66" s="113">
        <v>0</v>
      </c>
      <c r="AG66" s="113">
        <v>0</v>
      </c>
      <c r="AH66" s="113">
        <v>0</v>
      </c>
      <c r="AI66" s="113">
        <v>0</v>
      </c>
      <c r="AJ66" s="113">
        <v>0</v>
      </c>
      <c r="AK66" s="113">
        <v>0</v>
      </c>
      <c r="AL66" s="114">
        <v>31</v>
      </c>
      <c r="AM66" s="115"/>
      <c r="AN66" s="56">
        <f t="shared" si="6"/>
        <v>0</v>
      </c>
      <c r="AO66" s="56">
        <f t="shared" si="7"/>
        <v>0</v>
      </c>
      <c r="AP66" s="4"/>
    </row>
    <row r="67" spans="1:42" ht="17" thickBot="1">
      <c r="A67" s="136"/>
      <c r="B67" s="112" t="s">
        <v>8</v>
      </c>
      <c r="C67" s="113">
        <v>32</v>
      </c>
      <c r="D67" s="113">
        <v>2</v>
      </c>
      <c r="E67" s="113">
        <v>0</v>
      </c>
      <c r="F67" s="113">
        <v>32</v>
      </c>
      <c r="G67" s="113">
        <v>32</v>
      </c>
      <c r="H67" s="113">
        <v>32</v>
      </c>
      <c r="I67" s="113">
        <v>32</v>
      </c>
      <c r="J67" s="113">
        <v>32</v>
      </c>
      <c r="K67" s="113">
        <v>32</v>
      </c>
      <c r="L67" s="113">
        <v>32</v>
      </c>
      <c r="M67" s="113">
        <v>32</v>
      </c>
      <c r="N67" s="113">
        <v>32</v>
      </c>
      <c r="O67" s="113">
        <v>32</v>
      </c>
      <c r="P67" s="113">
        <v>32</v>
      </c>
      <c r="Q67" s="113">
        <v>32</v>
      </c>
      <c r="R67" s="113">
        <v>32</v>
      </c>
      <c r="S67" s="113">
        <v>32</v>
      </c>
      <c r="T67" s="113">
        <v>32</v>
      </c>
      <c r="U67" s="114">
        <v>32</v>
      </c>
      <c r="V67" s="113">
        <v>32</v>
      </c>
      <c r="W67" s="113">
        <v>32</v>
      </c>
      <c r="X67" s="113">
        <v>32</v>
      </c>
      <c r="Y67" s="113">
        <v>32</v>
      </c>
      <c r="Z67" s="113">
        <v>32</v>
      </c>
      <c r="AA67" s="113">
        <v>32</v>
      </c>
      <c r="AB67" s="113">
        <v>32</v>
      </c>
      <c r="AC67" s="113">
        <v>32</v>
      </c>
      <c r="AD67" s="113">
        <v>32</v>
      </c>
      <c r="AE67" s="113">
        <v>32</v>
      </c>
      <c r="AF67" s="113">
        <v>32</v>
      </c>
      <c r="AG67" s="113">
        <v>32</v>
      </c>
      <c r="AH67" s="113">
        <v>32</v>
      </c>
      <c r="AI67" s="113">
        <v>32</v>
      </c>
      <c r="AJ67" s="113">
        <v>32</v>
      </c>
      <c r="AK67" s="113">
        <v>32</v>
      </c>
      <c r="AL67" s="114">
        <v>32</v>
      </c>
      <c r="AM67" s="115"/>
      <c r="AN67" s="56">
        <f t="shared" si="6"/>
        <v>0</v>
      </c>
      <c r="AO67" s="56">
        <f t="shared" si="7"/>
        <v>0</v>
      </c>
      <c r="AP67" s="4"/>
    </row>
    <row r="68" spans="1:42" ht="17" thickBot="1">
      <c r="A68" s="116"/>
      <c r="B68" s="117" t="s">
        <v>9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114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114"/>
      <c r="AM68" s="115"/>
      <c r="AN68" s="56">
        <f t="shared" ref="AN68:AN128" si="8">AM68*U68</f>
        <v>0</v>
      </c>
      <c r="AO68" s="56">
        <f t="shared" ref="AO68:AO128" si="9">AM68*AL68</f>
        <v>0</v>
      </c>
      <c r="AP68" s="4"/>
    </row>
    <row r="69" spans="1:42" ht="17" thickBot="1">
      <c r="A69" s="136" t="s">
        <v>13</v>
      </c>
      <c r="B69" s="112" t="s">
        <v>5</v>
      </c>
      <c r="C69" s="113"/>
      <c r="D69" s="113"/>
      <c r="E69" s="113">
        <v>0</v>
      </c>
      <c r="F69" s="113">
        <v>-468</v>
      </c>
      <c r="G69" s="113">
        <v>364</v>
      </c>
      <c r="H69" s="113">
        <v>277</v>
      </c>
      <c r="I69" s="113">
        <v>173</v>
      </c>
      <c r="J69" s="113">
        <v>88</v>
      </c>
      <c r="K69" s="113">
        <v>93</v>
      </c>
      <c r="L69" s="113">
        <v>363</v>
      </c>
      <c r="M69" s="113">
        <v>183</v>
      </c>
      <c r="N69" s="113">
        <v>727</v>
      </c>
      <c r="O69" s="113">
        <v>7</v>
      </c>
      <c r="P69" s="113">
        <v>270</v>
      </c>
      <c r="Q69" s="113">
        <v>270</v>
      </c>
      <c r="R69" s="113">
        <v>0</v>
      </c>
      <c r="S69" s="113">
        <v>4</v>
      </c>
      <c r="T69" s="113">
        <v>551</v>
      </c>
      <c r="U69" s="114">
        <v>2579</v>
      </c>
      <c r="V69" s="113">
        <v>0</v>
      </c>
      <c r="W69" s="113">
        <v>0</v>
      </c>
      <c r="X69" s="113">
        <v>0</v>
      </c>
      <c r="Y69" s="113">
        <v>0</v>
      </c>
      <c r="Z69" s="113">
        <v>0</v>
      </c>
      <c r="AA69" s="113">
        <v>147</v>
      </c>
      <c r="AB69" s="113">
        <v>150</v>
      </c>
      <c r="AC69" s="113">
        <v>600</v>
      </c>
      <c r="AD69" s="113">
        <v>300</v>
      </c>
      <c r="AE69" s="113">
        <v>1197</v>
      </c>
      <c r="AF69" s="113">
        <v>0</v>
      </c>
      <c r="AG69" s="113">
        <v>450</v>
      </c>
      <c r="AH69" s="113">
        <v>450</v>
      </c>
      <c r="AI69" s="113">
        <v>0</v>
      </c>
      <c r="AJ69" s="113">
        <v>0</v>
      </c>
      <c r="AK69" s="113">
        <v>900</v>
      </c>
      <c r="AL69" s="114">
        <v>2097</v>
      </c>
      <c r="AM69" s="115">
        <v>128</v>
      </c>
      <c r="AN69" s="56">
        <f t="shared" si="8"/>
        <v>330112</v>
      </c>
      <c r="AO69" s="56">
        <f t="shared" si="9"/>
        <v>268416</v>
      </c>
      <c r="AP69" s="4" t="str">
        <f>VLOOKUP(A69,[1]Basic!$B:$F,5,0)</f>
        <v>D4 16GB</v>
      </c>
    </row>
    <row r="70" spans="1:42" ht="17" thickBot="1">
      <c r="A70" s="136"/>
      <c r="B70" s="112" t="s">
        <v>6</v>
      </c>
      <c r="C70" s="113"/>
      <c r="D70" s="113"/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4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4">
        <v>0</v>
      </c>
      <c r="AM70" s="115"/>
      <c r="AN70" s="56">
        <f t="shared" si="8"/>
        <v>0</v>
      </c>
      <c r="AO70" s="56">
        <f t="shared" si="9"/>
        <v>0</v>
      </c>
      <c r="AP70" s="4"/>
    </row>
    <row r="71" spans="1:42" ht="17" thickBot="1">
      <c r="A71" s="136"/>
      <c r="B71" s="112" t="s">
        <v>10</v>
      </c>
      <c r="C71" s="113">
        <v>0</v>
      </c>
      <c r="D71" s="113"/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4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4">
        <v>0</v>
      </c>
      <c r="AM71" s="115"/>
      <c r="AN71" s="56">
        <f t="shared" si="8"/>
        <v>0</v>
      </c>
      <c r="AO71" s="56">
        <f t="shared" si="9"/>
        <v>0</v>
      </c>
      <c r="AP71" s="4"/>
    </row>
    <row r="72" spans="1:42" ht="17" thickBot="1">
      <c r="A72" s="136"/>
      <c r="B72" s="112" t="s">
        <v>7</v>
      </c>
      <c r="C72" s="113"/>
      <c r="D72" s="113"/>
      <c r="E72" s="113">
        <v>0</v>
      </c>
      <c r="F72" s="113">
        <v>0</v>
      </c>
      <c r="G72" s="113">
        <v>0</v>
      </c>
      <c r="H72" s="113">
        <v>0</v>
      </c>
      <c r="I72" s="113">
        <v>0</v>
      </c>
      <c r="J72" s="113">
        <v>0</v>
      </c>
      <c r="K72" s="113">
        <v>0</v>
      </c>
      <c r="L72" s="113">
        <v>0</v>
      </c>
      <c r="M72" s="113">
        <v>0</v>
      </c>
      <c r="N72" s="113">
        <v>0</v>
      </c>
      <c r="O72" s="113">
        <v>0</v>
      </c>
      <c r="P72" s="113">
        <v>0</v>
      </c>
      <c r="Q72" s="113">
        <v>0</v>
      </c>
      <c r="R72" s="113">
        <v>0</v>
      </c>
      <c r="S72" s="113">
        <v>0</v>
      </c>
      <c r="T72" s="113">
        <v>0</v>
      </c>
      <c r="U72" s="114">
        <v>1128</v>
      </c>
      <c r="V72" s="113">
        <v>0</v>
      </c>
      <c r="W72" s="113">
        <v>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113">
        <v>0</v>
      </c>
      <c r="AE72" s="113">
        <v>0</v>
      </c>
      <c r="AF72" s="113">
        <v>0</v>
      </c>
      <c r="AG72" s="113">
        <v>0</v>
      </c>
      <c r="AH72" s="113">
        <v>0</v>
      </c>
      <c r="AI72" s="113">
        <v>0</v>
      </c>
      <c r="AJ72" s="113">
        <v>0</v>
      </c>
      <c r="AK72" s="113">
        <v>0</v>
      </c>
      <c r="AL72" s="114">
        <v>95</v>
      </c>
      <c r="AM72" s="115"/>
      <c r="AN72" s="56">
        <f t="shared" si="8"/>
        <v>0</v>
      </c>
      <c r="AO72" s="56">
        <f t="shared" si="9"/>
        <v>0</v>
      </c>
      <c r="AP72" s="4"/>
    </row>
    <row r="73" spans="1:42" ht="17" thickBot="1">
      <c r="A73" s="136"/>
      <c r="B73" s="112" t="s">
        <v>8</v>
      </c>
      <c r="C73" s="113">
        <v>565</v>
      </c>
      <c r="D73" s="113">
        <v>1128</v>
      </c>
      <c r="E73" s="113">
        <v>0</v>
      </c>
      <c r="F73" s="113">
        <v>468</v>
      </c>
      <c r="G73" s="113">
        <v>104</v>
      </c>
      <c r="H73" s="113">
        <v>-173</v>
      </c>
      <c r="I73" s="113">
        <v>-173</v>
      </c>
      <c r="J73" s="113">
        <v>-261</v>
      </c>
      <c r="K73" s="113">
        <v>-354</v>
      </c>
      <c r="L73" s="113">
        <v>-717</v>
      </c>
      <c r="M73" s="113">
        <v>-900</v>
      </c>
      <c r="N73" s="113">
        <v>-900</v>
      </c>
      <c r="O73" s="113">
        <v>-907</v>
      </c>
      <c r="P73" s="113">
        <v>-1177</v>
      </c>
      <c r="Q73" s="113">
        <v>-1447</v>
      </c>
      <c r="R73" s="113">
        <v>-1447</v>
      </c>
      <c r="S73" s="113">
        <v>-1451</v>
      </c>
      <c r="T73" s="113">
        <v>-1451</v>
      </c>
      <c r="U73" s="114">
        <v>-1451</v>
      </c>
      <c r="V73" s="113">
        <v>-1451</v>
      </c>
      <c r="W73" s="113">
        <v>-1451</v>
      </c>
      <c r="X73" s="113">
        <v>-1451</v>
      </c>
      <c r="Y73" s="113">
        <v>-1451</v>
      </c>
      <c r="Z73" s="113">
        <v>-1451</v>
      </c>
      <c r="AA73" s="113">
        <v>-1598</v>
      </c>
      <c r="AB73" s="113">
        <v>-1748</v>
      </c>
      <c r="AC73" s="113">
        <v>-2348</v>
      </c>
      <c r="AD73" s="113">
        <v>-2648</v>
      </c>
      <c r="AE73" s="113">
        <v>-2648</v>
      </c>
      <c r="AF73" s="113">
        <v>-2648</v>
      </c>
      <c r="AG73" s="113">
        <v>-3098</v>
      </c>
      <c r="AH73" s="113">
        <v>-3548</v>
      </c>
      <c r="AI73" s="113">
        <v>-3548</v>
      </c>
      <c r="AJ73" s="113">
        <v>-3548</v>
      </c>
      <c r="AK73" s="113">
        <v>-3548</v>
      </c>
      <c r="AL73" s="114">
        <v>-3548</v>
      </c>
      <c r="AM73" s="115"/>
      <c r="AN73" s="56">
        <f t="shared" si="8"/>
        <v>0</v>
      </c>
      <c r="AO73" s="56">
        <f t="shared" si="9"/>
        <v>0</v>
      </c>
      <c r="AP73" s="4"/>
    </row>
    <row r="74" spans="1:42" ht="17" thickBot="1">
      <c r="A74" s="116"/>
      <c r="B74" s="117" t="s">
        <v>9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114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114"/>
      <c r="AM74" s="115"/>
      <c r="AN74" s="56">
        <f t="shared" si="8"/>
        <v>0</v>
      </c>
      <c r="AO74" s="56">
        <f t="shared" si="9"/>
        <v>0</v>
      </c>
      <c r="AP74" s="4"/>
    </row>
    <row r="75" spans="1:42" ht="17" thickBot="1">
      <c r="A75" s="136" t="s">
        <v>16</v>
      </c>
      <c r="B75" s="112" t="s">
        <v>5</v>
      </c>
      <c r="C75" s="113"/>
      <c r="D75" s="113"/>
      <c r="E75" s="113">
        <v>0</v>
      </c>
      <c r="F75" s="113">
        <v>-1975</v>
      </c>
      <c r="G75" s="113">
        <v>363</v>
      </c>
      <c r="H75" s="113">
        <v>633</v>
      </c>
      <c r="I75" s="113">
        <v>-1172</v>
      </c>
      <c r="J75" s="113">
        <v>3560</v>
      </c>
      <c r="K75" s="113">
        <v>1485</v>
      </c>
      <c r="L75" s="113">
        <v>428</v>
      </c>
      <c r="M75" s="113">
        <v>1470</v>
      </c>
      <c r="N75" s="113">
        <v>6784</v>
      </c>
      <c r="O75" s="113">
        <v>934</v>
      </c>
      <c r="P75" s="113">
        <v>370</v>
      </c>
      <c r="Q75" s="113">
        <v>767</v>
      </c>
      <c r="R75" s="113">
        <v>1160</v>
      </c>
      <c r="S75" s="113">
        <v>608</v>
      </c>
      <c r="T75" s="113">
        <v>4191</v>
      </c>
      <c r="U75" s="114">
        <v>18436</v>
      </c>
      <c r="V75" s="113">
        <v>0</v>
      </c>
      <c r="W75" s="113">
        <v>248</v>
      </c>
      <c r="X75" s="113">
        <v>529</v>
      </c>
      <c r="Y75" s="113">
        <v>982</v>
      </c>
      <c r="Z75" s="113">
        <v>1759</v>
      </c>
      <c r="AA75" s="113">
        <v>298</v>
      </c>
      <c r="AB75" s="113">
        <v>83</v>
      </c>
      <c r="AC75" s="113">
        <v>71</v>
      </c>
      <c r="AD75" s="113">
        <v>212</v>
      </c>
      <c r="AE75" s="113">
        <v>664</v>
      </c>
      <c r="AF75" s="113">
        <v>0</v>
      </c>
      <c r="AG75" s="113">
        <v>143</v>
      </c>
      <c r="AH75" s="113">
        <v>91</v>
      </c>
      <c r="AI75" s="113">
        <v>288</v>
      </c>
      <c r="AJ75" s="113">
        <v>0</v>
      </c>
      <c r="AK75" s="113">
        <v>522</v>
      </c>
      <c r="AL75" s="114">
        <v>2945</v>
      </c>
      <c r="AM75" s="115">
        <v>128</v>
      </c>
      <c r="AN75" s="56">
        <f t="shared" si="8"/>
        <v>2359808</v>
      </c>
      <c r="AO75" s="56">
        <f t="shared" si="9"/>
        <v>376960</v>
      </c>
      <c r="AP75" s="4" t="str">
        <f>VLOOKUP(A75,[1]Basic!$B:$F,5,0)</f>
        <v>D4 16GB</v>
      </c>
    </row>
    <row r="76" spans="1:42" ht="17" thickBot="1">
      <c r="A76" s="136"/>
      <c r="B76" s="112" t="s">
        <v>6</v>
      </c>
      <c r="C76" s="113"/>
      <c r="D76" s="113"/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4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4">
        <v>0</v>
      </c>
      <c r="AM76" s="115"/>
      <c r="AN76" s="56">
        <f t="shared" si="8"/>
        <v>0</v>
      </c>
      <c r="AO76" s="56">
        <f t="shared" si="9"/>
        <v>0</v>
      </c>
      <c r="AP76" s="4"/>
    </row>
    <row r="77" spans="1:42" ht="17" thickBot="1">
      <c r="A77" s="136"/>
      <c r="B77" s="112" t="s">
        <v>10</v>
      </c>
      <c r="C77" s="113">
        <v>0</v>
      </c>
      <c r="D77" s="113"/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4">
        <v>0</v>
      </c>
      <c r="V77" s="113">
        <v>55050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4">
        <v>0</v>
      </c>
      <c r="AM77" s="115"/>
      <c r="AN77" s="56">
        <f t="shared" si="8"/>
        <v>0</v>
      </c>
      <c r="AO77" s="56">
        <f t="shared" si="9"/>
        <v>0</v>
      </c>
      <c r="AP77" s="4"/>
    </row>
    <row r="78" spans="1:42" ht="17" thickBot="1">
      <c r="A78" s="136"/>
      <c r="B78" s="112" t="s">
        <v>7</v>
      </c>
      <c r="C78" s="113"/>
      <c r="D78" s="113"/>
      <c r="E78" s="113">
        <v>3365</v>
      </c>
      <c r="F78" s="113">
        <v>41403</v>
      </c>
      <c r="G78" s="113">
        <v>76475</v>
      </c>
      <c r="H78" s="113">
        <v>14000</v>
      </c>
      <c r="I78" s="113">
        <v>135243</v>
      </c>
      <c r="J78" s="113">
        <v>0</v>
      </c>
      <c r="K78" s="113">
        <v>32152</v>
      </c>
      <c r="L78" s="113">
        <v>0</v>
      </c>
      <c r="M78" s="113">
        <v>0</v>
      </c>
      <c r="N78" s="113">
        <v>32152</v>
      </c>
      <c r="O78" s="113">
        <v>0</v>
      </c>
      <c r="P78" s="113">
        <v>0</v>
      </c>
      <c r="Q78" s="113">
        <v>0</v>
      </c>
      <c r="R78" s="113">
        <v>30000</v>
      </c>
      <c r="S78" s="113">
        <v>0</v>
      </c>
      <c r="T78" s="113">
        <v>30000</v>
      </c>
      <c r="U78" s="114">
        <v>206028</v>
      </c>
      <c r="V78" s="113">
        <v>55050</v>
      </c>
      <c r="W78" s="113">
        <v>0</v>
      </c>
      <c r="X78" s="113">
        <v>0</v>
      </c>
      <c r="Y78" s="113">
        <v>0</v>
      </c>
      <c r="Z78" s="113">
        <v>55050</v>
      </c>
      <c r="AA78" s="113">
        <v>0</v>
      </c>
      <c r="AB78" s="113">
        <v>0</v>
      </c>
      <c r="AC78" s="113">
        <v>0</v>
      </c>
      <c r="AD78" s="113">
        <v>0</v>
      </c>
      <c r="AE78" s="113">
        <v>0</v>
      </c>
      <c r="AF78" s="113">
        <v>0</v>
      </c>
      <c r="AG78" s="113">
        <v>0</v>
      </c>
      <c r="AH78" s="113">
        <v>0</v>
      </c>
      <c r="AI78" s="113">
        <v>0</v>
      </c>
      <c r="AJ78" s="113">
        <v>0</v>
      </c>
      <c r="AK78" s="113">
        <v>0</v>
      </c>
      <c r="AL78" s="114">
        <v>50189</v>
      </c>
      <c r="AM78" s="115"/>
      <c r="AN78" s="56">
        <f t="shared" si="8"/>
        <v>0</v>
      </c>
      <c r="AO78" s="56">
        <f t="shared" si="9"/>
        <v>0</v>
      </c>
      <c r="AP78" s="4"/>
    </row>
    <row r="79" spans="1:42" ht="17" thickBot="1">
      <c r="A79" s="136"/>
      <c r="B79" s="112" t="s">
        <v>8</v>
      </c>
      <c r="C79" s="113">
        <v>8555</v>
      </c>
      <c r="D79" s="113">
        <v>8633</v>
      </c>
      <c r="E79" s="113">
        <v>0</v>
      </c>
      <c r="F79" s="113">
        <v>504</v>
      </c>
      <c r="G79" s="113">
        <v>149</v>
      </c>
      <c r="H79" s="113">
        <v>-474</v>
      </c>
      <c r="I79" s="113">
        <v>136415</v>
      </c>
      <c r="J79" s="113">
        <v>-4034</v>
      </c>
      <c r="K79" s="113">
        <v>-5519</v>
      </c>
      <c r="L79" s="113">
        <v>-5947</v>
      </c>
      <c r="M79" s="113">
        <v>-7417</v>
      </c>
      <c r="N79" s="113">
        <v>161783</v>
      </c>
      <c r="O79" s="113">
        <v>160497</v>
      </c>
      <c r="P79" s="113">
        <v>160127</v>
      </c>
      <c r="Q79" s="113">
        <v>159360</v>
      </c>
      <c r="R79" s="113">
        <v>-4883</v>
      </c>
      <c r="S79" s="113">
        <v>-5491</v>
      </c>
      <c r="T79" s="113">
        <v>187592</v>
      </c>
      <c r="U79" s="114">
        <v>187592</v>
      </c>
      <c r="V79" s="113">
        <v>242642</v>
      </c>
      <c r="W79" s="113">
        <v>242394</v>
      </c>
      <c r="X79" s="113">
        <v>241865</v>
      </c>
      <c r="Y79" s="113">
        <v>241412</v>
      </c>
      <c r="Z79" s="113">
        <v>240883</v>
      </c>
      <c r="AA79" s="113">
        <v>240585</v>
      </c>
      <c r="AB79" s="113">
        <v>240502</v>
      </c>
      <c r="AC79" s="113">
        <v>240431</v>
      </c>
      <c r="AD79" s="113">
        <v>240219</v>
      </c>
      <c r="AE79" s="113">
        <v>240219</v>
      </c>
      <c r="AF79" s="113">
        <v>240219</v>
      </c>
      <c r="AG79" s="113">
        <v>240076</v>
      </c>
      <c r="AH79" s="113">
        <v>239985</v>
      </c>
      <c r="AI79" s="113">
        <v>239697</v>
      </c>
      <c r="AJ79" s="113">
        <v>239697</v>
      </c>
      <c r="AK79" s="113">
        <v>239697</v>
      </c>
      <c r="AL79" s="114">
        <v>239697</v>
      </c>
      <c r="AM79" s="115"/>
      <c r="AN79" s="56">
        <f t="shared" si="8"/>
        <v>0</v>
      </c>
      <c r="AO79" s="56">
        <f t="shared" si="9"/>
        <v>0</v>
      </c>
      <c r="AP79" s="4"/>
    </row>
    <row r="80" spans="1:42" ht="17" thickBot="1">
      <c r="A80" s="116"/>
      <c r="B80" s="117" t="s">
        <v>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114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114"/>
      <c r="AM80" s="115"/>
      <c r="AN80" s="56">
        <f t="shared" si="8"/>
        <v>0</v>
      </c>
      <c r="AO80" s="56">
        <f t="shared" si="9"/>
        <v>0</v>
      </c>
      <c r="AP80" s="4"/>
    </row>
    <row r="81" spans="1:42" ht="17" thickBot="1">
      <c r="A81" s="136" t="s">
        <v>18</v>
      </c>
      <c r="B81" s="112" t="s">
        <v>5</v>
      </c>
      <c r="C81" s="113"/>
      <c r="D81" s="113"/>
      <c r="E81" s="113">
        <v>45075</v>
      </c>
      <c r="F81" s="113">
        <v>-44244</v>
      </c>
      <c r="G81" s="113">
        <v>50095</v>
      </c>
      <c r="H81" s="113">
        <v>76628</v>
      </c>
      <c r="I81" s="113">
        <v>127074</v>
      </c>
      <c r="J81" s="113">
        <v>37783</v>
      </c>
      <c r="K81" s="113">
        <v>51695</v>
      </c>
      <c r="L81" s="113">
        <v>57081</v>
      </c>
      <c r="M81" s="113">
        <v>64743</v>
      </c>
      <c r="N81" s="113">
        <v>211375</v>
      </c>
      <c r="O81" s="113">
        <v>55334</v>
      </c>
      <c r="P81" s="113">
        <v>44412</v>
      </c>
      <c r="Q81" s="113">
        <v>58355</v>
      </c>
      <c r="R81" s="113">
        <v>52658</v>
      </c>
      <c r="S81" s="113">
        <v>65274</v>
      </c>
      <c r="T81" s="113">
        <v>276322</v>
      </c>
      <c r="U81" s="114">
        <v>837502</v>
      </c>
      <c r="V81" s="113">
        <v>1683</v>
      </c>
      <c r="W81" s="113">
        <v>17668</v>
      </c>
      <c r="X81" s="113">
        <v>21002</v>
      </c>
      <c r="Y81" s="113">
        <v>18315</v>
      </c>
      <c r="Z81" s="113">
        <v>58786</v>
      </c>
      <c r="AA81" s="113">
        <v>19817</v>
      </c>
      <c r="AB81" s="113">
        <v>15386</v>
      </c>
      <c r="AC81" s="113">
        <v>19511</v>
      </c>
      <c r="AD81" s="113">
        <v>20156</v>
      </c>
      <c r="AE81" s="113">
        <v>74870</v>
      </c>
      <c r="AF81" s="113">
        <v>16581</v>
      </c>
      <c r="AG81" s="113">
        <v>13658</v>
      </c>
      <c r="AH81" s="113">
        <v>12199</v>
      </c>
      <c r="AI81" s="113">
        <v>10854</v>
      </c>
      <c r="AJ81" s="113">
        <v>8230</v>
      </c>
      <c r="AK81" s="113">
        <v>61522</v>
      </c>
      <c r="AL81" s="114">
        <v>195178</v>
      </c>
      <c r="AM81" s="115">
        <v>128</v>
      </c>
      <c r="AN81" s="56">
        <f t="shared" si="8"/>
        <v>107200256</v>
      </c>
      <c r="AO81" s="56">
        <f t="shared" si="9"/>
        <v>24982784</v>
      </c>
      <c r="AP81" s="4" t="str">
        <f>VLOOKUP(A81,[1]Basic!$B:$F,5,0)</f>
        <v>D4 16GB</v>
      </c>
    </row>
    <row r="82" spans="1:42" ht="17" thickBot="1">
      <c r="A82" s="136"/>
      <c r="B82" s="112" t="s">
        <v>6</v>
      </c>
      <c r="C82" s="113"/>
      <c r="D82" s="113"/>
      <c r="E82" s="113">
        <v>45075</v>
      </c>
      <c r="F82" s="113">
        <v>85000</v>
      </c>
      <c r="G82" s="113">
        <v>58099</v>
      </c>
      <c r="H82" s="113">
        <v>194701</v>
      </c>
      <c r="I82" s="113">
        <v>382875</v>
      </c>
      <c r="J82" s="113">
        <v>22000</v>
      </c>
      <c r="K82" s="113">
        <v>46268</v>
      </c>
      <c r="L82" s="113">
        <v>110000</v>
      </c>
      <c r="M82" s="113">
        <v>0</v>
      </c>
      <c r="N82" s="113">
        <v>68268</v>
      </c>
      <c r="O82" s="113">
        <v>155000</v>
      </c>
      <c r="P82" s="113">
        <v>36000</v>
      </c>
      <c r="Q82" s="113">
        <v>80000</v>
      </c>
      <c r="R82" s="113">
        <v>0</v>
      </c>
      <c r="S82" s="113">
        <v>146000</v>
      </c>
      <c r="T82" s="113">
        <v>303000</v>
      </c>
      <c r="U82" s="114">
        <v>380000</v>
      </c>
      <c r="V82" s="113">
        <v>0</v>
      </c>
      <c r="W82" s="113">
        <v>0</v>
      </c>
      <c r="X82" s="113">
        <v>0</v>
      </c>
      <c r="Y82" s="113">
        <v>0</v>
      </c>
      <c r="Z82" s="113">
        <v>0</v>
      </c>
      <c r="AA82" s="113">
        <v>6000</v>
      </c>
      <c r="AB82" s="113">
        <v>0</v>
      </c>
      <c r="AC82" s="113">
        <v>0</v>
      </c>
      <c r="AD82" s="113">
        <v>5000</v>
      </c>
      <c r="AE82" s="113">
        <v>11000</v>
      </c>
      <c r="AF82" s="113">
        <v>50000</v>
      </c>
      <c r="AG82" s="113">
        <v>0</v>
      </c>
      <c r="AH82" s="113">
        <v>0</v>
      </c>
      <c r="AI82" s="113">
        <v>0</v>
      </c>
      <c r="AJ82" s="113">
        <v>75000</v>
      </c>
      <c r="AK82" s="113">
        <v>125000</v>
      </c>
      <c r="AL82" s="114">
        <v>136000</v>
      </c>
      <c r="AM82" s="115"/>
      <c r="AN82" s="56">
        <f t="shared" si="8"/>
        <v>0</v>
      </c>
      <c r="AO82" s="56">
        <f t="shared" si="9"/>
        <v>0</v>
      </c>
      <c r="AP82" s="4"/>
    </row>
    <row r="83" spans="1:42" ht="17" thickBot="1">
      <c r="A83" s="136"/>
      <c r="B83" s="112" t="s">
        <v>10</v>
      </c>
      <c r="C83" s="113">
        <v>37800</v>
      </c>
      <c r="D83" s="113"/>
      <c r="E83" s="113">
        <v>0</v>
      </c>
      <c r="F83" s="113">
        <v>37800</v>
      </c>
      <c r="G83" s="113">
        <v>0</v>
      </c>
      <c r="H83" s="113">
        <v>0</v>
      </c>
      <c r="I83" s="113">
        <v>29550</v>
      </c>
      <c r="J83" s="113">
        <v>0</v>
      </c>
      <c r="K83" s="113">
        <v>0</v>
      </c>
      <c r="L83" s="113">
        <v>0</v>
      </c>
      <c r="M83" s="113">
        <v>0</v>
      </c>
      <c r="N83" s="113">
        <v>0</v>
      </c>
      <c r="O83" s="113">
        <v>0</v>
      </c>
      <c r="P83" s="113">
        <v>0</v>
      </c>
      <c r="Q83" s="113">
        <v>0</v>
      </c>
      <c r="R83" s="113">
        <v>0</v>
      </c>
      <c r="S83" s="113">
        <v>0</v>
      </c>
      <c r="T83" s="113">
        <v>0</v>
      </c>
      <c r="U83" s="114">
        <v>0</v>
      </c>
      <c r="V83" s="113">
        <v>0</v>
      </c>
      <c r="W83" s="113">
        <v>0</v>
      </c>
      <c r="X83" s="113">
        <v>0</v>
      </c>
      <c r="Y83" s="113">
        <v>0</v>
      </c>
      <c r="Z83" s="113">
        <v>0</v>
      </c>
      <c r="AA83" s="113">
        <v>0</v>
      </c>
      <c r="AB83" s="113">
        <v>0</v>
      </c>
      <c r="AC83" s="113">
        <v>0</v>
      </c>
      <c r="AD83" s="113">
        <v>0</v>
      </c>
      <c r="AE83" s="113">
        <v>0</v>
      </c>
      <c r="AF83" s="113">
        <v>0</v>
      </c>
      <c r="AG83" s="113">
        <v>0</v>
      </c>
      <c r="AH83" s="113">
        <v>0</v>
      </c>
      <c r="AI83" s="113">
        <v>0</v>
      </c>
      <c r="AJ83" s="113">
        <v>0</v>
      </c>
      <c r="AK83" s="113">
        <v>0</v>
      </c>
      <c r="AL83" s="114">
        <v>0</v>
      </c>
      <c r="AM83" s="115"/>
      <c r="AN83" s="56">
        <f t="shared" si="8"/>
        <v>0</v>
      </c>
      <c r="AO83" s="56">
        <f t="shared" si="9"/>
        <v>0</v>
      </c>
      <c r="AP83" s="4"/>
    </row>
    <row r="84" spans="1:42" ht="17" thickBot="1">
      <c r="A84" s="136"/>
      <c r="B84" s="112" t="s">
        <v>7</v>
      </c>
      <c r="C84" s="113"/>
      <c r="D84" s="113"/>
      <c r="E84" s="113">
        <v>4200</v>
      </c>
      <c r="F84" s="113">
        <v>9250</v>
      </c>
      <c r="G84" s="113">
        <v>6300</v>
      </c>
      <c r="H84" s="113">
        <v>18000</v>
      </c>
      <c r="I84" s="113">
        <v>37750</v>
      </c>
      <c r="J84" s="113">
        <v>22000</v>
      </c>
      <c r="K84" s="113">
        <v>46268</v>
      </c>
      <c r="L84" s="113">
        <v>110000</v>
      </c>
      <c r="M84" s="113">
        <v>0</v>
      </c>
      <c r="N84" s="113">
        <v>178268</v>
      </c>
      <c r="O84" s="113">
        <v>155000</v>
      </c>
      <c r="P84" s="113">
        <v>36000</v>
      </c>
      <c r="Q84" s="113">
        <v>80000</v>
      </c>
      <c r="R84" s="113">
        <v>0</v>
      </c>
      <c r="S84" s="113">
        <v>146000</v>
      </c>
      <c r="T84" s="113">
        <v>417000</v>
      </c>
      <c r="U84" s="114">
        <v>855749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6000</v>
      </c>
      <c r="AB84" s="113">
        <v>0</v>
      </c>
      <c r="AC84" s="113">
        <v>0</v>
      </c>
      <c r="AD84" s="113">
        <v>5000</v>
      </c>
      <c r="AE84" s="113">
        <v>11000</v>
      </c>
      <c r="AF84" s="113">
        <v>50000</v>
      </c>
      <c r="AG84" s="113">
        <v>0</v>
      </c>
      <c r="AH84" s="113">
        <v>0</v>
      </c>
      <c r="AI84" s="113">
        <v>0</v>
      </c>
      <c r="AJ84" s="113">
        <v>75000</v>
      </c>
      <c r="AK84" s="113">
        <v>125000</v>
      </c>
      <c r="AL84" s="114">
        <v>150711</v>
      </c>
      <c r="AM84" s="115"/>
      <c r="AN84" s="56">
        <f t="shared" si="8"/>
        <v>0</v>
      </c>
      <c r="AO84" s="56">
        <f t="shared" si="9"/>
        <v>0</v>
      </c>
      <c r="AP84" s="4"/>
    </row>
    <row r="85" spans="1:42" ht="17" thickBot="1">
      <c r="A85" s="136"/>
      <c r="B85" s="112" t="s">
        <v>8</v>
      </c>
      <c r="C85" s="113">
        <v>270076</v>
      </c>
      <c r="D85" s="113">
        <v>222731</v>
      </c>
      <c r="E85" s="113">
        <v>0</v>
      </c>
      <c r="F85" s="113">
        <v>65124</v>
      </c>
      <c r="G85" s="113">
        <v>49648</v>
      </c>
      <c r="H85" s="113">
        <v>29661</v>
      </c>
      <c r="I85" s="113">
        <v>-89324</v>
      </c>
      <c r="J85" s="113">
        <v>41000</v>
      </c>
      <c r="K85" s="113">
        <v>66686</v>
      </c>
      <c r="L85" s="113">
        <v>119605</v>
      </c>
      <c r="M85" s="113">
        <v>54862</v>
      </c>
      <c r="N85" s="113">
        <v>-122431</v>
      </c>
      <c r="O85" s="113">
        <v>-23172</v>
      </c>
      <c r="P85" s="113">
        <v>-31584</v>
      </c>
      <c r="Q85" s="113">
        <v>-9939</v>
      </c>
      <c r="R85" s="113">
        <v>84466</v>
      </c>
      <c r="S85" s="113">
        <v>165192</v>
      </c>
      <c r="T85" s="113">
        <v>18247</v>
      </c>
      <c r="U85" s="114">
        <v>18247</v>
      </c>
      <c r="V85" s="113">
        <v>16446</v>
      </c>
      <c r="W85" s="113">
        <v>-1222</v>
      </c>
      <c r="X85" s="113">
        <v>-22224</v>
      </c>
      <c r="Y85" s="113">
        <v>-22441</v>
      </c>
      <c r="Z85" s="113">
        <v>-40539</v>
      </c>
      <c r="AA85" s="113">
        <v>-54356</v>
      </c>
      <c r="AB85" s="113">
        <v>-69742</v>
      </c>
      <c r="AC85" s="113">
        <v>-89253</v>
      </c>
      <c r="AD85" s="113">
        <v>-104409</v>
      </c>
      <c r="AE85" s="113">
        <v>-104409</v>
      </c>
      <c r="AF85" s="113">
        <v>-70990</v>
      </c>
      <c r="AG85" s="113">
        <v>-84648</v>
      </c>
      <c r="AH85" s="113">
        <v>-96847</v>
      </c>
      <c r="AI85" s="113">
        <v>-107701</v>
      </c>
      <c r="AJ85" s="113">
        <v>-40931</v>
      </c>
      <c r="AK85" s="113">
        <v>-40931</v>
      </c>
      <c r="AL85" s="114">
        <v>-40931</v>
      </c>
      <c r="AM85" s="115"/>
      <c r="AN85" s="56">
        <f t="shared" si="8"/>
        <v>0</v>
      </c>
      <c r="AO85" s="56">
        <f t="shared" si="9"/>
        <v>0</v>
      </c>
      <c r="AP85" s="4"/>
    </row>
    <row r="86" spans="1:42" ht="17" thickBot="1">
      <c r="A86" s="116"/>
      <c r="B86" s="117" t="s">
        <v>9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114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114"/>
      <c r="AM86" s="115"/>
      <c r="AN86" s="56">
        <f t="shared" si="8"/>
        <v>0</v>
      </c>
      <c r="AO86" s="56">
        <f t="shared" si="9"/>
        <v>0</v>
      </c>
      <c r="AP86" s="4"/>
    </row>
    <row r="87" spans="1:42" ht="17" thickBot="1">
      <c r="A87" s="136" t="s">
        <v>135</v>
      </c>
      <c r="B87" s="112" t="s">
        <v>5</v>
      </c>
      <c r="C87" s="113"/>
      <c r="D87" s="113"/>
      <c r="E87" s="113">
        <v>0</v>
      </c>
      <c r="F87" s="113">
        <v>0</v>
      </c>
      <c r="G87" s="113">
        <v>0</v>
      </c>
      <c r="H87" s="113">
        <v>0</v>
      </c>
      <c r="I87" s="113">
        <v>0</v>
      </c>
      <c r="J87" s="113">
        <v>0</v>
      </c>
      <c r="K87" s="113">
        <v>0</v>
      </c>
      <c r="L87" s="113">
        <v>0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4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113">
        <v>0</v>
      </c>
      <c r="AE87" s="113">
        <v>0</v>
      </c>
      <c r="AF87" s="113">
        <v>0</v>
      </c>
      <c r="AG87" s="113">
        <v>0</v>
      </c>
      <c r="AH87" s="113">
        <v>0</v>
      </c>
      <c r="AI87" s="113">
        <v>0</v>
      </c>
      <c r="AJ87" s="113">
        <v>0</v>
      </c>
      <c r="AK87" s="113">
        <v>0</v>
      </c>
      <c r="AL87" s="114">
        <v>0</v>
      </c>
      <c r="AM87" s="115">
        <v>256</v>
      </c>
      <c r="AN87" s="56">
        <f t="shared" si="8"/>
        <v>0</v>
      </c>
      <c r="AO87" s="56">
        <f t="shared" si="9"/>
        <v>0</v>
      </c>
      <c r="AP87" s="4" t="s">
        <v>136</v>
      </c>
    </row>
    <row r="88" spans="1:42" ht="17" thickBot="1">
      <c r="A88" s="136"/>
      <c r="B88" s="112" t="s">
        <v>6</v>
      </c>
      <c r="C88" s="113"/>
      <c r="D88" s="113"/>
      <c r="E88" s="113">
        <v>0</v>
      </c>
      <c r="F88" s="113">
        <v>0</v>
      </c>
      <c r="G88" s="113">
        <v>0</v>
      </c>
      <c r="H88" s="113">
        <v>0</v>
      </c>
      <c r="I88" s="113">
        <v>0</v>
      </c>
      <c r="J88" s="113">
        <v>0</v>
      </c>
      <c r="K88" s="113">
        <v>0</v>
      </c>
      <c r="L88" s="113">
        <v>0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4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113">
        <v>0</v>
      </c>
      <c r="AE88" s="113">
        <v>0</v>
      </c>
      <c r="AF88" s="113">
        <v>0</v>
      </c>
      <c r="AG88" s="113">
        <v>0</v>
      </c>
      <c r="AH88" s="113">
        <v>0</v>
      </c>
      <c r="AI88" s="113">
        <v>0</v>
      </c>
      <c r="AJ88" s="113">
        <v>0</v>
      </c>
      <c r="AK88" s="113">
        <v>0</v>
      </c>
      <c r="AL88" s="114">
        <v>0</v>
      </c>
      <c r="AM88" s="115"/>
      <c r="AN88" s="56">
        <f t="shared" si="8"/>
        <v>0</v>
      </c>
      <c r="AO88" s="56">
        <f t="shared" si="9"/>
        <v>0</v>
      </c>
      <c r="AP88" s="4"/>
    </row>
    <row r="89" spans="1:42" ht="17" thickBot="1">
      <c r="A89" s="136"/>
      <c r="B89" s="112" t="s">
        <v>10</v>
      </c>
      <c r="C89" s="113">
        <v>0</v>
      </c>
      <c r="D89" s="113"/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4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4">
        <v>0</v>
      </c>
      <c r="AM89" s="115"/>
      <c r="AN89" s="56">
        <f t="shared" si="8"/>
        <v>0</v>
      </c>
      <c r="AO89" s="56">
        <f t="shared" si="9"/>
        <v>0</v>
      </c>
      <c r="AP89" s="4"/>
    </row>
    <row r="90" spans="1:42" ht="17" thickBot="1">
      <c r="A90" s="136"/>
      <c r="B90" s="112" t="s">
        <v>7</v>
      </c>
      <c r="C90" s="113"/>
      <c r="D90" s="113"/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4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4">
        <v>0</v>
      </c>
      <c r="AM90" s="115"/>
      <c r="AN90" s="56">
        <f t="shared" si="8"/>
        <v>0</v>
      </c>
      <c r="AO90" s="56">
        <f t="shared" si="9"/>
        <v>0</v>
      </c>
      <c r="AP90" s="4"/>
    </row>
    <row r="91" spans="1:42" ht="17" thickBot="1">
      <c r="A91" s="136"/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4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4">
        <v>0</v>
      </c>
      <c r="AM91" s="115"/>
      <c r="AN91" s="56">
        <f t="shared" si="8"/>
        <v>0</v>
      </c>
      <c r="AO91" s="56">
        <f t="shared" si="9"/>
        <v>0</v>
      </c>
      <c r="AP91" s="4"/>
    </row>
    <row r="92" spans="1:42" ht="17" thickBot="1">
      <c r="A92" s="116"/>
      <c r="B92" s="117" t="s">
        <v>9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114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114"/>
      <c r="AM92" s="115"/>
      <c r="AN92" s="56">
        <f t="shared" si="8"/>
        <v>0</v>
      </c>
      <c r="AO92" s="56">
        <f t="shared" si="9"/>
        <v>0</v>
      </c>
      <c r="AP92" s="4"/>
    </row>
    <row r="93" spans="1:42" ht="17" thickBot="1">
      <c r="A93" s="136" t="s">
        <v>95</v>
      </c>
      <c r="B93" s="112" t="s">
        <v>5</v>
      </c>
      <c r="C93" s="113"/>
      <c r="D93" s="113"/>
      <c r="E93" s="113">
        <v>0</v>
      </c>
      <c r="F93" s="113">
        <v>-1333</v>
      </c>
      <c r="G93" s="113">
        <v>3</v>
      </c>
      <c r="H93" s="113">
        <v>4</v>
      </c>
      <c r="I93" s="113">
        <v>-1326</v>
      </c>
      <c r="J93" s="113">
        <v>0</v>
      </c>
      <c r="K93" s="113">
        <v>0</v>
      </c>
      <c r="L93" s="113">
        <v>0</v>
      </c>
      <c r="M93" s="113">
        <v>0</v>
      </c>
      <c r="N93" s="113">
        <v>0</v>
      </c>
      <c r="O93" s="113">
        <v>0</v>
      </c>
      <c r="P93" s="113">
        <v>0</v>
      </c>
      <c r="Q93" s="113">
        <v>0</v>
      </c>
      <c r="R93" s="113">
        <v>0</v>
      </c>
      <c r="S93" s="113">
        <v>0</v>
      </c>
      <c r="T93" s="113">
        <v>0</v>
      </c>
      <c r="U93" s="114">
        <v>271</v>
      </c>
      <c r="V93" s="113">
        <v>0</v>
      </c>
      <c r="W93" s="113">
        <v>0</v>
      </c>
      <c r="X93" s="113">
        <v>0</v>
      </c>
      <c r="Y93" s="113">
        <v>0</v>
      </c>
      <c r="Z93" s="113">
        <v>0</v>
      </c>
      <c r="AA93" s="113">
        <v>0</v>
      </c>
      <c r="AB93" s="113">
        <v>0</v>
      </c>
      <c r="AC93" s="113">
        <v>0</v>
      </c>
      <c r="AD93" s="113">
        <v>0</v>
      </c>
      <c r="AE93" s="113">
        <v>0</v>
      </c>
      <c r="AF93" s="113">
        <v>0</v>
      </c>
      <c r="AG93" s="113">
        <v>0</v>
      </c>
      <c r="AH93" s="113">
        <v>0</v>
      </c>
      <c r="AI93" s="113">
        <v>0</v>
      </c>
      <c r="AJ93" s="113">
        <v>0</v>
      </c>
      <c r="AK93" s="113">
        <v>0</v>
      </c>
      <c r="AL93" s="114">
        <v>0</v>
      </c>
      <c r="AM93" s="115">
        <v>256</v>
      </c>
      <c r="AN93" s="56">
        <f t="shared" si="8"/>
        <v>69376</v>
      </c>
      <c r="AO93" s="56">
        <f t="shared" si="9"/>
        <v>0</v>
      </c>
      <c r="AP93" s="4" t="str">
        <f>VLOOKUP(A93,[1]Basic!$B:$F,5,0)</f>
        <v>D4 32GB</v>
      </c>
    </row>
    <row r="94" spans="1:42" ht="17" thickBot="1">
      <c r="A94" s="136"/>
      <c r="B94" s="112" t="s">
        <v>6</v>
      </c>
      <c r="C94" s="113"/>
      <c r="D94" s="113"/>
      <c r="E94" s="113">
        <v>0</v>
      </c>
      <c r="F94" s="113">
        <v>0</v>
      </c>
      <c r="G94" s="113">
        <v>0</v>
      </c>
      <c r="H94" s="113">
        <v>0</v>
      </c>
      <c r="I94" s="113">
        <v>0</v>
      </c>
      <c r="J94" s="113">
        <v>0</v>
      </c>
      <c r="K94" s="113">
        <v>0</v>
      </c>
      <c r="L94" s="113">
        <v>0</v>
      </c>
      <c r="M94" s="113">
        <v>0</v>
      </c>
      <c r="N94" s="113">
        <v>0</v>
      </c>
      <c r="O94" s="113">
        <v>0</v>
      </c>
      <c r="P94" s="113">
        <v>0</v>
      </c>
      <c r="Q94" s="113">
        <v>0</v>
      </c>
      <c r="R94" s="113">
        <v>0</v>
      </c>
      <c r="S94" s="113">
        <v>0</v>
      </c>
      <c r="T94" s="113">
        <v>0</v>
      </c>
      <c r="U94" s="114">
        <v>0</v>
      </c>
      <c r="V94" s="113">
        <v>0</v>
      </c>
      <c r="W94" s="113">
        <v>0</v>
      </c>
      <c r="X94" s="113">
        <v>0</v>
      </c>
      <c r="Y94" s="113">
        <v>0</v>
      </c>
      <c r="Z94" s="113">
        <v>0</v>
      </c>
      <c r="AA94" s="113">
        <v>0</v>
      </c>
      <c r="AB94" s="113">
        <v>0</v>
      </c>
      <c r="AC94" s="113">
        <v>0</v>
      </c>
      <c r="AD94" s="113">
        <v>0</v>
      </c>
      <c r="AE94" s="113">
        <v>0</v>
      </c>
      <c r="AF94" s="113">
        <v>0</v>
      </c>
      <c r="AG94" s="113">
        <v>0</v>
      </c>
      <c r="AH94" s="113">
        <v>0</v>
      </c>
      <c r="AI94" s="113">
        <v>0</v>
      </c>
      <c r="AJ94" s="113">
        <v>0</v>
      </c>
      <c r="AK94" s="113">
        <v>0</v>
      </c>
      <c r="AL94" s="114">
        <v>0</v>
      </c>
      <c r="AM94" s="115"/>
      <c r="AN94" s="56">
        <f t="shared" si="8"/>
        <v>0</v>
      </c>
      <c r="AO94" s="56">
        <f t="shared" si="9"/>
        <v>0</v>
      </c>
      <c r="AP94" s="4"/>
    </row>
    <row r="95" spans="1:42" ht="17" thickBot="1">
      <c r="A95" s="136"/>
      <c r="B95" s="112" t="s">
        <v>10</v>
      </c>
      <c r="C95" s="113">
        <v>0</v>
      </c>
      <c r="D95" s="113"/>
      <c r="E95" s="113">
        <v>0</v>
      </c>
      <c r="F95" s="113">
        <v>0</v>
      </c>
      <c r="G95" s="113">
        <v>0</v>
      </c>
      <c r="H95" s="113">
        <v>0</v>
      </c>
      <c r="I95" s="113">
        <v>0</v>
      </c>
      <c r="J95" s="113">
        <v>0</v>
      </c>
      <c r="K95" s="113">
        <v>0</v>
      </c>
      <c r="L95" s="113">
        <v>0</v>
      </c>
      <c r="M95" s="113">
        <v>0</v>
      </c>
      <c r="N95" s="113">
        <v>0</v>
      </c>
      <c r="O95" s="113">
        <v>0</v>
      </c>
      <c r="P95" s="113">
        <v>0</v>
      </c>
      <c r="Q95" s="113">
        <v>0</v>
      </c>
      <c r="R95" s="113">
        <v>0</v>
      </c>
      <c r="S95" s="113">
        <v>0</v>
      </c>
      <c r="T95" s="113">
        <v>0</v>
      </c>
      <c r="U95" s="114">
        <v>0</v>
      </c>
      <c r="V95" s="113">
        <v>0</v>
      </c>
      <c r="W95" s="113">
        <v>0</v>
      </c>
      <c r="X95" s="113">
        <v>0</v>
      </c>
      <c r="Y95" s="113">
        <v>0</v>
      </c>
      <c r="Z95" s="113">
        <v>0</v>
      </c>
      <c r="AA95" s="113">
        <v>0</v>
      </c>
      <c r="AB95" s="113">
        <v>0</v>
      </c>
      <c r="AC95" s="113">
        <v>0</v>
      </c>
      <c r="AD95" s="113">
        <v>0</v>
      </c>
      <c r="AE95" s="113">
        <v>0</v>
      </c>
      <c r="AF95" s="113">
        <v>0</v>
      </c>
      <c r="AG95" s="113">
        <v>0</v>
      </c>
      <c r="AH95" s="113">
        <v>0</v>
      </c>
      <c r="AI95" s="113">
        <v>0</v>
      </c>
      <c r="AJ95" s="113">
        <v>0</v>
      </c>
      <c r="AK95" s="113">
        <v>0</v>
      </c>
      <c r="AL95" s="114">
        <v>0</v>
      </c>
      <c r="AM95" s="115"/>
      <c r="AN95" s="56">
        <f t="shared" si="8"/>
        <v>0</v>
      </c>
      <c r="AO95" s="56">
        <f t="shared" si="9"/>
        <v>0</v>
      </c>
      <c r="AP95" s="4"/>
    </row>
    <row r="96" spans="1:42" ht="17" thickBot="1">
      <c r="A96" s="136"/>
      <c r="B96" s="112" t="s">
        <v>7</v>
      </c>
      <c r="C96" s="113"/>
      <c r="D96" s="113"/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4">
        <v>1597</v>
      </c>
      <c r="V96" s="113">
        <v>0</v>
      </c>
      <c r="W96" s="113">
        <v>0</v>
      </c>
      <c r="X96" s="113">
        <v>0</v>
      </c>
      <c r="Y96" s="113">
        <v>0</v>
      </c>
      <c r="Z96" s="113">
        <v>0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0</v>
      </c>
      <c r="AI96" s="113">
        <v>0</v>
      </c>
      <c r="AJ96" s="113">
        <v>0</v>
      </c>
      <c r="AK96" s="113">
        <v>0</v>
      </c>
      <c r="AL96" s="114">
        <v>0</v>
      </c>
      <c r="AM96" s="115"/>
      <c r="AN96" s="56">
        <f t="shared" si="8"/>
        <v>0</v>
      </c>
      <c r="AO96" s="56">
        <f t="shared" si="9"/>
        <v>0</v>
      </c>
      <c r="AP96" s="4"/>
    </row>
    <row r="97" spans="1:42" ht="17" thickBot="1">
      <c r="A97" s="136"/>
      <c r="B97" s="112" t="s">
        <v>8</v>
      </c>
      <c r="C97" s="113">
        <v>1346</v>
      </c>
      <c r="D97" s="113">
        <v>1597</v>
      </c>
      <c r="E97" s="113">
        <v>0</v>
      </c>
      <c r="F97" s="113">
        <v>338</v>
      </c>
      <c r="G97" s="113">
        <v>337</v>
      </c>
      <c r="H97" s="113">
        <v>335</v>
      </c>
      <c r="I97" s="113">
        <v>1326</v>
      </c>
      <c r="J97" s="113">
        <v>335</v>
      </c>
      <c r="K97" s="113">
        <v>335</v>
      </c>
      <c r="L97" s="113">
        <v>335</v>
      </c>
      <c r="M97" s="113">
        <v>335</v>
      </c>
      <c r="N97" s="113">
        <v>1326</v>
      </c>
      <c r="O97" s="113">
        <v>1326</v>
      </c>
      <c r="P97" s="113">
        <v>1326</v>
      </c>
      <c r="Q97" s="113">
        <v>1326</v>
      </c>
      <c r="R97" s="113">
        <v>1433</v>
      </c>
      <c r="S97" s="113">
        <v>1433</v>
      </c>
      <c r="T97" s="113">
        <v>1326</v>
      </c>
      <c r="U97" s="114">
        <v>1326</v>
      </c>
      <c r="V97" s="113">
        <v>1326</v>
      </c>
      <c r="W97" s="113">
        <v>1326</v>
      </c>
      <c r="X97" s="113">
        <v>1326</v>
      </c>
      <c r="Y97" s="113">
        <v>1326</v>
      </c>
      <c r="Z97" s="113">
        <v>1326</v>
      </c>
      <c r="AA97" s="113">
        <v>1326</v>
      </c>
      <c r="AB97" s="113">
        <v>1326</v>
      </c>
      <c r="AC97" s="113">
        <v>1326</v>
      </c>
      <c r="AD97" s="113">
        <v>1326</v>
      </c>
      <c r="AE97" s="113">
        <v>1326</v>
      </c>
      <c r="AF97" s="113">
        <v>1326</v>
      </c>
      <c r="AG97" s="113">
        <v>1326</v>
      </c>
      <c r="AH97" s="113">
        <v>1326</v>
      </c>
      <c r="AI97" s="113">
        <v>1326</v>
      </c>
      <c r="AJ97" s="113">
        <v>1326</v>
      </c>
      <c r="AK97" s="113">
        <v>1326</v>
      </c>
      <c r="AL97" s="114">
        <v>1326</v>
      </c>
      <c r="AM97" s="115"/>
      <c r="AN97" s="56">
        <f t="shared" si="8"/>
        <v>0</v>
      </c>
      <c r="AO97" s="56">
        <f t="shared" si="9"/>
        <v>0</v>
      </c>
      <c r="AP97" s="4"/>
    </row>
    <row r="98" spans="1:42" ht="17" thickBot="1">
      <c r="A98" s="116"/>
      <c r="B98" s="117" t="s">
        <v>9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114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114"/>
      <c r="AM98" s="115"/>
      <c r="AN98" s="56">
        <f t="shared" si="8"/>
        <v>0</v>
      </c>
      <c r="AO98" s="56">
        <f t="shared" si="9"/>
        <v>0</v>
      </c>
      <c r="AP98" s="4"/>
    </row>
    <row r="99" spans="1:42" ht="17" thickBot="1">
      <c r="A99" s="136" t="s">
        <v>96</v>
      </c>
      <c r="B99" s="112" t="s">
        <v>5</v>
      </c>
      <c r="C99" s="113"/>
      <c r="D99" s="113"/>
      <c r="E99" s="113">
        <v>400</v>
      </c>
      <c r="F99" s="113">
        <v>-3972</v>
      </c>
      <c r="G99" s="113">
        <v>0</v>
      </c>
      <c r="H99" s="113">
        <v>0</v>
      </c>
      <c r="I99" s="113">
        <v>-3572</v>
      </c>
      <c r="J99" s="113">
        <v>0</v>
      </c>
      <c r="K99" s="113">
        <v>0</v>
      </c>
      <c r="L99" s="113">
        <v>4</v>
      </c>
      <c r="M99" s="113">
        <v>0</v>
      </c>
      <c r="N99" s="113">
        <v>4</v>
      </c>
      <c r="O99" s="113">
        <v>2</v>
      </c>
      <c r="P99" s="113">
        <v>0</v>
      </c>
      <c r="Q99" s="113">
        <v>1</v>
      </c>
      <c r="R99" s="113">
        <v>1</v>
      </c>
      <c r="S99" s="113">
        <v>1</v>
      </c>
      <c r="T99" s="113">
        <v>5</v>
      </c>
      <c r="U99" s="114">
        <v>647</v>
      </c>
      <c r="V99" s="113">
        <v>0</v>
      </c>
      <c r="W99" s="113">
        <v>0</v>
      </c>
      <c r="X99" s="113">
        <v>2</v>
      </c>
      <c r="Y99" s="113">
        <v>0</v>
      </c>
      <c r="Z99" s="113">
        <v>2</v>
      </c>
      <c r="AA99" s="113">
        <v>0</v>
      </c>
      <c r="AB99" s="113">
        <v>0</v>
      </c>
      <c r="AC99" s="113">
        <v>0</v>
      </c>
      <c r="AD99" s="113">
        <v>0</v>
      </c>
      <c r="AE99" s="113">
        <v>0</v>
      </c>
      <c r="AF99" s="113">
        <v>0</v>
      </c>
      <c r="AG99" s="113">
        <v>0</v>
      </c>
      <c r="AH99" s="113">
        <v>0</v>
      </c>
      <c r="AI99" s="113">
        <v>0</v>
      </c>
      <c r="AJ99" s="113">
        <v>0</v>
      </c>
      <c r="AK99" s="113">
        <v>0</v>
      </c>
      <c r="AL99" s="114">
        <v>2</v>
      </c>
      <c r="AM99" s="115">
        <v>256</v>
      </c>
      <c r="AN99" s="56">
        <f t="shared" si="8"/>
        <v>165632</v>
      </c>
      <c r="AO99" s="56">
        <f t="shared" si="9"/>
        <v>512</v>
      </c>
      <c r="AP99" s="4" t="s">
        <v>136</v>
      </c>
    </row>
    <row r="100" spans="1:42" ht="17" thickBot="1">
      <c r="A100" s="136"/>
      <c r="B100" s="112" t="s">
        <v>6</v>
      </c>
      <c r="C100" s="113"/>
      <c r="D100" s="113"/>
      <c r="E100" s="113">
        <v>400</v>
      </c>
      <c r="F100" s="113">
        <v>0</v>
      </c>
      <c r="G100" s="113">
        <v>0</v>
      </c>
      <c r="H100" s="113">
        <v>0</v>
      </c>
      <c r="I100" s="113">
        <v>400</v>
      </c>
      <c r="J100" s="113">
        <v>0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0</v>
      </c>
      <c r="S100" s="113">
        <v>0</v>
      </c>
      <c r="T100" s="113">
        <v>0</v>
      </c>
      <c r="U100" s="114">
        <v>400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113">
        <v>0</v>
      </c>
      <c r="AE100" s="113">
        <v>0</v>
      </c>
      <c r="AF100" s="113">
        <v>0</v>
      </c>
      <c r="AG100" s="113">
        <v>0</v>
      </c>
      <c r="AH100" s="113">
        <v>0</v>
      </c>
      <c r="AI100" s="113">
        <v>0</v>
      </c>
      <c r="AJ100" s="113">
        <v>0</v>
      </c>
      <c r="AK100" s="113">
        <v>0</v>
      </c>
      <c r="AL100" s="114">
        <v>0</v>
      </c>
      <c r="AM100" s="115"/>
      <c r="AN100" s="56">
        <f t="shared" si="8"/>
        <v>0</v>
      </c>
      <c r="AO100" s="56">
        <f t="shared" si="9"/>
        <v>0</v>
      </c>
      <c r="AP100" s="4"/>
    </row>
    <row r="101" spans="1:42" ht="17" thickBot="1">
      <c r="A101" s="136"/>
      <c r="B101" s="112" t="s">
        <v>10</v>
      </c>
      <c r="C101" s="113">
        <v>0</v>
      </c>
      <c r="D101" s="113"/>
      <c r="E101" s="113">
        <v>0</v>
      </c>
      <c r="F101" s="113">
        <v>0</v>
      </c>
      <c r="G101" s="113">
        <v>0</v>
      </c>
      <c r="H101" s="113">
        <v>0</v>
      </c>
      <c r="I101" s="113">
        <v>0</v>
      </c>
      <c r="J101" s="113">
        <v>0</v>
      </c>
      <c r="K101" s="113">
        <v>0</v>
      </c>
      <c r="L101" s="113">
        <v>0</v>
      </c>
      <c r="M101" s="113">
        <v>0</v>
      </c>
      <c r="N101" s="113">
        <v>0</v>
      </c>
      <c r="O101" s="113">
        <v>0</v>
      </c>
      <c r="P101" s="113">
        <v>0</v>
      </c>
      <c r="Q101" s="113">
        <v>0</v>
      </c>
      <c r="R101" s="113">
        <v>0</v>
      </c>
      <c r="S101" s="113">
        <v>0</v>
      </c>
      <c r="T101" s="113">
        <v>0</v>
      </c>
      <c r="U101" s="114">
        <v>0</v>
      </c>
      <c r="V101" s="113">
        <v>0</v>
      </c>
      <c r="W101" s="113">
        <v>0</v>
      </c>
      <c r="X101" s="113">
        <v>0</v>
      </c>
      <c r="Y101" s="113">
        <v>0</v>
      </c>
      <c r="Z101" s="113">
        <v>0</v>
      </c>
      <c r="AA101" s="113">
        <v>0</v>
      </c>
      <c r="AB101" s="113">
        <v>0</v>
      </c>
      <c r="AC101" s="113">
        <v>0</v>
      </c>
      <c r="AD101" s="113">
        <v>0</v>
      </c>
      <c r="AE101" s="113">
        <v>0</v>
      </c>
      <c r="AF101" s="113">
        <v>0</v>
      </c>
      <c r="AG101" s="113">
        <v>0</v>
      </c>
      <c r="AH101" s="113">
        <v>0</v>
      </c>
      <c r="AI101" s="113">
        <v>0</v>
      </c>
      <c r="AJ101" s="113">
        <v>0</v>
      </c>
      <c r="AK101" s="113">
        <v>0</v>
      </c>
      <c r="AL101" s="114">
        <v>0</v>
      </c>
      <c r="AM101" s="115"/>
      <c r="AN101" s="56">
        <f t="shared" si="8"/>
        <v>0</v>
      </c>
      <c r="AO101" s="56">
        <f t="shared" si="9"/>
        <v>0</v>
      </c>
      <c r="AP101" s="4"/>
    </row>
    <row r="102" spans="1:42" ht="17" thickBot="1">
      <c r="A102" s="136"/>
      <c r="B102" s="112" t="s">
        <v>7</v>
      </c>
      <c r="C102" s="113"/>
      <c r="D102" s="113"/>
      <c r="E102" s="113">
        <v>400</v>
      </c>
      <c r="F102" s="113">
        <v>0</v>
      </c>
      <c r="G102" s="113">
        <v>2750</v>
      </c>
      <c r="H102" s="113">
        <v>0</v>
      </c>
      <c r="I102" s="113">
        <v>3150</v>
      </c>
      <c r="J102" s="113">
        <v>0</v>
      </c>
      <c r="K102" s="113">
        <v>0</v>
      </c>
      <c r="L102" s="113">
        <v>0</v>
      </c>
      <c r="M102" s="113">
        <v>0</v>
      </c>
      <c r="N102" s="113">
        <v>0</v>
      </c>
      <c r="O102" s="113">
        <v>0</v>
      </c>
      <c r="P102" s="113">
        <v>0</v>
      </c>
      <c r="Q102" s="113">
        <v>0</v>
      </c>
      <c r="R102" s="113">
        <v>5000</v>
      </c>
      <c r="S102" s="113">
        <v>0</v>
      </c>
      <c r="T102" s="113">
        <v>5000</v>
      </c>
      <c r="U102" s="114">
        <v>12360</v>
      </c>
      <c r="V102" s="113">
        <v>0</v>
      </c>
      <c r="W102" s="113">
        <v>0</v>
      </c>
      <c r="X102" s="113">
        <v>0</v>
      </c>
      <c r="Y102" s="113">
        <v>0</v>
      </c>
      <c r="Z102" s="113">
        <v>0</v>
      </c>
      <c r="AA102" s="113">
        <v>0</v>
      </c>
      <c r="AB102" s="113">
        <v>0</v>
      </c>
      <c r="AC102" s="113">
        <v>0</v>
      </c>
      <c r="AD102" s="113">
        <v>0</v>
      </c>
      <c r="AE102" s="113">
        <v>0</v>
      </c>
      <c r="AF102" s="113">
        <v>0</v>
      </c>
      <c r="AG102" s="113">
        <v>0</v>
      </c>
      <c r="AH102" s="113">
        <v>0</v>
      </c>
      <c r="AI102" s="113">
        <v>0</v>
      </c>
      <c r="AJ102" s="113">
        <v>0</v>
      </c>
      <c r="AK102" s="113">
        <v>0</v>
      </c>
      <c r="AL102" s="114">
        <v>0</v>
      </c>
      <c r="AM102" s="115"/>
      <c r="AN102" s="56">
        <f t="shared" si="8"/>
        <v>0</v>
      </c>
      <c r="AO102" s="56">
        <f t="shared" si="9"/>
        <v>0</v>
      </c>
      <c r="AP102" s="4"/>
    </row>
    <row r="103" spans="1:42" ht="17" thickBot="1">
      <c r="A103" s="136"/>
      <c r="B103" s="112" t="s">
        <v>8</v>
      </c>
      <c r="C103" s="113">
        <v>4344</v>
      </c>
      <c r="D103" s="113">
        <v>4210</v>
      </c>
      <c r="E103" s="113">
        <v>0</v>
      </c>
      <c r="F103" s="113">
        <v>175</v>
      </c>
      <c r="G103" s="113">
        <v>175</v>
      </c>
      <c r="H103" s="113">
        <v>175</v>
      </c>
      <c r="I103" s="113">
        <v>6722</v>
      </c>
      <c r="J103" s="113">
        <v>175</v>
      </c>
      <c r="K103" s="113">
        <v>175</v>
      </c>
      <c r="L103" s="113">
        <v>171</v>
      </c>
      <c r="M103" s="113">
        <v>171</v>
      </c>
      <c r="N103" s="113">
        <v>6718</v>
      </c>
      <c r="O103" s="113">
        <v>6716</v>
      </c>
      <c r="P103" s="113">
        <v>6716</v>
      </c>
      <c r="Q103" s="113">
        <v>6715</v>
      </c>
      <c r="R103" s="113">
        <v>9571</v>
      </c>
      <c r="S103" s="113">
        <v>9570</v>
      </c>
      <c r="T103" s="113">
        <v>11713</v>
      </c>
      <c r="U103" s="114">
        <v>11713</v>
      </c>
      <c r="V103" s="113">
        <v>11713</v>
      </c>
      <c r="W103" s="113">
        <v>11713</v>
      </c>
      <c r="X103" s="113">
        <v>11711</v>
      </c>
      <c r="Y103" s="113">
        <v>11713</v>
      </c>
      <c r="Z103" s="113">
        <v>11711</v>
      </c>
      <c r="AA103" s="113">
        <v>11711</v>
      </c>
      <c r="AB103" s="113">
        <v>11711</v>
      </c>
      <c r="AC103" s="113">
        <v>11711</v>
      </c>
      <c r="AD103" s="113">
        <v>11711</v>
      </c>
      <c r="AE103" s="113">
        <v>11711</v>
      </c>
      <c r="AF103" s="113">
        <v>11711</v>
      </c>
      <c r="AG103" s="113">
        <v>11711</v>
      </c>
      <c r="AH103" s="113">
        <v>11711</v>
      </c>
      <c r="AI103" s="113">
        <v>11711</v>
      </c>
      <c r="AJ103" s="113">
        <v>11711</v>
      </c>
      <c r="AK103" s="113">
        <v>11711</v>
      </c>
      <c r="AL103" s="114">
        <v>11711</v>
      </c>
      <c r="AM103" s="115"/>
      <c r="AN103" s="56">
        <f t="shared" si="8"/>
        <v>0</v>
      </c>
      <c r="AO103" s="56">
        <f t="shared" si="9"/>
        <v>0</v>
      </c>
      <c r="AP103" s="4"/>
    </row>
    <row r="104" spans="1:42" ht="17" thickBot="1">
      <c r="A104" s="116"/>
      <c r="B104" s="117" t="s">
        <v>9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114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114"/>
      <c r="AM104" s="115"/>
      <c r="AN104" s="56">
        <f t="shared" si="8"/>
        <v>0</v>
      </c>
      <c r="AO104" s="56">
        <f t="shared" si="9"/>
        <v>0</v>
      </c>
      <c r="AP104" s="4"/>
    </row>
    <row r="105" spans="1:42" ht="17" thickBot="1">
      <c r="A105" s="136" t="s">
        <v>50</v>
      </c>
      <c r="B105" s="112" t="s">
        <v>5</v>
      </c>
      <c r="C105" s="113"/>
      <c r="D105" s="113"/>
      <c r="E105" s="113">
        <v>500</v>
      </c>
      <c r="F105" s="113">
        <v>2735</v>
      </c>
      <c r="G105" s="113">
        <v>707</v>
      </c>
      <c r="H105" s="113">
        <v>845</v>
      </c>
      <c r="I105" s="113">
        <v>4787</v>
      </c>
      <c r="J105" s="113">
        <v>433</v>
      </c>
      <c r="K105" s="113">
        <v>555</v>
      </c>
      <c r="L105" s="113">
        <v>588</v>
      </c>
      <c r="M105" s="113">
        <v>615</v>
      </c>
      <c r="N105" s="113">
        <v>2191</v>
      </c>
      <c r="O105" s="113">
        <v>416</v>
      </c>
      <c r="P105" s="113">
        <v>754</v>
      </c>
      <c r="Q105" s="113">
        <v>587</v>
      </c>
      <c r="R105" s="113">
        <v>572</v>
      </c>
      <c r="S105" s="113">
        <v>536</v>
      </c>
      <c r="T105" s="113">
        <v>2865</v>
      </c>
      <c r="U105" s="114">
        <v>18201</v>
      </c>
      <c r="V105" s="113">
        <v>0</v>
      </c>
      <c r="W105" s="113">
        <v>86</v>
      </c>
      <c r="X105" s="113">
        <v>91</v>
      </c>
      <c r="Y105" s="113">
        <v>77</v>
      </c>
      <c r="Z105" s="113">
        <v>254</v>
      </c>
      <c r="AA105" s="113">
        <v>89</v>
      </c>
      <c r="AB105" s="113">
        <v>71</v>
      </c>
      <c r="AC105" s="113">
        <v>95</v>
      </c>
      <c r="AD105" s="113">
        <v>95</v>
      </c>
      <c r="AE105" s="113">
        <v>350</v>
      </c>
      <c r="AF105" s="113">
        <v>89</v>
      </c>
      <c r="AG105" s="113">
        <v>47</v>
      </c>
      <c r="AH105" s="113">
        <v>90</v>
      </c>
      <c r="AI105" s="113">
        <v>63</v>
      </c>
      <c r="AJ105" s="113">
        <v>63</v>
      </c>
      <c r="AK105" s="113">
        <v>352</v>
      </c>
      <c r="AL105" s="114">
        <v>956</v>
      </c>
      <c r="AM105" s="115">
        <v>256</v>
      </c>
      <c r="AN105" s="56">
        <f t="shared" si="8"/>
        <v>4659456</v>
      </c>
      <c r="AO105" s="56">
        <f t="shared" si="9"/>
        <v>244736</v>
      </c>
      <c r="AP105" s="4" t="str">
        <f>VLOOKUP(A105,[1]Basic!$B:$F,5,0)</f>
        <v>D4 32GB</v>
      </c>
    </row>
    <row r="106" spans="1:42" ht="17" thickBot="1">
      <c r="A106" s="136"/>
      <c r="B106" s="112" t="s">
        <v>6</v>
      </c>
      <c r="C106" s="113"/>
      <c r="D106" s="113"/>
      <c r="E106" s="113">
        <v>500</v>
      </c>
      <c r="F106" s="113">
        <v>0</v>
      </c>
      <c r="G106" s="113">
        <v>235</v>
      </c>
      <c r="H106" s="113">
        <v>0</v>
      </c>
      <c r="I106" s="113">
        <v>735</v>
      </c>
      <c r="J106" s="113">
        <v>3000</v>
      </c>
      <c r="K106" s="113">
        <v>0</v>
      </c>
      <c r="L106" s="113">
        <v>200</v>
      </c>
      <c r="M106" s="113">
        <v>3200</v>
      </c>
      <c r="N106" s="113">
        <v>2200</v>
      </c>
      <c r="O106" s="113">
        <v>0</v>
      </c>
      <c r="P106" s="113">
        <v>0</v>
      </c>
      <c r="Q106" s="113">
        <v>0</v>
      </c>
      <c r="R106" s="113">
        <v>7000</v>
      </c>
      <c r="S106" s="113">
        <v>2000</v>
      </c>
      <c r="T106" s="113">
        <v>7000</v>
      </c>
      <c r="U106" s="114">
        <v>9200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0</v>
      </c>
      <c r="AC106" s="113">
        <v>0</v>
      </c>
      <c r="AD106" s="113">
        <v>0</v>
      </c>
      <c r="AE106" s="113">
        <v>0</v>
      </c>
      <c r="AF106" s="113">
        <v>0</v>
      </c>
      <c r="AG106" s="113">
        <v>0</v>
      </c>
      <c r="AH106" s="113">
        <v>0</v>
      </c>
      <c r="AI106" s="113">
        <v>0</v>
      </c>
      <c r="AJ106" s="113">
        <v>0</v>
      </c>
      <c r="AK106" s="113">
        <v>0</v>
      </c>
      <c r="AL106" s="114">
        <v>0</v>
      </c>
      <c r="AM106" s="115"/>
      <c r="AN106" s="56">
        <f t="shared" si="8"/>
        <v>0</v>
      </c>
      <c r="AO106" s="56">
        <f t="shared" si="9"/>
        <v>0</v>
      </c>
      <c r="AP106" s="4"/>
    </row>
    <row r="107" spans="1:42" ht="17" thickBot="1">
      <c r="A107" s="136"/>
      <c r="B107" s="112" t="s">
        <v>10</v>
      </c>
      <c r="C107" s="113">
        <v>1511</v>
      </c>
      <c r="D107" s="113"/>
      <c r="E107" s="113">
        <v>0</v>
      </c>
      <c r="F107" s="113">
        <v>1511</v>
      </c>
      <c r="G107" s="113">
        <v>0</v>
      </c>
      <c r="H107" s="113">
        <v>0</v>
      </c>
      <c r="I107" s="113">
        <v>1511</v>
      </c>
      <c r="J107" s="113">
        <v>0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0</v>
      </c>
      <c r="S107" s="113">
        <v>0</v>
      </c>
      <c r="T107" s="113">
        <v>0</v>
      </c>
      <c r="U107" s="114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113">
        <v>0</v>
      </c>
      <c r="AE107" s="113">
        <v>0</v>
      </c>
      <c r="AF107" s="113">
        <v>0</v>
      </c>
      <c r="AG107" s="113">
        <v>0</v>
      </c>
      <c r="AH107" s="113">
        <v>0</v>
      </c>
      <c r="AI107" s="113">
        <v>0</v>
      </c>
      <c r="AJ107" s="113">
        <v>0</v>
      </c>
      <c r="AK107" s="113">
        <v>0</v>
      </c>
      <c r="AL107" s="114">
        <v>0</v>
      </c>
      <c r="AM107" s="115"/>
      <c r="AN107" s="56">
        <f t="shared" si="8"/>
        <v>0</v>
      </c>
      <c r="AO107" s="56">
        <f t="shared" si="9"/>
        <v>0</v>
      </c>
      <c r="AP107" s="4"/>
    </row>
    <row r="108" spans="1:42" ht="17" thickBot="1">
      <c r="A108" s="136"/>
      <c r="B108" s="112" t="s">
        <v>7</v>
      </c>
      <c r="C108" s="113"/>
      <c r="D108" s="113"/>
      <c r="E108" s="113">
        <v>1125</v>
      </c>
      <c r="F108" s="113">
        <v>1125</v>
      </c>
      <c r="G108" s="113">
        <v>16250</v>
      </c>
      <c r="H108" s="113">
        <v>0</v>
      </c>
      <c r="I108" s="113">
        <v>18500</v>
      </c>
      <c r="J108" s="113">
        <v>2000</v>
      </c>
      <c r="K108" s="113">
        <v>0</v>
      </c>
      <c r="L108" s="113">
        <v>200</v>
      </c>
      <c r="M108" s="113">
        <v>3200</v>
      </c>
      <c r="N108" s="113">
        <v>5400</v>
      </c>
      <c r="O108" s="113">
        <v>0</v>
      </c>
      <c r="P108" s="113">
        <v>0</v>
      </c>
      <c r="Q108" s="113">
        <v>0</v>
      </c>
      <c r="R108" s="113">
        <v>7000</v>
      </c>
      <c r="S108" s="113">
        <v>2000</v>
      </c>
      <c r="T108" s="113">
        <v>9000</v>
      </c>
      <c r="U108" s="114">
        <v>41258</v>
      </c>
      <c r="V108" s="113">
        <v>0</v>
      </c>
      <c r="W108" s="113">
        <v>0</v>
      </c>
      <c r="X108" s="113">
        <v>0</v>
      </c>
      <c r="Y108" s="113">
        <v>0</v>
      </c>
      <c r="Z108" s="113">
        <v>0</v>
      </c>
      <c r="AA108" s="113">
        <v>0</v>
      </c>
      <c r="AB108" s="113">
        <v>0</v>
      </c>
      <c r="AC108" s="113">
        <v>0</v>
      </c>
      <c r="AD108" s="113">
        <v>0</v>
      </c>
      <c r="AE108" s="113">
        <v>0</v>
      </c>
      <c r="AF108" s="113">
        <v>0</v>
      </c>
      <c r="AG108" s="113">
        <v>0</v>
      </c>
      <c r="AH108" s="113">
        <v>0</v>
      </c>
      <c r="AI108" s="113">
        <v>0</v>
      </c>
      <c r="AJ108" s="113">
        <v>0</v>
      </c>
      <c r="AK108" s="113">
        <v>0</v>
      </c>
      <c r="AL108" s="114">
        <v>0</v>
      </c>
      <c r="AM108" s="115"/>
      <c r="AN108" s="56">
        <f t="shared" si="8"/>
        <v>0</v>
      </c>
      <c r="AO108" s="56">
        <f t="shared" si="9"/>
        <v>0</v>
      </c>
      <c r="AP108" s="4"/>
    </row>
    <row r="109" spans="1:42" ht="17" thickBot="1">
      <c r="A109" s="136"/>
      <c r="B109" s="112" t="s">
        <v>8</v>
      </c>
      <c r="C109" s="113">
        <v>4960</v>
      </c>
      <c r="D109" s="113">
        <v>8358</v>
      </c>
      <c r="E109" s="113">
        <v>0</v>
      </c>
      <c r="F109" s="113">
        <v>-1464</v>
      </c>
      <c r="G109" s="113">
        <v>-1485</v>
      </c>
      <c r="H109" s="113">
        <v>-1543</v>
      </c>
      <c r="I109" s="113">
        <v>13713</v>
      </c>
      <c r="J109" s="113">
        <v>432</v>
      </c>
      <c r="K109" s="113">
        <v>381</v>
      </c>
      <c r="L109" s="113">
        <v>-7</v>
      </c>
      <c r="M109" s="113">
        <v>2578</v>
      </c>
      <c r="N109" s="113">
        <v>16922</v>
      </c>
      <c r="O109" s="113">
        <v>16506</v>
      </c>
      <c r="P109" s="113">
        <v>15752</v>
      </c>
      <c r="Q109" s="113">
        <v>15165</v>
      </c>
      <c r="R109" s="113">
        <v>111576</v>
      </c>
      <c r="S109" s="113">
        <v>113040</v>
      </c>
      <c r="T109" s="113">
        <v>23057</v>
      </c>
      <c r="U109" s="114">
        <v>23057</v>
      </c>
      <c r="V109" s="113">
        <v>23057</v>
      </c>
      <c r="W109" s="113">
        <v>22971</v>
      </c>
      <c r="X109" s="113">
        <v>22880</v>
      </c>
      <c r="Y109" s="113">
        <v>22894</v>
      </c>
      <c r="Z109" s="113">
        <v>22803</v>
      </c>
      <c r="AA109" s="113">
        <v>22714</v>
      </c>
      <c r="AB109" s="113">
        <v>22643</v>
      </c>
      <c r="AC109" s="113">
        <v>22548</v>
      </c>
      <c r="AD109" s="113">
        <v>22453</v>
      </c>
      <c r="AE109" s="113">
        <v>22453</v>
      </c>
      <c r="AF109" s="113">
        <v>22364</v>
      </c>
      <c r="AG109" s="113">
        <v>22317</v>
      </c>
      <c r="AH109" s="113">
        <v>22227</v>
      </c>
      <c r="AI109" s="113">
        <v>22164</v>
      </c>
      <c r="AJ109" s="113">
        <v>22101</v>
      </c>
      <c r="AK109" s="113">
        <v>22101</v>
      </c>
      <c r="AL109" s="114">
        <v>22101</v>
      </c>
      <c r="AM109" s="115"/>
      <c r="AN109" s="56">
        <f t="shared" si="8"/>
        <v>0</v>
      </c>
      <c r="AO109" s="56">
        <f t="shared" si="9"/>
        <v>0</v>
      </c>
      <c r="AP109" s="4"/>
    </row>
    <row r="110" spans="1:42" ht="17" thickBot="1">
      <c r="A110" s="116"/>
      <c r="B110" s="117" t="s">
        <v>9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114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114"/>
      <c r="AM110" s="115"/>
      <c r="AN110" s="56">
        <f t="shared" si="8"/>
        <v>0</v>
      </c>
      <c r="AO110" s="56">
        <f t="shared" si="9"/>
        <v>0</v>
      </c>
      <c r="AP110" s="4"/>
    </row>
    <row r="111" spans="1:42" ht="17" thickBot="1">
      <c r="A111" s="140" t="s">
        <v>19</v>
      </c>
      <c r="B111" s="112" t="s">
        <v>5</v>
      </c>
      <c r="C111" s="113"/>
      <c r="D111" s="113"/>
      <c r="E111" s="113">
        <v>16019</v>
      </c>
      <c r="F111" s="113">
        <v>10037</v>
      </c>
      <c r="G111" s="113">
        <v>6869</v>
      </c>
      <c r="H111" s="113">
        <v>14486</v>
      </c>
      <c r="I111" s="113">
        <v>43891</v>
      </c>
      <c r="J111" s="113">
        <v>4848</v>
      </c>
      <c r="K111" s="113">
        <v>6725</v>
      </c>
      <c r="L111" s="113">
        <v>5644</v>
      </c>
      <c r="M111" s="113">
        <v>20970</v>
      </c>
      <c r="N111" s="113">
        <v>28806</v>
      </c>
      <c r="O111" s="113">
        <v>6872</v>
      </c>
      <c r="P111" s="113">
        <v>6207</v>
      </c>
      <c r="Q111" s="113">
        <v>8604</v>
      </c>
      <c r="R111" s="113">
        <v>11686</v>
      </c>
      <c r="S111" s="113">
        <v>9466</v>
      </c>
      <c r="T111" s="113">
        <v>55185</v>
      </c>
      <c r="U111" s="114">
        <v>176863</v>
      </c>
      <c r="V111" s="113">
        <v>886</v>
      </c>
      <c r="W111" s="113">
        <v>3412</v>
      </c>
      <c r="X111" s="113">
        <v>3517</v>
      </c>
      <c r="Y111" s="113">
        <v>3577</v>
      </c>
      <c r="Z111" s="113">
        <v>11943</v>
      </c>
      <c r="AA111" s="113">
        <v>3130</v>
      </c>
      <c r="AB111" s="113">
        <v>1493</v>
      </c>
      <c r="AC111" s="113">
        <v>1548</v>
      </c>
      <c r="AD111" s="113">
        <v>3903</v>
      </c>
      <c r="AE111" s="113">
        <v>10074</v>
      </c>
      <c r="AF111" s="113">
        <v>813</v>
      </c>
      <c r="AG111" s="113">
        <v>1547</v>
      </c>
      <c r="AH111" s="113">
        <v>3358</v>
      </c>
      <c r="AI111" s="113">
        <v>961</v>
      </c>
      <c r="AJ111" s="113">
        <v>521</v>
      </c>
      <c r="AK111" s="113">
        <v>7200</v>
      </c>
      <c r="AL111" s="114">
        <v>29217</v>
      </c>
      <c r="AM111" s="115">
        <v>64</v>
      </c>
      <c r="AN111" s="56">
        <f t="shared" si="8"/>
        <v>11319232</v>
      </c>
      <c r="AO111" s="56">
        <f t="shared" si="9"/>
        <v>1869888</v>
      </c>
      <c r="AP111" s="4" t="str">
        <f>VLOOKUP(A111,[1]Basic!$B:$F,5,0)</f>
        <v>D5 8GB</v>
      </c>
    </row>
    <row r="112" spans="1:42" ht="17" thickBot="1">
      <c r="A112" s="140"/>
      <c r="B112" s="112" t="s">
        <v>6</v>
      </c>
      <c r="C112" s="113"/>
      <c r="D112" s="113"/>
      <c r="E112" s="113">
        <v>16019</v>
      </c>
      <c r="F112" s="113">
        <v>0</v>
      </c>
      <c r="G112" s="113">
        <v>2000</v>
      </c>
      <c r="H112" s="113">
        <v>30250</v>
      </c>
      <c r="I112" s="113">
        <v>18019</v>
      </c>
      <c r="J112" s="113">
        <v>10000</v>
      </c>
      <c r="K112" s="113">
        <v>4000</v>
      </c>
      <c r="L112" s="113">
        <v>3000</v>
      </c>
      <c r="M112" s="113">
        <v>12000</v>
      </c>
      <c r="N112" s="113">
        <v>47250</v>
      </c>
      <c r="O112" s="113">
        <v>26000</v>
      </c>
      <c r="P112" s="113">
        <v>0</v>
      </c>
      <c r="Q112" s="113">
        <v>0</v>
      </c>
      <c r="R112" s="113">
        <v>0</v>
      </c>
      <c r="S112" s="113">
        <v>42000</v>
      </c>
      <c r="T112" s="113">
        <v>68000</v>
      </c>
      <c r="U112" s="114">
        <v>59010</v>
      </c>
      <c r="V112" s="113">
        <v>0</v>
      </c>
      <c r="W112" s="113">
        <v>0</v>
      </c>
      <c r="X112" s="113">
        <v>0</v>
      </c>
      <c r="Y112" s="113">
        <v>0</v>
      </c>
      <c r="Z112" s="113">
        <v>10000</v>
      </c>
      <c r="AA112" s="113">
        <v>4000</v>
      </c>
      <c r="AB112" s="113">
        <v>0</v>
      </c>
      <c r="AC112" s="113">
        <v>0</v>
      </c>
      <c r="AD112" s="113">
        <v>0</v>
      </c>
      <c r="AE112" s="113">
        <v>4000</v>
      </c>
      <c r="AF112" s="113">
        <v>1000</v>
      </c>
      <c r="AG112" s="113">
        <v>0</v>
      </c>
      <c r="AH112" s="113">
        <v>0</v>
      </c>
      <c r="AI112" s="113">
        <v>0</v>
      </c>
      <c r="AJ112" s="113">
        <v>0</v>
      </c>
      <c r="AK112" s="113">
        <v>1000</v>
      </c>
      <c r="AL112" s="114">
        <v>5000</v>
      </c>
      <c r="AM112" s="115"/>
      <c r="AN112" s="56">
        <f t="shared" si="8"/>
        <v>0</v>
      </c>
      <c r="AO112" s="56">
        <f t="shared" si="9"/>
        <v>0</v>
      </c>
      <c r="AP112" s="4"/>
    </row>
    <row r="113" spans="1:42" ht="17" thickBot="1">
      <c r="A113" s="140"/>
      <c r="B113" s="112" t="s">
        <v>10</v>
      </c>
      <c r="C113" s="113">
        <v>10000</v>
      </c>
      <c r="D113" s="113"/>
      <c r="E113" s="113">
        <v>0</v>
      </c>
      <c r="F113" s="113">
        <v>10000</v>
      </c>
      <c r="G113" s="113">
        <v>0</v>
      </c>
      <c r="H113" s="113">
        <v>0</v>
      </c>
      <c r="I113" s="113">
        <v>0</v>
      </c>
      <c r="J113" s="113">
        <v>0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0</v>
      </c>
      <c r="Q113" s="113">
        <v>0</v>
      </c>
      <c r="R113" s="113">
        <v>0</v>
      </c>
      <c r="S113" s="113">
        <v>0</v>
      </c>
      <c r="T113" s="113">
        <v>0</v>
      </c>
      <c r="U113" s="114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113">
        <v>0</v>
      </c>
      <c r="AE113" s="113">
        <v>0</v>
      </c>
      <c r="AF113" s="113">
        <v>0</v>
      </c>
      <c r="AG113" s="113">
        <v>0</v>
      </c>
      <c r="AH113" s="113">
        <v>0</v>
      </c>
      <c r="AI113" s="113">
        <v>0</v>
      </c>
      <c r="AJ113" s="113">
        <v>0</v>
      </c>
      <c r="AK113" s="113">
        <v>0</v>
      </c>
      <c r="AL113" s="114">
        <v>0</v>
      </c>
      <c r="AM113" s="115"/>
      <c r="AN113" s="56">
        <f t="shared" si="8"/>
        <v>0</v>
      </c>
      <c r="AO113" s="56">
        <f t="shared" si="9"/>
        <v>0</v>
      </c>
      <c r="AP113" s="4"/>
    </row>
    <row r="114" spans="1:42" ht="17" thickBot="1">
      <c r="A114" s="140"/>
      <c r="B114" s="112" t="s">
        <v>7</v>
      </c>
      <c r="C114" s="113"/>
      <c r="D114" s="113"/>
      <c r="E114" s="113">
        <v>16019</v>
      </c>
      <c r="F114" s="113">
        <v>16763</v>
      </c>
      <c r="G114" s="113">
        <v>0</v>
      </c>
      <c r="H114" s="113">
        <v>32383</v>
      </c>
      <c r="I114" s="113">
        <v>34915</v>
      </c>
      <c r="J114" s="113">
        <v>10000</v>
      </c>
      <c r="K114" s="113">
        <v>5875</v>
      </c>
      <c r="L114" s="113">
        <v>3000</v>
      </c>
      <c r="M114" s="113">
        <v>12000</v>
      </c>
      <c r="N114" s="113">
        <v>51125</v>
      </c>
      <c r="O114" s="113">
        <v>26000</v>
      </c>
      <c r="P114" s="113">
        <v>0</v>
      </c>
      <c r="Q114" s="113">
        <v>0</v>
      </c>
      <c r="R114" s="113">
        <v>3400</v>
      </c>
      <c r="S114" s="113">
        <v>42000</v>
      </c>
      <c r="T114" s="113">
        <v>71400</v>
      </c>
      <c r="U114" s="114">
        <v>206421</v>
      </c>
      <c r="V114" s="113">
        <v>0</v>
      </c>
      <c r="W114" s="113">
        <v>0</v>
      </c>
      <c r="X114" s="113">
        <v>0</v>
      </c>
      <c r="Y114" s="113">
        <v>0</v>
      </c>
      <c r="Z114" s="113">
        <v>10000</v>
      </c>
      <c r="AA114" s="113">
        <v>4000</v>
      </c>
      <c r="AB114" s="113">
        <v>0</v>
      </c>
      <c r="AC114" s="113">
        <v>0</v>
      </c>
      <c r="AD114" s="113">
        <v>0</v>
      </c>
      <c r="AE114" s="113">
        <v>4000</v>
      </c>
      <c r="AF114" s="113">
        <v>1000</v>
      </c>
      <c r="AG114" s="113">
        <v>0</v>
      </c>
      <c r="AH114" s="113">
        <v>0</v>
      </c>
      <c r="AI114" s="113">
        <v>0</v>
      </c>
      <c r="AJ114" s="113">
        <v>0</v>
      </c>
      <c r="AK114" s="113">
        <v>1000</v>
      </c>
      <c r="AL114" s="114">
        <v>12135</v>
      </c>
      <c r="AM114" s="115"/>
      <c r="AN114" s="56">
        <f t="shared" si="8"/>
        <v>0</v>
      </c>
      <c r="AO114" s="56">
        <f t="shared" si="9"/>
        <v>0</v>
      </c>
      <c r="AP114" s="4"/>
    </row>
    <row r="115" spans="1:42" ht="17" thickBot="1">
      <c r="A115" s="140"/>
      <c r="B115" s="112" t="s">
        <v>8</v>
      </c>
      <c r="C115" s="113">
        <v>54974</v>
      </c>
      <c r="D115" s="113">
        <v>48981</v>
      </c>
      <c r="E115" s="113">
        <v>0</v>
      </c>
      <c r="F115" s="113">
        <v>-2955</v>
      </c>
      <c r="G115" s="113">
        <v>-8948</v>
      </c>
      <c r="H115" s="113">
        <v>7782</v>
      </c>
      <c r="I115" s="113">
        <v>-8976</v>
      </c>
      <c r="J115" s="113">
        <v>13516</v>
      </c>
      <c r="K115" s="113">
        <v>11470</v>
      </c>
      <c r="L115" s="113">
        <v>8826</v>
      </c>
      <c r="M115" s="113">
        <v>-144</v>
      </c>
      <c r="N115" s="113">
        <v>13343</v>
      </c>
      <c r="O115" s="113">
        <v>29570</v>
      </c>
      <c r="P115" s="113">
        <v>23363</v>
      </c>
      <c r="Q115" s="113">
        <v>14759</v>
      </c>
      <c r="R115" s="113">
        <v>-2155</v>
      </c>
      <c r="S115" s="113">
        <v>30379</v>
      </c>
      <c r="T115" s="113">
        <v>29558</v>
      </c>
      <c r="U115" s="114">
        <v>29558</v>
      </c>
      <c r="V115" s="113">
        <v>38121</v>
      </c>
      <c r="W115" s="113">
        <v>34709</v>
      </c>
      <c r="X115" s="113">
        <v>31192</v>
      </c>
      <c r="Y115" s="113">
        <v>30436</v>
      </c>
      <c r="Z115" s="113">
        <v>27615</v>
      </c>
      <c r="AA115" s="113">
        <v>28485</v>
      </c>
      <c r="AB115" s="113">
        <v>26992</v>
      </c>
      <c r="AC115" s="113">
        <v>25444</v>
      </c>
      <c r="AD115" s="113">
        <v>21541</v>
      </c>
      <c r="AE115" s="113">
        <v>21541</v>
      </c>
      <c r="AF115" s="113">
        <v>21728</v>
      </c>
      <c r="AG115" s="113">
        <v>20181</v>
      </c>
      <c r="AH115" s="113">
        <v>16823</v>
      </c>
      <c r="AI115" s="113">
        <v>15862</v>
      </c>
      <c r="AJ115" s="113">
        <v>15341</v>
      </c>
      <c r="AK115" s="113">
        <v>15341</v>
      </c>
      <c r="AL115" s="114">
        <v>15341</v>
      </c>
      <c r="AM115" s="115"/>
      <c r="AN115" s="56">
        <f t="shared" si="8"/>
        <v>0</v>
      </c>
      <c r="AO115" s="56">
        <f t="shared" si="9"/>
        <v>0</v>
      </c>
      <c r="AP115" s="4"/>
    </row>
    <row r="116" spans="1:42" ht="17" thickBot="1">
      <c r="A116" s="119"/>
      <c r="B116" s="117" t="s">
        <v>9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114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114"/>
      <c r="AM116" s="115"/>
      <c r="AN116" s="56">
        <f t="shared" si="8"/>
        <v>0</v>
      </c>
      <c r="AO116" s="56">
        <f t="shared" si="9"/>
        <v>0</v>
      </c>
      <c r="AP116" s="4"/>
    </row>
    <row r="117" spans="1:42" ht="17" thickBot="1">
      <c r="A117" s="140" t="s">
        <v>20</v>
      </c>
      <c r="B117" s="112" t="s">
        <v>5</v>
      </c>
      <c r="C117" s="113"/>
      <c r="D117" s="113"/>
      <c r="E117" s="113">
        <v>3000</v>
      </c>
      <c r="F117" s="113">
        <v>5330</v>
      </c>
      <c r="G117" s="113">
        <v>14538</v>
      </c>
      <c r="H117" s="113">
        <v>19979</v>
      </c>
      <c r="I117" s="113">
        <v>42847</v>
      </c>
      <c r="J117" s="113">
        <v>8202</v>
      </c>
      <c r="K117" s="113">
        <v>13562</v>
      </c>
      <c r="L117" s="113">
        <v>12900</v>
      </c>
      <c r="M117" s="113">
        <v>15846</v>
      </c>
      <c r="N117" s="113">
        <v>49104</v>
      </c>
      <c r="O117" s="113">
        <v>13384</v>
      </c>
      <c r="P117" s="113">
        <v>3606</v>
      </c>
      <c r="Q117" s="113">
        <v>11823</v>
      </c>
      <c r="R117" s="113">
        <v>10304</v>
      </c>
      <c r="S117" s="113">
        <v>13832</v>
      </c>
      <c r="T117" s="113">
        <v>54355</v>
      </c>
      <c r="U117" s="114">
        <v>194460</v>
      </c>
      <c r="V117" s="113">
        <v>2331</v>
      </c>
      <c r="W117" s="113">
        <v>8036</v>
      </c>
      <c r="X117" s="113">
        <v>7236</v>
      </c>
      <c r="Y117" s="113">
        <v>7375</v>
      </c>
      <c r="Z117" s="113">
        <v>24978</v>
      </c>
      <c r="AA117" s="113">
        <v>9093</v>
      </c>
      <c r="AB117" s="113">
        <v>2754</v>
      </c>
      <c r="AC117" s="113">
        <v>3186</v>
      </c>
      <c r="AD117" s="113">
        <v>4266</v>
      </c>
      <c r="AE117" s="113">
        <v>19299</v>
      </c>
      <c r="AF117" s="113">
        <v>2189</v>
      </c>
      <c r="AG117" s="113">
        <v>1594</v>
      </c>
      <c r="AH117" s="113">
        <v>1292</v>
      </c>
      <c r="AI117" s="113">
        <v>912</v>
      </c>
      <c r="AJ117" s="113">
        <v>704</v>
      </c>
      <c r="AK117" s="113">
        <v>6691</v>
      </c>
      <c r="AL117" s="114">
        <v>50968</v>
      </c>
      <c r="AM117" s="115">
        <v>128</v>
      </c>
      <c r="AN117" s="56">
        <f t="shared" si="8"/>
        <v>24890880</v>
      </c>
      <c r="AO117" s="56">
        <f t="shared" si="9"/>
        <v>6523904</v>
      </c>
      <c r="AP117" s="4" t="str">
        <f>VLOOKUP(A117,[1]Basic!$B:$F,5,0)</f>
        <v>D5 16GB</v>
      </c>
    </row>
    <row r="118" spans="1:42" ht="17" thickBot="1">
      <c r="A118" s="140"/>
      <c r="B118" s="112" t="s">
        <v>6</v>
      </c>
      <c r="C118" s="113"/>
      <c r="D118" s="113"/>
      <c r="E118" s="113">
        <v>3000</v>
      </c>
      <c r="F118" s="113">
        <v>8702</v>
      </c>
      <c r="G118" s="113">
        <v>4000</v>
      </c>
      <c r="H118" s="113">
        <v>0</v>
      </c>
      <c r="I118" s="113">
        <v>15702</v>
      </c>
      <c r="J118" s="113">
        <v>52483</v>
      </c>
      <c r="K118" s="113">
        <v>0</v>
      </c>
      <c r="L118" s="113">
        <v>4000</v>
      </c>
      <c r="M118" s="113">
        <v>12000</v>
      </c>
      <c r="N118" s="113">
        <v>46500</v>
      </c>
      <c r="O118" s="113">
        <v>47000</v>
      </c>
      <c r="P118" s="113">
        <v>0</v>
      </c>
      <c r="Q118" s="113">
        <v>0</v>
      </c>
      <c r="R118" s="113">
        <v>9000</v>
      </c>
      <c r="S118" s="113">
        <v>51000</v>
      </c>
      <c r="T118" s="113">
        <v>95000</v>
      </c>
      <c r="U118" s="114">
        <v>137500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1000</v>
      </c>
      <c r="AB118" s="113">
        <v>0</v>
      </c>
      <c r="AC118" s="113">
        <v>0</v>
      </c>
      <c r="AD118" s="113">
        <v>0</v>
      </c>
      <c r="AE118" s="113">
        <v>1000</v>
      </c>
      <c r="AF118" s="113">
        <v>10000</v>
      </c>
      <c r="AG118" s="113">
        <v>0</v>
      </c>
      <c r="AH118" s="113">
        <v>0</v>
      </c>
      <c r="AI118" s="113">
        <v>0</v>
      </c>
      <c r="AJ118" s="113">
        <v>4500</v>
      </c>
      <c r="AK118" s="113">
        <v>14500</v>
      </c>
      <c r="AL118" s="114">
        <v>15500</v>
      </c>
      <c r="AM118" s="115"/>
      <c r="AN118" s="56">
        <f t="shared" si="8"/>
        <v>0</v>
      </c>
      <c r="AO118" s="56">
        <f t="shared" si="9"/>
        <v>0</v>
      </c>
      <c r="AP118" s="4"/>
    </row>
    <row r="119" spans="1:42" ht="17" thickBot="1">
      <c r="A119" s="140"/>
      <c r="B119" s="112" t="s">
        <v>10</v>
      </c>
      <c r="C119" s="113">
        <v>0</v>
      </c>
      <c r="D119" s="113"/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0</v>
      </c>
      <c r="L119" s="113">
        <v>0</v>
      </c>
      <c r="M119" s="113">
        <v>0</v>
      </c>
      <c r="N119" s="113">
        <v>0</v>
      </c>
      <c r="O119" s="113">
        <v>0</v>
      </c>
      <c r="P119" s="113">
        <v>0</v>
      </c>
      <c r="Q119" s="113">
        <v>0</v>
      </c>
      <c r="R119" s="113">
        <v>0</v>
      </c>
      <c r="S119" s="113">
        <v>0</v>
      </c>
      <c r="T119" s="113">
        <v>0</v>
      </c>
      <c r="U119" s="114">
        <v>0</v>
      </c>
      <c r="V119" s="113">
        <v>17610</v>
      </c>
      <c r="W119" s="113">
        <v>0</v>
      </c>
      <c r="X119" s="113">
        <v>0</v>
      </c>
      <c r="Y119" s="113">
        <v>0</v>
      </c>
      <c r="Z119" s="113">
        <v>0</v>
      </c>
      <c r="AA119" s="113">
        <v>0</v>
      </c>
      <c r="AB119" s="113">
        <v>0</v>
      </c>
      <c r="AC119" s="113">
        <v>0</v>
      </c>
      <c r="AD119" s="113">
        <v>0</v>
      </c>
      <c r="AE119" s="113">
        <v>0</v>
      </c>
      <c r="AF119" s="113">
        <v>0</v>
      </c>
      <c r="AG119" s="113">
        <v>0</v>
      </c>
      <c r="AH119" s="113">
        <v>0</v>
      </c>
      <c r="AI119" s="113">
        <v>0</v>
      </c>
      <c r="AJ119" s="113">
        <v>0</v>
      </c>
      <c r="AK119" s="113">
        <v>0</v>
      </c>
      <c r="AL119" s="114">
        <v>0</v>
      </c>
      <c r="AM119" s="115"/>
      <c r="AN119" s="56">
        <f t="shared" si="8"/>
        <v>0</v>
      </c>
      <c r="AO119" s="56">
        <f t="shared" si="9"/>
        <v>0</v>
      </c>
      <c r="AP119" s="4"/>
    </row>
    <row r="120" spans="1:42" ht="17" thickBot="1">
      <c r="A120" s="140"/>
      <c r="B120" s="112" t="s">
        <v>7</v>
      </c>
      <c r="C120" s="113"/>
      <c r="D120" s="113"/>
      <c r="E120" s="113">
        <v>1000</v>
      </c>
      <c r="F120" s="113">
        <v>0</v>
      </c>
      <c r="G120" s="113">
        <v>0</v>
      </c>
      <c r="H120" s="113">
        <v>200</v>
      </c>
      <c r="I120" s="113">
        <v>1200</v>
      </c>
      <c r="J120" s="113">
        <v>46500</v>
      </c>
      <c r="K120" s="113">
        <v>2000</v>
      </c>
      <c r="L120" s="113">
        <v>4000</v>
      </c>
      <c r="M120" s="113">
        <v>12000</v>
      </c>
      <c r="N120" s="113">
        <v>64500</v>
      </c>
      <c r="O120" s="113">
        <v>47000</v>
      </c>
      <c r="P120" s="113">
        <v>0</v>
      </c>
      <c r="Q120" s="113">
        <v>0</v>
      </c>
      <c r="R120" s="113">
        <v>130</v>
      </c>
      <c r="S120" s="113">
        <v>51000</v>
      </c>
      <c r="T120" s="113">
        <v>98130</v>
      </c>
      <c r="U120" s="114">
        <v>211984</v>
      </c>
      <c r="V120" s="113">
        <v>17610</v>
      </c>
      <c r="W120" s="113">
        <v>0</v>
      </c>
      <c r="X120" s="113">
        <v>0</v>
      </c>
      <c r="Y120" s="113">
        <v>0</v>
      </c>
      <c r="Z120" s="113">
        <v>17610</v>
      </c>
      <c r="AA120" s="113">
        <v>1000</v>
      </c>
      <c r="AB120" s="113">
        <v>0</v>
      </c>
      <c r="AC120" s="113">
        <v>0</v>
      </c>
      <c r="AD120" s="113">
        <v>0</v>
      </c>
      <c r="AE120" s="113">
        <v>1000</v>
      </c>
      <c r="AF120" s="113">
        <v>10000</v>
      </c>
      <c r="AG120" s="113">
        <v>0</v>
      </c>
      <c r="AH120" s="113">
        <v>0</v>
      </c>
      <c r="AI120" s="113">
        <v>0</v>
      </c>
      <c r="AJ120" s="113">
        <v>4500</v>
      </c>
      <c r="AK120" s="113">
        <v>14500</v>
      </c>
      <c r="AL120" s="114">
        <v>32172</v>
      </c>
      <c r="AM120" s="115"/>
      <c r="AN120" s="56">
        <f t="shared" si="8"/>
        <v>0</v>
      </c>
      <c r="AO120" s="56">
        <f t="shared" si="9"/>
        <v>0</v>
      </c>
      <c r="AP120" s="4"/>
    </row>
    <row r="121" spans="1:42" ht="17" thickBot="1">
      <c r="A121" s="140"/>
      <c r="B121" s="112" t="s">
        <v>8</v>
      </c>
      <c r="C121" s="113">
        <v>44188</v>
      </c>
      <c r="D121" s="113">
        <v>48154</v>
      </c>
      <c r="E121" s="113">
        <v>0</v>
      </c>
      <c r="F121" s="113">
        <v>5301</v>
      </c>
      <c r="G121" s="113">
        <v>-4494</v>
      </c>
      <c r="H121" s="113">
        <v>-19640</v>
      </c>
      <c r="I121" s="113">
        <v>-41647</v>
      </c>
      <c r="J121" s="113">
        <v>21669</v>
      </c>
      <c r="K121" s="113">
        <v>11616</v>
      </c>
      <c r="L121" s="113">
        <v>2716</v>
      </c>
      <c r="M121" s="113">
        <v>-1130</v>
      </c>
      <c r="N121" s="113">
        <v>-26251</v>
      </c>
      <c r="O121" s="113">
        <v>5959</v>
      </c>
      <c r="P121" s="113">
        <v>2353</v>
      </c>
      <c r="Q121" s="113">
        <v>-9470</v>
      </c>
      <c r="R121" s="113">
        <v>3125</v>
      </c>
      <c r="S121" s="113">
        <v>40293</v>
      </c>
      <c r="T121" s="113">
        <v>17524</v>
      </c>
      <c r="U121" s="114">
        <v>17524</v>
      </c>
      <c r="V121" s="113">
        <v>32803</v>
      </c>
      <c r="W121" s="113">
        <v>24767</v>
      </c>
      <c r="X121" s="113">
        <v>17531</v>
      </c>
      <c r="Y121" s="113">
        <v>16988</v>
      </c>
      <c r="Z121" s="113">
        <v>10156</v>
      </c>
      <c r="AA121" s="113">
        <v>2063</v>
      </c>
      <c r="AB121" s="113">
        <v>-691</v>
      </c>
      <c r="AC121" s="113">
        <v>-3877</v>
      </c>
      <c r="AD121" s="113">
        <v>-8143</v>
      </c>
      <c r="AE121" s="113">
        <v>-8143</v>
      </c>
      <c r="AF121" s="113">
        <v>-332</v>
      </c>
      <c r="AG121" s="113">
        <v>-1926</v>
      </c>
      <c r="AH121" s="113">
        <v>-3218</v>
      </c>
      <c r="AI121" s="113">
        <v>-4130</v>
      </c>
      <c r="AJ121" s="113">
        <v>-334</v>
      </c>
      <c r="AK121" s="113">
        <v>-334</v>
      </c>
      <c r="AL121" s="114">
        <v>-334</v>
      </c>
      <c r="AM121" s="115"/>
      <c r="AN121" s="56">
        <f t="shared" si="8"/>
        <v>0</v>
      </c>
      <c r="AO121" s="56">
        <f t="shared" si="9"/>
        <v>0</v>
      </c>
      <c r="AP121" s="4"/>
    </row>
    <row r="122" spans="1:42" ht="17" thickBot="1">
      <c r="A122" s="119"/>
      <c r="B122" s="117" t="s">
        <v>9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114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114"/>
      <c r="AM122" s="115"/>
      <c r="AN122" s="56">
        <f t="shared" si="8"/>
        <v>0</v>
      </c>
      <c r="AO122" s="56">
        <f t="shared" si="9"/>
        <v>0</v>
      </c>
      <c r="AP122" s="4"/>
    </row>
    <row r="123" spans="1:42" ht="17" thickBot="1">
      <c r="A123" s="140" t="s">
        <v>113</v>
      </c>
      <c r="B123" s="112" t="s">
        <v>5</v>
      </c>
      <c r="C123" s="113"/>
      <c r="D123" s="113"/>
      <c r="E123" s="113">
        <v>1500</v>
      </c>
      <c r="F123" s="113">
        <v>-147</v>
      </c>
      <c r="G123" s="113">
        <v>3634</v>
      </c>
      <c r="H123" s="113">
        <v>3929</v>
      </c>
      <c r="I123" s="113">
        <v>8916</v>
      </c>
      <c r="J123" s="113">
        <v>1930</v>
      </c>
      <c r="K123" s="113">
        <v>2220</v>
      </c>
      <c r="L123" s="113">
        <v>2308</v>
      </c>
      <c r="M123" s="113">
        <v>2416</v>
      </c>
      <c r="N123" s="113">
        <v>8874</v>
      </c>
      <c r="O123" s="113">
        <v>1695</v>
      </c>
      <c r="P123" s="113">
        <v>977</v>
      </c>
      <c r="Q123" s="113">
        <v>1605</v>
      </c>
      <c r="R123" s="113">
        <v>1265</v>
      </c>
      <c r="S123" s="113">
        <v>1363</v>
      </c>
      <c r="T123" s="113">
        <v>6905</v>
      </c>
      <c r="U123" s="114">
        <v>41366</v>
      </c>
      <c r="V123" s="113">
        <v>534</v>
      </c>
      <c r="W123" s="113">
        <v>790</v>
      </c>
      <c r="X123" s="113">
        <v>692</v>
      </c>
      <c r="Y123" s="113">
        <v>689</v>
      </c>
      <c r="Z123" s="113">
        <v>2705</v>
      </c>
      <c r="AA123" s="113">
        <v>885</v>
      </c>
      <c r="AB123" s="113">
        <v>219</v>
      </c>
      <c r="AC123" s="113">
        <v>306</v>
      </c>
      <c r="AD123" s="113">
        <v>306</v>
      </c>
      <c r="AE123" s="113">
        <v>1716</v>
      </c>
      <c r="AF123" s="113">
        <v>306</v>
      </c>
      <c r="AG123" s="113">
        <v>175</v>
      </c>
      <c r="AH123" s="113">
        <v>330</v>
      </c>
      <c r="AI123" s="113">
        <v>228</v>
      </c>
      <c r="AJ123" s="113">
        <v>228</v>
      </c>
      <c r="AK123" s="113">
        <v>1267</v>
      </c>
      <c r="AL123" s="114">
        <v>5688</v>
      </c>
      <c r="AM123" s="115">
        <v>256</v>
      </c>
      <c r="AN123" s="56">
        <f t="shared" si="8"/>
        <v>10589696</v>
      </c>
      <c r="AO123" s="56">
        <f t="shared" si="9"/>
        <v>1456128</v>
      </c>
      <c r="AP123" s="4" t="str">
        <f>VLOOKUP(A123,[1]Basic!$B:$F,5,0)</f>
        <v>D5 32GB</v>
      </c>
    </row>
    <row r="124" spans="1:42" ht="17" thickBot="1">
      <c r="A124" s="140"/>
      <c r="B124" s="112" t="s">
        <v>6</v>
      </c>
      <c r="C124" s="113"/>
      <c r="D124" s="113"/>
      <c r="E124" s="113">
        <v>1500</v>
      </c>
      <c r="F124" s="113">
        <v>3750</v>
      </c>
      <c r="G124" s="113">
        <v>7250</v>
      </c>
      <c r="H124" s="113">
        <v>0</v>
      </c>
      <c r="I124" s="113">
        <v>12500</v>
      </c>
      <c r="J124" s="113">
        <v>0</v>
      </c>
      <c r="K124" s="113">
        <v>1000</v>
      </c>
      <c r="L124" s="113">
        <v>0</v>
      </c>
      <c r="M124" s="113">
        <v>4000</v>
      </c>
      <c r="N124" s="113">
        <v>1000</v>
      </c>
      <c r="O124" s="113">
        <v>6000</v>
      </c>
      <c r="P124" s="113">
        <v>0</v>
      </c>
      <c r="Q124" s="113">
        <v>0</v>
      </c>
      <c r="R124" s="113">
        <v>0</v>
      </c>
      <c r="S124" s="113">
        <v>10000</v>
      </c>
      <c r="T124" s="113">
        <v>13000</v>
      </c>
      <c r="U124" s="114">
        <v>15500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2000</v>
      </c>
      <c r="AB124" s="113">
        <v>0</v>
      </c>
      <c r="AC124" s="113">
        <v>0</v>
      </c>
      <c r="AD124" s="113">
        <v>0</v>
      </c>
      <c r="AE124" s="113">
        <v>2000</v>
      </c>
      <c r="AF124" s="113">
        <v>1000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1000</v>
      </c>
      <c r="AL124" s="114">
        <v>3000</v>
      </c>
      <c r="AM124" s="115"/>
      <c r="AN124" s="56">
        <f t="shared" si="8"/>
        <v>0</v>
      </c>
      <c r="AO124" s="56">
        <f t="shared" si="9"/>
        <v>0</v>
      </c>
      <c r="AP124" s="4"/>
    </row>
    <row r="125" spans="1:42" ht="17" thickBot="1">
      <c r="A125" s="140"/>
      <c r="B125" s="112" t="s">
        <v>10</v>
      </c>
      <c r="C125" s="113">
        <v>0</v>
      </c>
      <c r="D125" s="113"/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4">
        <v>0</v>
      </c>
      <c r="V125" s="113">
        <v>39750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4">
        <v>0</v>
      </c>
      <c r="AM125" s="115"/>
      <c r="AN125" s="56">
        <f t="shared" si="8"/>
        <v>0</v>
      </c>
      <c r="AO125" s="56">
        <f t="shared" si="9"/>
        <v>0</v>
      </c>
      <c r="AP125" s="4"/>
    </row>
    <row r="126" spans="1:42" ht="17" thickBot="1">
      <c r="A126" s="140"/>
      <c r="B126" s="112" t="s">
        <v>7</v>
      </c>
      <c r="C126" s="113"/>
      <c r="D126" s="113"/>
      <c r="E126" s="113">
        <v>1500</v>
      </c>
      <c r="F126" s="113">
        <v>0</v>
      </c>
      <c r="G126" s="113">
        <v>180</v>
      </c>
      <c r="H126" s="113">
        <v>300</v>
      </c>
      <c r="I126" s="113">
        <v>1980</v>
      </c>
      <c r="J126" s="113">
        <v>0</v>
      </c>
      <c r="K126" s="113">
        <v>1000</v>
      </c>
      <c r="L126" s="113">
        <v>0</v>
      </c>
      <c r="M126" s="113">
        <v>4000</v>
      </c>
      <c r="N126" s="113">
        <v>5000</v>
      </c>
      <c r="O126" s="113">
        <v>6000</v>
      </c>
      <c r="P126" s="113">
        <v>0</v>
      </c>
      <c r="Q126" s="113">
        <v>0</v>
      </c>
      <c r="R126" s="113">
        <v>0</v>
      </c>
      <c r="S126" s="113">
        <v>10000</v>
      </c>
      <c r="T126" s="113">
        <v>16000</v>
      </c>
      <c r="U126" s="114">
        <v>39651</v>
      </c>
      <c r="V126" s="113">
        <v>39750</v>
      </c>
      <c r="W126" s="113">
        <v>0</v>
      </c>
      <c r="X126" s="113">
        <v>0</v>
      </c>
      <c r="Y126" s="113">
        <v>0</v>
      </c>
      <c r="Z126" s="113">
        <v>39750</v>
      </c>
      <c r="AA126" s="113">
        <v>2000</v>
      </c>
      <c r="AB126" s="113">
        <v>0</v>
      </c>
      <c r="AC126" s="113">
        <v>0</v>
      </c>
      <c r="AD126" s="113">
        <v>0</v>
      </c>
      <c r="AE126" s="113">
        <v>2000</v>
      </c>
      <c r="AF126" s="113">
        <v>1000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1000</v>
      </c>
      <c r="AL126" s="114">
        <v>42750</v>
      </c>
      <c r="AM126" s="115"/>
      <c r="AN126" s="56">
        <f t="shared" si="8"/>
        <v>0</v>
      </c>
      <c r="AO126" s="56">
        <f t="shared" si="9"/>
        <v>0</v>
      </c>
      <c r="AP126" s="4"/>
    </row>
    <row r="127" spans="1:42" ht="17" thickBot="1">
      <c r="A127" s="140"/>
      <c r="B127" s="112" t="s">
        <v>8</v>
      </c>
      <c r="C127" s="113">
        <v>12092</v>
      </c>
      <c r="D127" s="113">
        <v>16671</v>
      </c>
      <c r="E127" s="113">
        <v>0</v>
      </c>
      <c r="F127" s="113">
        <v>3243</v>
      </c>
      <c r="G127" s="113">
        <v>2534</v>
      </c>
      <c r="H127" s="113">
        <v>1692</v>
      </c>
      <c r="I127" s="113">
        <v>-6936</v>
      </c>
      <c r="J127" s="113">
        <v>1061</v>
      </c>
      <c r="K127" s="113">
        <v>1348</v>
      </c>
      <c r="L127" s="113">
        <v>-960</v>
      </c>
      <c r="M127" s="113">
        <v>624</v>
      </c>
      <c r="N127" s="113">
        <v>-10810</v>
      </c>
      <c r="O127" s="113">
        <v>-6505</v>
      </c>
      <c r="P127" s="113">
        <v>-7482</v>
      </c>
      <c r="Q127" s="113">
        <v>-9087</v>
      </c>
      <c r="R127" s="113">
        <v>-522</v>
      </c>
      <c r="S127" s="113">
        <v>8115</v>
      </c>
      <c r="T127" s="113">
        <v>-1715</v>
      </c>
      <c r="U127" s="114">
        <v>-1715</v>
      </c>
      <c r="V127" s="113">
        <v>37501</v>
      </c>
      <c r="W127" s="113">
        <v>36711</v>
      </c>
      <c r="X127" s="113">
        <v>36019</v>
      </c>
      <c r="Y127" s="113">
        <v>36022</v>
      </c>
      <c r="Z127" s="113">
        <v>35330</v>
      </c>
      <c r="AA127" s="113">
        <v>36445</v>
      </c>
      <c r="AB127" s="113">
        <v>36226</v>
      </c>
      <c r="AC127" s="113">
        <v>35920</v>
      </c>
      <c r="AD127" s="113">
        <v>35614</v>
      </c>
      <c r="AE127" s="113">
        <v>35614</v>
      </c>
      <c r="AF127" s="113">
        <v>36308</v>
      </c>
      <c r="AG127" s="113">
        <v>36133</v>
      </c>
      <c r="AH127" s="113">
        <v>35803</v>
      </c>
      <c r="AI127" s="113">
        <v>35575</v>
      </c>
      <c r="AJ127" s="113">
        <v>35347</v>
      </c>
      <c r="AK127" s="113">
        <v>35347</v>
      </c>
      <c r="AL127" s="114">
        <v>35347</v>
      </c>
      <c r="AM127" s="115"/>
      <c r="AN127" s="56">
        <f t="shared" si="8"/>
        <v>0</v>
      </c>
      <c r="AO127" s="56">
        <f t="shared" si="9"/>
        <v>0</v>
      </c>
      <c r="AP127" s="4"/>
    </row>
    <row r="128" spans="1:42" ht="17" thickBot="1">
      <c r="A128" s="119"/>
      <c r="B128" s="117" t="s">
        <v>9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114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114"/>
      <c r="AM128" s="115"/>
      <c r="AN128" s="56">
        <f t="shared" si="8"/>
        <v>0</v>
      </c>
      <c r="AO128" s="56">
        <f t="shared" si="9"/>
        <v>0</v>
      </c>
      <c r="AP128" s="4"/>
    </row>
    <row r="129" spans="1:42" ht="17" thickBot="1">
      <c r="A129" s="141" t="s">
        <v>137</v>
      </c>
      <c r="B129" s="112" t="s">
        <v>5</v>
      </c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4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4"/>
      <c r="AM129" s="115">
        <v>128</v>
      </c>
      <c r="AN129" s="56">
        <f t="shared" ref="AN129:AN159" si="10">AM129*U129</f>
        <v>0</v>
      </c>
      <c r="AO129" s="56">
        <f t="shared" ref="AO129:AO159" si="11">AM129*AL129</f>
        <v>0</v>
      </c>
      <c r="AP129" s="4" t="s">
        <v>134</v>
      </c>
    </row>
    <row r="130" spans="1:42" ht="17" thickBot="1">
      <c r="A130" s="141"/>
      <c r="B130" s="112" t="s">
        <v>6</v>
      </c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4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4"/>
      <c r="AM130" s="115"/>
      <c r="AN130" s="56">
        <f t="shared" si="10"/>
        <v>0</v>
      </c>
      <c r="AO130" s="56">
        <f t="shared" si="11"/>
        <v>0</v>
      </c>
      <c r="AP130" s="4"/>
    </row>
    <row r="131" spans="1:42" ht="17" thickBot="1">
      <c r="A131" s="141"/>
      <c r="B131" s="112" t="s">
        <v>10</v>
      </c>
      <c r="C131" s="113">
        <v>0</v>
      </c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4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4"/>
      <c r="AM131" s="115"/>
      <c r="AN131" s="56">
        <f t="shared" si="10"/>
        <v>0</v>
      </c>
      <c r="AO131" s="56">
        <f t="shared" si="11"/>
        <v>0</v>
      </c>
      <c r="AP131" s="4"/>
    </row>
    <row r="132" spans="1:42" ht="17" thickBot="1">
      <c r="A132" s="141"/>
      <c r="B132" s="112" t="s">
        <v>7</v>
      </c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4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4"/>
      <c r="AM132" s="115"/>
      <c r="AN132" s="56">
        <f t="shared" si="10"/>
        <v>0</v>
      </c>
      <c r="AO132" s="56">
        <f t="shared" si="11"/>
        <v>0</v>
      </c>
      <c r="AP132" s="4"/>
    </row>
    <row r="133" spans="1:42" ht="17" thickBot="1">
      <c r="A133" s="141"/>
      <c r="B133" s="112" t="s">
        <v>8</v>
      </c>
      <c r="C133" s="113">
        <v>0</v>
      </c>
      <c r="D133" s="113">
        <v>0</v>
      </c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4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4"/>
      <c r="AM133" s="115"/>
      <c r="AN133" s="56">
        <f t="shared" si="10"/>
        <v>0</v>
      </c>
      <c r="AO133" s="56">
        <f t="shared" si="11"/>
        <v>0</v>
      </c>
      <c r="AP133" s="4"/>
    </row>
    <row r="134" spans="1:42" ht="17" thickBot="1">
      <c r="A134" s="116"/>
      <c r="B134" s="117" t="s">
        <v>9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114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114"/>
      <c r="AM134" s="115"/>
      <c r="AN134" s="56">
        <f t="shared" si="10"/>
        <v>0</v>
      </c>
      <c r="AO134" s="56">
        <f t="shared" si="11"/>
        <v>0</v>
      </c>
      <c r="AP134" s="4"/>
    </row>
    <row r="135" spans="1:42" ht="17" thickBot="1">
      <c r="A135" s="141" t="s">
        <v>97</v>
      </c>
      <c r="B135" s="112" t="s">
        <v>5</v>
      </c>
      <c r="C135" s="113"/>
      <c r="D135" s="113"/>
      <c r="E135" s="113">
        <v>0</v>
      </c>
      <c r="F135" s="113">
        <v>-6</v>
      </c>
      <c r="G135" s="113">
        <v>0</v>
      </c>
      <c r="H135" s="113">
        <v>0</v>
      </c>
      <c r="I135" s="113">
        <v>-6</v>
      </c>
      <c r="J135" s="113">
        <v>0</v>
      </c>
      <c r="K135" s="113">
        <v>0</v>
      </c>
      <c r="L135" s="113">
        <v>0</v>
      </c>
      <c r="M135" s="113">
        <v>0</v>
      </c>
      <c r="N135" s="113">
        <v>0</v>
      </c>
      <c r="O135" s="113">
        <v>0</v>
      </c>
      <c r="P135" s="113">
        <v>0</v>
      </c>
      <c r="Q135" s="113">
        <v>0</v>
      </c>
      <c r="R135" s="113">
        <v>0</v>
      </c>
      <c r="S135" s="113">
        <v>0</v>
      </c>
      <c r="T135" s="113">
        <v>0</v>
      </c>
      <c r="U135" s="114">
        <v>1</v>
      </c>
      <c r="V135" s="113">
        <v>0</v>
      </c>
      <c r="W135" s="113">
        <v>0</v>
      </c>
      <c r="X135" s="113">
        <v>0</v>
      </c>
      <c r="Y135" s="113">
        <v>0</v>
      </c>
      <c r="Z135" s="113">
        <v>0</v>
      </c>
      <c r="AA135" s="113">
        <v>0</v>
      </c>
      <c r="AB135" s="113">
        <v>0</v>
      </c>
      <c r="AC135" s="113">
        <v>0</v>
      </c>
      <c r="AD135" s="113">
        <v>0</v>
      </c>
      <c r="AE135" s="113">
        <v>0</v>
      </c>
      <c r="AF135" s="113">
        <v>0</v>
      </c>
      <c r="AG135" s="113">
        <v>0</v>
      </c>
      <c r="AH135" s="113">
        <v>0</v>
      </c>
      <c r="AI135" s="113">
        <v>0</v>
      </c>
      <c r="AJ135" s="113">
        <v>0</v>
      </c>
      <c r="AK135" s="113">
        <v>0</v>
      </c>
      <c r="AL135" s="114">
        <v>0</v>
      </c>
      <c r="AM135" s="115">
        <v>128</v>
      </c>
      <c r="AN135" s="56">
        <f t="shared" si="10"/>
        <v>128</v>
      </c>
      <c r="AO135" s="56">
        <f t="shared" si="11"/>
        <v>0</v>
      </c>
      <c r="AP135" s="4" t="s">
        <v>134</v>
      </c>
    </row>
    <row r="136" spans="1:42" ht="17" thickBot="1">
      <c r="A136" s="141"/>
      <c r="B136" s="112" t="s">
        <v>6</v>
      </c>
      <c r="C136" s="113"/>
      <c r="D136" s="113"/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4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4">
        <v>0</v>
      </c>
      <c r="AM136" s="115"/>
      <c r="AN136" s="56">
        <f t="shared" si="10"/>
        <v>0</v>
      </c>
      <c r="AO136" s="56">
        <f t="shared" si="11"/>
        <v>0</v>
      </c>
      <c r="AP136" s="4"/>
    </row>
    <row r="137" spans="1:42" ht="17" thickBot="1">
      <c r="A137" s="141"/>
      <c r="B137" s="112" t="s">
        <v>10</v>
      </c>
      <c r="C137" s="113">
        <v>0</v>
      </c>
      <c r="D137" s="113"/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4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4">
        <v>0</v>
      </c>
      <c r="AM137" s="115"/>
      <c r="AN137" s="56">
        <f t="shared" si="10"/>
        <v>0</v>
      </c>
      <c r="AO137" s="56">
        <f t="shared" si="11"/>
        <v>0</v>
      </c>
      <c r="AP137" s="4"/>
    </row>
    <row r="138" spans="1:42" ht="17" thickBot="1">
      <c r="A138" s="141"/>
      <c r="B138" s="112" t="s">
        <v>7</v>
      </c>
      <c r="C138" s="113"/>
      <c r="D138" s="113"/>
      <c r="E138" s="113">
        <v>0</v>
      </c>
      <c r="F138" s="113">
        <v>0</v>
      </c>
      <c r="G138" s="113">
        <v>0</v>
      </c>
      <c r="H138" s="113">
        <v>0</v>
      </c>
      <c r="I138" s="113">
        <v>0</v>
      </c>
      <c r="J138" s="113">
        <v>0</v>
      </c>
      <c r="K138" s="113">
        <v>0</v>
      </c>
      <c r="L138" s="113">
        <v>0</v>
      </c>
      <c r="M138" s="113">
        <v>0</v>
      </c>
      <c r="N138" s="113">
        <v>0</v>
      </c>
      <c r="O138" s="113">
        <v>0</v>
      </c>
      <c r="P138" s="113">
        <v>0</v>
      </c>
      <c r="Q138" s="113">
        <v>0</v>
      </c>
      <c r="R138" s="113">
        <v>0</v>
      </c>
      <c r="S138" s="113">
        <v>0</v>
      </c>
      <c r="T138" s="113">
        <v>0</v>
      </c>
      <c r="U138" s="114">
        <v>7</v>
      </c>
      <c r="V138" s="113">
        <v>0</v>
      </c>
      <c r="W138" s="113">
        <v>0</v>
      </c>
      <c r="X138" s="113">
        <v>0</v>
      </c>
      <c r="Y138" s="113">
        <v>0</v>
      </c>
      <c r="Z138" s="113">
        <v>0</v>
      </c>
      <c r="AA138" s="113">
        <v>0</v>
      </c>
      <c r="AB138" s="113">
        <v>0</v>
      </c>
      <c r="AC138" s="113">
        <v>0</v>
      </c>
      <c r="AD138" s="113">
        <v>0</v>
      </c>
      <c r="AE138" s="113">
        <v>0</v>
      </c>
      <c r="AF138" s="113">
        <v>0</v>
      </c>
      <c r="AG138" s="113">
        <v>0</v>
      </c>
      <c r="AH138" s="113">
        <v>0</v>
      </c>
      <c r="AI138" s="113">
        <v>0</v>
      </c>
      <c r="AJ138" s="113">
        <v>0</v>
      </c>
      <c r="AK138" s="113">
        <v>0</v>
      </c>
      <c r="AL138" s="114">
        <v>0</v>
      </c>
      <c r="AM138" s="115"/>
      <c r="AN138" s="56">
        <f t="shared" si="10"/>
        <v>0</v>
      </c>
      <c r="AO138" s="56">
        <f t="shared" si="11"/>
        <v>0</v>
      </c>
      <c r="AP138" s="4"/>
    </row>
    <row r="139" spans="1:42" ht="17" thickBot="1">
      <c r="A139" s="141"/>
      <c r="B139" s="112" t="s">
        <v>8</v>
      </c>
      <c r="C139" s="113">
        <v>7</v>
      </c>
      <c r="D139" s="113">
        <v>7</v>
      </c>
      <c r="E139" s="113">
        <v>0</v>
      </c>
      <c r="F139" s="113">
        <v>6</v>
      </c>
      <c r="G139" s="113">
        <v>6</v>
      </c>
      <c r="H139" s="113">
        <v>6</v>
      </c>
      <c r="I139" s="113">
        <v>6</v>
      </c>
      <c r="J139" s="113">
        <v>6</v>
      </c>
      <c r="K139" s="113">
        <v>6</v>
      </c>
      <c r="L139" s="113">
        <v>6</v>
      </c>
      <c r="M139" s="113">
        <v>6</v>
      </c>
      <c r="N139" s="113">
        <v>6</v>
      </c>
      <c r="O139" s="113">
        <v>6</v>
      </c>
      <c r="P139" s="113">
        <v>6</v>
      </c>
      <c r="Q139" s="113">
        <v>6</v>
      </c>
      <c r="R139" s="113">
        <v>6</v>
      </c>
      <c r="S139" s="113">
        <v>6</v>
      </c>
      <c r="T139" s="113">
        <v>6</v>
      </c>
      <c r="U139" s="114">
        <v>6</v>
      </c>
      <c r="V139" s="113">
        <v>6</v>
      </c>
      <c r="W139" s="113">
        <v>6</v>
      </c>
      <c r="X139" s="113">
        <v>6</v>
      </c>
      <c r="Y139" s="113">
        <v>6</v>
      </c>
      <c r="Z139" s="113">
        <v>6</v>
      </c>
      <c r="AA139" s="113">
        <v>6</v>
      </c>
      <c r="AB139" s="113">
        <v>6</v>
      </c>
      <c r="AC139" s="113">
        <v>6</v>
      </c>
      <c r="AD139" s="113">
        <v>6</v>
      </c>
      <c r="AE139" s="113">
        <v>6</v>
      </c>
      <c r="AF139" s="113">
        <v>6</v>
      </c>
      <c r="AG139" s="113">
        <v>6</v>
      </c>
      <c r="AH139" s="113">
        <v>6</v>
      </c>
      <c r="AI139" s="113">
        <v>6</v>
      </c>
      <c r="AJ139" s="113">
        <v>6</v>
      </c>
      <c r="AK139" s="113">
        <v>6</v>
      </c>
      <c r="AL139" s="114">
        <v>6</v>
      </c>
      <c r="AM139" s="115"/>
      <c r="AN139" s="56">
        <f t="shared" si="10"/>
        <v>0</v>
      </c>
      <c r="AO139" s="56">
        <f t="shared" si="11"/>
        <v>0</v>
      </c>
      <c r="AP139" s="4"/>
    </row>
    <row r="140" spans="1:42" ht="17" thickBot="1">
      <c r="A140" s="116"/>
      <c r="B140" s="117" t="s">
        <v>9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114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114"/>
      <c r="AM140" s="115"/>
      <c r="AN140" s="56">
        <f t="shared" si="10"/>
        <v>0</v>
      </c>
      <c r="AO140" s="56">
        <f t="shared" si="11"/>
        <v>0</v>
      </c>
      <c r="AP140" s="4"/>
    </row>
    <row r="141" spans="1:42" ht="17" thickBot="1">
      <c r="A141" s="136" t="s">
        <v>98</v>
      </c>
      <c r="B141" s="112" t="s">
        <v>5</v>
      </c>
      <c r="C141" s="113"/>
      <c r="D141" s="113"/>
      <c r="E141" s="113">
        <v>0</v>
      </c>
      <c r="F141" s="113">
        <v>-41</v>
      </c>
      <c r="G141" s="113">
        <v>0</v>
      </c>
      <c r="H141" s="113">
        <v>0</v>
      </c>
      <c r="I141" s="113">
        <v>-41</v>
      </c>
      <c r="J141" s="113">
        <v>0</v>
      </c>
      <c r="K141" s="113">
        <v>0</v>
      </c>
      <c r="L141" s="113">
        <v>0</v>
      </c>
      <c r="M141" s="113">
        <v>0</v>
      </c>
      <c r="N141" s="113">
        <v>0</v>
      </c>
      <c r="O141" s="113">
        <v>0</v>
      </c>
      <c r="P141" s="113">
        <v>0</v>
      </c>
      <c r="Q141" s="113">
        <v>0</v>
      </c>
      <c r="R141" s="113">
        <v>0</v>
      </c>
      <c r="S141" s="113">
        <v>0</v>
      </c>
      <c r="T141" s="113">
        <v>0</v>
      </c>
      <c r="U141" s="114">
        <v>-29</v>
      </c>
      <c r="V141" s="113">
        <v>0</v>
      </c>
      <c r="W141" s="113">
        <v>0</v>
      </c>
      <c r="X141" s="113">
        <v>0</v>
      </c>
      <c r="Y141" s="113">
        <v>0</v>
      </c>
      <c r="Z141" s="113">
        <v>0</v>
      </c>
      <c r="AA141" s="113">
        <v>0</v>
      </c>
      <c r="AB141" s="113">
        <v>0</v>
      </c>
      <c r="AC141" s="113">
        <v>0</v>
      </c>
      <c r="AD141" s="113">
        <v>0</v>
      </c>
      <c r="AE141" s="113">
        <v>0</v>
      </c>
      <c r="AF141" s="113">
        <v>0</v>
      </c>
      <c r="AG141" s="113">
        <v>0</v>
      </c>
      <c r="AH141" s="113">
        <v>0</v>
      </c>
      <c r="AI141" s="113">
        <v>0</v>
      </c>
      <c r="AJ141" s="113">
        <v>0</v>
      </c>
      <c r="AK141" s="113">
        <v>0</v>
      </c>
      <c r="AL141" s="114">
        <v>0</v>
      </c>
      <c r="AM141" s="115">
        <v>128</v>
      </c>
      <c r="AN141" s="56">
        <f t="shared" si="10"/>
        <v>-3712</v>
      </c>
      <c r="AO141" s="56">
        <f t="shared" si="11"/>
        <v>0</v>
      </c>
      <c r="AP141" s="4" t="s">
        <v>134</v>
      </c>
    </row>
    <row r="142" spans="1:42" ht="17" thickBot="1">
      <c r="A142" s="136"/>
      <c r="B142" s="112" t="s">
        <v>6</v>
      </c>
      <c r="C142" s="113"/>
      <c r="D142" s="113"/>
      <c r="E142" s="113">
        <v>0</v>
      </c>
      <c r="F142" s="113">
        <v>0</v>
      </c>
      <c r="G142" s="113">
        <v>0</v>
      </c>
      <c r="H142" s="113">
        <v>0</v>
      </c>
      <c r="I142" s="113">
        <v>0</v>
      </c>
      <c r="J142" s="113">
        <v>0</v>
      </c>
      <c r="K142" s="113">
        <v>0</v>
      </c>
      <c r="L142" s="113">
        <v>0</v>
      </c>
      <c r="M142" s="113">
        <v>0</v>
      </c>
      <c r="N142" s="113">
        <v>0</v>
      </c>
      <c r="O142" s="113">
        <v>0</v>
      </c>
      <c r="P142" s="113">
        <v>0</v>
      </c>
      <c r="Q142" s="113">
        <v>0</v>
      </c>
      <c r="R142" s="113">
        <v>0</v>
      </c>
      <c r="S142" s="113">
        <v>0</v>
      </c>
      <c r="T142" s="113">
        <v>0</v>
      </c>
      <c r="U142" s="114">
        <v>0</v>
      </c>
      <c r="V142" s="113">
        <v>0</v>
      </c>
      <c r="W142" s="113">
        <v>0</v>
      </c>
      <c r="X142" s="113">
        <v>0</v>
      </c>
      <c r="Y142" s="113">
        <v>0</v>
      </c>
      <c r="Z142" s="113">
        <v>0</v>
      </c>
      <c r="AA142" s="113">
        <v>0</v>
      </c>
      <c r="AB142" s="113">
        <v>0</v>
      </c>
      <c r="AC142" s="113">
        <v>0</v>
      </c>
      <c r="AD142" s="113">
        <v>0</v>
      </c>
      <c r="AE142" s="113">
        <v>0</v>
      </c>
      <c r="AF142" s="113">
        <v>0</v>
      </c>
      <c r="AG142" s="113">
        <v>0</v>
      </c>
      <c r="AH142" s="113">
        <v>0</v>
      </c>
      <c r="AI142" s="113">
        <v>0</v>
      </c>
      <c r="AJ142" s="113">
        <v>0</v>
      </c>
      <c r="AK142" s="113">
        <v>0</v>
      </c>
      <c r="AL142" s="114">
        <v>0</v>
      </c>
      <c r="AM142" s="115"/>
      <c r="AN142" s="56">
        <f t="shared" si="10"/>
        <v>0</v>
      </c>
      <c r="AO142" s="56">
        <f t="shared" si="11"/>
        <v>0</v>
      </c>
      <c r="AP142" s="4"/>
    </row>
    <row r="143" spans="1:42" ht="17" thickBot="1">
      <c r="A143" s="136"/>
      <c r="B143" s="112" t="s">
        <v>10</v>
      </c>
      <c r="C143" s="113">
        <v>0</v>
      </c>
      <c r="D143" s="113"/>
      <c r="E143" s="113">
        <v>0</v>
      </c>
      <c r="F143" s="113">
        <v>0</v>
      </c>
      <c r="G143" s="113">
        <v>0</v>
      </c>
      <c r="H143" s="113">
        <v>0</v>
      </c>
      <c r="I143" s="113">
        <v>0</v>
      </c>
      <c r="J143" s="113">
        <v>0</v>
      </c>
      <c r="K143" s="113">
        <v>0</v>
      </c>
      <c r="L143" s="113">
        <v>0</v>
      </c>
      <c r="M143" s="113">
        <v>0</v>
      </c>
      <c r="N143" s="113">
        <v>0</v>
      </c>
      <c r="O143" s="113">
        <v>0</v>
      </c>
      <c r="P143" s="113">
        <v>0</v>
      </c>
      <c r="Q143" s="113">
        <v>0</v>
      </c>
      <c r="R143" s="113">
        <v>0</v>
      </c>
      <c r="S143" s="113">
        <v>0</v>
      </c>
      <c r="T143" s="113">
        <v>0</v>
      </c>
      <c r="U143" s="114">
        <v>0</v>
      </c>
      <c r="V143" s="113">
        <v>0</v>
      </c>
      <c r="W143" s="113">
        <v>0</v>
      </c>
      <c r="X143" s="113">
        <v>0</v>
      </c>
      <c r="Y143" s="113">
        <v>0</v>
      </c>
      <c r="Z143" s="113">
        <v>0</v>
      </c>
      <c r="AA143" s="113">
        <v>0</v>
      </c>
      <c r="AB143" s="113">
        <v>0</v>
      </c>
      <c r="AC143" s="113">
        <v>0</v>
      </c>
      <c r="AD143" s="113">
        <v>0</v>
      </c>
      <c r="AE143" s="113">
        <v>0</v>
      </c>
      <c r="AF143" s="113">
        <v>0</v>
      </c>
      <c r="AG143" s="113">
        <v>0</v>
      </c>
      <c r="AH143" s="113">
        <v>0</v>
      </c>
      <c r="AI143" s="113">
        <v>0</v>
      </c>
      <c r="AJ143" s="113">
        <v>0</v>
      </c>
      <c r="AK143" s="113">
        <v>0</v>
      </c>
      <c r="AL143" s="114">
        <v>0</v>
      </c>
      <c r="AM143" s="115"/>
      <c r="AN143" s="56">
        <f t="shared" si="10"/>
        <v>0</v>
      </c>
      <c r="AO143" s="56">
        <f t="shared" si="11"/>
        <v>0</v>
      </c>
      <c r="AP143" s="4"/>
    </row>
    <row r="144" spans="1:42" ht="17" thickBot="1">
      <c r="A144" s="136"/>
      <c r="B144" s="112" t="s">
        <v>7</v>
      </c>
      <c r="C144" s="113"/>
      <c r="D144" s="113"/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4">
        <v>12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4">
        <v>0</v>
      </c>
      <c r="AM144" s="115"/>
      <c r="AN144" s="56">
        <f t="shared" si="10"/>
        <v>0</v>
      </c>
      <c r="AO144" s="56">
        <f t="shared" si="11"/>
        <v>0</v>
      </c>
      <c r="AP144" s="4"/>
    </row>
    <row r="145" spans="1:42" ht="17" thickBot="1">
      <c r="A145" s="136"/>
      <c r="B145" s="112" t="s">
        <v>8</v>
      </c>
      <c r="C145" s="113">
        <v>41</v>
      </c>
      <c r="D145" s="113">
        <v>12</v>
      </c>
      <c r="E145" s="113">
        <v>0</v>
      </c>
      <c r="F145" s="113">
        <v>41</v>
      </c>
      <c r="G145" s="113">
        <v>41</v>
      </c>
      <c r="H145" s="113">
        <v>41</v>
      </c>
      <c r="I145" s="113">
        <v>41</v>
      </c>
      <c r="J145" s="113">
        <v>41</v>
      </c>
      <c r="K145" s="113">
        <v>41</v>
      </c>
      <c r="L145" s="113">
        <v>41</v>
      </c>
      <c r="M145" s="113">
        <v>41</v>
      </c>
      <c r="N145" s="113">
        <v>41</v>
      </c>
      <c r="O145" s="113">
        <v>41</v>
      </c>
      <c r="P145" s="113">
        <v>41</v>
      </c>
      <c r="Q145" s="113">
        <v>41</v>
      </c>
      <c r="R145" s="113">
        <v>41</v>
      </c>
      <c r="S145" s="113">
        <v>41</v>
      </c>
      <c r="T145" s="113">
        <v>41</v>
      </c>
      <c r="U145" s="114">
        <v>41</v>
      </c>
      <c r="V145" s="113">
        <v>41</v>
      </c>
      <c r="W145" s="113">
        <v>41</v>
      </c>
      <c r="X145" s="113">
        <v>41</v>
      </c>
      <c r="Y145" s="113">
        <v>41</v>
      </c>
      <c r="Z145" s="113">
        <v>41</v>
      </c>
      <c r="AA145" s="113">
        <v>41</v>
      </c>
      <c r="AB145" s="113">
        <v>41</v>
      </c>
      <c r="AC145" s="113">
        <v>41</v>
      </c>
      <c r="AD145" s="113">
        <v>41</v>
      </c>
      <c r="AE145" s="113">
        <v>41</v>
      </c>
      <c r="AF145" s="113">
        <v>41</v>
      </c>
      <c r="AG145" s="113">
        <v>41</v>
      </c>
      <c r="AH145" s="113">
        <v>41</v>
      </c>
      <c r="AI145" s="113">
        <v>41</v>
      </c>
      <c r="AJ145" s="113">
        <v>41</v>
      </c>
      <c r="AK145" s="113">
        <v>41</v>
      </c>
      <c r="AL145" s="114">
        <v>41</v>
      </c>
      <c r="AM145" s="115"/>
      <c r="AN145" s="56">
        <f t="shared" si="10"/>
        <v>0</v>
      </c>
      <c r="AO145" s="56">
        <f t="shared" si="11"/>
        <v>0</v>
      </c>
      <c r="AP145" s="4"/>
    </row>
    <row r="146" spans="1:42" ht="17" thickBot="1">
      <c r="A146" s="116"/>
      <c r="B146" s="117" t="s">
        <v>9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114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114"/>
      <c r="AM146" s="115"/>
      <c r="AN146" s="56">
        <f t="shared" si="10"/>
        <v>0</v>
      </c>
      <c r="AO146" s="56">
        <f t="shared" si="11"/>
        <v>0</v>
      </c>
      <c r="AP146" s="4"/>
    </row>
    <row r="147" spans="1:42" ht="17" thickBot="1">
      <c r="A147" s="136" t="s">
        <v>99</v>
      </c>
      <c r="B147" s="112" t="s">
        <v>5</v>
      </c>
      <c r="C147" s="113"/>
      <c r="D147" s="113"/>
      <c r="E147" s="113">
        <v>0</v>
      </c>
      <c r="F147" s="113">
        <v>-2421</v>
      </c>
      <c r="G147" s="113">
        <v>0</v>
      </c>
      <c r="H147" s="113">
        <v>0</v>
      </c>
      <c r="I147" s="113">
        <v>-2421</v>
      </c>
      <c r="J147" s="113">
        <v>0</v>
      </c>
      <c r="K147" s="113">
        <v>1</v>
      </c>
      <c r="L147" s="113">
        <v>0</v>
      </c>
      <c r="M147" s="113">
        <v>0</v>
      </c>
      <c r="N147" s="113">
        <v>1</v>
      </c>
      <c r="O147" s="113">
        <v>0</v>
      </c>
      <c r="P147" s="113">
        <v>1</v>
      </c>
      <c r="Q147" s="113">
        <v>0</v>
      </c>
      <c r="R147" s="113">
        <v>0</v>
      </c>
      <c r="S147" s="113">
        <v>0</v>
      </c>
      <c r="T147" s="113">
        <v>1</v>
      </c>
      <c r="U147" s="114">
        <v>152</v>
      </c>
      <c r="V147" s="113">
        <v>0</v>
      </c>
      <c r="W147" s="113">
        <v>0</v>
      </c>
      <c r="X147" s="113">
        <v>0</v>
      </c>
      <c r="Y147" s="113">
        <v>0</v>
      </c>
      <c r="Z147" s="113">
        <v>0</v>
      </c>
      <c r="AA147" s="113">
        <v>0</v>
      </c>
      <c r="AB147" s="113">
        <v>1</v>
      </c>
      <c r="AC147" s="113">
        <v>0</v>
      </c>
      <c r="AD147" s="113">
        <v>0</v>
      </c>
      <c r="AE147" s="113">
        <v>1</v>
      </c>
      <c r="AF147" s="113">
        <v>0</v>
      </c>
      <c r="AG147" s="113">
        <v>1</v>
      </c>
      <c r="AH147" s="113">
        <v>0</v>
      </c>
      <c r="AI147" s="113">
        <v>0</v>
      </c>
      <c r="AJ147" s="113">
        <v>0</v>
      </c>
      <c r="AK147" s="113">
        <v>1</v>
      </c>
      <c r="AL147" s="114">
        <v>2</v>
      </c>
      <c r="AM147" s="115">
        <v>128</v>
      </c>
      <c r="AN147" s="56">
        <f t="shared" si="10"/>
        <v>19456</v>
      </c>
      <c r="AO147" s="56">
        <f t="shared" si="11"/>
        <v>256</v>
      </c>
      <c r="AP147" s="4" t="str">
        <f>VLOOKUP(A147,[1]Basic!$B:$F,5,0)</f>
        <v>D4 16GB</v>
      </c>
    </row>
    <row r="148" spans="1:42" ht="17" thickBot="1">
      <c r="A148" s="136"/>
      <c r="B148" s="112" t="s">
        <v>6</v>
      </c>
      <c r="C148" s="113"/>
      <c r="D148" s="113"/>
      <c r="E148" s="113">
        <v>0</v>
      </c>
      <c r="F148" s="113">
        <v>0</v>
      </c>
      <c r="G148" s="113">
        <v>0</v>
      </c>
      <c r="H148" s="113">
        <v>0</v>
      </c>
      <c r="I148" s="113">
        <v>0</v>
      </c>
      <c r="J148" s="113">
        <v>0</v>
      </c>
      <c r="K148" s="113">
        <v>0</v>
      </c>
      <c r="L148" s="113">
        <v>0</v>
      </c>
      <c r="M148" s="113">
        <v>0</v>
      </c>
      <c r="N148" s="113">
        <v>0</v>
      </c>
      <c r="O148" s="113">
        <v>0</v>
      </c>
      <c r="P148" s="113">
        <v>0</v>
      </c>
      <c r="Q148" s="113">
        <v>0</v>
      </c>
      <c r="R148" s="113">
        <v>0</v>
      </c>
      <c r="S148" s="113">
        <v>0</v>
      </c>
      <c r="T148" s="113">
        <v>0</v>
      </c>
      <c r="U148" s="114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4">
        <v>0</v>
      </c>
      <c r="AM148" s="115"/>
      <c r="AN148" s="56">
        <f t="shared" si="10"/>
        <v>0</v>
      </c>
      <c r="AO148" s="56">
        <f t="shared" si="11"/>
        <v>0</v>
      </c>
      <c r="AP148" s="4"/>
    </row>
    <row r="149" spans="1:42" ht="17" thickBot="1">
      <c r="A149" s="136"/>
      <c r="B149" s="112" t="s">
        <v>10</v>
      </c>
      <c r="C149" s="113">
        <v>0</v>
      </c>
      <c r="D149" s="113"/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4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4">
        <v>0</v>
      </c>
      <c r="AM149" s="115"/>
      <c r="AN149" s="56">
        <f t="shared" si="10"/>
        <v>0</v>
      </c>
      <c r="AO149" s="56">
        <f t="shared" si="11"/>
        <v>0</v>
      </c>
      <c r="AP149" s="4"/>
    </row>
    <row r="150" spans="1:42" ht="17" thickBot="1">
      <c r="A150" s="136"/>
      <c r="B150" s="112" t="s">
        <v>7</v>
      </c>
      <c r="C150" s="113"/>
      <c r="D150" s="113"/>
      <c r="E150" s="113">
        <v>0</v>
      </c>
      <c r="F150" s="113">
        <v>0</v>
      </c>
      <c r="G150" s="113">
        <v>0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4">
        <v>2571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4">
        <v>0</v>
      </c>
      <c r="AM150" s="115"/>
      <c r="AN150" s="56">
        <f t="shared" si="10"/>
        <v>0</v>
      </c>
      <c r="AO150" s="56">
        <f t="shared" si="11"/>
        <v>0</v>
      </c>
      <c r="AP150" s="4"/>
    </row>
    <row r="151" spans="1:42" ht="17" thickBot="1">
      <c r="A151" s="136"/>
      <c r="B151" s="112" t="s">
        <v>8</v>
      </c>
      <c r="C151" s="113">
        <v>2477</v>
      </c>
      <c r="D151" s="113">
        <v>2571</v>
      </c>
      <c r="E151" s="113">
        <v>0</v>
      </c>
      <c r="F151" s="113">
        <v>2421</v>
      </c>
      <c r="G151" s="113">
        <v>2421</v>
      </c>
      <c r="H151" s="113">
        <v>2421</v>
      </c>
      <c r="I151" s="113">
        <v>2421</v>
      </c>
      <c r="J151" s="113">
        <v>2421</v>
      </c>
      <c r="K151" s="113">
        <v>2420</v>
      </c>
      <c r="L151" s="113">
        <v>2420</v>
      </c>
      <c r="M151" s="113">
        <v>2420</v>
      </c>
      <c r="N151" s="113">
        <v>2420</v>
      </c>
      <c r="O151" s="113">
        <v>2420</v>
      </c>
      <c r="P151" s="113">
        <v>2419</v>
      </c>
      <c r="Q151" s="113">
        <v>2419</v>
      </c>
      <c r="R151" s="113">
        <v>2419</v>
      </c>
      <c r="S151" s="113">
        <v>2419</v>
      </c>
      <c r="T151" s="113">
        <v>2419</v>
      </c>
      <c r="U151" s="114">
        <v>2419</v>
      </c>
      <c r="V151" s="113">
        <v>2419</v>
      </c>
      <c r="W151" s="113">
        <v>2419</v>
      </c>
      <c r="X151" s="113">
        <v>2419</v>
      </c>
      <c r="Y151" s="113">
        <v>2419</v>
      </c>
      <c r="Z151" s="113">
        <v>2419</v>
      </c>
      <c r="AA151" s="113">
        <v>2419</v>
      </c>
      <c r="AB151" s="113">
        <v>2418</v>
      </c>
      <c r="AC151" s="113">
        <v>2418</v>
      </c>
      <c r="AD151" s="113">
        <v>2418</v>
      </c>
      <c r="AE151" s="113">
        <v>2418</v>
      </c>
      <c r="AF151" s="113">
        <v>2418</v>
      </c>
      <c r="AG151" s="113">
        <v>2417</v>
      </c>
      <c r="AH151" s="113">
        <v>2417</v>
      </c>
      <c r="AI151" s="113">
        <v>2417</v>
      </c>
      <c r="AJ151" s="113">
        <v>2417</v>
      </c>
      <c r="AK151" s="113">
        <v>2417</v>
      </c>
      <c r="AL151" s="114">
        <v>2417</v>
      </c>
      <c r="AM151" s="115"/>
      <c r="AN151" s="56">
        <f t="shared" si="10"/>
        <v>0</v>
      </c>
      <c r="AO151" s="56">
        <f t="shared" si="11"/>
        <v>0</v>
      </c>
      <c r="AP151" s="4"/>
    </row>
    <row r="152" spans="1:42" ht="17" thickBot="1">
      <c r="A152" s="116"/>
      <c r="B152" s="117" t="s">
        <v>9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114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114"/>
      <c r="AM152" s="115"/>
      <c r="AN152" s="56">
        <f t="shared" si="10"/>
        <v>0</v>
      </c>
      <c r="AO152" s="56">
        <f t="shared" si="11"/>
        <v>0</v>
      </c>
      <c r="AP152" s="4"/>
    </row>
    <row r="153" spans="1:42" ht="17" thickBot="1">
      <c r="A153" s="136" t="s">
        <v>100</v>
      </c>
      <c r="B153" s="112" t="s">
        <v>5</v>
      </c>
      <c r="C153" s="113"/>
      <c r="D153" s="113"/>
      <c r="E153" s="113">
        <v>1000</v>
      </c>
      <c r="F153" s="113">
        <v>-1959</v>
      </c>
      <c r="G153" s="113">
        <v>18475</v>
      </c>
      <c r="H153" s="113">
        <v>35888</v>
      </c>
      <c r="I153" s="113">
        <v>53404</v>
      </c>
      <c r="J153" s="113">
        <v>33628</v>
      </c>
      <c r="K153" s="113">
        <v>40990</v>
      </c>
      <c r="L153" s="113">
        <v>31456</v>
      </c>
      <c r="M153" s="113">
        <v>27449</v>
      </c>
      <c r="N153" s="113">
        <v>133523</v>
      </c>
      <c r="O153" s="113">
        <v>22723</v>
      </c>
      <c r="P153" s="113">
        <v>45588</v>
      </c>
      <c r="Q153" s="113">
        <v>42253</v>
      </c>
      <c r="R153" s="113">
        <v>34189</v>
      </c>
      <c r="S153" s="113">
        <v>39041</v>
      </c>
      <c r="T153" s="113">
        <v>183794</v>
      </c>
      <c r="U153" s="114">
        <v>488737</v>
      </c>
      <c r="V153" s="113">
        <v>8074</v>
      </c>
      <c r="W153" s="113">
        <v>26072</v>
      </c>
      <c r="X153" s="113">
        <v>19551</v>
      </c>
      <c r="Y153" s="113">
        <v>21788</v>
      </c>
      <c r="Z153" s="113">
        <v>75485</v>
      </c>
      <c r="AA153" s="113">
        <v>20106</v>
      </c>
      <c r="AB153" s="113">
        <v>34330</v>
      </c>
      <c r="AC153" s="113">
        <v>25395</v>
      </c>
      <c r="AD153" s="113">
        <v>19284</v>
      </c>
      <c r="AE153" s="113">
        <v>99115</v>
      </c>
      <c r="AF153" s="113">
        <v>16071</v>
      </c>
      <c r="AG153" s="113">
        <v>44191</v>
      </c>
      <c r="AH153" s="113">
        <v>30632</v>
      </c>
      <c r="AI153" s="113">
        <v>24267</v>
      </c>
      <c r="AJ153" s="113">
        <v>46900</v>
      </c>
      <c r="AK153" s="113">
        <v>162061</v>
      </c>
      <c r="AL153" s="114">
        <v>336661</v>
      </c>
      <c r="AM153" s="115">
        <v>128</v>
      </c>
      <c r="AN153" s="56">
        <f t="shared" si="10"/>
        <v>62558336</v>
      </c>
      <c r="AO153" s="56">
        <f t="shared" si="11"/>
        <v>43092608</v>
      </c>
      <c r="AP153" s="4" t="str">
        <f>VLOOKUP(A153,[1]Basic!$B:$F,5,0)</f>
        <v>D4 16GB</v>
      </c>
    </row>
    <row r="154" spans="1:42" ht="17" thickBot="1">
      <c r="A154" s="136"/>
      <c r="B154" s="112" t="s">
        <v>6</v>
      </c>
      <c r="C154" s="113"/>
      <c r="D154" s="113"/>
      <c r="E154" s="113">
        <v>1000</v>
      </c>
      <c r="F154" s="113">
        <v>0</v>
      </c>
      <c r="G154" s="113">
        <v>104445</v>
      </c>
      <c r="H154" s="113">
        <v>5000</v>
      </c>
      <c r="I154" s="113">
        <v>110445</v>
      </c>
      <c r="J154" s="113">
        <v>41000</v>
      </c>
      <c r="K154" s="113">
        <v>0</v>
      </c>
      <c r="L154" s="113">
        <v>0</v>
      </c>
      <c r="M154" s="113">
        <v>38000</v>
      </c>
      <c r="N154" s="113">
        <v>79000</v>
      </c>
      <c r="O154" s="113">
        <v>71000</v>
      </c>
      <c r="P154" s="113">
        <v>0</v>
      </c>
      <c r="Q154" s="113">
        <v>51000</v>
      </c>
      <c r="R154" s="113">
        <v>165000</v>
      </c>
      <c r="S154" s="113">
        <v>142000</v>
      </c>
      <c r="T154" s="113">
        <v>429000</v>
      </c>
      <c r="U154" s="114">
        <v>618445</v>
      </c>
      <c r="V154" s="113">
        <v>0</v>
      </c>
      <c r="W154" s="113">
        <v>0</v>
      </c>
      <c r="X154" s="113">
        <v>0</v>
      </c>
      <c r="Y154" s="113">
        <v>0</v>
      </c>
      <c r="Z154" s="113">
        <v>0</v>
      </c>
      <c r="AA154" s="113">
        <v>0</v>
      </c>
      <c r="AB154" s="113">
        <v>0</v>
      </c>
      <c r="AC154" s="113">
        <v>0</v>
      </c>
      <c r="AD154" s="113">
        <v>0</v>
      </c>
      <c r="AE154" s="113">
        <v>0</v>
      </c>
      <c r="AF154" s="113">
        <v>12000</v>
      </c>
      <c r="AG154" s="113">
        <v>0</v>
      </c>
      <c r="AH154" s="113">
        <v>0</v>
      </c>
      <c r="AI154" s="113">
        <v>0</v>
      </c>
      <c r="AJ154" s="113">
        <v>200000</v>
      </c>
      <c r="AK154" s="113">
        <v>212000</v>
      </c>
      <c r="AL154" s="114">
        <v>212000</v>
      </c>
      <c r="AM154" s="115"/>
      <c r="AN154" s="56">
        <f t="shared" si="10"/>
        <v>0</v>
      </c>
      <c r="AO154" s="56">
        <f t="shared" si="11"/>
        <v>0</v>
      </c>
      <c r="AP154" s="4"/>
    </row>
    <row r="155" spans="1:42" ht="17" thickBot="1">
      <c r="A155" s="136"/>
      <c r="B155" s="112" t="s">
        <v>10</v>
      </c>
      <c r="C155" s="113">
        <v>36206</v>
      </c>
      <c r="D155" s="113"/>
      <c r="E155" s="113">
        <v>0</v>
      </c>
      <c r="F155" s="113">
        <v>36206</v>
      </c>
      <c r="G155" s="113">
        <v>0</v>
      </c>
      <c r="H155" s="113">
        <v>0</v>
      </c>
      <c r="I155" s="113">
        <v>0</v>
      </c>
      <c r="J155" s="113">
        <v>0</v>
      </c>
      <c r="K155" s="113">
        <v>0</v>
      </c>
      <c r="L155" s="113">
        <v>0</v>
      </c>
      <c r="M155" s="113">
        <v>0</v>
      </c>
      <c r="N155" s="113">
        <v>0</v>
      </c>
      <c r="O155" s="113">
        <v>0</v>
      </c>
      <c r="P155" s="113">
        <v>0</v>
      </c>
      <c r="Q155" s="113">
        <v>0</v>
      </c>
      <c r="R155" s="113">
        <v>0</v>
      </c>
      <c r="S155" s="113">
        <v>0</v>
      </c>
      <c r="T155" s="113">
        <v>0</v>
      </c>
      <c r="U155" s="114">
        <v>0</v>
      </c>
      <c r="V155" s="113">
        <v>0</v>
      </c>
      <c r="W155" s="113">
        <v>0</v>
      </c>
      <c r="X155" s="113">
        <v>0</v>
      </c>
      <c r="Y155" s="113">
        <v>0</v>
      </c>
      <c r="Z155" s="113">
        <v>0</v>
      </c>
      <c r="AA155" s="113">
        <v>0</v>
      </c>
      <c r="AB155" s="113">
        <v>0</v>
      </c>
      <c r="AC155" s="113">
        <v>0</v>
      </c>
      <c r="AD155" s="113">
        <v>0</v>
      </c>
      <c r="AE155" s="113">
        <v>0</v>
      </c>
      <c r="AF155" s="113">
        <v>0</v>
      </c>
      <c r="AG155" s="113">
        <v>0</v>
      </c>
      <c r="AH155" s="113">
        <v>0</v>
      </c>
      <c r="AI155" s="113">
        <v>0</v>
      </c>
      <c r="AJ155" s="113">
        <v>0</v>
      </c>
      <c r="AK155" s="113">
        <v>0</v>
      </c>
      <c r="AL155" s="114">
        <v>0</v>
      </c>
      <c r="AM155" s="115"/>
      <c r="AN155" s="56">
        <f t="shared" si="10"/>
        <v>0</v>
      </c>
      <c r="AO155" s="56">
        <f t="shared" si="11"/>
        <v>0</v>
      </c>
      <c r="AP155" s="4"/>
    </row>
    <row r="156" spans="1:42" ht="17" thickBot="1">
      <c r="A156" s="136"/>
      <c r="B156" s="112" t="s">
        <v>7</v>
      </c>
      <c r="C156" s="113"/>
      <c r="D156" s="113"/>
      <c r="E156" s="113">
        <v>1000</v>
      </c>
      <c r="F156" s="113">
        <v>36206</v>
      </c>
      <c r="G156" s="113">
        <v>104445</v>
      </c>
      <c r="H156" s="113">
        <v>5000</v>
      </c>
      <c r="I156" s="113">
        <v>146651</v>
      </c>
      <c r="J156" s="113">
        <v>41000</v>
      </c>
      <c r="K156" s="113">
        <v>0</v>
      </c>
      <c r="L156" s="113">
        <v>0</v>
      </c>
      <c r="M156" s="113">
        <v>38000</v>
      </c>
      <c r="N156" s="113">
        <v>79000</v>
      </c>
      <c r="O156" s="113">
        <v>71000</v>
      </c>
      <c r="P156" s="113">
        <v>0</v>
      </c>
      <c r="Q156" s="113">
        <v>51000</v>
      </c>
      <c r="R156" s="113">
        <v>165000</v>
      </c>
      <c r="S156" s="113">
        <v>142000</v>
      </c>
      <c r="T156" s="113">
        <v>429000</v>
      </c>
      <c r="U156" s="114">
        <v>772667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12000</v>
      </c>
      <c r="AG156" s="113">
        <v>0</v>
      </c>
      <c r="AH156" s="113">
        <v>0</v>
      </c>
      <c r="AI156" s="113">
        <v>0</v>
      </c>
      <c r="AJ156" s="113">
        <v>200000</v>
      </c>
      <c r="AK156" s="113">
        <v>212000</v>
      </c>
      <c r="AL156" s="114">
        <v>212000</v>
      </c>
      <c r="AM156" s="115"/>
      <c r="AN156" s="56">
        <f t="shared" si="10"/>
        <v>0</v>
      </c>
      <c r="AO156" s="56">
        <f t="shared" si="11"/>
        <v>0</v>
      </c>
      <c r="AP156" s="4"/>
    </row>
    <row r="157" spans="1:42" ht="17" thickBot="1">
      <c r="A157" s="136"/>
      <c r="B157" s="112" t="s">
        <v>8</v>
      </c>
      <c r="C157" s="113">
        <v>123533</v>
      </c>
      <c r="D157" s="113">
        <v>118016</v>
      </c>
      <c r="E157" s="113">
        <v>0</v>
      </c>
      <c r="F157" s="113">
        <v>38165</v>
      </c>
      <c r="G157" s="113">
        <v>124135</v>
      </c>
      <c r="H157" s="113">
        <v>93247</v>
      </c>
      <c r="I157" s="113">
        <v>93247</v>
      </c>
      <c r="J157" s="113">
        <v>100619</v>
      </c>
      <c r="K157" s="113">
        <v>59629</v>
      </c>
      <c r="L157" s="113">
        <v>28173</v>
      </c>
      <c r="M157" s="113">
        <v>38724</v>
      </c>
      <c r="N157" s="113">
        <v>38724</v>
      </c>
      <c r="O157" s="113">
        <v>87001</v>
      </c>
      <c r="P157" s="113">
        <v>41413</v>
      </c>
      <c r="Q157" s="113">
        <v>50160</v>
      </c>
      <c r="R157" s="113">
        <v>180971</v>
      </c>
      <c r="S157" s="113">
        <v>283930</v>
      </c>
      <c r="T157" s="113">
        <v>283930</v>
      </c>
      <c r="U157" s="114">
        <v>283930</v>
      </c>
      <c r="V157" s="113">
        <v>275856</v>
      </c>
      <c r="W157" s="113">
        <v>249784</v>
      </c>
      <c r="X157" s="113">
        <v>230233</v>
      </c>
      <c r="Y157" s="113">
        <v>215361</v>
      </c>
      <c r="Z157" s="113">
        <v>208445</v>
      </c>
      <c r="AA157" s="113">
        <v>188339</v>
      </c>
      <c r="AB157" s="113">
        <v>154009</v>
      </c>
      <c r="AC157" s="113">
        <v>128614</v>
      </c>
      <c r="AD157" s="113">
        <v>109330</v>
      </c>
      <c r="AE157" s="113">
        <v>109330</v>
      </c>
      <c r="AF157" s="113">
        <v>105259</v>
      </c>
      <c r="AG157" s="113">
        <v>61068</v>
      </c>
      <c r="AH157" s="113">
        <v>30436</v>
      </c>
      <c r="AI157" s="113">
        <v>6169</v>
      </c>
      <c r="AJ157" s="113">
        <v>159269</v>
      </c>
      <c r="AK157" s="113">
        <v>159269</v>
      </c>
      <c r="AL157" s="114">
        <v>159269</v>
      </c>
      <c r="AM157" s="115"/>
      <c r="AN157" s="56">
        <f t="shared" si="10"/>
        <v>0</v>
      </c>
      <c r="AO157" s="56">
        <f t="shared" si="11"/>
        <v>0</v>
      </c>
      <c r="AP157" s="4"/>
    </row>
    <row r="158" spans="1:42" ht="17" thickBot="1">
      <c r="A158" s="116"/>
      <c r="B158" s="117" t="s">
        <v>9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114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114"/>
      <c r="AM158" s="115"/>
      <c r="AN158" s="56">
        <f t="shared" si="10"/>
        <v>0</v>
      </c>
      <c r="AO158" s="56">
        <f t="shared" si="11"/>
        <v>0</v>
      </c>
      <c r="AP158" s="4"/>
    </row>
    <row r="159" spans="1:42" ht="17" thickBot="1">
      <c r="A159" s="141" t="s">
        <v>138</v>
      </c>
      <c r="B159" s="112" t="s">
        <v>5</v>
      </c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4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4"/>
      <c r="AM159" s="115">
        <v>128</v>
      </c>
      <c r="AN159" s="56">
        <f t="shared" si="10"/>
        <v>0</v>
      </c>
      <c r="AO159" s="56">
        <f t="shared" si="11"/>
        <v>0</v>
      </c>
      <c r="AP159" s="4" t="s">
        <v>134</v>
      </c>
    </row>
    <row r="160" spans="1:42" ht="17" thickBot="1">
      <c r="A160" s="141"/>
      <c r="B160" s="112" t="s">
        <v>6</v>
      </c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4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4"/>
      <c r="AM160" s="115"/>
      <c r="AN160" s="56">
        <f t="shared" ref="AN160:AN217" si="12">AM160*U160</f>
        <v>0</v>
      </c>
      <c r="AO160" s="56">
        <f t="shared" ref="AO160:AO217" si="13">AM160*AL160</f>
        <v>0</v>
      </c>
      <c r="AP160" s="4"/>
    </row>
    <row r="161" spans="1:42" ht="17" thickBot="1">
      <c r="A161" s="141"/>
      <c r="B161" s="112" t="s">
        <v>10</v>
      </c>
      <c r="C161" s="113">
        <v>0</v>
      </c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4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4"/>
      <c r="AM161" s="115"/>
      <c r="AN161" s="56">
        <f t="shared" si="12"/>
        <v>0</v>
      </c>
      <c r="AO161" s="56">
        <f t="shared" si="13"/>
        <v>0</v>
      </c>
      <c r="AP161" s="4"/>
    </row>
    <row r="162" spans="1:42" ht="17" thickBot="1">
      <c r="A162" s="141"/>
      <c r="B162" s="112" t="s">
        <v>7</v>
      </c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4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4"/>
      <c r="AM162" s="115"/>
      <c r="AN162" s="56">
        <f t="shared" si="12"/>
        <v>0</v>
      </c>
      <c r="AO162" s="56">
        <f t="shared" si="13"/>
        <v>0</v>
      </c>
      <c r="AP162" s="4"/>
    </row>
    <row r="163" spans="1:42" ht="17" thickBot="1">
      <c r="A163" s="141"/>
      <c r="B163" s="112" t="s">
        <v>8</v>
      </c>
      <c r="C163" s="113">
        <v>0</v>
      </c>
      <c r="D163" s="113">
        <v>0</v>
      </c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4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4"/>
      <c r="AM163" s="115"/>
      <c r="AN163" s="56">
        <f t="shared" si="12"/>
        <v>0</v>
      </c>
      <c r="AO163" s="56">
        <f t="shared" si="13"/>
        <v>0</v>
      </c>
      <c r="AP163" s="4"/>
    </row>
    <row r="164" spans="1:42" ht="17" thickBot="1">
      <c r="A164" s="116"/>
      <c r="B164" s="117" t="s">
        <v>9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114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114"/>
      <c r="AM164" s="115"/>
      <c r="AN164" s="56">
        <f t="shared" si="12"/>
        <v>0</v>
      </c>
      <c r="AO164" s="56">
        <f t="shared" si="13"/>
        <v>0</v>
      </c>
      <c r="AP164" s="4"/>
    </row>
    <row r="165" spans="1:42" ht="17" thickBot="1">
      <c r="A165" s="141" t="s">
        <v>139</v>
      </c>
      <c r="B165" s="112" t="s">
        <v>5</v>
      </c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4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4"/>
      <c r="AM165" s="115">
        <v>256</v>
      </c>
      <c r="AN165" s="56">
        <f t="shared" si="12"/>
        <v>0</v>
      </c>
      <c r="AO165" s="56">
        <f t="shared" si="13"/>
        <v>0</v>
      </c>
      <c r="AP165" s="4" t="s">
        <v>136</v>
      </c>
    </row>
    <row r="166" spans="1:42" ht="17" thickBot="1">
      <c r="A166" s="141"/>
      <c r="B166" s="112" t="s">
        <v>6</v>
      </c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4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4"/>
      <c r="AM166" s="115"/>
      <c r="AN166" s="56">
        <f t="shared" si="12"/>
        <v>0</v>
      </c>
      <c r="AO166" s="56">
        <f t="shared" si="13"/>
        <v>0</v>
      </c>
      <c r="AP166" s="4"/>
    </row>
    <row r="167" spans="1:42" ht="17" thickBot="1">
      <c r="A167" s="141"/>
      <c r="B167" s="112" t="s">
        <v>10</v>
      </c>
      <c r="C167" s="113">
        <v>0</v>
      </c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4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4"/>
      <c r="AM167" s="115"/>
      <c r="AN167" s="56">
        <f t="shared" si="12"/>
        <v>0</v>
      </c>
      <c r="AO167" s="56">
        <f t="shared" si="13"/>
        <v>0</v>
      </c>
      <c r="AP167" s="4"/>
    </row>
    <row r="168" spans="1:42" ht="17" thickBot="1">
      <c r="A168" s="141"/>
      <c r="B168" s="112" t="s">
        <v>7</v>
      </c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4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4"/>
      <c r="AM168" s="115"/>
      <c r="AN168" s="56">
        <f t="shared" si="12"/>
        <v>0</v>
      </c>
      <c r="AO168" s="56">
        <f t="shared" si="13"/>
        <v>0</v>
      </c>
      <c r="AP168" s="4"/>
    </row>
    <row r="169" spans="1:42" ht="17" thickBot="1">
      <c r="A169" s="141"/>
      <c r="B169" s="112" t="s">
        <v>8</v>
      </c>
      <c r="C169" s="113">
        <v>0</v>
      </c>
      <c r="D169" s="113">
        <v>0</v>
      </c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4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4"/>
      <c r="AM169" s="115"/>
      <c r="AN169" s="56">
        <f t="shared" si="12"/>
        <v>0</v>
      </c>
      <c r="AO169" s="56">
        <f t="shared" si="13"/>
        <v>0</v>
      </c>
      <c r="AP169" s="4"/>
    </row>
    <row r="170" spans="1:42" ht="17" thickBot="1">
      <c r="A170" s="116"/>
      <c r="B170" s="117" t="s">
        <v>9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114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114"/>
      <c r="AM170" s="115"/>
      <c r="AN170" s="56">
        <f t="shared" si="12"/>
        <v>0</v>
      </c>
      <c r="AO170" s="56">
        <f t="shared" si="13"/>
        <v>0</v>
      </c>
      <c r="AP170" s="4"/>
    </row>
    <row r="171" spans="1:42" ht="17" thickBot="1">
      <c r="A171" s="136" t="s">
        <v>101</v>
      </c>
      <c r="B171" s="112" t="s">
        <v>5</v>
      </c>
      <c r="C171" s="113"/>
      <c r="D171" s="113"/>
      <c r="E171" s="113">
        <v>0</v>
      </c>
      <c r="F171" s="113">
        <v>-4</v>
      </c>
      <c r="G171" s="113">
        <v>0</v>
      </c>
      <c r="H171" s="113">
        <v>0</v>
      </c>
      <c r="I171" s="113">
        <v>-4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4">
        <v>1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4">
        <v>0</v>
      </c>
      <c r="AM171" s="115">
        <v>256</v>
      </c>
      <c r="AN171" s="56">
        <f t="shared" si="12"/>
        <v>256</v>
      </c>
      <c r="AO171" s="56">
        <f t="shared" si="13"/>
        <v>0</v>
      </c>
      <c r="AP171" s="4" t="s">
        <v>136</v>
      </c>
    </row>
    <row r="172" spans="1:42" ht="17" thickBot="1">
      <c r="A172" s="136"/>
      <c r="B172" s="112" t="s">
        <v>6</v>
      </c>
      <c r="C172" s="113"/>
      <c r="D172" s="113"/>
      <c r="E172" s="113">
        <v>0</v>
      </c>
      <c r="F172" s="113">
        <v>0</v>
      </c>
      <c r="G172" s="113">
        <v>0</v>
      </c>
      <c r="H172" s="113">
        <v>0</v>
      </c>
      <c r="I172" s="113">
        <v>0</v>
      </c>
      <c r="J172" s="113">
        <v>0</v>
      </c>
      <c r="K172" s="113">
        <v>0</v>
      </c>
      <c r="L172" s="113">
        <v>0</v>
      </c>
      <c r="M172" s="113">
        <v>0</v>
      </c>
      <c r="N172" s="113">
        <v>0</v>
      </c>
      <c r="O172" s="113">
        <v>0</v>
      </c>
      <c r="P172" s="113">
        <v>0</v>
      </c>
      <c r="Q172" s="113">
        <v>0</v>
      </c>
      <c r="R172" s="113">
        <v>0</v>
      </c>
      <c r="S172" s="113">
        <v>0</v>
      </c>
      <c r="T172" s="113">
        <v>0</v>
      </c>
      <c r="U172" s="114">
        <v>0</v>
      </c>
      <c r="V172" s="113">
        <v>0</v>
      </c>
      <c r="W172" s="113">
        <v>0</v>
      </c>
      <c r="X172" s="113">
        <v>0</v>
      </c>
      <c r="Y172" s="113">
        <v>0</v>
      </c>
      <c r="Z172" s="113">
        <v>0</v>
      </c>
      <c r="AA172" s="113">
        <v>0</v>
      </c>
      <c r="AB172" s="113">
        <v>0</v>
      </c>
      <c r="AC172" s="113">
        <v>0</v>
      </c>
      <c r="AD172" s="113">
        <v>0</v>
      </c>
      <c r="AE172" s="113">
        <v>0</v>
      </c>
      <c r="AF172" s="113">
        <v>0</v>
      </c>
      <c r="AG172" s="113">
        <v>0</v>
      </c>
      <c r="AH172" s="113">
        <v>0</v>
      </c>
      <c r="AI172" s="113">
        <v>0</v>
      </c>
      <c r="AJ172" s="113">
        <v>0</v>
      </c>
      <c r="AK172" s="113">
        <v>0</v>
      </c>
      <c r="AL172" s="114">
        <v>0</v>
      </c>
      <c r="AM172" s="115"/>
      <c r="AN172" s="56">
        <f t="shared" si="12"/>
        <v>0</v>
      </c>
      <c r="AO172" s="56">
        <f t="shared" si="13"/>
        <v>0</v>
      </c>
      <c r="AP172" s="4"/>
    </row>
    <row r="173" spans="1:42" ht="17" thickBot="1">
      <c r="A173" s="136"/>
      <c r="B173" s="112" t="s">
        <v>10</v>
      </c>
      <c r="C173" s="113">
        <v>0</v>
      </c>
      <c r="D173" s="113"/>
      <c r="E173" s="113">
        <v>0</v>
      </c>
      <c r="F173" s="113">
        <v>0</v>
      </c>
      <c r="G173" s="113">
        <v>0</v>
      </c>
      <c r="H173" s="113">
        <v>0</v>
      </c>
      <c r="I173" s="113">
        <v>0</v>
      </c>
      <c r="J173" s="113">
        <v>0</v>
      </c>
      <c r="K173" s="113">
        <v>0</v>
      </c>
      <c r="L173" s="113">
        <v>0</v>
      </c>
      <c r="M173" s="113">
        <v>0</v>
      </c>
      <c r="N173" s="113">
        <v>0</v>
      </c>
      <c r="O173" s="113">
        <v>0</v>
      </c>
      <c r="P173" s="113">
        <v>0</v>
      </c>
      <c r="Q173" s="113">
        <v>0</v>
      </c>
      <c r="R173" s="113">
        <v>0</v>
      </c>
      <c r="S173" s="113">
        <v>0</v>
      </c>
      <c r="T173" s="113">
        <v>0</v>
      </c>
      <c r="U173" s="114">
        <v>0</v>
      </c>
      <c r="V173" s="113">
        <v>0</v>
      </c>
      <c r="W173" s="113">
        <v>0</v>
      </c>
      <c r="X173" s="113">
        <v>0</v>
      </c>
      <c r="Y173" s="113">
        <v>0</v>
      </c>
      <c r="Z173" s="113">
        <v>0</v>
      </c>
      <c r="AA173" s="113">
        <v>0</v>
      </c>
      <c r="AB173" s="113">
        <v>0</v>
      </c>
      <c r="AC173" s="113">
        <v>0</v>
      </c>
      <c r="AD173" s="113">
        <v>0</v>
      </c>
      <c r="AE173" s="113">
        <v>0</v>
      </c>
      <c r="AF173" s="113">
        <v>0</v>
      </c>
      <c r="AG173" s="113">
        <v>0</v>
      </c>
      <c r="AH173" s="113">
        <v>0</v>
      </c>
      <c r="AI173" s="113">
        <v>0</v>
      </c>
      <c r="AJ173" s="113">
        <v>0</v>
      </c>
      <c r="AK173" s="113">
        <v>0</v>
      </c>
      <c r="AL173" s="114">
        <v>0</v>
      </c>
      <c r="AM173" s="115"/>
      <c r="AN173" s="56">
        <f t="shared" si="12"/>
        <v>0</v>
      </c>
      <c r="AO173" s="56">
        <f t="shared" si="13"/>
        <v>0</v>
      </c>
      <c r="AP173" s="4"/>
    </row>
    <row r="174" spans="1:42" ht="17" thickBot="1">
      <c r="A174" s="136"/>
      <c r="B174" s="112" t="s">
        <v>7</v>
      </c>
      <c r="C174" s="113"/>
      <c r="D174" s="113"/>
      <c r="E174" s="113">
        <v>0</v>
      </c>
      <c r="F174" s="113">
        <v>0</v>
      </c>
      <c r="G174" s="113">
        <v>0</v>
      </c>
      <c r="H174" s="113">
        <v>0</v>
      </c>
      <c r="I174" s="113">
        <v>0</v>
      </c>
      <c r="J174" s="113">
        <v>0</v>
      </c>
      <c r="K174" s="113">
        <v>0</v>
      </c>
      <c r="L174" s="113">
        <v>0</v>
      </c>
      <c r="M174" s="113">
        <v>0</v>
      </c>
      <c r="N174" s="113">
        <v>0</v>
      </c>
      <c r="O174" s="113">
        <v>0</v>
      </c>
      <c r="P174" s="113">
        <v>0</v>
      </c>
      <c r="Q174" s="113">
        <v>0</v>
      </c>
      <c r="R174" s="113">
        <v>0</v>
      </c>
      <c r="S174" s="113">
        <v>0</v>
      </c>
      <c r="T174" s="113">
        <v>0</v>
      </c>
      <c r="U174" s="114">
        <v>5</v>
      </c>
      <c r="V174" s="113">
        <v>0</v>
      </c>
      <c r="W174" s="113">
        <v>0</v>
      </c>
      <c r="X174" s="113">
        <v>0</v>
      </c>
      <c r="Y174" s="113">
        <v>0</v>
      </c>
      <c r="Z174" s="113">
        <v>0</v>
      </c>
      <c r="AA174" s="113">
        <v>0</v>
      </c>
      <c r="AB174" s="113">
        <v>0</v>
      </c>
      <c r="AC174" s="113">
        <v>0</v>
      </c>
      <c r="AD174" s="113">
        <v>0</v>
      </c>
      <c r="AE174" s="113">
        <v>0</v>
      </c>
      <c r="AF174" s="113">
        <v>0</v>
      </c>
      <c r="AG174" s="113">
        <v>0</v>
      </c>
      <c r="AH174" s="113">
        <v>0</v>
      </c>
      <c r="AI174" s="113">
        <v>0</v>
      </c>
      <c r="AJ174" s="113">
        <v>0</v>
      </c>
      <c r="AK174" s="113">
        <v>0</v>
      </c>
      <c r="AL174" s="114">
        <v>0</v>
      </c>
      <c r="AM174" s="115"/>
      <c r="AN174" s="56">
        <f t="shared" si="12"/>
        <v>0</v>
      </c>
      <c r="AO174" s="56">
        <f t="shared" si="13"/>
        <v>0</v>
      </c>
      <c r="AP174" s="4"/>
    </row>
    <row r="175" spans="1:42" ht="17" thickBot="1">
      <c r="A175" s="136"/>
      <c r="B175" s="112" t="s">
        <v>8</v>
      </c>
      <c r="C175" s="113">
        <v>4</v>
      </c>
      <c r="D175" s="113">
        <v>5</v>
      </c>
      <c r="E175" s="113">
        <v>0</v>
      </c>
      <c r="F175" s="113">
        <v>4</v>
      </c>
      <c r="G175" s="113">
        <v>4</v>
      </c>
      <c r="H175" s="113">
        <v>4</v>
      </c>
      <c r="I175" s="113">
        <v>4</v>
      </c>
      <c r="J175" s="113">
        <v>4</v>
      </c>
      <c r="K175" s="113">
        <v>4</v>
      </c>
      <c r="L175" s="113">
        <v>4</v>
      </c>
      <c r="M175" s="113">
        <v>4</v>
      </c>
      <c r="N175" s="113">
        <v>4</v>
      </c>
      <c r="O175" s="113">
        <v>4</v>
      </c>
      <c r="P175" s="113">
        <v>4</v>
      </c>
      <c r="Q175" s="113">
        <v>4</v>
      </c>
      <c r="R175" s="113">
        <v>4</v>
      </c>
      <c r="S175" s="113">
        <v>4</v>
      </c>
      <c r="T175" s="113">
        <v>4</v>
      </c>
      <c r="U175" s="114">
        <v>4</v>
      </c>
      <c r="V175" s="113">
        <v>4</v>
      </c>
      <c r="W175" s="113">
        <v>4</v>
      </c>
      <c r="X175" s="113">
        <v>4</v>
      </c>
      <c r="Y175" s="113">
        <v>4</v>
      </c>
      <c r="Z175" s="113">
        <v>4</v>
      </c>
      <c r="AA175" s="113">
        <v>4</v>
      </c>
      <c r="AB175" s="113">
        <v>4</v>
      </c>
      <c r="AC175" s="113">
        <v>4</v>
      </c>
      <c r="AD175" s="113">
        <v>4</v>
      </c>
      <c r="AE175" s="113">
        <v>4</v>
      </c>
      <c r="AF175" s="113">
        <v>4</v>
      </c>
      <c r="AG175" s="113">
        <v>4</v>
      </c>
      <c r="AH175" s="113">
        <v>4</v>
      </c>
      <c r="AI175" s="113">
        <v>4</v>
      </c>
      <c r="AJ175" s="113">
        <v>4</v>
      </c>
      <c r="AK175" s="113">
        <v>4</v>
      </c>
      <c r="AL175" s="114">
        <v>4</v>
      </c>
      <c r="AM175" s="115"/>
      <c r="AN175" s="56">
        <f t="shared" si="12"/>
        <v>0</v>
      </c>
      <c r="AO175" s="56">
        <f t="shared" si="13"/>
        <v>0</v>
      </c>
      <c r="AP175" s="4"/>
    </row>
    <row r="176" spans="1:42" ht="17" thickBot="1">
      <c r="A176" s="116"/>
      <c r="B176" s="117" t="s">
        <v>9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114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114"/>
      <c r="AM176" s="115"/>
      <c r="AN176" s="56">
        <f t="shared" si="12"/>
        <v>0</v>
      </c>
      <c r="AO176" s="56">
        <f t="shared" si="13"/>
        <v>0</v>
      </c>
      <c r="AP176" s="4"/>
    </row>
    <row r="177" spans="1:42" ht="17" thickBot="1">
      <c r="A177" s="136" t="s">
        <v>102</v>
      </c>
      <c r="B177" s="112" t="s">
        <v>5</v>
      </c>
      <c r="C177" s="113"/>
      <c r="D177" s="113"/>
      <c r="E177" s="113">
        <v>0</v>
      </c>
      <c r="F177" s="113">
        <v>33</v>
      </c>
      <c r="G177" s="113">
        <v>333</v>
      </c>
      <c r="H177" s="113">
        <v>286</v>
      </c>
      <c r="I177" s="113">
        <v>652</v>
      </c>
      <c r="J177" s="113">
        <v>10</v>
      </c>
      <c r="K177" s="113">
        <v>3</v>
      </c>
      <c r="L177" s="113">
        <v>4</v>
      </c>
      <c r="M177" s="113">
        <v>4</v>
      </c>
      <c r="N177" s="113">
        <v>21</v>
      </c>
      <c r="O177" s="113">
        <v>4</v>
      </c>
      <c r="P177" s="113">
        <v>2</v>
      </c>
      <c r="Q177" s="113">
        <v>7</v>
      </c>
      <c r="R177" s="113">
        <v>5</v>
      </c>
      <c r="S177" s="113">
        <v>5</v>
      </c>
      <c r="T177" s="113">
        <v>23</v>
      </c>
      <c r="U177" s="114">
        <v>3285</v>
      </c>
      <c r="V177" s="113">
        <v>4</v>
      </c>
      <c r="W177" s="113">
        <v>1</v>
      </c>
      <c r="X177" s="113">
        <v>0</v>
      </c>
      <c r="Y177" s="113">
        <v>0</v>
      </c>
      <c r="Z177" s="113">
        <v>5</v>
      </c>
      <c r="AA177" s="113">
        <v>1</v>
      </c>
      <c r="AB177" s="113">
        <v>0</v>
      </c>
      <c r="AC177" s="113">
        <v>0</v>
      </c>
      <c r="AD177" s="113">
        <v>0</v>
      </c>
      <c r="AE177" s="113">
        <v>1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4">
        <v>6</v>
      </c>
      <c r="AM177" s="115">
        <v>256</v>
      </c>
      <c r="AN177" s="56">
        <f t="shared" si="12"/>
        <v>840960</v>
      </c>
      <c r="AO177" s="56">
        <f t="shared" si="13"/>
        <v>1536</v>
      </c>
      <c r="AP177" s="4" t="str">
        <f>VLOOKUP(A177,[1]Basic!$B:$F,5,0)</f>
        <v>D4 32GB</v>
      </c>
    </row>
    <row r="178" spans="1:42" ht="17" thickBot="1">
      <c r="A178" s="136"/>
      <c r="B178" s="112" t="s">
        <v>6</v>
      </c>
      <c r="C178" s="113"/>
      <c r="D178" s="113"/>
      <c r="E178" s="113">
        <v>0</v>
      </c>
      <c r="F178" s="113">
        <v>0</v>
      </c>
      <c r="G178" s="113">
        <v>0</v>
      </c>
      <c r="H178" s="113">
        <v>0</v>
      </c>
      <c r="I178" s="113">
        <v>0</v>
      </c>
      <c r="J178" s="113">
        <v>0</v>
      </c>
      <c r="K178" s="113">
        <v>0</v>
      </c>
      <c r="L178" s="113">
        <v>0</v>
      </c>
      <c r="M178" s="113">
        <v>0</v>
      </c>
      <c r="N178" s="113">
        <v>0</v>
      </c>
      <c r="O178" s="113">
        <v>0</v>
      </c>
      <c r="P178" s="113">
        <v>0</v>
      </c>
      <c r="Q178" s="113">
        <v>0</v>
      </c>
      <c r="R178" s="113">
        <v>0</v>
      </c>
      <c r="S178" s="113">
        <v>0</v>
      </c>
      <c r="T178" s="113">
        <v>0</v>
      </c>
      <c r="U178" s="114">
        <v>0</v>
      </c>
      <c r="V178" s="113">
        <v>0</v>
      </c>
      <c r="W178" s="113">
        <v>0</v>
      </c>
      <c r="X178" s="113">
        <v>0</v>
      </c>
      <c r="Y178" s="113">
        <v>0</v>
      </c>
      <c r="Z178" s="113">
        <v>0</v>
      </c>
      <c r="AA178" s="113">
        <v>0</v>
      </c>
      <c r="AB178" s="113">
        <v>0</v>
      </c>
      <c r="AC178" s="113">
        <v>0</v>
      </c>
      <c r="AD178" s="113">
        <v>0</v>
      </c>
      <c r="AE178" s="113">
        <v>0</v>
      </c>
      <c r="AF178" s="113">
        <v>0</v>
      </c>
      <c r="AG178" s="113">
        <v>0</v>
      </c>
      <c r="AH178" s="113">
        <v>0</v>
      </c>
      <c r="AI178" s="113">
        <v>0</v>
      </c>
      <c r="AJ178" s="113">
        <v>0</v>
      </c>
      <c r="AK178" s="113">
        <v>0</v>
      </c>
      <c r="AL178" s="114">
        <v>0</v>
      </c>
      <c r="AM178" s="115"/>
      <c r="AN178" s="56">
        <f t="shared" si="12"/>
        <v>0</v>
      </c>
      <c r="AO178" s="56">
        <f t="shared" si="13"/>
        <v>0</v>
      </c>
      <c r="AP178" s="4"/>
    </row>
    <row r="179" spans="1:42" ht="17" thickBot="1">
      <c r="A179" s="136"/>
      <c r="B179" s="112" t="s">
        <v>10</v>
      </c>
      <c r="C179" s="113">
        <v>0</v>
      </c>
      <c r="D179" s="113"/>
      <c r="E179" s="113">
        <v>0</v>
      </c>
      <c r="F179" s="113">
        <v>0</v>
      </c>
      <c r="G179" s="113">
        <v>0</v>
      </c>
      <c r="H179" s="113">
        <v>0</v>
      </c>
      <c r="I179" s="113">
        <v>0</v>
      </c>
      <c r="J179" s="113">
        <v>0</v>
      </c>
      <c r="K179" s="113">
        <v>0</v>
      </c>
      <c r="L179" s="113">
        <v>0</v>
      </c>
      <c r="M179" s="113">
        <v>0</v>
      </c>
      <c r="N179" s="113">
        <v>0</v>
      </c>
      <c r="O179" s="113">
        <v>0</v>
      </c>
      <c r="P179" s="113">
        <v>0</v>
      </c>
      <c r="Q179" s="113">
        <v>0</v>
      </c>
      <c r="R179" s="113">
        <v>0</v>
      </c>
      <c r="S179" s="113">
        <v>0</v>
      </c>
      <c r="T179" s="113">
        <v>0</v>
      </c>
      <c r="U179" s="114">
        <v>0</v>
      </c>
      <c r="V179" s="113">
        <v>0</v>
      </c>
      <c r="W179" s="113">
        <v>0</v>
      </c>
      <c r="X179" s="113">
        <v>0</v>
      </c>
      <c r="Y179" s="113">
        <v>0</v>
      </c>
      <c r="Z179" s="113">
        <v>0</v>
      </c>
      <c r="AA179" s="113">
        <v>0</v>
      </c>
      <c r="AB179" s="113">
        <v>0</v>
      </c>
      <c r="AC179" s="113">
        <v>0</v>
      </c>
      <c r="AD179" s="113">
        <v>0</v>
      </c>
      <c r="AE179" s="113">
        <v>0</v>
      </c>
      <c r="AF179" s="113">
        <v>0</v>
      </c>
      <c r="AG179" s="113">
        <v>0</v>
      </c>
      <c r="AH179" s="113">
        <v>0</v>
      </c>
      <c r="AI179" s="113">
        <v>0</v>
      </c>
      <c r="AJ179" s="113">
        <v>0</v>
      </c>
      <c r="AK179" s="113">
        <v>0</v>
      </c>
      <c r="AL179" s="114">
        <v>0</v>
      </c>
      <c r="AM179" s="115"/>
      <c r="AN179" s="56">
        <f t="shared" si="12"/>
        <v>0</v>
      </c>
      <c r="AO179" s="56">
        <f t="shared" si="13"/>
        <v>0</v>
      </c>
      <c r="AP179" s="4"/>
    </row>
    <row r="180" spans="1:42" ht="17" thickBot="1">
      <c r="A180" s="136"/>
      <c r="B180" s="112" t="s">
        <v>7</v>
      </c>
      <c r="C180" s="113"/>
      <c r="D180" s="113"/>
      <c r="E180" s="113">
        <v>0</v>
      </c>
      <c r="F180" s="113">
        <v>0</v>
      </c>
      <c r="G180" s="113">
        <v>0</v>
      </c>
      <c r="H180" s="113">
        <v>0</v>
      </c>
      <c r="I180" s="113">
        <v>0</v>
      </c>
      <c r="J180" s="113">
        <v>0</v>
      </c>
      <c r="K180" s="113">
        <v>0</v>
      </c>
      <c r="L180" s="113">
        <v>0</v>
      </c>
      <c r="M180" s="113">
        <v>0</v>
      </c>
      <c r="N180" s="113">
        <v>0</v>
      </c>
      <c r="O180" s="113">
        <v>0</v>
      </c>
      <c r="P180" s="113">
        <v>0</v>
      </c>
      <c r="Q180" s="113">
        <v>0</v>
      </c>
      <c r="R180" s="113">
        <v>0</v>
      </c>
      <c r="S180" s="113">
        <v>0</v>
      </c>
      <c r="T180" s="113">
        <v>0</v>
      </c>
      <c r="U180" s="114">
        <v>2589</v>
      </c>
      <c r="V180" s="113">
        <v>0</v>
      </c>
      <c r="W180" s="113">
        <v>0</v>
      </c>
      <c r="X180" s="113">
        <v>0</v>
      </c>
      <c r="Y180" s="113">
        <v>0</v>
      </c>
      <c r="Z180" s="113">
        <v>0</v>
      </c>
      <c r="AA180" s="113">
        <v>0</v>
      </c>
      <c r="AB180" s="113">
        <v>0</v>
      </c>
      <c r="AC180" s="113">
        <v>0</v>
      </c>
      <c r="AD180" s="113">
        <v>0</v>
      </c>
      <c r="AE180" s="113">
        <v>0</v>
      </c>
      <c r="AF180" s="113">
        <v>0</v>
      </c>
      <c r="AG180" s="113">
        <v>0</v>
      </c>
      <c r="AH180" s="113">
        <v>0</v>
      </c>
      <c r="AI180" s="113">
        <v>0</v>
      </c>
      <c r="AJ180" s="113">
        <v>0</v>
      </c>
      <c r="AK180" s="113">
        <v>0</v>
      </c>
      <c r="AL180" s="114">
        <v>0</v>
      </c>
      <c r="AM180" s="115"/>
      <c r="AN180" s="56">
        <f t="shared" si="12"/>
        <v>0</v>
      </c>
      <c r="AO180" s="56">
        <f t="shared" si="13"/>
        <v>0</v>
      </c>
      <c r="AP180" s="4"/>
    </row>
    <row r="181" spans="1:42" ht="17" thickBot="1">
      <c r="A181" s="136"/>
      <c r="B181" s="112" t="s">
        <v>8</v>
      </c>
      <c r="C181" s="113">
        <v>688</v>
      </c>
      <c r="D181" s="113">
        <v>2589</v>
      </c>
      <c r="E181" s="113">
        <v>0</v>
      </c>
      <c r="F181" s="113">
        <v>-33</v>
      </c>
      <c r="G181" s="113">
        <v>-366</v>
      </c>
      <c r="H181" s="113">
        <v>-652</v>
      </c>
      <c r="I181" s="113">
        <v>-652</v>
      </c>
      <c r="J181" s="113">
        <v>-662</v>
      </c>
      <c r="K181" s="113">
        <v>-665</v>
      </c>
      <c r="L181" s="113">
        <v>-669</v>
      </c>
      <c r="M181" s="113">
        <v>-673</v>
      </c>
      <c r="N181" s="113">
        <v>-673</v>
      </c>
      <c r="O181" s="113">
        <v>-677</v>
      </c>
      <c r="P181" s="113">
        <v>-679</v>
      </c>
      <c r="Q181" s="113">
        <v>-686</v>
      </c>
      <c r="R181" s="113">
        <v>-691</v>
      </c>
      <c r="S181" s="113">
        <v>-696</v>
      </c>
      <c r="T181" s="113">
        <v>-696</v>
      </c>
      <c r="U181" s="114">
        <v>-696</v>
      </c>
      <c r="V181" s="113">
        <v>-700</v>
      </c>
      <c r="W181" s="113">
        <v>-701</v>
      </c>
      <c r="X181" s="113">
        <v>-701</v>
      </c>
      <c r="Y181" s="113">
        <v>-701</v>
      </c>
      <c r="Z181" s="113">
        <v>-701</v>
      </c>
      <c r="AA181" s="113">
        <v>-702</v>
      </c>
      <c r="AB181" s="113">
        <v>-702</v>
      </c>
      <c r="AC181" s="113">
        <v>-702</v>
      </c>
      <c r="AD181" s="113">
        <v>-702</v>
      </c>
      <c r="AE181" s="113">
        <v>-702</v>
      </c>
      <c r="AF181" s="113">
        <v>-702</v>
      </c>
      <c r="AG181" s="113">
        <v>-702</v>
      </c>
      <c r="AH181" s="113">
        <v>-702</v>
      </c>
      <c r="AI181" s="113">
        <v>-702</v>
      </c>
      <c r="AJ181" s="113">
        <v>-702</v>
      </c>
      <c r="AK181" s="113">
        <v>-702</v>
      </c>
      <c r="AL181" s="114">
        <v>-702</v>
      </c>
      <c r="AM181" s="115"/>
      <c r="AN181" s="56">
        <f t="shared" si="12"/>
        <v>0</v>
      </c>
      <c r="AO181" s="56">
        <f t="shared" si="13"/>
        <v>0</v>
      </c>
      <c r="AP181" s="4"/>
    </row>
    <row r="182" spans="1:42" ht="17" thickBot="1">
      <c r="A182" s="116"/>
      <c r="B182" s="117" t="s">
        <v>9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114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114"/>
      <c r="AM182" s="115"/>
      <c r="AN182" s="56">
        <f t="shared" si="12"/>
        <v>0</v>
      </c>
      <c r="AO182" s="56">
        <f t="shared" si="13"/>
        <v>0</v>
      </c>
      <c r="AP182" s="4"/>
    </row>
    <row r="183" spans="1:42" ht="17" thickBot="1">
      <c r="A183" s="136" t="s">
        <v>103</v>
      </c>
      <c r="B183" s="112" t="s">
        <v>5</v>
      </c>
      <c r="C183" s="113"/>
      <c r="D183" s="113"/>
      <c r="E183" s="113">
        <v>0</v>
      </c>
      <c r="F183" s="113">
        <v>4710</v>
      </c>
      <c r="G183" s="113">
        <v>2940</v>
      </c>
      <c r="H183" s="113">
        <v>5891</v>
      </c>
      <c r="I183" s="113">
        <v>13541</v>
      </c>
      <c r="J183" s="113">
        <v>189</v>
      </c>
      <c r="K183" s="113">
        <v>218</v>
      </c>
      <c r="L183" s="113">
        <v>233</v>
      </c>
      <c r="M183" s="113">
        <v>237</v>
      </c>
      <c r="N183" s="113">
        <v>877</v>
      </c>
      <c r="O183" s="113">
        <v>269</v>
      </c>
      <c r="P183" s="113">
        <v>92</v>
      </c>
      <c r="Q183" s="113">
        <v>295</v>
      </c>
      <c r="R183" s="113">
        <v>213</v>
      </c>
      <c r="S183" s="113">
        <v>260</v>
      </c>
      <c r="T183" s="113">
        <v>1129</v>
      </c>
      <c r="U183" s="114">
        <v>16350</v>
      </c>
      <c r="V183" s="113">
        <v>138</v>
      </c>
      <c r="W183" s="113">
        <v>101</v>
      </c>
      <c r="X183" s="113">
        <v>89</v>
      </c>
      <c r="Y183" s="113">
        <v>89</v>
      </c>
      <c r="Z183" s="113">
        <v>417</v>
      </c>
      <c r="AA183" s="113">
        <v>108</v>
      </c>
      <c r="AB183" s="113">
        <v>40</v>
      </c>
      <c r="AC183" s="113">
        <v>46</v>
      </c>
      <c r="AD183" s="113">
        <v>46</v>
      </c>
      <c r="AE183" s="113">
        <v>240</v>
      </c>
      <c r="AF183" s="113">
        <v>46</v>
      </c>
      <c r="AG183" s="113">
        <v>34</v>
      </c>
      <c r="AH183" s="113">
        <v>20</v>
      </c>
      <c r="AI183" s="113">
        <v>20</v>
      </c>
      <c r="AJ183" s="113">
        <v>20</v>
      </c>
      <c r="AK183" s="113">
        <v>140</v>
      </c>
      <c r="AL183" s="114">
        <v>797</v>
      </c>
      <c r="AM183" s="115">
        <v>256</v>
      </c>
      <c r="AN183" s="56">
        <f t="shared" si="12"/>
        <v>4185600</v>
      </c>
      <c r="AO183" s="56">
        <f t="shared" si="13"/>
        <v>204032</v>
      </c>
      <c r="AP183" s="4" t="str">
        <f>VLOOKUP(A183,[1]Basic!$B:$F,5,0)</f>
        <v>D4 32GB</v>
      </c>
    </row>
    <row r="184" spans="1:42" ht="17" thickBot="1">
      <c r="A184" s="136"/>
      <c r="B184" s="112" t="s">
        <v>6</v>
      </c>
      <c r="C184" s="113"/>
      <c r="D184" s="113"/>
      <c r="E184" s="113">
        <v>0</v>
      </c>
      <c r="F184" s="113">
        <v>400</v>
      </c>
      <c r="G184" s="113">
        <v>0</v>
      </c>
      <c r="H184" s="113">
        <v>0</v>
      </c>
      <c r="I184" s="113">
        <v>400</v>
      </c>
      <c r="J184" s="113">
        <v>15000</v>
      </c>
      <c r="K184" s="113">
        <v>0</v>
      </c>
      <c r="L184" s="113">
        <v>0</v>
      </c>
      <c r="M184" s="113">
        <v>0</v>
      </c>
      <c r="N184" s="113">
        <v>15000</v>
      </c>
      <c r="O184" s="113">
        <v>9000</v>
      </c>
      <c r="P184" s="113">
        <v>0</v>
      </c>
      <c r="Q184" s="113">
        <v>0</v>
      </c>
      <c r="R184" s="113">
        <v>0</v>
      </c>
      <c r="S184" s="113">
        <v>7300</v>
      </c>
      <c r="T184" s="113">
        <v>16300</v>
      </c>
      <c r="U184" s="114">
        <v>31700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500</v>
      </c>
      <c r="AE184" s="113">
        <v>500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500</v>
      </c>
      <c r="AK184" s="113">
        <v>500</v>
      </c>
      <c r="AL184" s="114">
        <v>1000</v>
      </c>
      <c r="AM184" s="115"/>
      <c r="AN184" s="56">
        <f t="shared" si="12"/>
        <v>0</v>
      </c>
      <c r="AO184" s="56">
        <f t="shared" si="13"/>
        <v>0</v>
      </c>
      <c r="AP184" s="4"/>
    </row>
    <row r="185" spans="1:42" ht="17" thickBot="1">
      <c r="A185" s="136"/>
      <c r="B185" s="112" t="s">
        <v>10</v>
      </c>
      <c r="C185" s="113">
        <v>0</v>
      </c>
      <c r="D185" s="113"/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4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4">
        <v>0</v>
      </c>
      <c r="AM185" s="115"/>
      <c r="AN185" s="56">
        <f t="shared" si="12"/>
        <v>0</v>
      </c>
      <c r="AO185" s="56">
        <f t="shared" si="13"/>
        <v>0</v>
      </c>
      <c r="AP185" s="4"/>
    </row>
    <row r="186" spans="1:42" ht="17" thickBot="1">
      <c r="A186" s="136"/>
      <c r="B186" s="112" t="s">
        <v>7</v>
      </c>
      <c r="C186" s="113"/>
      <c r="D186" s="113"/>
      <c r="E186" s="113">
        <v>0</v>
      </c>
      <c r="F186" s="113">
        <v>400</v>
      </c>
      <c r="G186" s="113">
        <v>0</v>
      </c>
      <c r="H186" s="113">
        <v>0</v>
      </c>
      <c r="I186" s="113">
        <v>400</v>
      </c>
      <c r="J186" s="113">
        <v>15000</v>
      </c>
      <c r="K186" s="113">
        <v>0</v>
      </c>
      <c r="L186" s="113">
        <v>0</v>
      </c>
      <c r="M186" s="113">
        <v>0</v>
      </c>
      <c r="N186" s="113">
        <v>15000</v>
      </c>
      <c r="O186" s="113">
        <v>9000</v>
      </c>
      <c r="P186" s="113">
        <v>0</v>
      </c>
      <c r="Q186" s="113">
        <v>0</v>
      </c>
      <c r="R186" s="113">
        <v>0</v>
      </c>
      <c r="S186" s="113">
        <v>7300</v>
      </c>
      <c r="T186" s="113">
        <v>16300</v>
      </c>
      <c r="U186" s="114">
        <v>32503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500</v>
      </c>
      <c r="AE186" s="113">
        <v>500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500</v>
      </c>
      <c r="AK186" s="113">
        <v>500</v>
      </c>
      <c r="AL186" s="114">
        <v>1000</v>
      </c>
      <c r="AM186" s="115"/>
      <c r="AN186" s="56">
        <f t="shared" si="12"/>
        <v>0</v>
      </c>
      <c r="AO186" s="56">
        <f t="shared" si="13"/>
        <v>0</v>
      </c>
      <c r="AP186" s="4"/>
    </row>
    <row r="187" spans="1:42" ht="17" thickBot="1">
      <c r="A187" s="136"/>
      <c r="B187" s="112" t="s">
        <v>8</v>
      </c>
      <c r="C187" s="113">
        <v>1832</v>
      </c>
      <c r="D187" s="113">
        <v>803</v>
      </c>
      <c r="E187" s="113">
        <v>0</v>
      </c>
      <c r="F187" s="113">
        <v>-4310</v>
      </c>
      <c r="G187" s="113">
        <v>-7250</v>
      </c>
      <c r="H187" s="113">
        <v>-13141</v>
      </c>
      <c r="I187" s="113">
        <v>-13141</v>
      </c>
      <c r="J187" s="113">
        <v>1670</v>
      </c>
      <c r="K187" s="113">
        <v>1452</v>
      </c>
      <c r="L187" s="113">
        <v>1219</v>
      </c>
      <c r="M187" s="113">
        <v>982</v>
      </c>
      <c r="N187" s="113">
        <v>982</v>
      </c>
      <c r="O187" s="113">
        <v>9713</v>
      </c>
      <c r="P187" s="113">
        <v>9621</v>
      </c>
      <c r="Q187" s="113">
        <v>9326</v>
      </c>
      <c r="R187" s="113">
        <v>9113</v>
      </c>
      <c r="S187" s="113">
        <v>16153</v>
      </c>
      <c r="T187" s="113">
        <v>16153</v>
      </c>
      <c r="U187" s="114">
        <v>16153</v>
      </c>
      <c r="V187" s="113">
        <v>16015</v>
      </c>
      <c r="W187" s="113">
        <v>15914</v>
      </c>
      <c r="X187" s="113">
        <v>15825</v>
      </c>
      <c r="Y187" s="113">
        <v>15805</v>
      </c>
      <c r="Z187" s="113">
        <v>15736</v>
      </c>
      <c r="AA187" s="113">
        <v>15628</v>
      </c>
      <c r="AB187" s="113">
        <v>15588</v>
      </c>
      <c r="AC187" s="113">
        <v>15542</v>
      </c>
      <c r="AD187" s="113">
        <v>15996</v>
      </c>
      <c r="AE187" s="113">
        <v>15996</v>
      </c>
      <c r="AF187" s="113">
        <v>15950</v>
      </c>
      <c r="AG187" s="113">
        <v>15916</v>
      </c>
      <c r="AH187" s="113">
        <v>15896</v>
      </c>
      <c r="AI187" s="113">
        <v>15876</v>
      </c>
      <c r="AJ187" s="113">
        <v>16356</v>
      </c>
      <c r="AK187" s="113">
        <v>16356</v>
      </c>
      <c r="AL187" s="114">
        <v>16356</v>
      </c>
      <c r="AM187" s="115"/>
      <c r="AN187" s="56">
        <f t="shared" si="12"/>
        <v>0</v>
      </c>
      <c r="AO187" s="56">
        <f t="shared" si="13"/>
        <v>0</v>
      </c>
      <c r="AP187" s="4"/>
    </row>
    <row r="188" spans="1:42" ht="17" thickBot="1">
      <c r="A188" s="116"/>
      <c r="B188" s="117" t="s">
        <v>9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114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114"/>
      <c r="AM188" s="115"/>
      <c r="AN188" s="56">
        <f t="shared" si="12"/>
        <v>0</v>
      </c>
      <c r="AO188" s="56">
        <f t="shared" si="13"/>
        <v>0</v>
      </c>
      <c r="AP188" s="4"/>
    </row>
    <row r="189" spans="1:42" ht="17" thickBot="1">
      <c r="A189" s="141" t="s">
        <v>140</v>
      </c>
      <c r="B189" s="112" t="s">
        <v>5</v>
      </c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4"/>
      <c r="V189" s="113"/>
      <c r="W189" s="113"/>
      <c r="X189" s="113"/>
      <c r="Y189" s="113"/>
      <c r="Z189" s="113"/>
      <c r="AA189" s="113"/>
      <c r="AB189" s="113"/>
      <c r="AC189" s="113"/>
      <c r="AD189" s="113"/>
      <c r="AE189" s="113"/>
      <c r="AF189" s="113"/>
      <c r="AG189" s="113"/>
      <c r="AH189" s="113"/>
      <c r="AI189" s="113"/>
      <c r="AJ189" s="113"/>
      <c r="AK189" s="113"/>
      <c r="AL189" s="114"/>
      <c r="AM189" s="115">
        <v>32</v>
      </c>
      <c r="AN189" s="56">
        <f t="shared" si="12"/>
        <v>0</v>
      </c>
      <c r="AO189" s="56">
        <f t="shared" si="13"/>
        <v>0</v>
      </c>
      <c r="AP189" s="4" t="s">
        <v>132</v>
      </c>
    </row>
    <row r="190" spans="1:42" ht="17" thickBot="1">
      <c r="A190" s="141"/>
      <c r="B190" s="112" t="s">
        <v>6</v>
      </c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4"/>
      <c r="V190" s="113"/>
      <c r="W190" s="113"/>
      <c r="X190" s="113"/>
      <c r="Y190" s="113"/>
      <c r="Z190" s="113"/>
      <c r="AA190" s="113"/>
      <c r="AB190" s="113"/>
      <c r="AC190" s="113"/>
      <c r="AD190" s="113"/>
      <c r="AE190" s="113"/>
      <c r="AF190" s="113"/>
      <c r="AG190" s="113"/>
      <c r="AH190" s="113"/>
      <c r="AI190" s="113"/>
      <c r="AJ190" s="113"/>
      <c r="AK190" s="113"/>
      <c r="AL190" s="114"/>
      <c r="AM190" s="115"/>
      <c r="AN190" s="56">
        <f t="shared" si="12"/>
        <v>0</v>
      </c>
      <c r="AO190" s="56">
        <f t="shared" si="13"/>
        <v>0</v>
      </c>
      <c r="AP190" s="4"/>
    </row>
    <row r="191" spans="1:42" ht="17" thickBot="1">
      <c r="A191" s="141"/>
      <c r="B191" s="112" t="s">
        <v>10</v>
      </c>
      <c r="C191" s="113">
        <v>0</v>
      </c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4"/>
      <c r="V191" s="113"/>
      <c r="W191" s="113"/>
      <c r="X191" s="113"/>
      <c r="Y191" s="113"/>
      <c r="Z191" s="113"/>
      <c r="AA191" s="113"/>
      <c r="AB191" s="113"/>
      <c r="AC191" s="113"/>
      <c r="AD191" s="113"/>
      <c r="AE191" s="113"/>
      <c r="AF191" s="113"/>
      <c r="AG191" s="113"/>
      <c r="AH191" s="113"/>
      <c r="AI191" s="113"/>
      <c r="AJ191" s="113"/>
      <c r="AK191" s="113"/>
      <c r="AL191" s="114"/>
      <c r="AM191" s="115"/>
      <c r="AN191" s="56">
        <f t="shared" si="12"/>
        <v>0</v>
      </c>
      <c r="AO191" s="56">
        <f t="shared" si="13"/>
        <v>0</v>
      </c>
      <c r="AP191" s="4"/>
    </row>
    <row r="192" spans="1:42" ht="17" thickBot="1">
      <c r="A192" s="141"/>
      <c r="B192" s="112" t="s">
        <v>7</v>
      </c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4"/>
      <c r="V192" s="113"/>
      <c r="W192" s="113"/>
      <c r="X192" s="113"/>
      <c r="Y192" s="113"/>
      <c r="Z192" s="113"/>
      <c r="AA192" s="113"/>
      <c r="AB192" s="113"/>
      <c r="AC192" s="113"/>
      <c r="AD192" s="113"/>
      <c r="AE192" s="113"/>
      <c r="AF192" s="113"/>
      <c r="AG192" s="113"/>
      <c r="AH192" s="113"/>
      <c r="AI192" s="113"/>
      <c r="AJ192" s="113"/>
      <c r="AK192" s="113"/>
      <c r="AL192" s="114"/>
      <c r="AM192" s="115"/>
      <c r="AN192" s="56">
        <f t="shared" si="12"/>
        <v>0</v>
      </c>
      <c r="AO192" s="56">
        <f t="shared" si="13"/>
        <v>0</v>
      </c>
      <c r="AP192" s="4"/>
    </row>
    <row r="193" spans="1:42" ht="17" thickBot="1">
      <c r="A193" s="141"/>
      <c r="B193" s="112" t="s">
        <v>8</v>
      </c>
      <c r="C193" s="113">
        <v>0</v>
      </c>
      <c r="D193" s="113">
        <v>0</v>
      </c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4"/>
      <c r="V193" s="113"/>
      <c r="W193" s="113"/>
      <c r="X193" s="113"/>
      <c r="Y193" s="113"/>
      <c r="Z193" s="113"/>
      <c r="AA193" s="113"/>
      <c r="AB193" s="113"/>
      <c r="AC193" s="113"/>
      <c r="AD193" s="113"/>
      <c r="AE193" s="113"/>
      <c r="AF193" s="113"/>
      <c r="AG193" s="113"/>
      <c r="AH193" s="113"/>
      <c r="AI193" s="113"/>
      <c r="AJ193" s="113"/>
      <c r="AK193" s="113"/>
      <c r="AL193" s="114"/>
      <c r="AM193" s="115"/>
      <c r="AN193" s="56">
        <f t="shared" si="12"/>
        <v>0</v>
      </c>
      <c r="AO193" s="56">
        <f t="shared" si="13"/>
        <v>0</v>
      </c>
      <c r="AP193" s="4"/>
    </row>
    <row r="194" spans="1:42" ht="17" thickBot="1">
      <c r="A194" s="116"/>
      <c r="B194" s="117" t="s">
        <v>9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114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114"/>
      <c r="AM194" s="115"/>
      <c r="AN194" s="56">
        <f t="shared" si="12"/>
        <v>0</v>
      </c>
      <c r="AO194" s="56">
        <f t="shared" si="13"/>
        <v>0</v>
      </c>
      <c r="AP194" s="4"/>
    </row>
    <row r="195" spans="1:42" ht="17" thickBot="1">
      <c r="A195" s="141" t="s">
        <v>141</v>
      </c>
      <c r="B195" s="112" t="s">
        <v>5</v>
      </c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4"/>
      <c r="V195" s="113"/>
      <c r="W195" s="113"/>
      <c r="X195" s="113"/>
      <c r="Y195" s="113"/>
      <c r="Z195" s="113"/>
      <c r="AA195" s="113"/>
      <c r="AB195" s="113"/>
      <c r="AC195" s="113"/>
      <c r="AD195" s="113"/>
      <c r="AE195" s="113"/>
      <c r="AF195" s="113"/>
      <c r="AG195" s="113"/>
      <c r="AH195" s="113"/>
      <c r="AI195" s="113"/>
      <c r="AJ195" s="113"/>
      <c r="AK195" s="113"/>
      <c r="AL195" s="114"/>
      <c r="AM195" s="115">
        <v>32</v>
      </c>
      <c r="AN195" s="56">
        <f t="shared" si="12"/>
        <v>0</v>
      </c>
      <c r="AO195" s="56">
        <f t="shared" si="13"/>
        <v>0</v>
      </c>
      <c r="AP195" s="4" t="s">
        <v>132</v>
      </c>
    </row>
    <row r="196" spans="1:42" ht="17" thickBot="1">
      <c r="A196" s="141"/>
      <c r="B196" s="112" t="s">
        <v>6</v>
      </c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4"/>
      <c r="V196" s="113"/>
      <c r="W196" s="113"/>
      <c r="X196" s="113"/>
      <c r="Y196" s="113"/>
      <c r="Z196" s="113"/>
      <c r="AA196" s="113"/>
      <c r="AB196" s="113"/>
      <c r="AC196" s="113"/>
      <c r="AD196" s="113"/>
      <c r="AE196" s="113"/>
      <c r="AF196" s="113"/>
      <c r="AG196" s="113"/>
      <c r="AH196" s="113"/>
      <c r="AI196" s="113"/>
      <c r="AJ196" s="113"/>
      <c r="AK196" s="113"/>
      <c r="AL196" s="114"/>
      <c r="AM196" s="115"/>
      <c r="AN196" s="56">
        <f t="shared" si="12"/>
        <v>0</v>
      </c>
      <c r="AO196" s="56">
        <f t="shared" si="13"/>
        <v>0</v>
      </c>
      <c r="AP196" s="4"/>
    </row>
    <row r="197" spans="1:42" ht="17" thickBot="1">
      <c r="A197" s="141"/>
      <c r="B197" s="112" t="s">
        <v>10</v>
      </c>
      <c r="C197" s="113">
        <v>0</v>
      </c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4"/>
      <c r="V197" s="113"/>
      <c r="W197" s="113"/>
      <c r="X197" s="113"/>
      <c r="Y197" s="113"/>
      <c r="Z197" s="113"/>
      <c r="AA197" s="113"/>
      <c r="AB197" s="113"/>
      <c r="AC197" s="113"/>
      <c r="AD197" s="113"/>
      <c r="AE197" s="113"/>
      <c r="AF197" s="113"/>
      <c r="AG197" s="113"/>
      <c r="AH197" s="113"/>
      <c r="AI197" s="113"/>
      <c r="AJ197" s="113"/>
      <c r="AK197" s="113"/>
      <c r="AL197" s="114"/>
      <c r="AM197" s="115"/>
      <c r="AN197" s="56">
        <f t="shared" si="12"/>
        <v>0</v>
      </c>
      <c r="AO197" s="56">
        <f t="shared" si="13"/>
        <v>0</v>
      </c>
      <c r="AP197" s="4"/>
    </row>
    <row r="198" spans="1:42" ht="17" thickBot="1">
      <c r="A198" s="141"/>
      <c r="B198" s="112" t="s">
        <v>7</v>
      </c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4"/>
      <c r="V198" s="113"/>
      <c r="W198" s="113"/>
      <c r="X198" s="113"/>
      <c r="Y198" s="113"/>
      <c r="Z198" s="113"/>
      <c r="AA198" s="113"/>
      <c r="AB198" s="113"/>
      <c r="AC198" s="113"/>
      <c r="AD198" s="113"/>
      <c r="AE198" s="113"/>
      <c r="AF198" s="113"/>
      <c r="AG198" s="113"/>
      <c r="AH198" s="113"/>
      <c r="AI198" s="113"/>
      <c r="AJ198" s="113"/>
      <c r="AK198" s="113"/>
      <c r="AL198" s="114"/>
      <c r="AM198" s="115"/>
      <c r="AN198" s="56">
        <f t="shared" si="12"/>
        <v>0</v>
      </c>
      <c r="AO198" s="56">
        <f t="shared" si="13"/>
        <v>0</v>
      </c>
      <c r="AP198" s="4"/>
    </row>
    <row r="199" spans="1:42" ht="17" thickBot="1">
      <c r="A199" s="141"/>
      <c r="B199" s="112" t="s">
        <v>8</v>
      </c>
      <c r="C199" s="113">
        <v>0</v>
      </c>
      <c r="D199" s="113">
        <v>0</v>
      </c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4"/>
      <c r="V199" s="113"/>
      <c r="W199" s="113"/>
      <c r="X199" s="113"/>
      <c r="Y199" s="113"/>
      <c r="Z199" s="113"/>
      <c r="AA199" s="113"/>
      <c r="AB199" s="113"/>
      <c r="AC199" s="113"/>
      <c r="AD199" s="113"/>
      <c r="AE199" s="113"/>
      <c r="AF199" s="113"/>
      <c r="AG199" s="113"/>
      <c r="AH199" s="113"/>
      <c r="AI199" s="113"/>
      <c r="AJ199" s="113"/>
      <c r="AK199" s="113"/>
      <c r="AL199" s="114"/>
      <c r="AM199" s="115"/>
      <c r="AN199" s="56">
        <f t="shared" si="12"/>
        <v>0</v>
      </c>
      <c r="AO199" s="56">
        <f t="shared" si="13"/>
        <v>0</v>
      </c>
      <c r="AP199" s="4"/>
    </row>
    <row r="200" spans="1:42" ht="17" thickBot="1">
      <c r="A200" s="116"/>
      <c r="B200" s="117" t="s">
        <v>9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114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114"/>
      <c r="AM200" s="115"/>
      <c r="AN200" s="56">
        <f t="shared" si="12"/>
        <v>0</v>
      </c>
      <c r="AO200" s="56">
        <f t="shared" si="13"/>
        <v>0</v>
      </c>
      <c r="AP200" s="4"/>
    </row>
    <row r="201" spans="1:42" ht="17" thickBot="1">
      <c r="A201" s="136" t="s">
        <v>104</v>
      </c>
      <c r="B201" s="112" t="s">
        <v>5</v>
      </c>
      <c r="C201" s="113"/>
      <c r="D201" s="113"/>
      <c r="E201" s="113">
        <v>0</v>
      </c>
      <c r="F201" s="113">
        <v>-131</v>
      </c>
      <c r="G201" s="113">
        <v>0</v>
      </c>
      <c r="H201" s="113">
        <v>0</v>
      </c>
      <c r="I201" s="113">
        <v>-131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4">
        <v>-1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4">
        <v>0</v>
      </c>
      <c r="AM201" s="115">
        <v>32</v>
      </c>
      <c r="AN201" s="56">
        <f t="shared" si="12"/>
        <v>-32</v>
      </c>
      <c r="AO201" s="56">
        <f t="shared" si="13"/>
        <v>0</v>
      </c>
      <c r="AP201" s="4" t="s">
        <v>132</v>
      </c>
    </row>
    <row r="202" spans="1:42" ht="17" thickBot="1">
      <c r="A202" s="136"/>
      <c r="B202" s="112" t="s">
        <v>6</v>
      </c>
      <c r="C202" s="113"/>
      <c r="D202" s="113"/>
      <c r="E202" s="113">
        <v>0</v>
      </c>
      <c r="F202" s="113">
        <v>0</v>
      </c>
      <c r="G202" s="113">
        <v>0</v>
      </c>
      <c r="H202" s="113">
        <v>0</v>
      </c>
      <c r="I202" s="113">
        <v>0</v>
      </c>
      <c r="J202" s="113">
        <v>0</v>
      </c>
      <c r="K202" s="113">
        <v>0</v>
      </c>
      <c r="L202" s="113">
        <v>0</v>
      </c>
      <c r="M202" s="113">
        <v>0</v>
      </c>
      <c r="N202" s="113">
        <v>0</v>
      </c>
      <c r="O202" s="113">
        <v>0</v>
      </c>
      <c r="P202" s="113">
        <v>0</v>
      </c>
      <c r="Q202" s="113">
        <v>0</v>
      </c>
      <c r="R202" s="113">
        <v>0</v>
      </c>
      <c r="S202" s="113">
        <v>0</v>
      </c>
      <c r="T202" s="113">
        <v>0</v>
      </c>
      <c r="U202" s="114">
        <v>0</v>
      </c>
      <c r="V202" s="113">
        <v>0</v>
      </c>
      <c r="W202" s="113">
        <v>0</v>
      </c>
      <c r="X202" s="113">
        <v>0</v>
      </c>
      <c r="Y202" s="113">
        <v>0</v>
      </c>
      <c r="Z202" s="113">
        <v>0</v>
      </c>
      <c r="AA202" s="113">
        <v>0</v>
      </c>
      <c r="AB202" s="113">
        <v>0</v>
      </c>
      <c r="AC202" s="113">
        <v>0</v>
      </c>
      <c r="AD202" s="113">
        <v>0</v>
      </c>
      <c r="AE202" s="113">
        <v>0</v>
      </c>
      <c r="AF202" s="113">
        <v>0</v>
      </c>
      <c r="AG202" s="113">
        <v>0</v>
      </c>
      <c r="AH202" s="113">
        <v>0</v>
      </c>
      <c r="AI202" s="113">
        <v>0</v>
      </c>
      <c r="AJ202" s="113">
        <v>0</v>
      </c>
      <c r="AK202" s="113">
        <v>0</v>
      </c>
      <c r="AL202" s="114">
        <v>0</v>
      </c>
      <c r="AM202" s="115"/>
      <c r="AN202" s="56">
        <f t="shared" si="12"/>
        <v>0</v>
      </c>
      <c r="AO202" s="56">
        <f t="shared" si="13"/>
        <v>0</v>
      </c>
      <c r="AP202" s="4"/>
    </row>
    <row r="203" spans="1:42" ht="17" thickBot="1">
      <c r="A203" s="136"/>
      <c r="B203" s="112" t="s">
        <v>10</v>
      </c>
      <c r="C203" s="113">
        <v>0</v>
      </c>
      <c r="D203" s="113"/>
      <c r="E203" s="113">
        <v>0</v>
      </c>
      <c r="F203" s="113">
        <v>0</v>
      </c>
      <c r="G203" s="113">
        <v>0</v>
      </c>
      <c r="H203" s="113">
        <v>0</v>
      </c>
      <c r="I203" s="113">
        <v>0</v>
      </c>
      <c r="J203" s="113">
        <v>0</v>
      </c>
      <c r="K203" s="113">
        <v>0</v>
      </c>
      <c r="L203" s="113">
        <v>0</v>
      </c>
      <c r="M203" s="113">
        <v>0</v>
      </c>
      <c r="N203" s="113">
        <v>0</v>
      </c>
      <c r="O203" s="113">
        <v>0</v>
      </c>
      <c r="P203" s="113">
        <v>0</v>
      </c>
      <c r="Q203" s="113">
        <v>0</v>
      </c>
      <c r="R203" s="113">
        <v>0</v>
      </c>
      <c r="S203" s="113">
        <v>0</v>
      </c>
      <c r="T203" s="113">
        <v>0</v>
      </c>
      <c r="U203" s="114">
        <v>0</v>
      </c>
      <c r="V203" s="113">
        <v>0</v>
      </c>
      <c r="W203" s="113">
        <v>0</v>
      </c>
      <c r="X203" s="113">
        <v>0</v>
      </c>
      <c r="Y203" s="113">
        <v>0</v>
      </c>
      <c r="Z203" s="113">
        <v>0</v>
      </c>
      <c r="AA203" s="113">
        <v>0</v>
      </c>
      <c r="AB203" s="113">
        <v>0</v>
      </c>
      <c r="AC203" s="113">
        <v>0</v>
      </c>
      <c r="AD203" s="113">
        <v>0</v>
      </c>
      <c r="AE203" s="113">
        <v>0</v>
      </c>
      <c r="AF203" s="113">
        <v>0</v>
      </c>
      <c r="AG203" s="113">
        <v>0</v>
      </c>
      <c r="AH203" s="113">
        <v>0</v>
      </c>
      <c r="AI203" s="113">
        <v>0</v>
      </c>
      <c r="AJ203" s="113">
        <v>0</v>
      </c>
      <c r="AK203" s="113">
        <v>0</v>
      </c>
      <c r="AL203" s="114">
        <v>0</v>
      </c>
      <c r="AM203" s="115"/>
      <c r="AN203" s="56">
        <f t="shared" si="12"/>
        <v>0</v>
      </c>
      <c r="AO203" s="56">
        <f t="shared" si="13"/>
        <v>0</v>
      </c>
      <c r="AP203" s="4"/>
    </row>
    <row r="204" spans="1:42" ht="17" thickBot="1">
      <c r="A204" s="136"/>
      <c r="B204" s="112" t="s">
        <v>7</v>
      </c>
      <c r="C204" s="113"/>
      <c r="D204" s="113"/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4">
        <v>130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4">
        <v>0</v>
      </c>
      <c r="AM204" s="115"/>
      <c r="AN204" s="56">
        <f t="shared" si="12"/>
        <v>0</v>
      </c>
      <c r="AO204" s="56">
        <f t="shared" si="13"/>
        <v>0</v>
      </c>
      <c r="AP204" s="4"/>
    </row>
    <row r="205" spans="1:42" ht="17" thickBot="1">
      <c r="A205" s="136"/>
      <c r="B205" s="112" t="s">
        <v>8</v>
      </c>
      <c r="C205" s="113">
        <v>132</v>
      </c>
      <c r="D205" s="113">
        <v>130</v>
      </c>
      <c r="E205" s="113">
        <v>0</v>
      </c>
      <c r="F205" s="113">
        <v>131</v>
      </c>
      <c r="G205" s="113">
        <v>131</v>
      </c>
      <c r="H205" s="113">
        <v>131</v>
      </c>
      <c r="I205" s="113">
        <v>131</v>
      </c>
      <c r="J205" s="113">
        <v>131</v>
      </c>
      <c r="K205" s="113">
        <v>131</v>
      </c>
      <c r="L205" s="113">
        <v>131</v>
      </c>
      <c r="M205" s="113">
        <v>131</v>
      </c>
      <c r="N205" s="113">
        <v>131</v>
      </c>
      <c r="O205" s="113">
        <v>131</v>
      </c>
      <c r="P205" s="113">
        <v>131</v>
      </c>
      <c r="Q205" s="113">
        <v>131</v>
      </c>
      <c r="R205" s="113">
        <v>131</v>
      </c>
      <c r="S205" s="113">
        <v>131</v>
      </c>
      <c r="T205" s="113">
        <v>131</v>
      </c>
      <c r="U205" s="114">
        <v>131</v>
      </c>
      <c r="V205" s="113">
        <v>131</v>
      </c>
      <c r="W205" s="113">
        <v>131</v>
      </c>
      <c r="X205" s="113">
        <v>131</v>
      </c>
      <c r="Y205" s="113">
        <v>131</v>
      </c>
      <c r="Z205" s="113">
        <v>131</v>
      </c>
      <c r="AA205" s="113">
        <v>131</v>
      </c>
      <c r="AB205" s="113">
        <v>131</v>
      </c>
      <c r="AC205" s="113">
        <v>131</v>
      </c>
      <c r="AD205" s="113">
        <v>131</v>
      </c>
      <c r="AE205" s="113">
        <v>131</v>
      </c>
      <c r="AF205" s="113">
        <v>131</v>
      </c>
      <c r="AG205" s="113">
        <v>131</v>
      </c>
      <c r="AH205" s="113">
        <v>131</v>
      </c>
      <c r="AI205" s="113">
        <v>131</v>
      </c>
      <c r="AJ205" s="113">
        <v>131</v>
      </c>
      <c r="AK205" s="113">
        <v>131</v>
      </c>
      <c r="AL205" s="114">
        <v>131</v>
      </c>
      <c r="AM205" s="115"/>
      <c r="AN205" s="56">
        <f t="shared" si="12"/>
        <v>0</v>
      </c>
      <c r="AO205" s="56">
        <f t="shared" si="13"/>
        <v>0</v>
      </c>
      <c r="AP205" s="4"/>
    </row>
    <row r="206" spans="1:42" ht="17" thickBot="1">
      <c r="A206" s="116"/>
      <c r="B206" s="117" t="s">
        <v>9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114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114"/>
      <c r="AM206" s="115"/>
      <c r="AN206" s="56">
        <f t="shared" si="12"/>
        <v>0</v>
      </c>
      <c r="AO206" s="56">
        <f t="shared" si="13"/>
        <v>0</v>
      </c>
      <c r="AP206" s="4"/>
    </row>
    <row r="207" spans="1:42" ht="17" thickBot="1">
      <c r="A207" s="136" t="s">
        <v>105</v>
      </c>
      <c r="B207" s="112" t="s">
        <v>5</v>
      </c>
      <c r="C207" s="113"/>
      <c r="D207" s="113"/>
      <c r="E207" s="113">
        <v>0</v>
      </c>
      <c r="F207" s="113">
        <v>-36637</v>
      </c>
      <c r="G207" s="113">
        <v>7839</v>
      </c>
      <c r="H207" s="113">
        <v>11159</v>
      </c>
      <c r="I207" s="113">
        <v>-17639</v>
      </c>
      <c r="J207" s="113">
        <v>11942</v>
      </c>
      <c r="K207" s="113">
        <v>22869</v>
      </c>
      <c r="L207" s="113">
        <v>11984</v>
      </c>
      <c r="M207" s="113">
        <v>11671</v>
      </c>
      <c r="N207" s="113">
        <v>58466</v>
      </c>
      <c r="O207" s="113">
        <v>12207</v>
      </c>
      <c r="P207" s="113">
        <v>10347</v>
      </c>
      <c r="Q207" s="113">
        <v>15833</v>
      </c>
      <c r="R207" s="113">
        <v>15991</v>
      </c>
      <c r="S207" s="113">
        <v>14714</v>
      </c>
      <c r="T207" s="113">
        <v>69092</v>
      </c>
      <c r="U207" s="114">
        <v>186211</v>
      </c>
      <c r="V207" s="113">
        <v>3799</v>
      </c>
      <c r="W207" s="113">
        <v>5132</v>
      </c>
      <c r="X207" s="113">
        <v>7362</v>
      </c>
      <c r="Y207" s="113">
        <v>9458</v>
      </c>
      <c r="Z207" s="113">
        <v>25751</v>
      </c>
      <c r="AA207" s="113">
        <v>9239</v>
      </c>
      <c r="AB207" s="113">
        <v>22540</v>
      </c>
      <c r="AC207" s="113">
        <v>9614</v>
      </c>
      <c r="AD207" s="113">
        <v>10427</v>
      </c>
      <c r="AE207" s="113">
        <v>51820</v>
      </c>
      <c r="AF207" s="113">
        <v>8693</v>
      </c>
      <c r="AG207" s="113">
        <v>10803</v>
      </c>
      <c r="AH207" s="113">
        <v>10987</v>
      </c>
      <c r="AI207" s="113">
        <v>10951</v>
      </c>
      <c r="AJ207" s="113">
        <v>19815</v>
      </c>
      <c r="AK207" s="113">
        <v>61249</v>
      </c>
      <c r="AL207" s="114">
        <v>138820</v>
      </c>
      <c r="AM207" s="115">
        <v>32</v>
      </c>
      <c r="AN207" s="56">
        <f t="shared" si="12"/>
        <v>5958752</v>
      </c>
      <c r="AO207" s="56">
        <f t="shared" si="13"/>
        <v>4442240</v>
      </c>
      <c r="AP207" s="4" t="str">
        <f>VLOOKUP(A207,[1]Basic!$B:$F,5,0)</f>
        <v>D4 4GB</v>
      </c>
    </row>
    <row r="208" spans="1:42" ht="17" thickBot="1">
      <c r="A208" s="136"/>
      <c r="B208" s="112" t="s">
        <v>6</v>
      </c>
      <c r="C208" s="113"/>
      <c r="D208" s="113"/>
      <c r="E208" s="113">
        <v>0</v>
      </c>
      <c r="F208" s="113">
        <v>0</v>
      </c>
      <c r="G208" s="113">
        <v>53750</v>
      </c>
      <c r="H208" s="113">
        <v>0</v>
      </c>
      <c r="I208" s="113">
        <v>53750</v>
      </c>
      <c r="J208" s="113">
        <v>3000</v>
      </c>
      <c r="K208" s="113">
        <v>0</v>
      </c>
      <c r="L208" s="113">
        <v>0</v>
      </c>
      <c r="M208" s="113">
        <v>0</v>
      </c>
      <c r="N208" s="113">
        <v>3000</v>
      </c>
      <c r="O208" s="113">
        <v>0</v>
      </c>
      <c r="P208" s="113">
        <v>0</v>
      </c>
      <c r="Q208" s="113">
        <v>10000</v>
      </c>
      <c r="R208" s="113">
        <v>0</v>
      </c>
      <c r="S208" s="113">
        <v>95000</v>
      </c>
      <c r="T208" s="113">
        <v>105000</v>
      </c>
      <c r="U208" s="114">
        <v>161750</v>
      </c>
      <c r="V208" s="113">
        <v>0</v>
      </c>
      <c r="W208" s="113">
        <v>0</v>
      </c>
      <c r="X208" s="113">
        <v>0</v>
      </c>
      <c r="Y208" s="113">
        <v>0</v>
      </c>
      <c r="Z208" s="113">
        <v>0</v>
      </c>
      <c r="AA208" s="113">
        <v>12000</v>
      </c>
      <c r="AB208" s="113">
        <v>0</v>
      </c>
      <c r="AC208" s="113">
        <v>0</v>
      </c>
      <c r="AD208" s="113">
        <v>10000</v>
      </c>
      <c r="AE208" s="113">
        <v>22000</v>
      </c>
      <c r="AF208" s="113">
        <v>0</v>
      </c>
      <c r="AG208" s="113">
        <v>0</v>
      </c>
      <c r="AH208" s="113">
        <v>0</v>
      </c>
      <c r="AI208" s="113">
        <v>0</v>
      </c>
      <c r="AJ208" s="113">
        <v>70000</v>
      </c>
      <c r="AK208" s="113">
        <v>70000</v>
      </c>
      <c r="AL208" s="114">
        <v>92000</v>
      </c>
      <c r="AM208" s="115"/>
      <c r="AN208" s="56">
        <f t="shared" si="12"/>
        <v>0</v>
      </c>
      <c r="AO208" s="56">
        <f t="shared" si="13"/>
        <v>0</v>
      </c>
      <c r="AP208" s="4"/>
    </row>
    <row r="209" spans="1:42" ht="17" thickBot="1">
      <c r="A209" s="136"/>
      <c r="B209" s="112" t="s">
        <v>10</v>
      </c>
      <c r="C209" s="113">
        <v>27250</v>
      </c>
      <c r="D209" s="113"/>
      <c r="E209" s="113">
        <v>0</v>
      </c>
      <c r="F209" s="113">
        <v>27250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4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4">
        <v>0</v>
      </c>
      <c r="AM209" s="115"/>
      <c r="AN209" s="56">
        <f t="shared" si="12"/>
        <v>0</v>
      </c>
      <c r="AO209" s="56">
        <f t="shared" si="13"/>
        <v>0</v>
      </c>
      <c r="AP209" s="4"/>
    </row>
    <row r="210" spans="1:42" ht="17" thickBot="1">
      <c r="A210" s="136"/>
      <c r="B210" s="112" t="s">
        <v>7</v>
      </c>
      <c r="C210" s="113"/>
      <c r="D210" s="113"/>
      <c r="E210" s="113">
        <v>0</v>
      </c>
      <c r="F210" s="113">
        <v>27250</v>
      </c>
      <c r="G210" s="113">
        <v>53750</v>
      </c>
      <c r="H210" s="113">
        <v>0</v>
      </c>
      <c r="I210" s="113">
        <v>81000</v>
      </c>
      <c r="J210" s="113">
        <v>3000</v>
      </c>
      <c r="K210" s="113">
        <v>0</v>
      </c>
      <c r="L210" s="113">
        <v>0</v>
      </c>
      <c r="M210" s="113">
        <v>0</v>
      </c>
      <c r="N210" s="113">
        <v>3000</v>
      </c>
      <c r="O210" s="113">
        <v>0</v>
      </c>
      <c r="P210" s="113">
        <v>0</v>
      </c>
      <c r="Q210" s="113">
        <v>10000</v>
      </c>
      <c r="R210" s="113">
        <v>0</v>
      </c>
      <c r="S210" s="113">
        <v>95000</v>
      </c>
      <c r="T210" s="113">
        <v>105000</v>
      </c>
      <c r="U210" s="114">
        <v>265292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12000</v>
      </c>
      <c r="AB210" s="113">
        <v>0</v>
      </c>
      <c r="AC210" s="113">
        <v>0</v>
      </c>
      <c r="AD210" s="113">
        <v>10000</v>
      </c>
      <c r="AE210" s="113">
        <v>22000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70000</v>
      </c>
      <c r="AK210" s="113">
        <v>70000</v>
      </c>
      <c r="AL210" s="114">
        <v>92000</v>
      </c>
      <c r="AM210" s="115"/>
      <c r="AN210" s="56">
        <f t="shared" si="12"/>
        <v>0</v>
      </c>
      <c r="AO210" s="56">
        <f t="shared" si="13"/>
        <v>0</v>
      </c>
      <c r="AP210" s="4"/>
    </row>
    <row r="211" spans="1:42" ht="17" thickBot="1">
      <c r="A211" s="136"/>
      <c r="B211" s="112" t="s">
        <v>8</v>
      </c>
      <c r="C211" s="113">
        <v>99089</v>
      </c>
      <c r="D211" s="113">
        <v>76292</v>
      </c>
      <c r="E211" s="113">
        <v>0</v>
      </c>
      <c r="F211" s="113">
        <v>63887</v>
      </c>
      <c r="G211" s="113">
        <v>109798</v>
      </c>
      <c r="H211" s="113">
        <v>98639</v>
      </c>
      <c r="I211" s="113">
        <v>98639</v>
      </c>
      <c r="J211" s="113">
        <v>89697</v>
      </c>
      <c r="K211" s="113">
        <v>66828</v>
      </c>
      <c r="L211" s="113">
        <v>54844</v>
      </c>
      <c r="M211" s="113">
        <v>43173</v>
      </c>
      <c r="N211" s="113">
        <v>43173</v>
      </c>
      <c r="O211" s="113">
        <v>30966</v>
      </c>
      <c r="P211" s="113">
        <v>20619</v>
      </c>
      <c r="Q211" s="113">
        <v>14786</v>
      </c>
      <c r="R211" s="113">
        <v>-1205</v>
      </c>
      <c r="S211" s="113">
        <v>79081</v>
      </c>
      <c r="T211" s="113">
        <v>79081</v>
      </c>
      <c r="U211" s="114">
        <v>79081</v>
      </c>
      <c r="V211" s="113">
        <v>75282</v>
      </c>
      <c r="W211" s="113">
        <v>70150</v>
      </c>
      <c r="X211" s="113">
        <v>62788</v>
      </c>
      <c r="Y211" s="113">
        <v>55596</v>
      </c>
      <c r="Z211" s="113">
        <v>53330</v>
      </c>
      <c r="AA211" s="113">
        <v>56091</v>
      </c>
      <c r="AB211" s="113">
        <v>33551</v>
      </c>
      <c r="AC211" s="113">
        <v>23937</v>
      </c>
      <c r="AD211" s="113">
        <v>23510</v>
      </c>
      <c r="AE211" s="113">
        <v>23510</v>
      </c>
      <c r="AF211" s="113">
        <v>14817</v>
      </c>
      <c r="AG211" s="113">
        <v>4014</v>
      </c>
      <c r="AH211" s="113">
        <v>-6973</v>
      </c>
      <c r="AI211" s="113">
        <v>-17924</v>
      </c>
      <c r="AJ211" s="113">
        <v>32261</v>
      </c>
      <c r="AK211" s="113">
        <v>32261</v>
      </c>
      <c r="AL211" s="114">
        <v>32261</v>
      </c>
      <c r="AM211" s="115"/>
      <c r="AN211" s="56">
        <f t="shared" si="12"/>
        <v>0</v>
      </c>
      <c r="AO211" s="56">
        <f t="shared" si="13"/>
        <v>0</v>
      </c>
      <c r="AP211" s="4"/>
    </row>
    <row r="212" spans="1:42" ht="17" thickBot="1">
      <c r="A212" s="116"/>
      <c r="B212" s="117" t="s">
        <v>9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114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114"/>
      <c r="AM212" s="115"/>
      <c r="AN212" s="56">
        <f t="shared" si="12"/>
        <v>0</v>
      </c>
      <c r="AO212" s="56">
        <f t="shared" si="13"/>
        <v>0</v>
      </c>
      <c r="AP212" s="4"/>
    </row>
    <row r="213" spans="1:42" ht="17" thickBot="1">
      <c r="A213" s="136" t="s">
        <v>142</v>
      </c>
      <c r="B213" s="112" t="s">
        <v>5</v>
      </c>
      <c r="C213" s="113"/>
      <c r="D213" s="113"/>
      <c r="E213" s="113">
        <v>6000</v>
      </c>
      <c r="F213" s="113">
        <v>0</v>
      </c>
      <c r="G213" s="113">
        <v>0</v>
      </c>
      <c r="H213" s="113">
        <v>0</v>
      </c>
      <c r="I213" s="113">
        <v>6000</v>
      </c>
      <c r="J213" s="113">
        <v>0</v>
      </c>
      <c r="K213" s="113">
        <v>0</v>
      </c>
      <c r="L213" s="113">
        <v>0</v>
      </c>
      <c r="M213" s="113">
        <v>0</v>
      </c>
      <c r="N213" s="113">
        <v>0</v>
      </c>
      <c r="O213" s="113">
        <v>0</v>
      </c>
      <c r="P213" s="113">
        <v>0</v>
      </c>
      <c r="Q213" s="113">
        <v>0</v>
      </c>
      <c r="R213" s="113">
        <v>0</v>
      </c>
      <c r="S213" s="113">
        <v>0</v>
      </c>
      <c r="T213" s="113">
        <v>0</v>
      </c>
      <c r="U213" s="114">
        <v>28118</v>
      </c>
      <c r="V213" s="113">
        <v>0</v>
      </c>
      <c r="W213" s="113">
        <v>0</v>
      </c>
      <c r="X213" s="113">
        <v>0</v>
      </c>
      <c r="Y213" s="113">
        <v>0</v>
      </c>
      <c r="Z213" s="113">
        <v>0</v>
      </c>
      <c r="AA213" s="113">
        <v>0</v>
      </c>
      <c r="AB213" s="113">
        <v>0</v>
      </c>
      <c r="AC213" s="113">
        <v>0</v>
      </c>
      <c r="AD213" s="113">
        <v>0</v>
      </c>
      <c r="AE213" s="113">
        <v>0</v>
      </c>
      <c r="AF213" s="113">
        <v>0</v>
      </c>
      <c r="AG213" s="113">
        <v>0</v>
      </c>
      <c r="AH213" s="113">
        <v>0</v>
      </c>
      <c r="AI213" s="113">
        <v>0</v>
      </c>
      <c r="AJ213" s="113">
        <v>0</v>
      </c>
      <c r="AK213" s="113">
        <v>0</v>
      </c>
      <c r="AL213" s="114">
        <v>0</v>
      </c>
      <c r="AM213" s="115">
        <v>64</v>
      </c>
      <c r="AN213" s="56">
        <f t="shared" si="12"/>
        <v>1799552</v>
      </c>
      <c r="AO213" s="56">
        <f t="shared" si="13"/>
        <v>0</v>
      </c>
      <c r="AP213" s="4" t="s">
        <v>143</v>
      </c>
    </row>
    <row r="214" spans="1:42" ht="17" thickBot="1">
      <c r="A214" s="136"/>
      <c r="B214" s="112" t="s">
        <v>6</v>
      </c>
      <c r="C214" s="113"/>
      <c r="D214" s="113"/>
      <c r="E214" s="113">
        <v>6000</v>
      </c>
      <c r="F214" s="113">
        <v>0</v>
      </c>
      <c r="G214" s="113">
        <v>0</v>
      </c>
      <c r="H214" s="113">
        <v>0</v>
      </c>
      <c r="I214" s="113">
        <v>6000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4">
        <v>6000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4">
        <v>0</v>
      </c>
      <c r="AM214" s="115"/>
      <c r="AN214" s="56">
        <f t="shared" si="12"/>
        <v>0</v>
      </c>
      <c r="AO214" s="56">
        <f t="shared" si="13"/>
        <v>0</v>
      </c>
      <c r="AP214" s="4"/>
    </row>
    <row r="215" spans="1:42" ht="17" thickBot="1">
      <c r="A215" s="136"/>
      <c r="B215" s="112" t="s">
        <v>10</v>
      </c>
      <c r="C215" s="113">
        <v>0</v>
      </c>
      <c r="D215" s="113"/>
      <c r="E215" s="113">
        <v>0</v>
      </c>
      <c r="F215" s="113">
        <v>0</v>
      </c>
      <c r="G215" s="113">
        <v>0</v>
      </c>
      <c r="H215" s="113">
        <v>0</v>
      </c>
      <c r="I215" s="113">
        <v>0</v>
      </c>
      <c r="J215" s="113">
        <v>0</v>
      </c>
      <c r="K215" s="113">
        <v>0</v>
      </c>
      <c r="L215" s="113">
        <v>0</v>
      </c>
      <c r="M215" s="113">
        <v>0</v>
      </c>
      <c r="N215" s="113">
        <v>0</v>
      </c>
      <c r="O215" s="113">
        <v>0</v>
      </c>
      <c r="P215" s="113">
        <v>0</v>
      </c>
      <c r="Q215" s="113">
        <v>0</v>
      </c>
      <c r="R215" s="113">
        <v>0</v>
      </c>
      <c r="S215" s="113">
        <v>0</v>
      </c>
      <c r="T215" s="113">
        <v>0</v>
      </c>
      <c r="U215" s="114">
        <v>0</v>
      </c>
      <c r="V215" s="113">
        <v>0</v>
      </c>
      <c r="W215" s="113">
        <v>0</v>
      </c>
      <c r="X215" s="113">
        <v>0</v>
      </c>
      <c r="Y215" s="113">
        <v>0</v>
      </c>
      <c r="Z215" s="113">
        <v>0</v>
      </c>
      <c r="AA215" s="113">
        <v>0</v>
      </c>
      <c r="AB215" s="113">
        <v>0</v>
      </c>
      <c r="AC215" s="113">
        <v>0</v>
      </c>
      <c r="AD215" s="113">
        <v>0</v>
      </c>
      <c r="AE215" s="113">
        <v>0</v>
      </c>
      <c r="AF215" s="113">
        <v>0</v>
      </c>
      <c r="AG215" s="113">
        <v>0</v>
      </c>
      <c r="AH215" s="113">
        <v>0</v>
      </c>
      <c r="AI215" s="113">
        <v>0</v>
      </c>
      <c r="AJ215" s="113">
        <v>0</v>
      </c>
      <c r="AK215" s="113">
        <v>0</v>
      </c>
      <c r="AL215" s="114">
        <v>0</v>
      </c>
      <c r="AM215" s="115"/>
      <c r="AN215" s="56">
        <f t="shared" si="12"/>
        <v>0</v>
      </c>
      <c r="AO215" s="56">
        <f t="shared" si="13"/>
        <v>0</v>
      </c>
      <c r="AP215" s="4"/>
    </row>
    <row r="216" spans="1:42" ht="17" thickBot="1">
      <c r="A216" s="136"/>
      <c r="B216" s="112" t="s">
        <v>7</v>
      </c>
      <c r="C216" s="113"/>
      <c r="D216" s="113"/>
      <c r="E216" s="113">
        <v>6000</v>
      </c>
      <c r="F216" s="113">
        <v>0</v>
      </c>
      <c r="G216" s="113">
        <v>0</v>
      </c>
      <c r="H216" s="113">
        <v>0</v>
      </c>
      <c r="I216" s="113">
        <v>6000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4">
        <v>28118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4">
        <v>0</v>
      </c>
      <c r="AM216" s="115"/>
      <c r="AN216" s="56">
        <f t="shared" si="12"/>
        <v>0</v>
      </c>
      <c r="AO216" s="56">
        <f t="shared" si="13"/>
        <v>0</v>
      </c>
      <c r="AP216" s="4"/>
    </row>
    <row r="217" spans="1:42" ht="17" thickBot="1">
      <c r="A217" s="136"/>
      <c r="B217" s="112" t="s">
        <v>8</v>
      </c>
      <c r="C217" s="113">
        <v>0</v>
      </c>
      <c r="D217" s="113">
        <v>22118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4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4">
        <v>0</v>
      </c>
      <c r="AM217" s="115"/>
      <c r="AN217" s="56">
        <f t="shared" si="12"/>
        <v>0</v>
      </c>
      <c r="AO217" s="56">
        <f t="shared" si="13"/>
        <v>0</v>
      </c>
      <c r="AP217" s="4"/>
    </row>
    <row r="218" spans="1:42" ht="17" thickBot="1">
      <c r="A218" s="116"/>
      <c r="B218" s="117" t="s">
        <v>9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114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114"/>
      <c r="AM218" s="115"/>
      <c r="AN218" s="56">
        <f t="shared" ref="AN218:AN281" si="14">AM218*U218</f>
        <v>0</v>
      </c>
      <c r="AO218" s="56">
        <f t="shared" ref="AO218:AO281" si="15">AM218*AL218</f>
        <v>0</v>
      </c>
      <c r="AP218" s="4"/>
    </row>
    <row r="219" spans="1:42" ht="17" thickBot="1">
      <c r="A219" s="136" t="s">
        <v>106</v>
      </c>
      <c r="B219" s="112" t="s">
        <v>5</v>
      </c>
      <c r="C219" s="113"/>
      <c r="D219" s="113"/>
      <c r="E219" s="113">
        <v>0</v>
      </c>
      <c r="F219" s="113">
        <v>434</v>
      </c>
      <c r="G219" s="113">
        <v>0</v>
      </c>
      <c r="H219" s="113">
        <v>0</v>
      </c>
      <c r="I219" s="113">
        <v>434</v>
      </c>
      <c r="J219" s="113">
        <v>0</v>
      </c>
      <c r="K219" s="113">
        <v>200</v>
      </c>
      <c r="L219" s="113">
        <v>0</v>
      </c>
      <c r="M219" s="113">
        <v>0</v>
      </c>
      <c r="N219" s="113">
        <v>200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4">
        <v>645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4">
        <v>0</v>
      </c>
      <c r="AM219" s="115">
        <v>64</v>
      </c>
      <c r="AN219" s="56">
        <f t="shared" si="14"/>
        <v>41280</v>
      </c>
      <c r="AO219" s="56">
        <f t="shared" si="15"/>
        <v>0</v>
      </c>
      <c r="AP219" s="4" t="s">
        <v>133</v>
      </c>
    </row>
    <row r="220" spans="1:42" ht="17" thickBot="1">
      <c r="A220" s="136"/>
      <c r="B220" s="112" t="s">
        <v>6</v>
      </c>
      <c r="C220" s="113"/>
      <c r="D220" s="113"/>
      <c r="E220" s="113">
        <v>0</v>
      </c>
      <c r="F220" s="113">
        <v>0</v>
      </c>
      <c r="G220" s="113">
        <v>0</v>
      </c>
      <c r="H220" s="113">
        <v>0</v>
      </c>
      <c r="I220" s="113">
        <v>0</v>
      </c>
      <c r="J220" s="113">
        <v>0</v>
      </c>
      <c r="K220" s="113">
        <v>0</v>
      </c>
      <c r="L220" s="113">
        <v>0</v>
      </c>
      <c r="M220" s="113">
        <v>0</v>
      </c>
      <c r="N220" s="113">
        <v>0</v>
      </c>
      <c r="O220" s="113">
        <v>0</v>
      </c>
      <c r="P220" s="113">
        <v>0</v>
      </c>
      <c r="Q220" s="113">
        <v>0</v>
      </c>
      <c r="R220" s="113">
        <v>0</v>
      </c>
      <c r="S220" s="113">
        <v>0</v>
      </c>
      <c r="T220" s="113">
        <v>0</v>
      </c>
      <c r="U220" s="114">
        <v>0</v>
      </c>
      <c r="V220" s="113">
        <v>0</v>
      </c>
      <c r="W220" s="113">
        <v>0</v>
      </c>
      <c r="X220" s="113">
        <v>0</v>
      </c>
      <c r="Y220" s="113">
        <v>0</v>
      </c>
      <c r="Z220" s="113">
        <v>0</v>
      </c>
      <c r="AA220" s="113">
        <v>0</v>
      </c>
      <c r="AB220" s="113">
        <v>0</v>
      </c>
      <c r="AC220" s="113">
        <v>0</v>
      </c>
      <c r="AD220" s="113">
        <v>0</v>
      </c>
      <c r="AE220" s="113">
        <v>0</v>
      </c>
      <c r="AF220" s="113">
        <v>0</v>
      </c>
      <c r="AG220" s="113">
        <v>0</v>
      </c>
      <c r="AH220" s="113">
        <v>0</v>
      </c>
      <c r="AI220" s="113">
        <v>0</v>
      </c>
      <c r="AJ220" s="113">
        <v>0</v>
      </c>
      <c r="AK220" s="113">
        <v>0</v>
      </c>
      <c r="AL220" s="114">
        <v>0</v>
      </c>
      <c r="AM220" s="115"/>
      <c r="AN220" s="56">
        <f t="shared" si="14"/>
        <v>0</v>
      </c>
      <c r="AO220" s="56">
        <f t="shared" si="15"/>
        <v>0</v>
      </c>
      <c r="AP220" s="4"/>
    </row>
    <row r="221" spans="1:42" ht="17" thickBot="1">
      <c r="A221" s="136"/>
      <c r="B221" s="112" t="s">
        <v>10</v>
      </c>
      <c r="C221" s="113">
        <v>0</v>
      </c>
      <c r="D221" s="113"/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4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4">
        <v>0</v>
      </c>
      <c r="AM221" s="115"/>
      <c r="AN221" s="56">
        <f t="shared" si="14"/>
        <v>0</v>
      </c>
      <c r="AO221" s="56">
        <f t="shared" si="15"/>
        <v>0</v>
      </c>
      <c r="AP221" s="4"/>
    </row>
    <row r="222" spans="1:42" ht="17" thickBot="1">
      <c r="A222" s="136"/>
      <c r="B222" s="112" t="s">
        <v>7</v>
      </c>
      <c r="C222" s="113"/>
      <c r="D222" s="113"/>
      <c r="E222" s="113">
        <v>0</v>
      </c>
      <c r="F222" s="113">
        <v>0</v>
      </c>
      <c r="G222" s="113">
        <v>0</v>
      </c>
      <c r="H222" s="113">
        <v>0</v>
      </c>
      <c r="I222" s="113">
        <v>0</v>
      </c>
      <c r="J222" s="113">
        <v>0</v>
      </c>
      <c r="K222" s="113">
        <v>0</v>
      </c>
      <c r="L222" s="113">
        <v>0</v>
      </c>
      <c r="M222" s="113">
        <v>0</v>
      </c>
      <c r="N222" s="113">
        <v>0</v>
      </c>
      <c r="O222" s="113">
        <v>0</v>
      </c>
      <c r="P222" s="113">
        <v>0</v>
      </c>
      <c r="Q222" s="113">
        <v>0</v>
      </c>
      <c r="R222" s="113">
        <v>0</v>
      </c>
      <c r="S222" s="113">
        <v>0</v>
      </c>
      <c r="T222" s="113">
        <v>0</v>
      </c>
      <c r="U222" s="114">
        <v>11</v>
      </c>
      <c r="V222" s="113">
        <v>0</v>
      </c>
      <c r="W222" s="113">
        <v>0</v>
      </c>
      <c r="X222" s="113">
        <v>0</v>
      </c>
      <c r="Y222" s="113">
        <v>0</v>
      </c>
      <c r="Z222" s="113">
        <v>0</v>
      </c>
      <c r="AA222" s="113">
        <v>0</v>
      </c>
      <c r="AB222" s="113">
        <v>0</v>
      </c>
      <c r="AC222" s="113">
        <v>0</v>
      </c>
      <c r="AD222" s="113">
        <v>0</v>
      </c>
      <c r="AE222" s="113">
        <v>0</v>
      </c>
      <c r="AF222" s="113">
        <v>0</v>
      </c>
      <c r="AG222" s="113">
        <v>0</v>
      </c>
      <c r="AH222" s="113">
        <v>0</v>
      </c>
      <c r="AI222" s="113">
        <v>0</v>
      </c>
      <c r="AJ222" s="113">
        <v>0</v>
      </c>
      <c r="AK222" s="113">
        <v>0</v>
      </c>
      <c r="AL222" s="114">
        <v>0</v>
      </c>
      <c r="AM222" s="115"/>
      <c r="AN222" s="56">
        <f t="shared" si="14"/>
        <v>0</v>
      </c>
      <c r="AO222" s="56">
        <f t="shared" si="15"/>
        <v>0</v>
      </c>
      <c r="AP222" s="4"/>
    </row>
    <row r="223" spans="1:42" ht="17" thickBot="1">
      <c r="A223" s="136"/>
      <c r="B223" s="112" t="s">
        <v>8</v>
      </c>
      <c r="C223" s="113">
        <v>5</v>
      </c>
      <c r="D223" s="113">
        <v>11</v>
      </c>
      <c r="E223" s="113">
        <v>0</v>
      </c>
      <c r="F223" s="113">
        <v>-434</v>
      </c>
      <c r="G223" s="113">
        <v>-434</v>
      </c>
      <c r="H223" s="113">
        <v>-434</v>
      </c>
      <c r="I223" s="113">
        <v>-434</v>
      </c>
      <c r="J223" s="113">
        <v>-434</v>
      </c>
      <c r="K223" s="113">
        <v>-634</v>
      </c>
      <c r="L223" s="113">
        <v>-634</v>
      </c>
      <c r="M223" s="113">
        <v>-634</v>
      </c>
      <c r="N223" s="113">
        <v>-634</v>
      </c>
      <c r="O223" s="113">
        <v>-634</v>
      </c>
      <c r="P223" s="113">
        <v>-634</v>
      </c>
      <c r="Q223" s="113">
        <v>-634</v>
      </c>
      <c r="R223" s="113">
        <v>-634</v>
      </c>
      <c r="S223" s="113">
        <v>-634</v>
      </c>
      <c r="T223" s="113">
        <v>-634</v>
      </c>
      <c r="U223" s="114">
        <v>-634</v>
      </c>
      <c r="V223" s="113">
        <v>-634</v>
      </c>
      <c r="W223" s="113">
        <v>-634</v>
      </c>
      <c r="X223" s="113">
        <v>-634</v>
      </c>
      <c r="Y223" s="113">
        <v>-634</v>
      </c>
      <c r="Z223" s="113">
        <v>-634</v>
      </c>
      <c r="AA223" s="113">
        <v>-634</v>
      </c>
      <c r="AB223" s="113">
        <v>-634</v>
      </c>
      <c r="AC223" s="113">
        <v>-634</v>
      </c>
      <c r="AD223" s="113">
        <v>-634</v>
      </c>
      <c r="AE223" s="113">
        <v>-634</v>
      </c>
      <c r="AF223" s="113">
        <v>-634</v>
      </c>
      <c r="AG223" s="113">
        <v>-634</v>
      </c>
      <c r="AH223" s="113">
        <v>-634</v>
      </c>
      <c r="AI223" s="113">
        <v>-634</v>
      </c>
      <c r="AJ223" s="113">
        <v>-634</v>
      </c>
      <c r="AK223" s="113">
        <v>-634</v>
      </c>
      <c r="AL223" s="114">
        <v>-634</v>
      </c>
      <c r="AM223" s="115"/>
      <c r="AN223" s="56">
        <f t="shared" si="14"/>
        <v>0</v>
      </c>
      <c r="AO223" s="56">
        <f t="shared" si="15"/>
        <v>0</v>
      </c>
      <c r="AP223" s="4"/>
    </row>
    <row r="224" spans="1:42" ht="17" thickBot="1">
      <c r="A224" s="116"/>
      <c r="B224" s="117" t="s">
        <v>9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114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114"/>
      <c r="AM224" s="115"/>
      <c r="AN224" s="56">
        <f t="shared" si="14"/>
        <v>0</v>
      </c>
      <c r="AO224" s="56">
        <f t="shared" si="15"/>
        <v>0</v>
      </c>
      <c r="AP224" s="4"/>
    </row>
    <row r="225" spans="1:42" ht="17" thickBot="1">
      <c r="A225" s="136" t="s">
        <v>107</v>
      </c>
      <c r="B225" s="112" t="s">
        <v>5</v>
      </c>
      <c r="C225" s="113"/>
      <c r="D225" s="113"/>
      <c r="E225" s="113">
        <v>12000</v>
      </c>
      <c r="F225" s="113">
        <v>-155157</v>
      </c>
      <c r="G225" s="113">
        <v>54985</v>
      </c>
      <c r="H225" s="113">
        <v>69839</v>
      </c>
      <c r="I225" s="113">
        <v>-18333</v>
      </c>
      <c r="J225" s="113">
        <v>59206</v>
      </c>
      <c r="K225" s="113">
        <v>67308</v>
      </c>
      <c r="L225" s="113">
        <v>71317</v>
      </c>
      <c r="M225" s="113">
        <v>69191</v>
      </c>
      <c r="N225" s="113">
        <v>267022</v>
      </c>
      <c r="O225" s="113">
        <v>51839</v>
      </c>
      <c r="P225" s="113">
        <v>72970</v>
      </c>
      <c r="Q225" s="113">
        <v>89879</v>
      </c>
      <c r="R225" s="113">
        <v>78987</v>
      </c>
      <c r="S225" s="113">
        <v>81219</v>
      </c>
      <c r="T225" s="113">
        <v>374894</v>
      </c>
      <c r="U225" s="114">
        <v>916128</v>
      </c>
      <c r="V225" s="113">
        <v>10585</v>
      </c>
      <c r="W225" s="113">
        <v>24394</v>
      </c>
      <c r="X225" s="113">
        <v>26518</v>
      </c>
      <c r="Y225" s="113">
        <v>30733</v>
      </c>
      <c r="Z225" s="113">
        <v>92230</v>
      </c>
      <c r="AA225" s="113">
        <v>47848</v>
      </c>
      <c r="AB225" s="113">
        <v>57947</v>
      </c>
      <c r="AC225" s="113">
        <v>57544</v>
      </c>
      <c r="AD225" s="113">
        <v>53370</v>
      </c>
      <c r="AE225" s="113">
        <v>216709</v>
      </c>
      <c r="AF225" s="113">
        <v>30397</v>
      </c>
      <c r="AG225" s="113">
        <v>72089</v>
      </c>
      <c r="AH225" s="113">
        <v>65101</v>
      </c>
      <c r="AI225" s="113">
        <v>57872</v>
      </c>
      <c r="AJ225" s="113">
        <v>90602</v>
      </c>
      <c r="AK225" s="113">
        <v>316061</v>
      </c>
      <c r="AL225" s="114">
        <v>625000</v>
      </c>
      <c r="AM225" s="115">
        <v>64</v>
      </c>
      <c r="AN225" s="56">
        <f t="shared" si="14"/>
        <v>58632192</v>
      </c>
      <c r="AO225" s="56">
        <f t="shared" si="15"/>
        <v>40000000</v>
      </c>
      <c r="AP225" s="4" t="str">
        <f>VLOOKUP(A225,[1]Basic!$B:$F,5,0)</f>
        <v>D4 8GB</v>
      </c>
    </row>
    <row r="226" spans="1:42" ht="17" thickBot="1">
      <c r="A226" s="136"/>
      <c r="B226" s="112" t="s">
        <v>6</v>
      </c>
      <c r="C226" s="113"/>
      <c r="D226" s="113"/>
      <c r="E226" s="113">
        <v>12000</v>
      </c>
      <c r="F226" s="113">
        <v>0</v>
      </c>
      <c r="G226" s="113">
        <v>163139</v>
      </c>
      <c r="H226" s="113">
        <v>0</v>
      </c>
      <c r="I226" s="113">
        <v>175139</v>
      </c>
      <c r="J226" s="113">
        <v>14000</v>
      </c>
      <c r="K226" s="113">
        <v>4000</v>
      </c>
      <c r="L226" s="113">
        <v>0</v>
      </c>
      <c r="M226" s="113">
        <v>38000</v>
      </c>
      <c r="N226" s="113">
        <v>56000</v>
      </c>
      <c r="O226" s="113">
        <v>95000</v>
      </c>
      <c r="P226" s="113">
        <v>0</v>
      </c>
      <c r="Q226" s="113">
        <v>60000</v>
      </c>
      <c r="R226" s="113">
        <v>0</v>
      </c>
      <c r="S226" s="113">
        <v>300000</v>
      </c>
      <c r="T226" s="113">
        <v>455000</v>
      </c>
      <c r="U226" s="114">
        <v>686139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13000</v>
      </c>
      <c r="AB226" s="113">
        <v>0</v>
      </c>
      <c r="AC226" s="113">
        <v>0</v>
      </c>
      <c r="AD226" s="113">
        <v>0</v>
      </c>
      <c r="AE226" s="113">
        <v>13000</v>
      </c>
      <c r="AF226" s="113">
        <v>7000</v>
      </c>
      <c r="AG226" s="113">
        <v>0</v>
      </c>
      <c r="AH226" s="113">
        <v>0</v>
      </c>
      <c r="AI226" s="113">
        <v>500000</v>
      </c>
      <c r="AJ226" s="113">
        <v>270000</v>
      </c>
      <c r="AK226" s="113">
        <v>777000</v>
      </c>
      <c r="AL226" s="114">
        <v>790000</v>
      </c>
      <c r="AM226" s="115"/>
      <c r="AN226" s="56">
        <f t="shared" si="14"/>
        <v>0</v>
      </c>
      <c r="AO226" s="56">
        <f t="shared" si="15"/>
        <v>0</v>
      </c>
      <c r="AP226" s="4"/>
    </row>
    <row r="227" spans="1:42" ht="17" thickBot="1">
      <c r="A227" s="136"/>
      <c r="B227" s="112" t="s">
        <v>10</v>
      </c>
      <c r="C227" s="113">
        <v>23000</v>
      </c>
      <c r="D227" s="113"/>
      <c r="E227" s="113">
        <v>0</v>
      </c>
      <c r="F227" s="113">
        <v>23000</v>
      </c>
      <c r="G227" s="113">
        <v>0</v>
      </c>
      <c r="H227" s="113">
        <v>0</v>
      </c>
      <c r="I227" s="113">
        <v>0</v>
      </c>
      <c r="J227" s="113">
        <v>0</v>
      </c>
      <c r="K227" s="113">
        <v>0</v>
      </c>
      <c r="L227" s="113">
        <v>0</v>
      </c>
      <c r="M227" s="113">
        <v>0</v>
      </c>
      <c r="N227" s="113">
        <v>0</v>
      </c>
      <c r="O227" s="113">
        <v>0</v>
      </c>
      <c r="P227" s="113">
        <v>0</v>
      </c>
      <c r="Q227" s="113">
        <v>0</v>
      </c>
      <c r="R227" s="113">
        <v>0</v>
      </c>
      <c r="S227" s="113">
        <v>0</v>
      </c>
      <c r="T227" s="113">
        <v>0</v>
      </c>
      <c r="U227" s="114">
        <v>0</v>
      </c>
      <c r="V227" s="113">
        <v>0</v>
      </c>
      <c r="W227" s="113">
        <v>0</v>
      </c>
      <c r="X227" s="113">
        <v>0</v>
      </c>
      <c r="Y227" s="113">
        <v>0</v>
      </c>
      <c r="Z227" s="113">
        <v>0</v>
      </c>
      <c r="AA227" s="113">
        <v>0</v>
      </c>
      <c r="AB227" s="113">
        <v>0</v>
      </c>
      <c r="AC227" s="113">
        <v>0</v>
      </c>
      <c r="AD227" s="113">
        <v>0</v>
      </c>
      <c r="AE227" s="113">
        <v>0</v>
      </c>
      <c r="AF227" s="113">
        <v>0</v>
      </c>
      <c r="AG227" s="113">
        <v>0</v>
      </c>
      <c r="AH227" s="113">
        <v>0</v>
      </c>
      <c r="AI227" s="113">
        <v>0</v>
      </c>
      <c r="AJ227" s="113">
        <v>0</v>
      </c>
      <c r="AK227" s="113">
        <v>0</v>
      </c>
      <c r="AL227" s="114">
        <v>0</v>
      </c>
      <c r="AM227" s="115"/>
      <c r="AN227" s="56">
        <f t="shared" si="14"/>
        <v>0</v>
      </c>
      <c r="AO227" s="56">
        <f t="shared" si="15"/>
        <v>0</v>
      </c>
      <c r="AP227" s="4"/>
    </row>
    <row r="228" spans="1:42" ht="17" thickBot="1">
      <c r="A228" s="136"/>
      <c r="B228" s="112" t="s">
        <v>7</v>
      </c>
      <c r="C228" s="113"/>
      <c r="D228" s="113"/>
      <c r="E228" s="113">
        <v>12000</v>
      </c>
      <c r="F228" s="113">
        <v>23000</v>
      </c>
      <c r="G228" s="113">
        <v>163139</v>
      </c>
      <c r="H228" s="113">
        <v>0</v>
      </c>
      <c r="I228" s="113">
        <v>198139</v>
      </c>
      <c r="J228" s="113">
        <v>14000</v>
      </c>
      <c r="K228" s="113">
        <v>4000</v>
      </c>
      <c r="L228" s="113">
        <v>0</v>
      </c>
      <c r="M228" s="113">
        <v>38000</v>
      </c>
      <c r="N228" s="113">
        <v>56000</v>
      </c>
      <c r="O228" s="113">
        <v>95000</v>
      </c>
      <c r="P228" s="113">
        <v>0</v>
      </c>
      <c r="Q228" s="113">
        <v>60000</v>
      </c>
      <c r="R228" s="113">
        <v>0</v>
      </c>
      <c r="S228" s="113">
        <v>300000</v>
      </c>
      <c r="T228" s="113">
        <v>455000</v>
      </c>
      <c r="U228" s="114">
        <v>1001684</v>
      </c>
      <c r="V228" s="113">
        <v>0</v>
      </c>
      <c r="W228" s="113">
        <v>0</v>
      </c>
      <c r="X228" s="113">
        <v>0</v>
      </c>
      <c r="Y228" s="113">
        <v>0</v>
      </c>
      <c r="Z228" s="113">
        <v>0</v>
      </c>
      <c r="AA228" s="113">
        <v>13000</v>
      </c>
      <c r="AB228" s="113">
        <v>0</v>
      </c>
      <c r="AC228" s="113">
        <v>0</v>
      </c>
      <c r="AD228" s="113">
        <v>0</v>
      </c>
      <c r="AE228" s="113">
        <v>13000</v>
      </c>
      <c r="AF228" s="113">
        <v>7000</v>
      </c>
      <c r="AG228" s="113">
        <v>0</v>
      </c>
      <c r="AH228" s="113">
        <v>0</v>
      </c>
      <c r="AI228" s="113">
        <v>500000</v>
      </c>
      <c r="AJ228" s="113">
        <v>270000</v>
      </c>
      <c r="AK228" s="113">
        <v>777000</v>
      </c>
      <c r="AL228" s="114">
        <v>790000</v>
      </c>
      <c r="AM228" s="115"/>
      <c r="AN228" s="56">
        <f t="shared" si="14"/>
        <v>0</v>
      </c>
      <c r="AO228" s="56">
        <f t="shared" si="15"/>
        <v>0</v>
      </c>
      <c r="AP228" s="4"/>
    </row>
    <row r="229" spans="1:42" ht="17" thickBot="1">
      <c r="A229" s="136"/>
      <c r="B229" s="112" t="s">
        <v>8</v>
      </c>
      <c r="C229" s="113">
        <v>304837</v>
      </c>
      <c r="D229" s="113">
        <v>292545</v>
      </c>
      <c r="E229" s="113">
        <v>0</v>
      </c>
      <c r="F229" s="113">
        <v>178157</v>
      </c>
      <c r="G229" s="113">
        <v>286311</v>
      </c>
      <c r="H229" s="113">
        <v>216472</v>
      </c>
      <c r="I229" s="113">
        <v>216472</v>
      </c>
      <c r="J229" s="113">
        <v>171266</v>
      </c>
      <c r="K229" s="113">
        <v>107958</v>
      </c>
      <c r="L229" s="113">
        <v>36641</v>
      </c>
      <c r="M229" s="113">
        <v>5450</v>
      </c>
      <c r="N229" s="113">
        <v>5450</v>
      </c>
      <c r="O229" s="113">
        <v>48611</v>
      </c>
      <c r="P229" s="113">
        <v>-24359</v>
      </c>
      <c r="Q229" s="113">
        <v>-54238</v>
      </c>
      <c r="R229" s="113">
        <v>-133225</v>
      </c>
      <c r="S229" s="113">
        <v>85556</v>
      </c>
      <c r="T229" s="113">
        <v>85556</v>
      </c>
      <c r="U229" s="114">
        <v>85556</v>
      </c>
      <c r="V229" s="113">
        <v>74971</v>
      </c>
      <c r="W229" s="113">
        <v>50577</v>
      </c>
      <c r="X229" s="113">
        <v>24059</v>
      </c>
      <c r="Y229" s="113">
        <v>2537</v>
      </c>
      <c r="Z229" s="113">
        <v>-6674</v>
      </c>
      <c r="AA229" s="113">
        <v>-41522</v>
      </c>
      <c r="AB229" s="113">
        <v>-99469</v>
      </c>
      <c r="AC229" s="113">
        <v>-157013</v>
      </c>
      <c r="AD229" s="113">
        <v>-210383</v>
      </c>
      <c r="AE229" s="113">
        <v>-210383</v>
      </c>
      <c r="AF229" s="113">
        <v>-233780</v>
      </c>
      <c r="AG229" s="113">
        <v>-305869</v>
      </c>
      <c r="AH229" s="113">
        <v>-370970</v>
      </c>
      <c r="AI229" s="113">
        <v>71158</v>
      </c>
      <c r="AJ229" s="113">
        <v>250556</v>
      </c>
      <c r="AK229" s="113">
        <v>250556</v>
      </c>
      <c r="AL229" s="114">
        <v>250556</v>
      </c>
      <c r="AM229" s="115"/>
      <c r="AN229" s="56">
        <f t="shared" si="14"/>
        <v>0</v>
      </c>
      <c r="AO229" s="56">
        <f t="shared" si="15"/>
        <v>0</v>
      </c>
      <c r="AP229" s="4"/>
    </row>
    <row r="230" spans="1:42" ht="17" thickBot="1">
      <c r="A230" s="116"/>
      <c r="B230" s="117" t="s">
        <v>9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114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114"/>
      <c r="AM230" s="115"/>
      <c r="AN230" s="56">
        <f t="shared" si="14"/>
        <v>0</v>
      </c>
      <c r="AO230" s="56">
        <f t="shared" si="15"/>
        <v>0</v>
      </c>
      <c r="AP230" s="4"/>
    </row>
    <row r="231" spans="1:42" ht="17" thickBot="1">
      <c r="A231" s="136" t="s">
        <v>108</v>
      </c>
      <c r="B231" s="112" t="s">
        <v>5</v>
      </c>
      <c r="C231" s="113"/>
      <c r="D231" s="113"/>
      <c r="E231" s="113">
        <v>5000</v>
      </c>
      <c r="F231" s="113">
        <v>-21828</v>
      </c>
      <c r="G231" s="113">
        <v>14592</v>
      </c>
      <c r="H231" s="113">
        <v>13373</v>
      </c>
      <c r="I231" s="113">
        <v>11137</v>
      </c>
      <c r="J231" s="113">
        <v>21158</v>
      </c>
      <c r="K231" s="113">
        <v>30951</v>
      </c>
      <c r="L231" s="113">
        <v>34917</v>
      </c>
      <c r="M231" s="113">
        <v>30863</v>
      </c>
      <c r="N231" s="113">
        <v>117889</v>
      </c>
      <c r="O231" s="113">
        <v>23423</v>
      </c>
      <c r="P231" s="113">
        <v>32670</v>
      </c>
      <c r="Q231" s="113">
        <v>47539</v>
      </c>
      <c r="R231" s="113">
        <v>43644</v>
      </c>
      <c r="S231" s="113">
        <v>38123</v>
      </c>
      <c r="T231" s="113">
        <v>185399</v>
      </c>
      <c r="U231" s="114">
        <v>397588</v>
      </c>
      <c r="V231" s="113">
        <v>14784</v>
      </c>
      <c r="W231" s="113">
        <v>17746</v>
      </c>
      <c r="X231" s="113">
        <v>22604</v>
      </c>
      <c r="Y231" s="113">
        <v>24530</v>
      </c>
      <c r="Z231" s="113">
        <v>79664</v>
      </c>
      <c r="AA231" s="113">
        <v>18860</v>
      </c>
      <c r="AB231" s="113">
        <v>24392</v>
      </c>
      <c r="AC231" s="113">
        <v>27153</v>
      </c>
      <c r="AD231" s="113">
        <v>23872</v>
      </c>
      <c r="AE231" s="113">
        <v>94277</v>
      </c>
      <c r="AF231" s="113">
        <v>17408</v>
      </c>
      <c r="AG231" s="113">
        <v>29094</v>
      </c>
      <c r="AH231" s="113">
        <v>35612</v>
      </c>
      <c r="AI231" s="113">
        <v>32781</v>
      </c>
      <c r="AJ231" s="113">
        <v>59163</v>
      </c>
      <c r="AK231" s="113">
        <v>174058</v>
      </c>
      <c r="AL231" s="114">
        <v>347999</v>
      </c>
      <c r="AM231" s="115">
        <v>64</v>
      </c>
      <c r="AN231" s="56">
        <f t="shared" si="14"/>
        <v>25445632</v>
      </c>
      <c r="AO231" s="56">
        <f t="shared" si="15"/>
        <v>22271936</v>
      </c>
      <c r="AP231" s="4" t="str">
        <f>VLOOKUP(A231,[1]Basic!$B:$F,5,0)</f>
        <v>D4 8GB</v>
      </c>
    </row>
    <row r="232" spans="1:42" ht="17" thickBot="1">
      <c r="A232" s="136"/>
      <c r="B232" s="112" t="s">
        <v>6</v>
      </c>
      <c r="C232" s="113"/>
      <c r="D232" s="113"/>
      <c r="E232" s="113">
        <v>5000</v>
      </c>
      <c r="F232" s="113">
        <v>0</v>
      </c>
      <c r="G232" s="113">
        <v>145000</v>
      </c>
      <c r="H232" s="113">
        <v>0</v>
      </c>
      <c r="I232" s="113">
        <v>150000</v>
      </c>
      <c r="J232" s="113">
        <v>4000</v>
      </c>
      <c r="K232" s="113">
        <v>0</v>
      </c>
      <c r="L232" s="113">
        <v>0</v>
      </c>
      <c r="M232" s="113">
        <v>0</v>
      </c>
      <c r="N232" s="113">
        <v>4000</v>
      </c>
      <c r="O232" s="113">
        <v>15000</v>
      </c>
      <c r="P232" s="113">
        <v>0</v>
      </c>
      <c r="Q232" s="113">
        <v>60000</v>
      </c>
      <c r="R232" s="113">
        <v>0</v>
      </c>
      <c r="S232" s="113">
        <v>297000</v>
      </c>
      <c r="T232" s="113">
        <v>372000</v>
      </c>
      <c r="U232" s="114">
        <v>526000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19000</v>
      </c>
      <c r="AB232" s="113">
        <v>0</v>
      </c>
      <c r="AC232" s="113">
        <v>0</v>
      </c>
      <c r="AD232" s="113">
        <v>0</v>
      </c>
      <c r="AE232" s="113">
        <v>19000</v>
      </c>
      <c r="AF232" s="113">
        <v>0</v>
      </c>
      <c r="AG232" s="113">
        <v>0</v>
      </c>
      <c r="AH232" s="113">
        <v>0</v>
      </c>
      <c r="AI232" s="113">
        <v>150000</v>
      </c>
      <c r="AJ232" s="113">
        <v>200000</v>
      </c>
      <c r="AK232" s="113">
        <v>350000</v>
      </c>
      <c r="AL232" s="114">
        <v>369000</v>
      </c>
      <c r="AM232" s="115"/>
      <c r="AN232" s="56">
        <f t="shared" si="14"/>
        <v>0</v>
      </c>
      <c r="AO232" s="56">
        <f t="shared" si="15"/>
        <v>0</v>
      </c>
      <c r="AP232" s="4"/>
    </row>
    <row r="233" spans="1:42" ht="17" thickBot="1">
      <c r="A233" s="136"/>
      <c r="B233" s="112" t="s">
        <v>10</v>
      </c>
      <c r="C233" s="113">
        <v>11593</v>
      </c>
      <c r="D233" s="113"/>
      <c r="E233" s="113">
        <v>0</v>
      </c>
      <c r="F233" s="113">
        <v>11593</v>
      </c>
      <c r="G233" s="113">
        <v>0</v>
      </c>
      <c r="H233" s="113">
        <v>0</v>
      </c>
      <c r="I233" s="113">
        <v>0</v>
      </c>
      <c r="J233" s="113">
        <v>0</v>
      </c>
      <c r="K233" s="113">
        <v>0</v>
      </c>
      <c r="L233" s="113">
        <v>0</v>
      </c>
      <c r="M233" s="113">
        <v>0</v>
      </c>
      <c r="N233" s="113">
        <v>0</v>
      </c>
      <c r="O233" s="113">
        <v>0</v>
      </c>
      <c r="P233" s="113">
        <v>0</v>
      </c>
      <c r="Q233" s="113">
        <v>0</v>
      </c>
      <c r="R233" s="113">
        <v>0</v>
      </c>
      <c r="S233" s="113">
        <v>0</v>
      </c>
      <c r="T233" s="113">
        <v>0</v>
      </c>
      <c r="U233" s="114">
        <v>0</v>
      </c>
      <c r="V233" s="113">
        <v>0</v>
      </c>
      <c r="W233" s="113">
        <v>0</v>
      </c>
      <c r="X233" s="113">
        <v>0</v>
      </c>
      <c r="Y233" s="113">
        <v>0</v>
      </c>
      <c r="Z233" s="113">
        <v>0</v>
      </c>
      <c r="AA233" s="113">
        <v>0</v>
      </c>
      <c r="AB233" s="113">
        <v>0</v>
      </c>
      <c r="AC233" s="113">
        <v>0</v>
      </c>
      <c r="AD233" s="113">
        <v>0</v>
      </c>
      <c r="AE233" s="113">
        <v>0</v>
      </c>
      <c r="AF233" s="113">
        <v>0</v>
      </c>
      <c r="AG233" s="113">
        <v>0</v>
      </c>
      <c r="AH233" s="113">
        <v>0</v>
      </c>
      <c r="AI233" s="113">
        <v>0</v>
      </c>
      <c r="AJ233" s="113">
        <v>0</v>
      </c>
      <c r="AK233" s="113">
        <v>0</v>
      </c>
      <c r="AL233" s="114">
        <v>0</v>
      </c>
      <c r="AM233" s="115"/>
      <c r="AN233" s="56">
        <f t="shared" si="14"/>
        <v>0</v>
      </c>
      <c r="AO233" s="56">
        <f t="shared" si="15"/>
        <v>0</v>
      </c>
      <c r="AP233" s="4"/>
    </row>
    <row r="234" spans="1:42" ht="17" thickBot="1">
      <c r="A234" s="136"/>
      <c r="B234" s="112" t="s">
        <v>7</v>
      </c>
      <c r="C234" s="113"/>
      <c r="D234" s="113"/>
      <c r="E234" s="113">
        <v>5000</v>
      </c>
      <c r="F234" s="113">
        <v>11593</v>
      </c>
      <c r="G234" s="113">
        <v>145000</v>
      </c>
      <c r="H234" s="113">
        <v>0</v>
      </c>
      <c r="I234" s="113">
        <v>161593</v>
      </c>
      <c r="J234" s="113">
        <v>4000</v>
      </c>
      <c r="K234" s="113">
        <v>0</v>
      </c>
      <c r="L234" s="113">
        <v>0</v>
      </c>
      <c r="M234" s="113">
        <v>0</v>
      </c>
      <c r="N234" s="113">
        <v>4000</v>
      </c>
      <c r="O234" s="113">
        <v>15000</v>
      </c>
      <c r="P234" s="113">
        <v>0</v>
      </c>
      <c r="Q234" s="113">
        <v>60000</v>
      </c>
      <c r="R234" s="113">
        <v>0</v>
      </c>
      <c r="S234" s="113">
        <v>297000</v>
      </c>
      <c r="T234" s="113">
        <v>372000</v>
      </c>
      <c r="U234" s="114">
        <v>620756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19000</v>
      </c>
      <c r="AB234" s="113">
        <v>0</v>
      </c>
      <c r="AC234" s="113">
        <v>0</v>
      </c>
      <c r="AD234" s="113">
        <v>0</v>
      </c>
      <c r="AE234" s="113">
        <v>19000</v>
      </c>
      <c r="AF234" s="113">
        <v>0</v>
      </c>
      <c r="AG234" s="113">
        <v>0</v>
      </c>
      <c r="AH234" s="113">
        <v>0</v>
      </c>
      <c r="AI234" s="113">
        <v>150000</v>
      </c>
      <c r="AJ234" s="113">
        <v>200000</v>
      </c>
      <c r="AK234" s="113">
        <v>350000</v>
      </c>
      <c r="AL234" s="114">
        <v>369000</v>
      </c>
      <c r="AM234" s="115"/>
      <c r="AN234" s="56">
        <f t="shared" si="14"/>
        <v>0</v>
      </c>
      <c r="AO234" s="56">
        <f t="shared" si="15"/>
        <v>0</v>
      </c>
      <c r="AP234" s="4"/>
    </row>
    <row r="235" spans="1:42" ht="17" thickBot="1">
      <c r="A235" s="136"/>
      <c r="B235" s="112" t="s">
        <v>8</v>
      </c>
      <c r="C235" s="113">
        <v>68601</v>
      </c>
      <c r="D235" s="113">
        <v>83163</v>
      </c>
      <c r="E235" s="113">
        <v>0</v>
      </c>
      <c r="F235" s="113">
        <v>33421</v>
      </c>
      <c r="G235" s="113">
        <v>163829</v>
      </c>
      <c r="H235" s="113">
        <v>150456</v>
      </c>
      <c r="I235" s="113">
        <v>150456</v>
      </c>
      <c r="J235" s="113">
        <v>133298</v>
      </c>
      <c r="K235" s="113">
        <v>102347</v>
      </c>
      <c r="L235" s="113">
        <v>67430</v>
      </c>
      <c r="M235" s="113">
        <v>36567</v>
      </c>
      <c r="N235" s="113">
        <v>36567</v>
      </c>
      <c r="O235" s="113">
        <v>28144</v>
      </c>
      <c r="P235" s="113">
        <v>-4526</v>
      </c>
      <c r="Q235" s="113">
        <v>7935</v>
      </c>
      <c r="R235" s="113">
        <v>-35709</v>
      </c>
      <c r="S235" s="113">
        <v>223168</v>
      </c>
      <c r="T235" s="113">
        <v>223168</v>
      </c>
      <c r="U235" s="114">
        <v>223168</v>
      </c>
      <c r="V235" s="113">
        <v>208384</v>
      </c>
      <c r="W235" s="113">
        <v>190638</v>
      </c>
      <c r="X235" s="113">
        <v>168034</v>
      </c>
      <c r="Y235" s="113">
        <v>148218</v>
      </c>
      <c r="Z235" s="113">
        <v>143504</v>
      </c>
      <c r="AA235" s="113">
        <v>143644</v>
      </c>
      <c r="AB235" s="113">
        <v>119252</v>
      </c>
      <c r="AC235" s="113">
        <v>92099</v>
      </c>
      <c r="AD235" s="113">
        <v>68227</v>
      </c>
      <c r="AE235" s="113">
        <v>68227</v>
      </c>
      <c r="AF235" s="113">
        <v>50819</v>
      </c>
      <c r="AG235" s="113">
        <v>21725</v>
      </c>
      <c r="AH235" s="113">
        <v>-13887</v>
      </c>
      <c r="AI235" s="113">
        <v>103332</v>
      </c>
      <c r="AJ235" s="113">
        <v>244169</v>
      </c>
      <c r="AK235" s="113">
        <v>244169</v>
      </c>
      <c r="AL235" s="114">
        <v>244169</v>
      </c>
      <c r="AM235" s="115"/>
      <c r="AN235" s="56">
        <f t="shared" si="14"/>
        <v>0</v>
      </c>
      <c r="AO235" s="56">
        <f t="shared" si="15"/>
        <v>0</v>
      </c>
      <c r="AP235" s="4"/>
    </row>
    <row r="236" spans="1:42" ht="17" thickBot="1">
      <c r="A236" s="116"/>
      <c r="B236" s="117" t="s">
        <v>9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114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114"/>
      <c r="AM236" s="115"/>
      <c r="AN236" s="56">
        <f t="shared" si="14"/>
        <v>0</v>
      </c>
      <c r="AO236" s="56">
        <f t="shared" si="15"/>
        <v>0</v>
      </c>
      <c r="AP236" s="4"/>
    </row>
    <row r="237" spans="1:42" ht="17" thickBot="1">
      <c r="A237" s="141" t="s">
        <v>144</v>
      </c>
      <c r="B237" s="112" t="s">
        <v>5</v>
      </c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4"/>
      <c r="V237" s="113"/>
      <c r="W237" s="113"/>
      <c r="X237" s="113"/>
      <c r="Y237" s="113"/>
      <c r="Z237" s="113"/>
      <c r="AA237" s="113"/>
      <c r="AB237" s="113"/>
      <c r="AC237" s="113"/>
      <c r="AD237" s="113"/>
      <c r="AE237" s="113"/>
      <c r="AF237" s="113"/>
      <c r="AG237" s="113"/>
      <c r="AH237" s="113"/>
      <c r="AI237" s="113"/>
      <c r="AJ237" s="113"/>
      <c r="AK237" s="113"/>
      <c r="AL237" s="114"/>
      <c r="AM237" s="115">
        <v>64</v>
      </c>
      <c r="AN237" s="56">
        <f t="shared" si="14"/>
        <v>0</v>
      </c>
      <c r="AO237" s="56">
        <f t="shared" si="15"/>
        <v>0</v>
      </c>
      <c r="AP237" s="4" t="s">
        <v>133</v>
      </c>
    </row>
    <row r="238" spans="1:42" ht="17" thickBot="1">
      <c r="A238" s="141"/>
      <c r="B238" s="112" t="s">
        <v>6</v>
      </c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4"/>
      <c r="V238" s="113"/>
      <c r="W238" s="113"/>
      <c r="X238" s="113"/>
      <c r="Y238" s="113"/>
      <c r="Z238" s="113"/>
      <c r="AA238" s="113"/>
      <c r="AB238" s="113"/>
      <c r="AC238" s="113"/>
      <c r="AD238" s="113"/>
      <c r="AE238" s="113"/>
      <c r="AF238" s="113"/>
      <c r="AG238" s="113"/>
      <c r="AH238" s="113"/>
      <c r="AI238" s="113"/>
      <c r="AJ238" s="113"/>
      <c r="AK238" s="113"/>
      <c r="AL238" s="114"/>
      <c r="AM238" s="115"/>
      <c r="AN238" s="56">
        <f t="shared" si="14"/>
        <v>0</v>
      </c>
      <c r="AO238" s="56">
        <f t="shared" si="15"/>
        <v>0</v>
      </c>
      <c r="AP238" s="4"/>
    </row>
    <row r="239" spans="1:42" ht="17" thickBot="1">
      <c r="A239" s="141"/>
      <c r="B239" s="112" t="s">
        <v>10</v>
      </c>
      <c r="C239" s="113">
        <v>0</v>
      </c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4"/>
      <c r="V239" s="113"/>
      <c r="W239" s="113"/>
      <c r="X239" s="113"/>
      <c r="Y239" s="113"/>
      <c r="Z239" s="113"/>
      <c r="AA239" s="113"/>
      <c r="AB239" s="113"/>
      <c r="AC239" s="113"/>
      <c r="AD239" s="113"/>
      <c r="AE239" s="113"/>
      <c r="AF239" s="113"/>
      <c r="AG239" s="113"/>
      <c r="AH239" s="113"/>
      <c r="AI239" s="113"/>
      <c r="AJ239" s="113"/>
      <c r="AK239" s="113"/>
      <c r="AL239" s="114"/>
      <c r="AM239" s="115"/>
      <c r="AN239" s="56">
        <f t="shared" si="14"/>
        <v>0</v>
      </c>
      <c r="AO239" s="56">
        <f t="shared" si="15"/>
        <v>0</v>
      </c>
      <c r="AP239" s="4"/>
    </row>
    <row r="240" spans="1:42" ht="17" thickBot="1">
      <c r="A240" s="141"/>
      <c r="B240" s="112" t="s">
        <v>7</v>
      </c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4"/>
      <c r="V240" s="113"/>
      <c r="W240" s="113"/>
      <c r="X240" s="113"/>
      <c r="Y240" s="113"/>
      <c r="Z240" s="113"/>
      <c r="AA240" s="113"/>
      <c r="AB240" s="113"/>
      <c r="AC240" s="113"/>
      <c r="AD240" s="113"/>
      <c r="AE240" s="113"/>
      <c r="AF240" s="113"/>
      <c r="AG240" s="113"/>
      <c r="AH240" s="113"/>
      <c r="AI240" s="113"/>
      <c r="AJ240" s="113"/>
      <c r="AK240" s="113"/>
      <c r="AL240" s="114"/>
      <c r="AM240" s="115"/>
      <c r="AN240" s="56">
        <f t="shared" si="14"/>
        <v>0</v>
      </c>
      <c r="AO240" s="56">
        <f t="shared" si="15"/>
        <v>0</v>
      </c>
      <c r="AP240" s="4"/>
    </row>
    <row r="241" spans="1:42" ht="17" thickBot="1">
      <c r="A241" s="141"/>
      <c r="B241" s="112" t="s">
        <v>8</v>
      </c>
      <c r="C241" s="113">
        <v>0</v>
      </c>
      <c r="D241" s="113">
        <v>0</v>
      </c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4"/>
      <c r="V241" s="113"/>
      <c r="W241" s="113"/>
      <c r="X241" s="113"/>
      <c r="Y241" s="113"/>
      <c r="Z241" s="113"/>
      <c r="AA241" s="113"/>
      <c r="AB241" s="113"/>
      <c r="AC241" s="113"/>
      <c r="AD241" s="113"/>
      <c r="AE241" s="113"/>
      <c r="AF241" s="113"/>
      <c r="AG241" s="113"/>
      <c r="AH241" s="113"/>
      <c r="AI241" s="113"/>
      <c r="AJ241" s="113"/>
      <c r="AK241" s="113"/>
      <c r="AL241" s="114"/>
      <c r="AM241" s="115"/>
      <c r="AN241" s="56">
        <f t="shared" si="14"/>
        <v>0</v>
      </c>
      <c r="AO241" s="56">
        <f t="shared" si="15"/>
        <v>0</v>
      </c>
      <c r="AP241" s="4"/>
    </row>
    <row r="242" spans="1:42" ht="17" thickBot="1">
      <c r="A242" s="116"/>
      <c r="B242" s="117" t="s">
        <v>9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114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114"/>
      <c r="AM242" s="115"/>
      <c r="AN242" s="56">
        <f t="shared" si="14"/>
        <v>0</v>
      </c>
      <c r="AO242" s="56">
        <f t="shared" si="15"/>
        <v>0</v>
      </c>
      <c r="AP242" s="4"/>
    </row>
    <row r="243" spans="1:42" ht="17" thickBot="1">
      <c r="A243" s="136" t="s">
        <v>118</v>
      </c>
      <c r="B243" s="112" t="s">
        <v>5</v>
      </c>
      <c r="C243" s="113"/>
      <c r="D243" s="113"/>
      <c r="E243" s="113">
        <v>0</v>
      </c>
      <c r="F243" s="113">
        <v>-69</v>
      </c>
      <c r="G243" s="113">
        <v>0</v>
      </c>
      <c r="H243" s="113">
        <v>0</v>
      </c>
      <c r="I243" s="113">
        <v>-69</v>
      </c>
      <c r="J243" s="113">
        <v>0</v>
      </c>
      <c r="K243" s="113">
        <v>0</v>
      </c>
      <c r="L243" s="113">
        <v>0</v>
      </c>
      <c r="M243" s="113">
        <v>0</v>
      </c>
      <c r="N243" s="113">
        <v>0</v>
      </c>
      <c r="O243" s="113">
        <v>0</v>
      </c>
      <c r="P243" s="113">
        <v>0</v>
      </c>
      <c r="Q243" s="113">
        <v>0</v>
      </c>
      <c r="R243" s="113">
        <v>0</v>
      </c>
      <c r="S243" s="113">
        <v>0</v>
      </c>
      <c r="T243" s="113">
        <v>0</v>
      </c>
      <c r="U243" s="114">
        <v>45</v>
      </c>
      <c r="V243" s="113">
        <v>0</v>
      </c>
      <c r="W243" s="113">
        <v>0</v>
      </c>
      <c r="X243" s="113">
        <v>0</v>
      </c>
      <c r="Y243" s="113">
        <v>0</v>
      </c>
      <c r="Z243" s="113">
        <v>0</v>
      </c>
      <c r="AA243" s="113">
        <v>0</v>
      </c>
      <c r="AB243" s="113">
        <v>0</v>
      </c>
      <c r="AC243" s="113">
        <v>0</v>
      </c>
      <c r="AD243" s="113">
        <v>0</v>
      </c>
      <c r="AE243" s="113">
        <v>0</v>
      </c>
      <c r="AF243" s="113">
        <v>0</v>
      </c>
      <c r="AG243" s="113">
        <v>0</v>
      </c>
      <c r="AH243" s="113">
        <v>0</v>
      </c>
      <c r="AI243" s="113">
        <v>0</v>
      </c>
      <c r="AJ243" s="113">
        <v>0</v>
      </c>
      <c r="AK243" s="113">
        <v>0</v>
      </c>
      <c r="AL243" s="114">
        <v>0</v>
      </c>
      <c r="AM243" s="115">
        <v>64</v>
      </c>
      <c r="AN243" s="56">
        <f t="shared" si="14"/>
        <v>2880</v>
      </c>
      <c r="AO243" s="56">
        <f t="shared" si="15"/>
        <v>0</v>
      </c>
      <c r="AP243" s="4" t="s">
        <v>133</v>
      </c>
    </row>
    <row r="244" spans="1:42" ht="17" thickBot="1">
      <c r="A244" s="136"/>
      <c r="B244" s="112" t="s">
        <v>6</v>
      </c>
      <c r="C244" s="113"/>
      <c r="D244" s="113"/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4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4">
        <v>0</v>
      </c>
      <c r="AM244" s="115"/>
      <c r="AN244" s="56">
        <f t="shared" si="14"/>
        <v>0</v>
      </c>
      <c r="AO244" s="56">
        <f t="shared" si="15"/>
        <v>0</v>
      </c>
      <c r="AP244" s="4"/>
    </row>
    <row r="245" spans="1:42" ht="17" thickBot="1">
      <c r="A245" s="136"/>
      <c r="B245" s="112" t="s">
        <v>10</v>
      </c>
      <c r="C245" s="113">
        <v>0</v>
      </c>
      <c r="D245" s="113"/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4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4">
        <v>0</v>
      </c>
      <c r="AM245" s="115"/>
      <c r="AN245" s="56">
        <f t="shared" si="14"/>
        <v>0</v>
      </c>
      <c r="AO245" s="56">
        <f t="shared" si="15"/>
        <v>0</v>
      </c>
      <c r="AP245" s="4"/>
    </row>
    <row r="246" spans="1:42" ht="17" thickBot="1">
      <c r="A246" s="136"/>
      <c r="B246" s="112" t="s">
        <v>7</v>
      </c>
      <c r="C246" s="113"/>
      <c r="D246" s="113"/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4">
        <v>114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4">
        <v>0</v>
      </c>
      <c r="AM246" s="115"/>
      <c r="AN246" s="56">
        <f t="shared" si="14"/>
        <v>0</v>
      </c>
      <c r="AO246" s="56">
        <f t="shared" si="15"/>
        <v>0</v>
      </c>
      <c r="AP246" s="4"/>
    </row>
    <row r="247" spans="1:42" ht="17" thickBot="1">
      <c r="A247" s="136"/>
      <c r="B247" s="112" t="s">
        <v>8</v>
      </c>
      <c r="C247" s="113">
        <v>69</v>
      </c>
      <c r="D247" s="113">
        <v>114</v>
      </c>
      <c r="E247" s="113">
        <v>0</v>
      </c>
      <c r="F247" s="113">
        <v>69</v>
      </c>
      <c r="G247" s="113">
        <v>69</v>
      </c>
      <c r="H247" s="113">
        <v>69</v>
      </c>
      <c r="I247" s="113">
        <v>69</v>
      </c>
      <c r="J247" s="113">
        <v>69</v>
      </c>
      <c r="K247" s="113">
        <v>69</v>
      </c>
      <c r="L247" s="113">
        <v>69</v>
      </c>
      <c r="M247" s="113">
        <v>69</v>
      </c>
      <c r="N247" s="113">
        <v>69</v>
      </c>
      <c r="O247" s="113">
        <v>69</v>
      </c>
      <c r="P247" s="113">
        <v>69</v>
      </c>
      <c r="Q247" s="113">
        <v>69</v>
      </c>
      <c r="R247" s="113">
        <v>69</v>
      </c>
      <c r="S247" s="113">
        <v>69</v>
      </c>
      <c r="T247" s="113">
        <v>69</v>
      </c>
      <c r="U247" s="114">
        <v>69</v>
      </c>
      <c r="V247" s="113">
        <v>69</v>
      </c>
      <c r="W247" s="113">
        <v>69</v>
      </c>
      <c r="X247" s="113">
        <v>69</v>
      </c>
      <c r="Y247" s="113">
        <v>69</v>
      </c>
      <c r="Z247" s="113">
        <v>69</v>
      </c>
      <c r="AA247" s="113">
        <v>69</v>
      </c>
      <c r="AB247" s="113">
        <v>69</v>
      </c>
      <c r="AC247" s="113">
        <v>69</v>
      </c>
      <c r="AD247" s="113">
        <v>69</v>
      </c>
      <c r="AE247" s="113">
        <v>69</v>
      </c>
      <c r="AF247" s="113">
        <v>69</v>
      </c>
      <c r="AG247" s="113">
        <v>69</v>
      </c>
      <c r="AH247" s="113">
        <v>69</v>
      </c>
      <c r="AI247" s="113">
        <v>69</v>
      </c>
      <c r="AJ247" s="113">
        <v>69</v>
      </c>
      <c r="AK247" s="113">
        <v>69</v>
      </c>
      <c r="AL247" s="114">
        <v>69</v>
      </c>
      <c r="AM247" s="115"/>
      <c r="AN247" s="56">
        <f t="shared" si="14"/>
        <v>0</v>
      </c>
      <c r="AO247" s="56">
        <f t="shared" si="15"/>
        <v>0</v>
      </c>
      <c r="AP247" s="4"/>
    </row>
    <row r="248" spans="1:42" ht="17" thickBot="1">
      <c r="A248" s="116"/>
      <c r="B248" s="117" t="s">
        <v>9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114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114"/>
      <c r="AM248" s="115"/>
      <c r="AN248" s="56">
        <f t="shared" si="14"/>
        <v>0</v>
      </c>
      <c r="AO248" s="56">
        <f t="shared" si="15"/>
        <v>0</v>
      </c>
      <c r="AP248" s="4"/>
    </row>
    <row r="249" spans="1:42" ht="17" thickBot="1">
      <c r="A249" s="136" t="s">
        <v>109</v>
      </c>
      <c r="B249" s="112" t="s">
        <v>5</v>
      </c>
      <c r="C249" s="113"/>
      <c r="D249" s="113"/>
      <c r="E249" s="113">
        <v>0</v>
      </c>
      <c r="F249" s="113">
        <v>-1</v>
      </c>
      <c r="G249" s="113">
        <v>0</v>
      </c>
      <c r="H249" s="113">
        <v>0</v>
      </c>
      <c r="I249" s="113">
        <v>-1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4">
        <v>37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4">
        <v>0</v>
      </c>
      <c r="AM249" s="115">
        <v>128</v>
      </c>
      <c r="AN249" s="56">
        <f t="shared" si="14"/>
        <v>4736</v>
      </c>
      <c r="AO249" s="56">
        <f t="shared" si="15"/>
        <v>0</v>
      </c>
      <c r="AP249" s="4" t="s">
        <v>134</v>
      </c>
    </row>
    <row r="250" spans="1:42" ht="17" thickBot="1">
      <c r="A250" s="136"/>
      <c r="B250" s="112" t="s">
        <v>6</v>
      </c>
      <c r="C250" s="113"/>
      <c r="D250" s="113"/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4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4">
        <v>0</v>
      </c>
      <c r="AM250" s="115"/>
      <c r="AN250" s="56">
        <f t="shared" si="14"/>
        <v>0</v>
      </c>
      <c r="AO250" s="56">
        <f t="shared" si="15"/>
        <v>0</v>
      </c>
      <c r="AP250" s="4"/>
    </row>
    <row r="251" spans="1:42" ht="17" thickBot="1">
      <c r="A251" s="136"/>
      <c r="B251" s="112" t="s">
        <v>10</v>
      </c>
      <c r="C251" s="113">
        <v>0</v>
      </c>
      <c r="D251" s="113"/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4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4">
        <v>0</v>
      </c>
      <c r="AM251" s="115"/>
      <c r="AN251" s="56">
        <f t="shared" si="14"/>
        <v>0</v>
      </c>
      <c r="AO251" s="56">
        <f t="shared" si="15"/>
        <v>0</v>
      </c>
      <c r="AP251" s="4"/>
    </row>
    <row r="252" spans="1:42" ht="17" thickBot="1">
      <c r="A252" s="136"/>
      <c r="B252" s="112" t="s">
        <v>7</v>
      </c>
      <c r="C252" s="113"/>
      <c r="D252" s="113"/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4">
        <v>38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4">
        <v>0</v>
      </c>
      <c r="AM252" s="115"/>
      <c r="AN252" s="56">
        <f t="shared" si="14"/>
        <v>0</v>
      </c>
      <c r="AO252" s="56">
        <f t="shared" si="15"/>
        <v>0</v>
      </c>
      <c r="AP252" s="4"/>
    </row>
    <row r="253" spans="1:42" ht="17" thickBot="1">
      <c r="A253" s="136"/>
      <c r="B253" s="112" t="s">
        <v>8</v>
      </c>
      <c r="C253" s="113">
        <v>1</v>
      </c>
      <c r="D253" s="113">
        <v>38</v>
      </c>
      <c r="E253" s="113">
        <v>0</v>
      </c>
      <c r="F253" s="113">
        <v>1</v>
      </c>
      <c r="G253" s="113">
        <v>1</v>
      </c>
      <c r="H253" s="113">
        <v>1</v>
      </c>
      <c r="I253" s="113">
        <v>1</v>
      </c>
      <c r="J253" s="113">
        <v>1</v>
      </c>
      <c r="K253" s="113">
        <v>1</v>
      </c>
      <c r="L253" s="113">
        <v>1</v>
      </c>
      <c r="M253" s="113">
        <v>1</v>
      </c>
      <c r="N253" s="113">
        <v>1</v>
      </c>
      <c r="O253" s="113">
        <v>1</v>
      </c>
      <c r="P253" s="113">
        <v>1</v>
      </c>
      <c r="Q253" s="113">
        <v>1</v>
      </c>
      <c r="R253" s="113">
        <v>1</v>
      </c>
      <c r="S253" s="113">
        <v>1</v>
      </c>
      <c r="T253" s="113">
        <v>1</v>
      </c>
      <c r="U253" s="114">
        <v>1</v>
      </c>
      <c r="V253" s="113">
        <v>1</v>
      </c>
      <c r="W253" s="113">
        <v>1</v>
      </c>
      <c r="X253" s="113">
        <v>1</v>
      </c>
      <c r="Y253" s="113">
        <v>1</v>
      </c>
      <c r="Z253" s="113">
        <v>1</v>
      </c>
      <c r="AA253" s="113">
        <v>1</v>
      </c>
      <c r="AB253" s="113">
        <v>1</v>
      </c>
      <c r="AC253" s="113">
        <v>1</v>
      </c>
      <c r="AD253" s="113">
        <v>1</v>
      </c>
      <c r="AE253" s="113">
        <v>1</v>
      </c>
      <c r="AF253" s="113">
        <v>1</v>
      </c>
      <c r="AG253" s="113">
        <v>1</v>
      </c>
      <c r="AH253" s="113">
        <v>1</v>
      </c>
      <c r="AI253" s="113">
        <v>1</v>
      </c>
      <c r="AJ253" s="113">
        <v>1</v>
      </c>
      <c r="AK253" s="113">
        <v>1</v>
      </c>
      <c r="AL253" s="114">
        <v>1</v>
      </c>
      <c r="AM253" s="115"/>
      <c r="AN253" s="56">
        <f t="shared" si="14"/>
        <v>0</v>
      </c>
      <c r="AO253" s="56">
        <f t="shared" si="15"/>
        <v>0</v>
      </c>
      <c r="AP253" s="4"/>
    </row>
    <row r="254" spans="1:42" ht="17" thickBot="1">
      <c r="A254" s="116"/>
      <c r="B254" s="117" t="s">
        <v>9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114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114"/>
      <c r="AM254" s="115"/>
      <c r="AN254" s="56">
        <f t="shared" si="14"/>
        <v>0</v>
      </c>
      <c r="AO254" s="56">
        <f t="shared" si="15"/>
        <v>0</v>
      </c>
      <c r="AP254" s="4"/>
    </row>
    <row r="255" spans="1:42" ht="17" thickBot="1">
      <c r="A255" s="136" t="s">
        <v>119</v>
      </c>
      <c r="B255" s="112" t="s">
        <v>5</v>
      </c>
      <c r="C255" s="113"/>
      <c r="D255" s="113"/>
      <c r="E255" s="113">
        <v>0</v>
      </c>
      <c r="F255" s="113">
        <v>0</v>
      </c>
      <c r="G255" s="113">
        <v>0</v>
      </c>
      <c r="H255" s="113">
        <v>0</v>
      </c>
      <c r="I255" s="113">
        <v>0</v>
      </c>
      <c r="J255" s="113">
        <v>0</v>
      </c>
      <c r="K255" s="113">
        <v>0</v>
      </c>
      <c r="L255" s="113">
        <v>0</v>
      </c>
      <c r="M255" s="113">
        <v>0</v>
      </c>
      <c r="N255" s="113">
        <v>0</v>
      </c>
      <c r="O255" s="113">
        <v>0</v>
      </c>
      <c r="P255" s="113">
        <v>0</v>
      </c>
      <c r="Q255" s="113">
        <v>0</v>
      </c>
      <c r="R255" s="113">
        <v>0</v>
      </c>
      <c r="S255" s="113">
        <v>0</v>
      </c>
      <c r="T255" s="113">
        <v>0</v>
      </c>
      <c r="U255" s="114">
        <v>0</v>
      </c>
      <c r="V255" s="113">
        <v>0</v>
      </c>
      <c r="W255" s="113">
        <v>0</v>
      </c>
      <c r="X255" s="113">
        <v>0</v>
      </c>
      <c r="Y255" s="113">
        <v>0</v>
      </c>
      <c r="Z255" s="113">
        <v>0</v>
      </c>
      <c r="AA255" s="113">
        <v>0</v>
      </c>
      <c r="AB255" s="113">
        <v>0</v>
      </c>
      <c r="AC255" s="113">
        <v>0</v>
      </c>
      <c r="AD255" s="113">
        <v>0</v>
      </c>
      <c r="AE255" s="113">
        <v>0</v>
      </c>
      <c r="AF255" s="113">
        <v>0</v>
      </c>
      <c r="AG255" s="113">
        <v>0</v>
      </c>
      <c r="AH255" s="113">
        <v>0</v>
      </c>
      <c r="AI255" s="113">
        <v>0</v>
      </c>
      <c r="AJ255" s="113">
        <v>0</v>
      </c>
      <c r="AK255" s="113">
        <v>0</v>
      </c>
      <c r="AL255" s="114">
        <v>0</v>
      </c>
      <c r="AM255" s="115">
        <v>64</v>
      </c>
      <c r="AN255" s="56">
        <f t="shared" si="14"/>
        <v>0</v>
      </c>
      <c r="AO255" s="56">
        <f t="shared" si="15"/>
        <v>0</v>
      </c>
      <c r="AP255" s="4" t="s">
        <v>133</v>
      </c>
    </row>
    <row r="256" spans="1:42" ht="17" thickBot="1">
      <c r="A256" s="136"/>
      <c r="B256" s="112" t="s">
        <v>6</v>
      </c>
      <c r="C256" s="113"/>
      <c r="D256" s="113"/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4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4">
        <v>0</v>
      </c>
      <c r="AM256" s="115"/>
      <c r="AN256" s="56">
        <f t="shared" si="14"/>
        <v>0</v>
      </c>
      <c r="AO256" s="56">
        <f t="shared" si="15"/>
        <v>0</v>
      </c>
      <c r="AP256" s="4"/>
    </row>
    <row r="257" spans="1:42" ht="17" thickBot="1">
      <c r="A257" s="136"/>
      <c r="B257" s="112" t="s">
        <v>10</v>
      </c>
      <c r="C257" s="113">
        <v>0</v>
      </c>
      <c r="D257" s="113"/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4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4">
        <v>0</v>
      </c>
      <c r="AM257" s="115"/>
      <c r="AN257" s="56">
        <f t="shared" si="14"/>
        <v>0</v>
      </c>
      <c r="AO257" s="56">
        <f t="shared" si="15"/>
        <v>0</v>
      </c>
      <c r="AP257" s="4"/>
    </row>
    <row r="258" spans="1:42" ht="17" thickBot="1">
      <c r="A258" s="136"/>
      <c r="B258" s="112" t="s">
        <v>7</v>
      </c>
      <c r="C258" s="113"/>
      <c r="D258" s="113"/>
      <c r="E258" s="113">
        <v>0</v>
      </c>
      <c r="F258" s="113">
        <v>0</v>
      </c>
      <c r="G258" s="113">
        <v>0</v>
      </c>
      <c r="H258" s="113">
        <v>0</v>
      </c>
      <c r="I258" s="113">
        <v>0</v>
      </c>
      <c r="J258" s="113">
        <v>0</v>
      </c>
      <c r="K258" s="113">
        <v>0</v>
      </c>
      <c r="L258" s="113">
        <v>0</v>
      </c>
      <c r="M258" s="113">
        <v>0</v>
      </c>
      <c r="N258" s="113">
        <v>0</v>
      </c>
      <c r="O258" s="113">
        <v>0</v>
      </c>
      <c r="P258" s="113">
        <v>0</v>
      </c>
      <c r="Q258" s="113">
        <v>0</v>
      </c>
      <c r="R258" s="113">
        <v>0</v>
      </c>
      <c r="S258" s="113">
        <v>0</v>
      </c>
      <c r="T258" s="113">
        <v>0</v>
      </c>
      <c r="U258" s="114">
        <v>0</v>
      </c>
      <c r="V258" s="113">
        <v>0</v>
      </c>
      <c r="W258" s="113">
        <v>0</v>
      </c>
      <c r="X258" s="113">
        <v>0</v>
      </c>
      <c r="Y258" s="113">
        <v>0</v>
      </c>
      <c r="Z258" s="113">
        <v>0</v>
      </c>
      <c r="AA258" s="113">
        <v>0</v>
      </c>
      <c r="AB258" s="113">
        <v>0</v>
      </c>
      <c r="AC258" s="113">
        <v>0</v>
      </c>
      <c r="AD258" s="113">
        <v>0</v>
      </c>
      <c r="AE258" s="113">
        <v>0</v>
      </c>
      <c r="AF258" s="113">
        <v>0</v>
      </c>
      <c r="AG258" s="113">
        <v>0</v>
      </c>
      <c r="AH258" s="113">
        <v>0</v>
      </c>
      <c r="AI258" s="113">
        <v>0</v>
      </c>
      <c r="AJ258" s="113">
        <v>0</v>
      </c>
      <c r="AK258" s="113">
        <v>0</v>
      </c>
      <c r="AL258" s="114">
        <v>0</v>
      </c>
      <c r="AM258" s="115"/>
      <c r="AN258" s="56">
        <f t="shared" si="14"/>
        <v>0</v>
      </c>
      <c r="AO258" s="56">
        <f t="shared" si="15"/>
        <v>0</v>
      </c>
      <c r="AP258" s="4"/>
    </row>
    <row r="259" spans="1:42" ht="17" thickBot="1">
      <c r="A259" s="136"/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4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4">
        <v>0</v>
      </c>
      <c r="AM259" s="115"/>
      <c r="AN259" s="56">
        <f t="shared" si="14"/>
        <v>0</v>
      </c>
      <c r="AO259" s="56">
        <f t="shared" si="15"/>
        <v>0</v>
      </c>
      <c r="AP259" s="4"/>
    </row>
    <row r="260" spans="1:42" ht="17" thickBot="1">
      <c r="A260" s="116"/>
      <c r="B260" s="117" t="s">
        <v>9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114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114"/>
      <c r="AM260" s="115"/>
      <c r="AN260" s="56">
        <f t="shared" si="14"/>
        <v>0</v>
      </c>
      <c r="AO260" s="56">
        <f t="shared" si="15"/>
        <v>0</v>
      </c>
      <c r="AP260" s="4"/>
    </row>
    <row r="261" spans="1:42" ht="17" thickBot="1">
      <c r="A261" s="136" t="s">
        <v>120</v>
      </c>
      <c r="B261" s="112" t="s">
        <v>5</v>
      </c>
      <c r="C261" s="113"/>
      <c r="D261" s="113"/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4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4">
        <v>0</v>
      </c>
      <c r="AM261" s="115">
        <v>64</v>
      </c>
      <c r="AN261" s="56">
        <f t="shared" si="14"/>
        <v>0</v>
      </c>
      <c r="AO261" s="56">
        <f t="shared" si="15"/>
        <v>0</v>
      </c>
      <c r="AP261" s="4" t="s">
        <v>133</v>
      </c>
    </row>
    <row r="262" spans="1:42" ht="17" thickBot="1">
      <c r="A262" s="136"/>
      <c r="B262" s="112" t="s">
        <v>6</v>
      </c>
      <c r="C262" s="113"/>
      <c r="D262" s="113"/>
      <c r="E262" s="113">
        <v>0</v>
      </c>
      <c r="F262" s="113">
        <v>0</v>
      </c>
      <c r="G262" s="113">
        <v>0</v>
      </c>
      <c r="H262" s="113">
        <v>0</v>
      </c>
      <c r="I262" s="113">
        <v>0</v>
      </c>
      <c r="J262" s="113">
        <v>0</v>
      </c>
      <c r="K262" s="113">
        <v>0</v>
      </c>
      <c r="L262" s="113">
        <v>0</v>
      </c>
      <c r="M262" s="113">
        <v>0</v>
      </c>
      <c r="N262" s="113">
        <v>0</v>
      </c>
      <c r="O262" s="113">
        <v>0</v>
      </c>
      <c r="P262" s="113">
        <v>0</v>
      </c>
      <c r="Q262" s="113">
        <v>0</v>
      </c>
      <c r="R262" s="113">
        <v>0</v>
      </c>
      <c r="S262" s="113">
        <v>0</v>
      </c>
      <c r="T262" s="113">
        <v>0</v>
      </c>
      <c r="U262" s="114">
        <v>0</v>
      </c>
      <c r="V262" s="113">
        <v>0</v>
      </c>
      <c r="W262" s="113">
        <v>0</v>
      </c>
      <c r="X262" s="113">
        <v>0</v>
      </c>
      <c r="Y262" s="113">
        <v>0</v>
      </c>
      <c r="Z262" s="113">
        <v>0</v>
      </c>
      <c r="AA262" s="113">
        <v>0</v>
      </c>
      <c r="AB262" s="113">
        <v>0</v>
      </c>
      <c r="AC262" s="113">
        <v>0</v>
      </c>
      <c r="AD262" s="113">
        <v>0</v>
      </c>
      <c r="AE262" s="113">
        <v>0</v>
      </c>
      <c r="AF262" s="113">
        <v>0</v>
      </c>
      <c r="AG262" s="113">
        <v>0</v>
      </c>
      <c r="AH262" s="113">
        <v>0</v>
      </c>
      <c r="AI262" s="113">
        <v>0</v>
      </c>
      <c r="AJ262" s="113">
        <v>0</v>
      </c>
      <c r="AK262" s="113">
        <v>0</v>
      </c>
      <c r="AL262" s="114">
        <v>0</v>
      </c>
      <c r="AM262" s="115"/>
      <c r="AN262" s="56">
        <f t="shared" si="14"/>
        <v>0</v>
      </c>
      <c r="AO262" s="56">
        <f t="shared" si="15"/>
        <v>0</v>
      </c>
      <c r="AP262" s="4"/>
    </row>
    <row r="263" spans="1:42" ht="17" thickBot="1">
      <c r="A263" s="136"/>
      <c r="B263" s="112" t="s">
        <v>10</v>
      </c>
      <c r="C263" s="113">
        <v>0</v>
      </c>
      <c r="D263" s="113"/>
      <c r="E263" s="113">
        <v>0</v>
      </c>
      <c r="F263" s="113">
        <v>0</v>
      </c>
      <c r="G263" s="113">
        <v>0</v>
      </c>
      <c r="H263" s="113">
        <v>0</v>
      </c>
      <c r="I263" s="113">
        <v>0</v>
      </c>
      <c r="J263" s="113">
        <v>0</v>
      </c>
      <c r="K263" s="113">
        <v>0</v>
      </c>
      <c r="L263" s="113">
        <v>0</v>
      </c>
      <c r="M263" s="113">
        <v>0</v>
      </c>
      <c r="N263" s="113">
        <v>0</v>
      </c>
      <c r="O263" s="113">
        <v>0</v>
      </c>
      <c r="P263" s="113">
        <v>0</v>
      </c>
      <c r="Q263" s="113">
        <v>0</v>
      </c>
      <c r="R263" s="113">
        <v>0</v>
      </c>
      <c r="S263" s="113">
        <v>0</v>
      </c>
      <c r="T263" s="113">
        <v>0</v>
      </c>
      <c r="U263" s="114">
        <v>0</v>
      </c>
      <c r="V263" s="113">
        <v>0</v>
      </c>
      <c r="W263" s="113">
        <v>0</v>
      </c>
      <c r="X263" s="113">
        <v>0</v>
      </c>
      <c r="Y263" s="113">
        <v>0</v>
      </c>
      <c r="Z263" s="113">
        <v>0</v>
      </c>
      <c r="AA263" s="113">
        <v>0</v>
      </c>
      <c r="AB263" s="113">
        <v>0</v>
      </c>
      <c r="AC263" s="113">
        <v>0</v>
      </c>
      <c r="AD263" s="113">
        <v>0</v>
      </c>
      <c r="AE263" s="113">
        <v>0</v>
      </c>
      <c r="AF263" s="113">
        <v>0</v>
      </c>
      <c r="AG263" s="113">
        <v>0</v>
      </c>
      <c r="AH263" s="113">
        <v>0</v>
      </c>
      <c r="AI263" s="113">
        <v>0</v>
      </c>
      <c r="AJ263" s="113">
        <v>0</v>
      </c>
      <c r="AK263" s="113">
        <v>0</v>
      </c>
      <c r="AL263" s="114">
        <v>0</v>
      </c>
      <c r="AM263" s="115"/>
      <c r="AN263" s="56">
        <f t="shared" si="14"/>
        <v>0</v>
      </c>
      <c r="AO263" s="56">
        <f t="shared" si="15"/>
        <v>0</v>
      </c>
      <c r="AP263" s="4"/>
    </row>
    <row r="264" spans="1:42" ht="17" thickBot="1">
      <c r="A264" s="136"/>
      <c r="B264" s="112" t="s">
        <v>7</v>
      </c>
      <c r="C264" s="113"/>
      <c r="D264" s="113"/>
      <c r="E264" s="113">
        <v>0</v>
      </c>
      <c r="F264" s="113">
        <v>0</v>
      </c>
      <c r="G264" s="113">
        <v>0</v>
      </c>
      <c r="H264" s="113">
        <v>0</v>
      </c>
      <c r="I264" s="113">
        <v>0</v>
      </c>
      <c r="J264" s="113">
        <v>0</v>
      </c>
      <c r="K264" s="113">
        <v>0</v>
      </c>
      <c r="L264" s="113">
        <v>0</v>
      </c>
      <c r="M264" s="113">
        <v>0</v>
      </c>
      <c r="N264" s="113">
        <v>0</v>
      </c>
      <c r="O264" s="113">
        <v>0</v>
      </c>
      <c r="P264" s="113">
        <v>0</v>
      </c>
      <c r="Q264" s="113">
        <v>0</v>
      </c>
      <c r="R264" s="113">
        <v>0</v>
      </c>
      <c r="S264" s="113">
        <v>0</v>
      </c>
      <c r="T264" s="113">
        <v>0</v>
      </c>
      <c r="U264" s="114">
        <v>0</v>
      </c>
      <c r="V264" s="113">
        <v>0</v>
      </c>
      <c r="W264" s="113">
        <v>0</v>
      </c>
      <c r="X264" s="113">
        <v>0</v>
      </c>
      <c r="Y264" s="113">
        <v>0</v>
      </c>
      <c r="Z264" s="113">
        <v>0</v>
      </c>
      <c r="AA264" s="113">
        <v>0</v>
      </c>
      <c r="AB264" s="113">
        <v>0</v>
      </c>
      <c r="AC264" s="113">
        <v>0</v>
      </c>
      <c r="AD264" s="113">
        <v>0</v>
      </c>
      <c r="AE264" s="113">
        <v>0</v>
      </c>
      <c r="AF264" s="113">
        <v>0</v>
      </c>
      <c r="AG264" s="113">
        <v>0</v>
      </c>
      <c r="AH264" s="113">
        <v>0</v>
      </c>
      <c r="AI264" s="113">
        <v>0</v>
      </c>
      <c r="AJ264" s="113">
        <v>0</v>
      </c>
      <c r="AK264" s="113">
        <v>0</v>
      </c>
      <c r="AL264" s="114">
        <v>0</v>
      </c>
      <c r="AM264" s="115"/>
      <c r="AN264" s="56">
        <f t="shared" si="14"/>
        <v>0</v>
      </c>
      <c r="AO264" s="56">
        <f t="shared" si="15"/>
        <v>0</v>
      </c>
      <c r="AP264" s="4"/>
    </row>
    <row r="265" spans="1:42" ht="17" thickBot="1">
      <c r="A265" s="136"/>
      <c r="B265" s="112" t="s">
        <v>8</v>
      </c>
      <c r="C265" s="113">
        <v>0</v>
      </c>
      <c r="D265" s="113">
        <v>0</v>
      </c>
      <c r="E265" s="113">
        <v>0</v>
      </c>
      <c r="F265" s="113">
        <v>0</v>
      </c>
      <c r="G265" s="113">
        <v>0</v>
      </c>
      <c r="H265" s="113">
        <v>0</v>
      </c>
      <c r="I265" s="113">
        <v>0</v>
      </c>
      <c r="J265" s="113">
        <v>0</v>
      </c>
      <c r="K265" s="113">
        <v>0</v>
      </c>
      <c r="L265" s="113">
        <v>0</v>
      </c>
      <c r="M265" s="113">
        <v>0</v>
      </c>
      <c r="N265" s="113">
        <v>0</v>
      </c>
      <c r="O265" s="113">
        <v>0</v>
      </c>
      <c r="P265" s="113">
        <v>0</v>
      </c>
      <c r="Q265" s="113">
        <v>0</v>
      </c>
      <c r="R265" s="113">
        <v>0</v>
      </c>
      <c r="S265" s="113">
        <v>0</v>
      </c>
      <c r="T265" s="113">
        <v>0</v>
      </c>
      <c r="U265" s="114">
        <v>0</v>
      </c>
      <c r="V265" s="113">
        <v>0</v>
      </c>
      <c r="W265" s="113">
        <v>0</v>
      </c>
      <c r="X265" s="113">
        <v>0</v>
      </c>
      <c r="Y265" s="113">
        <v>0</v>
      </c>
      <c r="Z265" s="113">
        <v>0</v>
      </c>
      <c r="AA265" s="113">
        <v>0</v>
      </c>
      <c r="AB265" s="113">
        <v>0</v>
      </c>
      <c r="AC265" s="113">
        <v>0</v>
      </c>
      <c r="AD265" s="113">
        <v>0</v>
      </c>
      <c r="AE265" s="113">
        <v>0</v>
      </c>
      <c r="AF265" s="113">
        <v>0</v>
      </c>
      <c r="AG265" s="113">
        <v>0</v>
      </c>
      <c r="AH265" s="113">
        <v>0</v>
      </c>
      <c r="AI265" s="113">
        <v>0</v>
      </c>
      <c r="AJ265" s="113">
        <v>0</v>
      </c>
      <c r="AK265" s="113">
        <v>0</v>
      </c>
      <c r="AL265" s="114">
        <v>0</v>
      </c>
      <c r="AM265" s="115"/>
      <c r="AN265" s="56">
        <f t="shared" si="14"/>
        <v>0</v>
      </c>
      <c r="AO265" s="56">
        <f t="shared" si="15"/>
        <v>0</v>
      </c>
      <c r="AP265" s="4"/>
    </row>
    <row r="266" spans="1:42" ht="17" thickBot="1">
      <c r="A266" s="116"/>
      <c r="B266" s="117" t="s">
        <v>9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114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114"/>
      <c r="AM266" s="115"/>
      <c r="AN266" s="56">
        <f t="shared" si="14"/>
        <v>0</v>
      </c>
      <c r="AO266" s="56">
        <f t="shared" si="15"/>
        <v>0</v>
      </c>
      <c r="AP266" s="4"/>
    </row>
    <row r="267" spans="1:42" ht="17" thickBot="1">
      <c r="A267" s="136" t="s">
        <v>110</v>
      </c>
      <c r="B267" s="112" t="s">
        <v>5</v>
      </c>
      <c r="C267" s="113"/>
      <c r="D267" s="113"/>
      <c r="E267" s="113">
        <v>1785</v>
      </c>
      <c r="F267" s="113">
        <v>-6082</v>
      </c>
      <c r="G267" s="113">
        <v>1981</v>
      </c>
      <c r="H267" s="113">
        <v>3811</v>
      </c>
      <c r="I267" s="113">
        <v>1495</v>
      </c>
      <c r="J267" s="113">
        <v>1152</v>
      </c>
      <c r="K267" s="113">
        <v>1403</v>
      </c>
      <c r="L267" s="113">
        <v>1601</v>
      </c>
      <c r="M267" s="113">
        <v>1901</v>
      </c>
      <c r="N267" s="113">
        <v>6057</v>
      </c>
      <c r="O267" s="113">
        <v>3784</v>
      </c>
      <c r="P267" s="113">
        <v>0</v>
      </c>
      <c r="Q267" s="113">
        <v>2780</v>
      </c>
      <c r="R267" s="113">
        <v>2595</v>
      </c>
      <c r="S267" s="113">
        <v>4381</v>
      </c>
      <c r="T267" s="113">
        <v>13540</v>
      </c>
      <c r="U267" s="114">
        <v>34934</v>
      </c>
      <c r="V267" s="113">
        <v>32</v>
      </c>
      <c r="W267" s="113">
        <v>1353</v>
      </c>
      <c r="X267" s="113">
        <v>1368</v>
      </c>
      <c r="Y267" s="113">
        <v>1528</v>
      </c>
      <c r="Z267" s="113">
        <v>4281</v>
      </c>
      <c r="AA267" s="113">
        <v>1021</v>
      </c>
      <c r="AB267" s="113">
        <v>293</v>
      </c>
      <c r="AC267" s="113">
        <v>386</v>
      </c>
      <c r="AD267" s="113">
        <v>386</v>
      </c>
      <c r="AE267" s="113">
        <v>2086</v>
      </c>
      <c r="AF267" s="113">
        <v>362</v>
      </c>
      <c r="AG267" s="113">
        <v>190</v>
      </c>
      <c r="AH267" s="113">
        <v>0</v>
      </c>
      <c r="AI267" s="113">
        <v>0</v>
      </c>
      <c r="AJ267" s="113">
        <v>0</v>
      </c>
      <c r="AK267" s="113">
        <v>552</v>
      </c>
      <c r="AL267" s="114">
        <v>6919</v>
      </c>
      <c r="AM267" s="115">
        <v>64</v>
      </c>
      <c r="AN267" s="56">
        <f t="shared" si="14"/>
        <v>2235776</v>
      </c>
      <c r="AO267" s="56">
        <f t="shared" si="15"/>
        <v>442816</v>
      </c>
      <c r="AP267" s="4" t="str">
        <f>VLOOKUP(A267,[1]Basic!$B:$F,5,0)</f>
        <v>D5 8GB</v>
      </c>
    </row>
    <row r="268" spans="1:42" ht="17" thickBot="1">
      <c r="A268" s="136"/>
      <c r="B268" s="112" t="s">
        <v>6</v>
      </c>
      <c r="C268" s="113"/>
      <c r="D268" s="113"/>
      <c r="E268" s="113">
        <v>1785</v>
      </c>
      <c r="F268" s="113">
        <v>0</v>
      </c>
      <c r="G268" s="113">
        <v>0</v>
      </c>
      <c r="H268" s="113">
        <v>0</v>
      </c>
      <c r="I268" s="113">
        <v>1785</v>
      </c>
      <c r="J268" s="113">
        <v>6000</v>
      </c>
      <c r="K268" s="113">
        <v>0</v>
      </c>
      <c r="L268" s="113">
        <v>0</v>
      </c>
      <c r="M268" s="113">
        <v>0</v>
      </c>
      <c r="N268" s="113">
        <v>6000</v>
      </c>
      <c r="O268" s="113">
        <v>11000</v>
      </c>
      <c r="P268" s="113">
        <v>0</v>
      </c>
      <c r="Q268" s="113">
        <v>0</v>
      </c>
      <c r="R268" s="113">
        <v>0</v>
      </c>
      <c r="S268" s="113">
        <v>13000</v>
      </c>
      <c r="T268" s="113">
        <v>24000</v>
      </c>
      <c r="U268" s="114">
        <v>31785</v>
      </c>
      <c r="V268" s="113">
        <v>0</v>
      </c>
      <c r="W268" s="113">
        <v>0</v>
      </c>
      <c r="X268" s="113">
        <v>0</v>
      </c>
      <c r="Y268" s="113">
        <v>0</v>
      </c>
      <c r="Z268" s="113">
        <v>0</v>
      </c>
      <c r="AA268" s="113">
        <v>0</v>
      </c>
      <c r="AB268" s="113">
        <v>0</v>
      </c>
      <c r="AC268" s="113">
        <v>0</v>
      </c>
      <c r="AD268" s="113">
        <v>0</v>
      </c>
      <c r="AE268" s="113">
        <v>0</v>
      </c>
      <c r="AF268" s="113">
        <v>1000</v>
      </c>
      <c r="AG268" s="113">
        <v>0</v>
      </c>
      <c r="AH268" s="113">
        <v>0</v>
      </c>
      <c r="AI268" s="113">
        <v>0</v>
      </c>
      <c r="AJ268" s="113">
        <v>1000</v>
      </c>
      <c r="AK268" s="113">
        <v>2000</v>
      </c>
      <c r="AL268" s="114">
        <v>2000</v>
      </c>
      <c r="AM268" s="115"/>
      <c r="AN268" s="56">
        <f t="shared" si="14"/>
        <v>0</v>
      </c>
      <c r="AO268" s="56">
        <f t="shared" si="15"/>
        <v>0</v>
      </c>
      <c r="AP268" s="4"/>
    </row>
    <row r="269" spans="1:42" ht="17" thickBot="1">
      <c r="A269" s="136"/>
      <c r="B269" s="112" t="s">
        <v>10</v>
      </c>
      <c r="C269" s="113">
        <v>0</v>
      </c>
      <c r="D269" s="113"/>
      <c r="E269" s="113">
        <v>0</v>
      </c>
      <c r="F269" s="113">
        <v>0</v>
      </c>
      <c r="G269" s="113">
        <v>0</v>
      </c>
      <c r="H269" s="113">
        <v>0</v>
      </c>
      <c r="I269" s="113">
        <v>0</v>
      </c>
      <c r="J269" s="113">
        <v>0</v>
      </c>
      <c r="K269" s="113">
        <v>0</v>
      </c>
      <c r="L269" s="113">
        <v>0</v>
      </c>
      <c r="M269" s="113">
        <v>0</v>
      </c>
      <c r="N269" s="113">
        <v>0</v>
      </c>
      <c r="O269" s="113">
        <v>0</v>
      </c>
      <c r="P269" s="113">
        <v>0</v>
      </c>
      <c r="Q269" s="113">
        <v>0</v>
      </c>
      <c r="R269" s="113">
        <v>0</v>
      </c>
      <c r="S269" s="113">
        <v>0</v>
      </c>
      <c r="T269" s="113">
        <v>0</v>
      </c>
      <c r="U269" s="114">
        <v>0</v>
      </c>
      <c r="V269" s="113">
        <v>0</v>
      </c>
      <c r="W269" s="113">
        <v>0</v>
      </c>
      <c r="X269" s="113">
        <v>0</v>
      </c>
      <c r="Y269" s="113">
        <v>0</v>
      </c>
      <c r="Z269" s="113">
        <v>0</v>
      </c>
      <c r="AA269" s="113">
        <v>0</v>
      </c>
      <c r="AB269" s="113">
        <v>0</v>
      </c>
      <c r="AC269" s="113">
        <v>0</v>
      </c>
      <c r="AD269" s="113">
        <v>0</v>
      </c>
      <c r="AE269" s="113">
        <v>0</v>
      </c>
      <c r="AF269" s="113">
        <v>0</v>
      </c>
      <c r="AG269" s="113">
        <v>0</v>
      </c>
      <c r="AH269" s="113">
        <v>0</v>
      </c>
      <c r="AI269" s="113">
        <v>0</v>
      </c>
      <c r="AJ269" s="113">
        <v>0</v>
      </c>
      <c r="AK269" s="113">
        <v>0</v>
      </c>
      <c r="AL269" s="114">
        <v>0</v>
      </c>
      <c r="AM269" s="115"/>
      <c r="AN269" s="56">
        <f t="shared" si="14"/>
        <v>0</v>
      </c>
      <c r="AO269" s="56">
        <f t="shared" si="15"/>
        <v>0</v>
      </c>
      <c r="AP269" s="4"/>
    </row>
    <row r="270" spans="1:42" ht="17" thickBot="1">
      <c r="A270" s="136"/>
      <c r="B270" s="112" t="s">
        <v>7</v>
      </c>
      <c r="C270" s="113"/>
      <c r="D270" s="113"/>
      <c r="E270" s="113">
        <v>1785</v>
      </c>
      <c r="F270" s="113">
        <v>0</v>
      </c>
      <c r="G270" s="113">
        <v>0</v>
      </c>
      <c r="H270" s="113">
        <v>0</v>
      </c>
      <c r="I270" s="113">
        <v>1785</v>
      </c>
      <c r="J270" s="113">
        <v>6000</v>
      </c>
      <c r="K270" s="113">
        <v>0</v>
      </c>
      <c r="L270" s="113">
        <v>0</v>
      </c>
      <c r="M270" s="113">
        <v>0</v>
      </c>
      <c r="N270" s="113">
        <v>6000</v>
      </c>
      <c r="O270" s="113">
        <v>11000</v>
      </c>
      <c r="P270" s="113">
        <v>0</v>
      </c>
      <c r="Q270" s="113">
        <v>0</v>
      </c>
      <c r="R270" s="113">
        <v>0</v>
      </c>
      <c r="S270" s="113">
        <v>13000</v>
      </c>
      <c r="T270" s="113">
        <v>24000</v>
      </c>
      <c r="U270" s="114">
        <v>45627</v>
      </c>
      <c r="V270" s="113">
        <v>0</v>
      </c>
      <c r="W270" s="113">
        <v>0</v>
      </c>
      <c r="X270" s="113">
        <v>0</v>
      </c>
      <c r="Y270" s="113">
        <v>0</v>
      </c>
      <c r="Z270" s="113">
        <v>0</v>
      </c>
      <c r="AA270" s="113">
        <v>0</v>
      </c>
      <c r="AB270" s="113">
        <v>0</v>
      </c>
      <c r="AC270" s="113">
        <v>0</v>
      </c>
      <c r="AD270" s="113">
        <v>0</v>
      </c>
      <c r="AE270" s="113">
        <v>0</v>
      </c>
      <c r="AF270" s="113">
        <v>1000</v>
      </c>
      <c r="AG270" s="113">
        <v>0</v>
      </c>
      <c r="AH270" s="113">
        <v>0</v>
      </c>
      <c r="AI270" s="113">
        <v>0</v>
      </c>
      <c r="AJ270" s="113">
        <v>1000</v>
      </c>
      <c r="AK270" s="113">
        <v>2000</v>
      </c>
      <c r="AL270" s="114">
        <v>2000</v>
      </c>
      <c r="AM270" s="115"/>
      <c r="AN270" s="56">
        <f t="shared" si="14"/>
        <v>0</v>
      </c>
      <c r="AO270" s="56">
        <f t="shared" si="15"/>
        <v>0</v>
      </c>
      <c r="AP270" s="4"/>
    </row>
    <row r="271" spans="1:42" ht="17" thickBot="1">
      <c r="A271" s="136"/>
      <c r="B271" s="112" t="s">
        <v>8</v>
      </c>
      <c r="C271" s="113">
        <v>11552</v>
      </c>
      <c r="D271" s="113">
        <v>13842</v>
      </c>
      <c r="E271" s="113">
        <v>0</v>
      </c>
      <c r="F271" s="113">
        <v>6082</v>
      </c>
      <c r="G271" s="113">
        <v>4101</v>
      </c>
      <c r="H271" s="113">
        <v>290</v>
      </c>
      <c r="I271" s="113">
        <v>290</v>
      </c>
      <c r="J271" s="113">
        <v>5138</v>
      </c>
      <c r="K271" s="113">
        <v>3735</v>
      </c>
      <c r="L271" s="113">
        <v>2134</v>
      </c>
      <c r="M271" s="113">
        <v>233</v>
      </c>
      <c r="N271" s="113">
        <v>233</v>
      </c>
      <c r="O271" s="113">
        <v>7449</v>
      </c>
      <c r="P271" s="113">
        <v>7449</v>
      </c>
      <c r="Q271" s="113">
        <v>4669</v>
      </c>
      <c r="R271" s="113">
        <v>2074</v>
      </c>
      <c r="S271" s="113">
        <v>10693</v>
      </c>
      <c r="T271" s="113">
        <v>10693</v>
      </c>
      <c r="U271" s="114">
        <v>10693</v>
      </c>
      <c r="V271" s="113">
        <v>10661</v>
      </c>
      <c r="W271" s="113">
        <v>9308</v>
      </c>
      <c r="X271" s="113">
        <v>7940</v>
      </c>
      <c r="Y271" s="113">
        <v>7780</v>
      </c>
      <c r="Z271" s="113">
        <v>6412</v>
      </c>
      <c r="AA271" s="113">
        <v>5391</v>
      </c>
      <c r="AB271" s="113">
        <v>5098</v>
      </c>
      <c r="AC271" s="113">
        <v>4712</v>
      </c>
      <c r="AD271" s="113">
        <v>4326</v>
      </c>
      <c r="AE271" s="113">
        <v>4326</v>
      </c>
      <c r="AF271" s="113">
        <v>4964</v>
      </c>
      <c r="AG271" s="113">
        <v>4774</v>
      </c>
      <c r="AH271" s="113">
        <v>4774</v>
      </c>
      <c r="AI271" s="113">
        <v>4774</v>
      </c>
      <c r="AJ271" s="113">
        <v>5774</v>
      </c>
      <c r="AK271" s="113">
        <v>5774</v>
      </c>
      <c r="AL271" s="114">
        <v>5774</v>
      </c>
      <c r="AM271" s="115"/>
      <c r="AN271" s="56">
        <f t="shared" si="14"/>
        <v>0</v>
      </c>
      <c r="AO271" s="56">
        <f t="shared" si="15"/>
        <v>0</v>
      </c>
      <c r="AP271" s="4"/>
    </row>
    <row r="272" spans="1:42" ht="17" thickBot="1">
      <c r="A272" s="116"/>
      <c r="B272" s="117" t="s">
        <v>9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114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114"/>
      <c r="AM272" s="115"/>
      <c r="AN272" s="56">
        <f t="shared" si="14"/>
        <v>0</v>
      </c>
      <c r="AO272" s="56">
        <f t="shared" si="15"/>
        <v>0</v>
      </c>
      <c r="AP272" s="4"/>
    </row>
    <row r="273" spans="1:42" ht="17" thickBot="1">
      <c r="A273" s="136" t="s">
        <v>111</v>
      </c>
      <c r="B273" s="112" t="s">
        <v>5</v>
      </c>
      <c r="C273" s="113"/>
      <c r="D273" s="113"/>
      <c r="E273" s="113">
        <v>3750</v>
      </c>
      <c r="F273" s="113">
        <v>392</v>
      </c>
      <c r="G273" s="113">
        <v>3907</v>
      </c>
      <c r="H273" s="113">
        <v>7195</v>
      </c>
      <c r="I273" s="113">
        <v>15244</v>
      </c>
      <c r="J273" s="113">
        <v>1726</v>
      </c>
      <c r="K273" s="113">
        <v>4641</v>
      </c>
      <c r="L273" s="113">
        <v>4807</v>
      </c>
      <c r="M273" s="113">
        <v>5030</v>
      </c>
      <c r="N273" s="113">
        <v>16204</v>
      </c>
      <c r="O273" s="113">
        <v>6367</v>
      </c>
      <c r="P273" s="113">
        <v>588</v>
      </c>
      <c r="Q273" s="113">
        <v>6105</v>
      </c>
      <c r="R273" s="113">
        <v>4726</v>
      </c>
      <c r="S273" s="113">
        <v>7825</v>
      </c>
      <c r="T273" s="113">
        <v>25611</v>
      </c>
      <c r="U273" s="114">
        <v>77754</v>
      </c>
      <c r="V273" s="113">
        <v>146</v>
      </c>
      <c r="W273" s="113">
        <v>2809</v>
      </c>
      <c r="X273" s="113">
        <v>2575</v>
      </c>
      <c r="Y273" s="113">
        <v>2621</v>
      </c>
      <c r="Z273" s="113">
        <v>8151</v>
      </c>
      <c r="AA273" s="113">
        <v>3737</v>
      </c>
      <c r="AB273" s="113">
        <v>1805</v>
      </c>
      <c r="AC273" s="113">
        <v>2124</v>
      </c>
      <c r="AD273" s="113">
        <v>2124</v>
      </c>
      <c r="AE273" s="113">
        <v>9790</v>
      </c>
      <c r="AF273" s="113">
        <v>1124</v>
      </c>
      <c r="AG273" s="113">
        <v>1141</v>
      </c>
      <c r="AH273" s="113">
        <v>500</v>
      </c>
      <c r="AI273" s="113">
        <v>500</v>
      </c>
      <c r="AJ273" s="113">
        <v>500</v>
      </c>
      <c r="AK273" s="113">
        <v>3765</v>
      </c>
      <c r="AL273" s="114">
        <v>21706</v>
      </c>
      <c r="AM273" s="115">
        <v>128</v>
      </c>
      <c r="AN273" s="56">
        <f t="shared" si="14"/>
        <v>9952512</v>
      </c>
      <c r="AO273" s="56">
        <f t="shared" si="15"/>
        <v>2778368</v>
      </c>
      <c r="AP273" s="4" t="str">
        <f>VLOOKUP(A273,[1]Basic!$B:$F,5,0)</f>
        <v>D5 16GB</v>
      </c>
    </row>
    <row r="274" spans="1:42" ht="17" thickBot="1">
      <c r="A274" s="136"/>
      <c r="B274" s="112" t="s">
        <v>6</v>
      </c>
      <c r="C274" s="113"/>
      <c r="D274" s="113"/>
      <c r="E274" s="113">
        <v>3750</v>
      </c>
      <c r="F274" s="113">
        <v>0</v>
      </c>
      <c r="G274" s="113">
        <v>0</v>
      </c>
      <c r="H274" s="113">
        <v>0</v>
      </c>
      <c r="I274" s="113">
        <v>3750</v>
      </c>
      <c r="J274" s="113">
        <v>23000</v>
      </c>
      <c r="K274" s="113">
        <v>0</v>
      </c>
      <c r="L274" s="113">
        <v>0</v>
      </c>
      <c r="M274" s="113">
        <v>0</v>
      </c>
      <c r="N274" s="113">
        <v>9108</v>
      </c>
      <c r="O274" s="113">
        <v>25000</v>
      </c>
      <c r="P274" s="113">
        <v>0</v>
      </c>
      <c r="Q274" s="113">
        <v>0</v>
      </c>
      <c r="R274" s="113">
        <v>0</v>
      </c>
      <c r="S274" s="113">
        <v>35000</v>
      </c>
      <c r="T274" s="113">
        <v>53280</v>
      </c>
      <c r="U274" s="114">
        <v>72861</v>
      </c>
      <c r="V274" s="113">
        <v>0</v>
      </c>
      <c r="W274" s="113">
        <v>0</v>
      </c>
      <c r="X274" s="113">
        <v>0</v>
      </c>
      <c r="Y274" s="113">
        <v>0</v>
      </c>
      <c r="Z274" s="113">
        <v>300</v>
      </c>
      <c r="AA274" s="113">
        <v>1000</v>
      </c>
      <c r="AB274" s="113">
        <v>0</v>
      </c>
      <c r="AC274" s="113">
        <v>0</v>
      </c>
      <c r="AD274" s="113">
        <v>0</v>
      </c>
      <c r="AE274" s="113">
        <v>2000</v>
      </c>
      <c r="AF274" s="113">
        <v>0</v>
      </c>
      <c r="AG274" s="113">
        <v>0</v>
      </c>
      <c r="AH274" s="113">
        <v>0</v>
      </c>
      <c r="AI274" s="113">
        <v>0</v>
      </c>
      <c r="AJ274" s="113">
        <v>2000</v>
      </c>
      <c r="AK274" s="113">
        <v>2000</v>
      </c>
      <c r="AL274" s="114">
        <v>4300</v>
      </c>
      <c r="AM274" s="115"/>
      <c r="AN274" s="56">
        <f t="shared" si="14"/>
        <v>0</v>
      </c>
      <c r="AO274" s="56">
        <f t="shared" si="15"/>
        <v>0</v>
      </c>
      <c r="AP274" s="4"/>
    </row>
    <row r="275" spans="1:42" ht="17" thickBot="1">
      <c r="A275" s="136"/>
      <c r="B275" s="112" t="s">
        <v>10</v>
      </c>
      <c r="C275" s="113">
        <v>0</v>
      </c>
      <c r="D275" s="113"/>
      <c r="E275" s="113">
        <v>0</v>
      </c>
      <c r="F275" s="113">
        <v>0</v>
      </c>
      <c r="G275" s="113">
        <v>0</v>
      </c>
      <c r="H275" s="113">
        <v>0</v>
      </c>
      <c r="I275" s="113">
        <v>0</v>
      </c>
      <c r="J275" s="113">
        <v>0</v>
      </c>
      <c r="K275" s="113">
        <v>0</v>
      </c>
      <c r="L275" s="113">
        <v>0</v>
      </c>
      <c r="M275" s="113">
        <v>0</v>
      </c>
      <c r="N275" s="113">
        <v>0</v>
      </c>
      <c r="O275" s="113">
        <v>0</v>
      </c>
      <c r="P275" s="113">
        <v>0</v>
      </c>
      <c r="Q275" s="113">
        <v>0</v>
      </c>
      <c r="R275" s="113">
        <v>0</v>
      </c>
      <c r="S275" s="113">
        <v>0</v>
      </c>
      <c r="T275" s="113">
        <v>0</v>
      </c>
      <c r="U275" s="114">
        <v>0</v>
      </c>
      <c r="V275" s="113">
        <v>0</v>
      </c>
      <c r="W275" s="113">
        <v>0</v>
      </c>
      <c r="X275" s="113">
        <v>0</v>
      </c>
      <c r="Y275" s="113">
        <v>0</v>
      </c>
      <c r="Z275" s="113">
        <v>0</v>
      </c>
      <c r="AA275" s="113">
        <v>0</v>
      </c>
      <c r="AB275" s="113">
        <v>0</v>
      </c>
      <c r="AC275" s="113">
        <v>0</v>
      </c>
      <c r="AD275" s="113">
        <v>0</v>
      </c>
      <c r="AE275" s="113">
        <v>0</v>
      </c>
      <c r="AF275" s="113">
        <v>0</v>
      </c>
      <c r="AG275" s="113">
        <v>0</v>
      </c>
      <c r="AH275" s="113">
        <v>0</v>
      </c>
      <c r="AI275" s="113">
        <v>0</v>
      </c>
      <c r="AJ275" s="113">
        <v>0</v>
      </c>
      <c r="AK275" s="113">
        <v>0</v>
      </c>
      <c r="AL275" s="114">
        <v>0</v>
      </c>
      <c r="AM275" s="115"/>
      <c r="AN275" s="56">
        <f t="shared" si="14"/>
        <v>0</v>
      </c>
      <c r="AO275" s="56">
        <f t="shared" si="15"/>
        <v>0</v>
      </c>
      <c r="AP275" s="4"/>
    </row>
    <row r="276" spans="1:42" ht="17" thickBot="1">
      <c r="A276" s="136"/>
      <c r="B276" s="112" t="s">
        <v>7</v>
      </c>
      <c r="C276" s="113"/>
      <c r="D276" s="113"/>
      <c r="E276" s="113">
        <v>3750</v>
      </c>
      <c r="F276" s="113">
        <v>0</v>
      </c>
      <c r="G276" s="113">
        <v>0</v>
      </c>
      <c r="H276" s="113">
        <v>0</v>
      </c>
      <c r="I276" s="113">
        <v>3750</v>
      </c>
      <c r="J276" s="113">
        <v>23000</v>
      </c>
      <c r="K276" s="113">
        <v>0</v>
      </c>
      <c r="L276" s="113">
        <v>0</v>
      </c>
      <c r="M276" s="113">
        <v>0</v>
      </c>
      <c r="N276" s="113">
        <v>23000</v>
      </c>
      <c r="O276" s="113">
        <v>25000</v>
      </c>
      <c r="P276" s="113">
        <v>0</v>
      </c>
      <c r="Q276" s="113">
        <v>0</v>
      </c>
      <c r="R276" s="113">
        <v>0</v>
      </c>
      <c r="S276" s="113">
        <v>35000</v>
      </c>
      <c r="T276" s="113">
        <v>60000</v>
      </c>
      <c r="U276" s="114">
        <v>107445</v>
      </c>
      <c r="V276" s="113">
        <v>0</v>
      </c>
      <c r="W276" s="113">
        <v>0</v>
      </c>
      <c r="X276" s="113">
        <v>0</v>
      </c>
      <c r="Y276" s="113">
        <v>0</v>
      </c>
      <c r="Z276" s="113">
        <v>0</v>
      </c>
      <c r="AA276" s="113">
        <v>1000</v>
      </c>
      <c r="AB276" s="113">
        <v>0</v>
      </c>
      <c r="AC276" s="113">
        <v>0</v>
      </c>
      <c r="AD276" s="113">
        <v>0</v>
      </c>
      <c r="AE276" s="113">
        <v>1000</v>
      </c>
      <c r="AF276" s="113">
        <v>0</v>
      </c>
      <c r="AG276" s="113">
        <v>0</v>
      </c>
      <c r="AH276" s="113">
        <v>0</v>
      </c>
      <c r="AI276" s="113">
        <v>0</v>
      </c>
      <c r="AJ276" s="113">
        <v>2000</v>
      </c>
      <c r="AK276" s="113">
        <v>2000</v>
      </c>
      <c r="AL276" s="114">
        <v>3000</v>
      </c>
      <c r="AM276" s="115"/>
      <c r="AN276" s="56">
        <f t="shared" si="14"/>
        <v>0</v>
      </c>
      <c r="AO276" s="56">
        <f t="shared" si="15"/>
        <v>0</v>
      </c>
      <c r="AP276" s="4"/>
    </row>
    <row r="277" spans="1:42" ht="17" thickBot="1">
      <c r="A277" s="136"/>
      <c r="B277" s="112" t="s">
        <v>8</v>
      </c>
      <c r="C277" s="113">
        <v>17158</v>
      </c>
      <c r="D277" s="113">
        <v>20695</v>
      </c>
      <c r="E277" s="113">
        <v>0</v>
      </c>
      <c r="F277" s="113">
        <v>-392</v>
      </c>
      <c r="G277" s="113">
        <v>-4299</v>
      </c>
      <c r="H277" s="113">
        <v>-11494</v>
      </c>
      <c r="I277" s="113">
        <v>-11494</v>
      </c>
      <c r="J277" s="113">
        <v>9780</v>
      </c>
      <c r="K277" s="113">
        <v>5139</v>
      </c>
      <c r="L277" s="113">
        <v>332</v>
      </c>
      <c r="M277" s="113">
        <v>-4698</v>
      </c>
      <c r="N277" s="113">
        <v>-4698</v>
      </c>
      <c r="O277" s="113">
        <v>13935</v>
      </c>
      <c r="P277" s="113">
        <v>13347</v>
      </c>
      <c r="Q277" s="113">
        <v>7242</v>
      </c>
      <c r="R277" s="113">
        <v>2516</v>
      </c>
      <c r="S277" s="113">
        <v>29691</v>
      </c>
      <c r="T277" s="113">
        <v>29691</v>
      </c>
      <c r="U277" s="114">
        <v>29691</v>
      </c>
      <c r="V277" s="113">
        <v>29545</v>
      </c>
      <c r="W277" s="113">
        <v>26736</v>
      </c>
      <c r="X277" s="113">
        <v>24161</v>
      </c>
      <c r="Y277" s="113">
        <v>24115</v>
      </c>
      <c r="Z277" s="113">
        <v>21540</v>
      </c>
      <c r="AA277" s="113">
        <v>18803</v>
      </c>
      <c r="AB277" s="113">
        <v>16998</v>
      </c>
      <c r="AC277" s="113">
        <v>14874</v>
      </c>
      <c r="AD277" s="113">
        <v>12750</v>
      </c>
      <c r="AE277" s="113">
        <v>12750</v>
      </c>
      <c r="AF277" s="113">
        <v>11626</v>
      </c>
      <c r="AG277" s="113">
        <v>10485</v>
      </c>
      <c r="AH277" s="113">
        <v>9985</v>
      </c>
      <c r="AI277" s="113">
        <v>9485</v>
      </c>
      <c r="AJ277" s="113">
        <v>10985</v>
      </c>
      <c r="AK277" s="113">
        <v>10985</v>
      </c>
      <c r="AL277" s="114">
        <v>10985</v>
      </c>
      <c r="AM277" s="115"/>
      <c r="AN277" s="56">
        <f t="shared" si="14"/>
        <v>0</v>
      </c>
      <c r="AO277" s="56">
        <f t="shared" si="15"/>
        <v>0</v>
      </c>
      <c r="AP277" s="4"/>
    </row>
    <row r="278" spans="1:42" ht="17" thickBot="1">
      <c r="A278" s="116"/>
      <c r="B278" s="117" t="s">
        <v>9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114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114"/>
      <c r="AM278" s="115"/>
      <c r="AN278" s="56">
        <f t="shared" si="14"/>
        <v>0</v>
      </c>
      <c r="AO278" s="56">
        <f t="shared" si="15"/>
        <v>0</v>
      </c>
      <c r="AP278" s="4"/>
    </row>
    <row r="279" spans="1:42" ht="17" thickBot="1">
      <c r="A279" s="136" t="s">
        <v>112</v>
      </c>
      <c r="B279" s="112" t="s">
        <v>5</v>
      </c>
      <c r="C279" s="113"/>
      <c r="D279" s="113"/>
      <c r="E279" s="113">
        <v>0</v>
      </c>
      <c r="F279" s="113">
        <v>-2636</v>
      </c>
      <c r="G279" s="113">
        <v>1142</v>
      </c>
      <c r="H279" s="113">
        <v>400</v>
      </c>
      <c r="I279" s="113">
        <v>-1094</v>
      </c>
      <c r="J279" s="113">
        <v>119</v>
      </c>
      <c r="K279" s="113">
        <v>1143</v>
      </c>
      <c r="L279" s="113">
        <v>1191</v>
      </c>
      <c r="M279" s="113">
        <v>470</v>
      </c>
      <c r="N279" s="113">
        <v>2923</v>
      </c>
      <c r="O279" s="113">
        <v>697</v>
      </c>
      <c r="P279" s="113">
        <v>30</v>
      </c>
      <c r="Q279" s="113">
        <v>574</v>
      </c>
      <c r="R279" s="113">
        <v>379</v>
      </c>
      <c r="S279" s="113">
        <v>634</v>
      </c>
      <c r="T279" s="113">
        <v>2314</v>
      </c>
      <c r="U279" s="114">
        <v>8931</v>
      </c>
      <c r="V279" s="113">
        <v>48</v>
      </c>
      <c r="W279" s="113">
        <v>156</v>
      </c>
      <c r="X279" s="113">
        <v>141</v>
      </c>
      <c r="Y279" s="113">
        <v>142</v>
      </c>
      <c r="Z279" s="113">
        <v>487</v>
      </c>
      <c r="AA279" s="113">
        <v>159</v>
      </c>
      <c r="AB279" s="113">
        <v>35</v>
      </c>
      <c r="AC279" s="113">
        <v>53</v>
      </c>
      <c r="AD279" s="113">
        <v>53</v>
      </c>
      <c r="AE279" s="113">
        <v>300</v>
      </c>
      <c r="AF279" s="113">
        <v>53</v>
      </c>
      <c r="AG279" s="113">
        <v>29</v>
      </c>
      <c r="AH279" s="113">
        <v>0</v>
      </c>
      <c r="AI279" s="113">
        <v>0</v>
      </c>
      <c r="AJ279" s="113">
        <v>0</v>
      </c>
      <c r="AK279" s="113">
        <v>82</v>
      </c>
      <c r="AL279" s="114">
        <v>869</v>
      </c>
      <c r="AM279" s="115">
        <v>256</v>
      </c>
      <c r="AN279" s="56">
        <f t="shared" si="14"/>
        <v>2286336</v>
      </c>
      <c r="AO279" s="56">
        <f t="shared" si="15"/>
        <v>222464</v>
      </c>
      <c r="AP279" s="4" t="str">
        <f>VLOOKUP(A279,[1]Basic!$B:$F,5,0)</f>
        <v>D5 32GB</v>
      </c>
    </row>
    <row r="280" spans="1:42" ht="17" thickBot="1">
      <c r="A280" s="136"/>
      <c r="B280" s="112" t="s">
        <v>6</v>
      </c>
      <c r="C280" s="113"/>
      <c r="D280" s="113"/>
      <c r="E280" s="113">
        <v>0</v>
      </c>
      <c r="F280" s="113">
        <v>400</v>
      </c>
      <c r="G280" s="113">
        <v>0</v>
      </c>
      <c r="H280" s="113">
        <v>0</v>
      </c>
      <c r="I280" s="113">
        <v>400</v>
      </c>
      <c r="J280" s="113">
        <v>2000</v>
      </c>
      <c r="K280" s="113">
        <v>0</v>
      </c>
      <c r="L280" s="113">
        <v>0</v>
      </c>
      <c r="M280" s="113">
        <v>0</v>
      </c>
      <c r="N280" s="113">
        <v>2000</v>
      </c>
      <c r="O280" s="113">
        <v>2000</v>
      </c>
      <c r="P280" s="113">
        <v>0</v>
      </c>
      <c r="Q280" s="113">
        <v>0</v>
      </c>
      <c r="R280" s="113">
        <v>0</v>
      </c>
      <c r="S280" s="113">
        <v>6000</v>
      </c>
      <c r="T280" s="113">
        <v>8000</v>
      </c>
      <c r="U280" s="114">
        <v>10400</v>
      </c>
      <c r="V280" s="113">
        <v>0</v>
      </c>
      <c r="W280" s="113">
        <v>0</v>
      </c>
      <c r="X280" s="113">
        <v>0</v>
      </c>
      <c r="Y280" s="113">
        <v>0</v>
      </c>
      <c r="Z280" s="113">
        <v>0</v>
      </c>
      <c r="AA280" s="113">
        <v>0</v>
      </c>
      <c r="AB280" s="113">
        <v>0</v>
      </c>
      <c r="AC280" s="113">
        <v>0</v>
      </c>
      <c r="AD280" s="113">
        <v>0</v>
      </c>
      <c r="AE280" s="113">
        <v>0</v>
      </c>
      <c r="AF280" s="113">
        <v>0</v>
      </c>
      <c r="AG280" s="113">
        <v>0</v>
      </c>
      <c r="AH280" s="113">
        <v>0</v>
      </c>
      <c r="AI280" s="113">
        <v>0</v>
      </c>
      <c r="AJ280" s="113">
        <v>0</v>
      </c>
      <c r="AK280" s="113">
        <v>0</v>
      </c>
      <c r="AL280" s="114">
        <v>0</v>
      </c>
      <c r="AM280" s="115"/>
      <c r="AN280" s="56">
        <f t="shared" si="14"/>
        <v>0</v>
      </c>
      <c r="AO280" s="56">
        <f t="shared" si="15"/>
        <v>0</v>
      </c>
      <c r="AP280" s="4"/>
    </row>
    <row r="281" spans="1:42" ht="17" thickBot="1">
      <c r="A281" s="136"/>
      <c r="B281" s="112" t="s">
        <v>10</v>
      </c>
      <c r="C281" s="113">
        <v>0</v>
      </c>
      <c r="D281" s="113"/>
      <c r="E281" s="113">
        <v>0</v>
      </c>
      <c r="F281" s="113">
        <v>0</v>
      </c>
      <c r="G281" s="113">
        <v>0</v>
      </c>
      <c r="H281" s="113">
        <v>0</v>
      </c>
      <c r="I281" s="113">
        <v>0</v>
      </c>
      <c r="J281" s="113">
        <v>0</v>
      </c>
      <c r="K281" s="113">
        <v>0</v>
      </c>
      <c r="L281" s="113">
        <v>0</v>
      </c>
      <c r="M281" s="113">
        <v>0</v>
      </c>
      <c r="N281" s="113">
        <v>0</v>
      </c>
      <c r="O281" s="113">
        <v>0</v>
      </c>
      <c r="P281" s="113">
        <v>0</v>
      </c>
      <c r="Q281" s="113">
        <v>0</v>
      </c>
      <c r="R281" s="113">
        <v>0</v>
      </c>
      <c r="S281" s="113">
        <v>0</v>
      </c>
      <c r="T281" s="113">
        <v>0</v>
      </c>
      <c r="U281" s="114">
        <v>0</v>
      </c>
      <c r="V281" s="113">
        <v>0</v>
      </c>
      <c r="W281" s="113">
        <v>0</v>
      </c>
      <c r="X281" s="113">
        <v>0</v>
      </c>
      <c r="Y281" s="113">
        <v>0</v>
      </c>
      <c r="Z281" s="113">
        <v>0</v>
      </c>
      <c r="AA281" s="113">
        <v>0</v>
      </c>
      <c r="AB281" s="113">
        <v>0</v>
      </c>
      <c r="AC281" s="113">
        <v>0</v>
      </c>
      <c r="AD281" s="113">
        <v>0</v>
      </c>
      <c r="AE281" s="113">
        <v>0</v>
      </c>
      <c r="AF281" s="113">
        <v>0</v>
      </c>
      <c r="AG281" s="113">
        <v>0</v>
      </c>
      <c r="AH281" s="113">
        <v>0</v>
      </c>
      <c r="AI281" s="113">
        <v>0</v>
      </c>
      <c r="AJ281" s="113">
        <v>0</v>
      </c>
      <c r="AK281" s="113">
        <v>0</v>
      </c>
      <c r="AL281" s="114">
        <v>0</v>
      </c>
      <c r="AM281" s="115"/>
      <c r="AN281" s="56">
        <f t="shared" si="14"/>
        <v>0</v>
      </c>
      <c r="AO281" s="56">
        <f t="shared" si="15"/>
        <v>0</v>
      </c>
      <c r="AP281" s="4"/>
    </row>
    <row r="282" spans="1:42" ht="17" thickBot="1">
      <c r="A282" s="136"/>
      <c r="B282" s="112" t="s">
        <v>7</v>
      </c>
      <c r="C282" s="113"/>
      <c r="D282" s="113"/>
      <c r="E282" s="113">
        <v>0</v>
      </c>
      <c r="F282" s="113">
        <v>400</v>
      </c>
      <c r="G282" s="113">
        <v>0</v>
      </c>
      <c r="H282" s="113">
        <v>0</v>
      </c>
      <c r="I282" s="113">
        <v>400</v>
      </c>
      <c r="J282" s="113">
        <v>2000</v>
      </c>
      <c r="K282" s="113">
        <v>0</v>
      </c>
      <c r="L282" s="113">
        <v>0</v>
      </c>
      <c r="M282" s="113">
        <v>0</v>
      </c>
      <c r="N282" s="113">
        <v>2000</v>
      </c>
      <c r="O282" s="113">
        <v>2000</v>
      </c>
      <c r="P282" s="113">
        <v>0</v>
      </c>
      <c r="Q282" s="113">
        <v>0</v>
      </c>
      <c r="R282" s="113">
        <v>0</v>
      </c>
      <c r="S282" s="113">
        <v>6000</v>
      </c>
      <c r="T282" s="113">
        <v>8000</v>
      </c>
      <c r="U282" s="114">
        <v>15188</v>
      </c>
      <c r="V282" s="113">
        <v>0</v>
      </c>
      <c r="W282" s="113">
        <v>0</v>
      </c>
      <c r="X282" s="113">
        <v>0</v>
      </c>
      <c r="Y282" s="113">
        <v>0</v>
      </c>
      <c r="Z282" s="113">
        <v>0</v>
      </c>
      <c r="AA282" s="113">
        <v>0</v>
      </c>
      <c r="AB282" s="113">
        <v>0</v>
      </c>
      <c r="AC282" s="113">
        <v>0</v>
      </c>
      <c r="AD282" s="113">
        <v>0</v>
      </c>
      <c r="AE282" s="113">
        <v>0</v>
      </c>
      <c r="AF282" s="113">
        <v>0</v>
      </c>
      <c r="AG282" s="113">
        <v>0</v>
      </c>
      <c r="AH282" s="113">
        <v>0</v>
      </c>
      <c r="AI282" s="113">
        <v>0</v>
      </c>
      <c r="AJ282" s="113">
        <v>0</v>
      </c>
      <c r="AK282" s="113">
        <v>0</v>
      </c>
      <c r="AL282" s="114">
        <v>0</v>
      </c>
      <c r="AM282" s="115"/>
      <c r="AN282" s="56">
        <f t="shared" ref="AN282:AN333" si="16">AM282*U282</f>
        <v>0</v>
      </c>
      <c r="AO282" s="56">
        <f t="shared" ref="AO282:AO333" si="17">AM282*AL282</f>
        <v>0</v>
      </c>
      <c r="AP282" s="4"/>
    </row>
    <row r="283" spans="1:42" ht="17" thickBot="1">
      <c r="A283" s="136"/>
      <c r="B283" s="112" t="s">
        <v>8</v>
      </c>
      <c r="C283" s="113">
        <v>-2</v>
      </c>
      <c r="D283" s="113">
        <v>4788</v>
      </c>
      <c r="E283" s="113">
        <v>0</v>
      </c>
      <c r="F283" s="113">
        <v>3036</v>
      </c>
      <c r="G283" s="113">
        <v>1894</v>
      </c>
      <c r="H283" s="113">
        <v>1494</v>
      </c>
      <c r="I283" s="113">
        <v>1494</v>
      </c>
      <c r="J283" s="113">
        <v>3375</v>
      </c>
      <c r="K283" s="113">
        <v>2232</v>
      </c>
      <c r="L283" s="113">
        <v>1041</v>
      </c>
      <c r="M283" s="113">
        <v>571</v>
      </c>
      <c r="N283" s="113">
        <v>571</v>
      </c>
      <c r="O283" s="113">
        <v>1874</v>
      </c>
      <c r="P283" s="113">
        <v>1844</v>
      </c>
      <c r="Q283" s="113">
        <v>1270</v>
      </c>
      <c r="R283" s="113">
        <v>891</v>
      </c>
      <c r="S283" s="113">
        <v>6257</v>
      </c>
      <c r="T283" s="113">
        <v>6257</v>
      </c>
      <c r="U283" s="114">
        <v>6257</v>
      </c>
      <c r="V283" s="113">
        <v>6209</v>
      </c>
      <c r="W283" s="113">
        <v>6053</v>
      </c>
      <c r="X283" s="113">
        <v>5912</v>
      </c>
      <c r="Y283" s="113">
        <v>5911</v>
      </c>
      <c r="Z283" s="113">
        <v>5770</v>
      </c>
      <c r="AA283" s="113">
        <v>5611</v>
      </c>
      <c r="AB283" s="113">
        <v>5576</v>
      </c>
      <c r="AC283" s="113">
        <v>5523</v>
      </c>
      <c r="AD283" s="113">
        <v>5470</v>
      </c>
      <c r="AE283" s="113">
        <v>5470</v>
      </c>
      <c r="AF283" s="113">
        <v>5417</v>
      </c>
      <c r="AG283" s="113">
        <v>5388</v>
      </c>
      <c r="AH283" s="113">
        <v>5388</v>
      </c>
      <c r="AI283" s="113">
        <v>5388</v>
      </c>
      <c r="AJ283" s="113">
        <v>5388</v>
      </c>
      <c r="AK283" s="113">
        <v>5388</v>
      </c>
      <c r="AL283" s="114">
        <v>5388</v>
      </c>
      <c r="AM283" s="115"/>
      <c r="AN283" s="56">
        <f t="shared" si="16"/>
        <v>0</v>
      </c>
      <c r="AO283" s="56">
        <f t="shared" si="17"/>
        <v>0</v>
      </c>
      <c r="AP283" s="4"/>
    </row>
    <row r="284" spans="1:42" ht="17" thickBot="1">
      <c r="A284" s="116"/>
      <c r="B284" s="117" t="s">
        <v>9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114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114"/>
      <c r="AM284" s="115"/>
      <c r="AN284" s="56">
        <f t="shared" si="16"/>
        <v>0</v>
      </c>
      <c r="AO284" s="56">
        <f t="shared" si="17"/>
        <v>0</v>
      </c>
      <c r="AP284" s="4"/>
    </row>
    <row r="285" spans="1:42" ht="17" thickBot="1">
      <c r="A285" s="136" t="s">
        <v>122</v>
      </c>
      <c r="B285" s="112" t="s">
        <v>5</v>
      </c>
      <c r="C285" s="113"/>
      <c r="D285" s="113"/>
      <c r="E285" s="113">
        <v>0</v>
      </c>
      <c r="F285" s="113">
        <v>-211</v>
      </c>
      <c r="G285" s="113">
        <v>0</v>
      </c>
      <c r="H285" s="113">
        <v>0</v>
      </c>
      <c r="I285" s="113">
        <v>-211</v>
      </c>
      <c r="J285" s="113">
        <v>0</v>
      </c>
      <c r="K285" s="113">
        <v>0</v>
      </c>
      <c r="L285" s="113">
        <v>0</v>
      </c>
      <c r="M285" s="113">
        <v>0</v>
      </c>
      <c r="N285" s="113">
        <v>0</v>
      </c>
      <c r="O285" s="113">
        <v>0</v>
      </c>
      <c r="P285" s="113">
        <v>0</v>
      </c>
      <c r="Q285" s="113">
        <v>0</v>
      </c>
      <c r="R285" s="113">
        <v>0</v>
      </c>
      <c r="S285" s="113">
        <v>0</v>
      </c>
      <c r="T285" s="113">
        <v>0</v>
      </c>
      <c r="U285" s="114">
        <v>9</v>
      </c>
      <c r="V285" s="113">
        <v>0</v>
      </c>
      <c r="W285" s="113">
        <v>0</v>
      </c>
      <c r="X285" s="113">
        <v>0</v>
      </c>
      <c r="Y285" s="113">
        <v>0</v>
      </c>
      <c r="Z285" s="113">
        <v>0</v>
      </c>
      <c r="AA285" s="113">
        <v>0</v>
      </c>
      <c r="AB285" s="113">
        <v>0</v>
      </c>
      <c r="AC285" s="113">
        <v>0</v>
      </c>
      <c r="AD285" s="113">
        <v>0</v>
      </c>
      <c r="AE285" s="113">
        <v>0</v>
      </c>
      <c r="AF285" s="113">
        <v>0</v>
      </c>
      <c r="AG285" s="113">
        <v>0</v>
      </c>
      <c r="AH285" s="113">
        <v>0</v>
      </c>
      <c r="AI285" s="113">
        <v>0</v>
      </c>
      <c r="AJ285" s="113">
        <v>0</v>
      </c>
      <c r="AK285" s="113">
        <v>0</v>
      </c>
      <c r="AL285" s="114">
        <v>0</v>
      </c>
      <c r="AM285" s="115">
        <v>64</v>
      </c>
      <c r="AN285" s="56">
        <f t="shared" si="16"/>
        <v>576</v>
      </c>
      <c r="AO285" s="56">
        <f t="shared" si="17"/>
        <v>0</v>
      </c>
      <c r="AP285" s="4" t="s">
        <v>143</v>
      </c>
    </row>
    <row r="286" spans="1:42" ht="17" thickBot="1">
      <c r="A286" s="136"/>
      <c r="B286" s="112" t="s">
        <v>6</v>
      </c>
      <c r="C286" s="113"/>
      <c r="D286" s="113"/>
      <c r="E286" s="113">
        <v>0</v>
      </c>
      <c r="F286" s="113">
        <v>0</v>
      </c>
      <c r="G286" s="113">
        <v>0</v>
      </c>
      <c r="H286" s="113">
        <v>0</v>
      </c>
      <c r="I286" s="113">
        <v>0</v>
      </c>
      <c r="J286" s="113">
        <v>0</v>
      </c>
      <c r="K286" s="113">
        <v>0</v>
      </c>
      <c r="L286" s="113">
        <v>0</v>
      </c>
      <c r="M286" s="113">
        <v>0</v>
      </c>
      <c r="N286" s="113">
        <v>0</v>
      </c>
      <c r="O286" s="113">
        <v>0</v>
      </c>
      <c r="P286" s="113">
        <v>0</v>
      </c>
      <c r="Q286" s="113">
        <v>0</v>
      </c>
      <c r="R286" s="113">
        <v>0</v>
      </c>
      <c r="S286" s="113">
        <v>0</v>
      </c>
      <c r="T286" s="113">
        <v>0</v>
      </c>
      <c r="U286" s="114">
        <v>0</v>
      </c>
      <c r="V286" s="113">
        <v>0</v>
      </c>
      <c r="W286" s="113">
        <v>0</v>
      </c>
      <c r="X286" s="113">
        <v>0</v>
      </c>
      <c r="Y286" s="113">
        <v>0</v>
      </c>
      <c r="Z286" s="113">
        <v>0</v>
      </c>
      <c r="AA286" s="113">
        <v>0</v>
      </c>
      <c r="AB286" s="113">
        <v>0</v>
      </c>
      <c r="AC286" s="113">
        <v>0</v>
      </c>
      <c r="AD286" s="113">
        <v>0</v>
      </c>
      <c r="AE286" s="113">
        <v>0</v>
      </c>
      <c r="AF286" s="113">
        <v>0</v>
      </c>
      <c r="AG286" s="113">
        <v>0</v>
      </c>
      <c r="AH286" s="113">
        <v>0</v>
      </c>
      <c r="AI286" s="113">
        <v>0</v>
      </c>
      <c r="AJ286" s="113">
        <v>0</v>
      </c>
      <c r="AK286" s="113">
        <v>0</v>
      </c>
      <c r="AL286" s="114">
        <v>0</v>
      </c>
      <c r="AM286" s="115"/>
      <c r="AN286" s="56">
        <f t="shared" si="16"/>
        <v>0</v>
      </c>
      <c r="AO286" s="56">
        <f t="shared" si="17"/>
        <v>0</v>
      </c>
      <c r="AP286" s="4"/>
    </row>
    <row r="287" spans="1:42" ht="17" thickBot="1">
      <c r="A287" s="136"/>
      <c r="B287" s="112" t="s">
        <v>10</v>
      </c>
      <c r="C287" s="113">
        <v>0</v>
      </c>
      <c r="D287" s="113"/>
      <c r="E287" s="113">
        <v>0</v>
      </c>
      <c r="F287" s="113">
        <v>0</v>
      </c>
      <c r="G287" s="113">
        <v>0</v>
      </c>
      <c r="H287" s="113">
        <v>0</v>
      </c>
      <c r="I287" s="113">
        <v>0</v>
      </c>
      <c r="J287" s="113">
        <v>0</v>
      </c>
      <c r="K287" s="113">
        <v>0</v>
      </c>
      <c r="L287" s="113">
        <v>0</v>
      </c>
      <c r="M287" s="113">
        <v>0</v>
      </c>
      <c r="N287" s="113">
        <v>0</v>
      </c>
      <c r="O287" s="113">
        <v>0</v>
      </c>
      <c r="P287" s="113">
        <v>0</v>
      </c>
      <c r="Q287" s="113">
        <v>0</v>
      </c>
      <c r="R287" s="113">
        <v>0</v>
      </c>
      <c r="S287" s="113">
        <v>0</v>
      </c>
      <c r="T287" s="113">
        <v>0</v>
      </c>
      <c r="U287" s="114">
        <v>0</v>
      </c>
      <c r="V287" s="113">
        <v>0</v>
      </c>
      <c r="W287" s="113">
        <v>0</v>
      </c>
      <c r="X287" s="113">
        <v>0</v>
      </c>
      <c r="Y287" s="113">
        <v>0</v>
      </c>
      <c r="Z287" s="113">
        <v>0</v>
      </c>
      <c r="AA287" s="113">
        <v>0</v>
      </c>
      <c r="AB287" s="113">
        <v>0</v>
      </c>
      <c r="AC287" s="113">
        <v>0</v>
      </c>
      <c r="AD287" s="113">
        <v>0</v>
      </c>
      <c r="AE287" s="113">
        <v>0</v>
      </c>
      <c r="AF287" s="113">
        <v>0</v>
      </c>
      <c r="AG287" s="113">
        <v>0</v>
      </c>
      <c r="AH287" s="113">
        <v>0</v>
      </c>
      <c r="AI287" s="113">
        <v>0</v>
      </c>
      <c r="AJ287" s="113">
        <v>0</v>
      </c>
      <c r="AK287" s="113">
        <v>0</v>
      </c>
      <c r="AL287" s="114">
        <v>0</v>
      </c>
      <c r="AM287" s="115"/>
      <c r="AN287" s="56">
        <f t="shared" si="16"/>
        <v>0</v>
      </c>
      <c r="AO287" s="56">
        <f t="shared" si="17"/>
        <v>0</v>
      </c>
      <c r="AP287" s="4"/>
    </row>
    <row r="288" spans="1:42" ht="17" thickBot="1">
      <c r="A288" s="136"/>
      <c r="B288" s="112" t="s">
        <v>7</v>
      </c>
      <c r="C288" s="113"/>
      <c r="D288" s="113"/>
      <c r="E288" s="113">
        <v>0</v>
      </c>
      <c r="F288" s="113">
        <v>0</v>
      </c>
      <c r="G288" s="113">
        <v>0</v>
      </c>
      <c r="H288" s="113">
        <v>0</v>
      </c>
      <c r="I288" s="113">
        <v>0</v>
      </c>
      <c r="J288" s="113">
        <v>0</v>
      </c>
      <c r="K288" s="113">
        <v>0</v>
      </c>
      <c r="L288" s="113">
        <v>0</v>
      </c>
      <c r="M288" s="113">
        <v>0</v>
      </c>
      <c r="N288" s="113">
        <v>0</v>
      </c>
      <c r="O288" s="113">
        <v>0</v>
      </c>
      <c r="P288" s="113">
        <v>0</v>
      </c>
      <c r="Q288" s="113">
        <v>0</v>
      </c>
      <c r="R288" s="113">
        <v>0</v>
      </c>
      <c r="S288" s="113">
        <v>0</v>
      </c>
      <c r="T288" s="113">
        <v>0</v>
      </c>
      <c r="U288" s="114">
        <v>220</v>
      </c>
      <c r="V288" s="113">
        <v>0</v>
      </c>
      <c r="W288" s="113">
        <v>0</v>
      </c>
      <c r="X288" s="113">
        <v>0</v>
      </c>
      <c r="Y288" s="113">
        <v>0</v>
      </c>
      <c r="Z288" s="113">
        <v>0</v>
      </c>
      <c r="AA288" s="113">
        <v>0</v>
      </c>
      <c r="AB288" s="113">
        <v>0</v>
      </c>
      <c r="AC288" s="113">
        <v>0</v>
      </c>
      <c r="AD288" s="113">
        <v>0</v>
      </c>
      <c r="AE288" s="113">
        <v>0</v>
      </c>
      <c r="AF288" s="113">
        <v>0</v>
      </c>
      <c r="AG288" s="113">
        <v>0</v>
      </c>
      <c r="AH288" s="113">
        <v>0</v>
      </c>
      <c r="AI288" s="113">
        <v>0</v>
      </c>
      <c r="AJ288" s="113">
        <v>0</v>
      </c>
      <c r="AK288" s="113">
        <v>0</v>
      </c>
      <c r="AL288" s="114">
        <v>0</v>
      </c>
      <c r="AM288" s="115"/>
      <c r="AN288" s="56">
        <f t="shared" si="16"/>
        <v>0</v>
      </c>
      <c r="AO288" s="56">
        <f t="shared" si="17"/>
        <v>0</v>
      </c>
      <c r="AP288" s="4"/>
    </row>
    <row r="289" spans="1:42" ht="17" thickBot="1">
      <c r="A289" s="136"/>
      <c r="B289" s="112" t="s">
        <v>8</v>
      </c>
      <c r="C289" s="113">
        <v>211</v>
      </c>
      <c r="D289" s="113">
        <v>220</v>
      </c>
      <c r="E289" s="113">
        <v>0</v>
      </c>
      <c r="F289" s="113">
        <v>211</v>
      </c>
      <c r="G289" s="113">
        <v>211</v>
      </c>
      <c r="H289" s="113">
        <v>211</v>
      </c>
      <c r="I289" s="113">
        <v>211</v>
      </c>
      <c r="J289" s="113">
        <v>211</v>
      </c>
      <c r="K289" s="113">
        <v>211</v>
      </c>
      <c r="L289" s="113">
        <v>211</v>
      </c>
      <c r="M289" s="113">
        <v>211</v>
      </c>
      <c r="N289" s="113">
        <v>211</v>
      </c>
      <c r="O289" s="113">
        <v>211</v>
      </c>
      <c r="P289" s="113">
        <v>211</v>
      </c>
      <c r="Q289" s="113">
        <v>211</v>
      </c>
      <c r="R289" s="113">
        <v>211</v>
      </c>
      <c r="S289" s="113">
        <v>211</v>
      </c>
      <c r="T289" s="113">
        <v>211</v>
      </c>
      <c r="U289" s="114">
        <v>211</v>
      </c>
      <c r="V289" s="113">
        <v>211</v>
      </c>
      <c r="W289" s="113">
        <v>211</v>
      </c>
      <c r="X289" s="113">
        <v>211</v>
      </c>
      <c r="Y289" s="113">
        <v>211</v>
      </c>
      <c r="Z289" s="113">
        <v>211</v>
      </c>
      <c r="AA289" s="113">
        <v>211</v>
      </c>
      <c r="AB289" s="113">
        <v>211</v>
      </c>
      <c r="AC289" s="113">
        <v>211</v>
      </c>
      <c r="AD289" s="113">
        <v>211</v>
      </c>
      <c r="AE289" s="113">
        <v>211</v>
      </c>
      <c r="AF289" s="113">
        <v>211</v>
      </c>
      <c r="AG289" s="113">
        <v>211</v>
      </c>
      <c r="AH289" s="113">
        <v>211</v>
      </c>
      <c r="AI289" s="113">
        <v>211</v>
      </c>
      <c r="AJ289" s="113">
        <v>211</v>
      </c>
      <c r="AK289" s="113">
        <v>211</v>
      </c>
      <c r="AL289" s="114">
        <v>211</v>
      </c>
      <c r="AM289" s="115"/>
      <c r="AN289" s="56">
        <f t="shared" si="16"/>
        <v>0</v>
      </c>
      <c r="AO289" s="56">
        <f t="shared" si="17"/>
        <v>0</v>
      </c>
      <c r="AP289" s="4"/>
    </row>
    <row r="290" spans="1:42" ht="17" thickBot="1">
      <c r="A290" s="116"/>
      <c r="B290" s="117" t="s">
        <v>9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114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114"/>
      <c r="AM290" s="115"/>
      <c r="AN290" s="56">
        <f t="shared" si="16"/>
        <v>0</v>
      </c>
      <c r="AO290" s="56">
        <f t="shared" si="17"/>
        <v>0</v>
      </c>
      <c r="AP290" s="4"/>
    </row>
    <row r="291" spans="1:42" ht="17" thickBot="1">
      <c r="A291" s="136" t="s">
        <v>121</v>
      </c>
      <c r="B291" s="112" t="s">
        <v>5</v>
      </c>
      <c r="C291" s="113"/>
      <c r="D291" s="113"/>
      <c r="E291" s="113">
        <v>0</v>
      </c>
      <c r="F291" s="113">
        <v>-457</v>
      </c>
      <c r="G291" s="113">
        <v>0</v>
      </c>
      <c r="H291" s="113">
        <v>0</v>
      </c>
      <c r="I291" s="113">
        <v>-457</v>
      </c>
      <c r="J291" s="113">
        <v>0</v>
      </c>
      <c r="K291" s="113">
        <v>0</v>
      </c>
      <c r="L291" s="113">
        <v>0</v>
      </c>
      <c r="M291" s="113">
        <v>0</v>
      </c>
      <c r="N291" s="113">
        <v>0</v>
      </c>
      <c r="O291" s="113">
        <v>0</v>
      </c>
      <c r="P291" s="113">
        <v>0</v>
      </c>
      <c r="Q291" s="113">
        <v>0</v>
      </c>
      <c r="R291" s="113">
        <v>0</v>
      </c>
      <c r="S291" s="113">
        <v>0</v>
      </c>
      <c r="T291" s="113">
        <v>0</v>
      </c>
      <c r="U291" s="114">
        <v>0</v>
      </c>
      <c r="V291" s="113">
        <v>0</v>
      </c>
      <c r="W291" s="113">
        <v>0</v>
      </c>
      <c r="X291" s="113">
        <v>0</v>
      </c>
      <c r="Y291" s="113">
        <v>0</v>
      </c>
      <c r="Z291" s="113">
        <v>0</v>
      </c>
      <c r="AA291" s="113">
        <v>0</v>
      </c>
      <c r="AB291" s="113">
        <v>0</v>
      </c>
      <c r="AC291" s="113">
        <v>0</v>
      </c>
      <c r="AD291" s="113">
        <v>0</v>
      </c>
      <c r="AE291" s="113">
        <v>0</v>
      </c>
      <c r="AF291" s="113">
        <v>0</v>
      </c>
      <c r="AG291" s="113">
        <v>0</v>
      </c>
      <c r="AH291" s="113">
        <v>0</v>
      </c>
      <c r="AI291" s="113">
        <v>0</v>
      </c>
      <c r="AJ291" s="113">
        <v>0</v>
      </c>
      <c r="AK291" s="113">
        <v>0</v>
      </c>
      <c r="AL291" s="114">
        <v>0</v>
      </c>
      <c r="AM291" s="115">
        <v>128</v>
      </c>
      <c r="AN291" s="56">
        <f t="shared" si="16"/>
        <v>0</v>
      </c>
      <c r="AO291" s="56">
        <f t="shared" si="17"/>
        <v>0</v>
      </c>
      <c r="AP291" s="4" t="s">
        <v>145</v>
      </c>
    </row>
    <row r="292" spans="1:42" ht="17" thickBot="1">
      <c r="A292" s="136"/>
      <c r="B292" s="112" t="s">
        <v>6</v>
      </c>
      <c r="C292" s="113"/>
      <c r="D292" s="113"/>
      <c r="E292" s="113">
        <v>0</v>
      </c>
      <c r="F292" s="113">
        <v>0</v>
      </c>
      <c r="G292" s="113">
        <v>0</v>
      </c>
      <c r="H292" s="113">
        <v>0</v>
      </c>
      <c r="I292" s="113">
        <v>0</v>
      </c>
      <c r="J292" s="113">
        <v>0</v>
      </c>
      <c r="K292" s="113">
        <v>0</v>
      </c>
      <c r="L292" s="113">
        <v>0</v>
      </c>
      <c r="M292" s="113">
        <v>0</v>
      </c>
      <c r="N292" s="113">
        <v>0</v>
      </c>
      <c r="O292" s="113">
        <v>0</v>
      </c>
      <c r="P292" s="113">
        <v>0</v>
      </c>
      <c r="Q292" s="113">
        <v>0</v>
      </c>
      <c r="R292" s="113">
        <v>0</v>
      </c>
      <c r="S292" s="113">
        <v>0</v>
      </c>
      <c r="T292" s="113">
        <v>0</v>
      </c>
      <c r="U292" s="114">
        <v>0</v>
      </c>
      <c r="V292" s="113">
        <v>0</v>
      </c>
      <c r="W292" s="113">
        <v>0</v>
      </c>
      <c r="X292" s="113">
        <v>0</v>
      </c>
      <c r="Y292" s="113">
        <v>0</v>
      </c>
      <c r="Z292" s="113">
        <v>0</v>
      </c>
      <c r="AA292" s="113">
        <v>0</v>
      </c>
      <c r="AB292" s="113">
        <v>0</v>
      </c>
      <c r="AC292" s="113">
        <v>0</v>
      </c>
      <c r="AD292" s="113">
        <v>0</v>
      </c>
      <c r="AE292" s="113">
        <v>0</v>
      </c>
      <c r="AF292" s="113">
        <v>0</v>
      </c>
      <c r="AG292" s="113">
        <v>0</v>
      </c>
      <c r="AH292" s="113">
        <v>0</v>
      </c>
      <c r="AI292" s="113">
        <v>0</v>
      </c>
      <c r="AJ292" s="113">
        <v>0</v>
      </c>
      <c r="AK292" s="113">
        <v>0</v>
      </c>
      <c r="AL292" s="114">
        <v>0</v>
      </c>
      <c r="AM292" s="115"/>
      <c r="AN292" s="56">
        <f t="shared" si="16"/>
        <v>0</v>
      </c>
      <c r="AO292" s="56">
        <f t="shared" si="17"/>
        <v>0</v>
      </c>
      <c r="AP292" s="4"/>
    </row>
    <row r="293" spans="1:42" ht="17" thickBot="1">
      <c r="A293" s="136"/>
      <c r="B293" s="112" t="s">
        <v>10</v>
      </c>
      <c r="C293" s="113">
        <v>0</v>
      </c>
      <c r="D293" s="113"/>
      <c r="E293" s="113">
        <v>0</v>
      </c>
      <c r="F293" s="113">
        <v>0</v>
      </c>
      <c r="G293" s="113">
        <v>0</v>
      </c>
      <c r="H293" s="113">
        <v>0</v>
      </c>
      <c r="I293" s="113">
        <v>0</v>
      </c>
      <c r="J293" s="113">
        <v>0</v>
      </c>
      <c r="K293" s="113">
        <v>0</v>
      </c>
      <c r="L293" s="113">
        <v>0</v>
      </c>
      <c r="M293" s="113">
        <v>0</v>
      </c>
      <c r="N293" s="113">
        <v>0</v>
      </c>
      <c r="O293" s="113">
        <v>0</v>
      </c>
      <c r="P293" s="113">
        <v>0</v>
      </c>
      <c r="Q293" s="113">
        <v>0</v>
      </c>
      <c r="R293" s="113">
        <v>0</v>
      </c>
      <c r="S293" s="113">
        <v>0</v>
      </c>
      <c r="T293" s="113">
        <v>0</v>
      </c>
      <c r="U293" s="114">
        <v>0</v>
      </c>
      <c r="V293" s="113">
        <v>0</v>
      </c>
      <c r="W293" s="113">
        <v>0</v>
      </c>
      <c r="X293" s="113">
        <v>0</v>
      </c>
      <c r="Y293" s="113">
        <v>0</v>
      </c>
      <c r="Z293" s="113">
        <v>0</v>
      </c>
      <c r="AA293" s="113">
        <v>0</v>
      </c>
      <c r="AB293" s="113">
        <v>0</v>
      </c>
      <c r="AC293" s="113">
        <v>0</v>
      </c>
      <c r="AD293" s="113">
        <v>0</v>
      </c>
      <c r="AE293" s="113">
        <v>0</v>
      </c>
      <c r="AF293" s="113">
        <v>0</v>
      </c>
      <c r="AG293" s="113">
        <v>0</v>
      </c>
      <c r="AH293" s="113">
        <v>0</v>
      </c>
      <c r="AI293" s="113">
        <v>0</v>
      </c>
      <c r="AJ293" s="113">
        <v>0</v>
      </c>
      <c r="AK293" s="113">
        <v>0</v>
      </c>
      <c r="AL293" s="114">
        <v>0</v>
      </c>
      <c r="AM293" s="115"/>
      <c r="AN293" s="56">
        <f t="shared" si="16"/>
        <v>0</v>
      </c>
      <c r="AO293" s="56">
        <f t="shared" si="17"/>
        <v>0</v>
      </c>
      <c r="AP293" s="4"/>
    </row>
    <row r="294" spans="1:42" ht="17" thickBot="1">
      <c r="A294" s="136"/>
      <c r="B294" s="112" t="s">
        <v>7</v>
      </c>
      <c r="C294" s="113"/>
      <c r="D294" s="113"/>
      <c r="E294" s="113">
        <v>0</v>
      </c>
      <c r="F294" s="113">
        <v>0</v>
      </c>
      <c r="G294" s="113">
        <v>0</v>
      </c>
      <c r="H294" s="113">
        <v>0</v>
      </c>
      <c r="I294" s="113">
        <v>0</v>
      </c>
      <c r="J294" s="113">
        <v>0</v>
      </c>
      <c r="K294" s="113">
        <v>0</v>
      </c>
      <c r="L294" s="113">
        <v>0</v>
      </c>
      <c r="M294" s="113">
        <v>0</v>
      </c>
      <c r="N294" s="113">
        <v>0</v>
      </c>
      <c r="O294" s="113">
        <v>0</v>
      </c>
      <c r="P294" s="113">
        <v>0</v>
      </c>
      <c r="Q294" s="113">
        <v>0</v>
      </c>
      <c r="R294" s="113">
        <v>0</v>
      </c>
      <c r="S294" s="113">
        <v>0</v>
      </c>
      <c r="T294" s="113">
        <v>0</v>
      </c>
      <c r="U294" s="114">
        <v>457</v>
      </c>
      <c r="V294" s="113">
        <v>0</v>
      </c>
      <c r="W294" s="113">
        <v>0</v>
      </c>
      <c r="X294" s="113">
        <v>0</v>
      </c>
      <c r="Y294" s="113">
        <v>0</v>
      </c>
      <c r="Z294" s="113">
        <v>0</v>
      </c>
      <c r="AA294" s="113">
        <v>0</v>
      </c>
      <c r="AB294" s="113">
        <v>0</v>
      </c>
      <c r="AC294" s="113">
        <v>0</v>
      </c>
      <c r="AD294" s="113">
        <v>0</v>
      </c>
      <c r="AE294" s="113">
        <v>0</v>
      </c>
      <c r="AF294" s="113">
        <v>0</v>
      </c>
      <c r="AG294" s="113">
        <v>0</v>
      </c>
      <c r="AH294" s="113">
        <v>0</v>
      </c>
      <c r="AI294" s="113">
        <v>0</v>
      </c>
      <c r="AJ294" s="113">
        <v>0</v>
      </c>
      <c r="AK294" s="113">
        <v>0</v>
      </c>
      <c r="AL294" s="114">
        <v>0</v>
      </c>
      <c r="AM294" s="115"/>
      <c r="AN294" s="56">
        <f t="shared" si="16"/>
        <v>0</v>
      </c>
      <c r="AO294" s="56">
        <f t="shared" si="17"/>
        <v>0</v>
      </c>
      <c r="AP294" s="4"/>
    </row>
    <row r="295" spans="1:42" ht="17" thickBot="1">
      <c r="A295" s="136"/>
      <c r="B295" s="112" t="s">
        <v>8</v>
      </c>
      <c r="C295" s="113">
        <v>457</v>
      </c>
      <c r="D295" s="113">
        <v>457</v>
      </c>
      <c r="E295" s="113">
        <v>0</v>
      </c>
      <c r="F295" s="113">
        <v>457</v>
      </c>
      <c r="G295" s="113">
        <v>457</v>
      </c>
      <c r="H295" s="113">
        <v>457</v>
      </c>
      <c r="I295" s="113">
        <v>457</v>
      </c>
      <c r="J295" s="113">
        <v>457</v>
      </c>
      <c r="K295" s="113">
        <v>457</v>
      </c>
      <c r="L295" s="113">
        <v>457</v>
      </c>
      <c r="M295" s="113">
        <v>457</v>
      </c>
      <c r="N295" s="113">
        <v>457</v>
      </c>
      <c r="O295" s="113">
        <v>457</v>
      </c>
      <c r="P295" s="113">
        <v>457</v>
      </c>
      <c r="Q295" s="113">
        <v>457</v>
      </c>
      <c r="R295" s="113">
        <v>457</v>
      </c>
      <c r="S295" s="113">
        <v>457</v>
      </c>
      <c r="T295" s="113">
        <v>457</v>
      </c>
      <c r="U295" s="114">
        <v>457</v>
      </c>
      <c r="V295" s="113">
        <v>457</v>
      </c>
      <c r="W295" s="113">
        <v>457</v>
      </c>
      <c r="X295" s="113">
        <v>457</v>
      </c>
      <c r="Y295" s="113">
        <v>457</v>
      </c>
      <c r="Z295" s="113">
        <v>457</v>
      </c>
      <c r="AA295" s="113">
        <v>457</v>
      </c>
      <c r="AB295" s="113">
        <v>457</v>
      </c>
      <c r="AC295" s="113">
        <v>457</v>
      </c>
      <c r="AD295" s="113">
        <v>457</v>
      </c>
      <c r="AE295" s="113">
        <v>457</v>
      </c>
      <c r="AF295" s="113">
        <v>457</v>
      </c>
      <c r="AG295" s="113">
        <v>457</v>
      </c>
      <c r="AH295" s="113">
        <v>457</v>
      </c>
      <c r="AI295" s="113">
        <v>457</v>
      </c>
      <c r="AJ295" s="113">
        <v>457</v>
      </c>
      <c r="AK295" s="113">
        <v>457</v>
      </c>
      <c r="AL295" s="114">
        <v>457</v>
      </c>
      <c r="AM295" s="115"/>
      <c r="AN295" s="56">
        <f t="shared" si="16"/>
        <v>0</v>
      </c>
      <c r="AO295" s="56">
        <f t="shared" si="17"/>
        <v>0</v>
      </c>
      <c r="AP295" s="4"/>
    </row>
    <row r="296" spans="1:42" ht="17" thickBot="1">
      <c r="A296" s="116"/>
      <c r="B296" s="117" t="s">
        <v>9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114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114"/>
      <c r="AM296" s="115"/>
      <c r="AN296" s="56">
        <f t="shared" si="16"/>
        <v>0</v>
      </c>
      <c r="AO296" s="56">
        <f t="shared" si="17"/>
        <v>0</v>
      </c>
      <c r="AP296" s="4"/>
    </row>
    <row r="297" spans="1:42" ht="17" thickBot="1">
      <c r="A297" s="136" t="s">
        <v>146</v>
      </c>
      <c r="B297" s="112" t="s">
        <v>5</v>
      </c>
      <c r="C297" s="113"/>
      <c r="D297" s="113"/>
      <c r="E297" s="113">
        <v>0</v>
      </c>
      <c r="F297" s="113">
        <v>0</v>
      </c>
      <c r="G297" s="113">
        <v>0</v>
      </c>
      <c r="H297" s="113">
        <v>0</v>
      </c>
      <c r="I297" s="113">
        <v>0</v>
      </c>
      <c r="J297" s="113">
        <v>0</v>
      </c>
      <c r="K297" s="113">
        <v>0</v>
      </c>
      <c r="L297" s="113">
        <v>0</v>
      </c>
      <c r="M297" s="113">
        <v>0</v>
      </c>
      <c r="N297" s="113">
        <v>0</v>
      </c>
      <c r="O297" s="113">
        <v>0</v>
      </c>
      <c r="P297" s="113">
        <v>0</v>
      </c>
      <c r="Q297" s="113">
        <v>0</v>
      </c>
      <c r="R297" s="113">
        <v>0</v>
      </c>
      <c r="S297" s="113">
        <v>0</v>
      </c>
      <c r="T297" s="113">
        <v>0</v>
      </c>
      <c r="U297" s="114">
        <v>0</v>
      </c>
      <c r="V297" s="113">
        <v>0</v>
      </c>
      <c r="W297" s="113">
        <v>0</v>
      </c>
      <c r="X297" s="113">
        <v>0</v>
      </c>
      <c r="Y297" s="113">
        <v>0</v>
      </c>
      <c r="Z297" s="113">
        <v>0</v>
      </c>
      <c r="AA297" s="113">
        <v>0</v>
      </c>
      <c r="AB297" s="113">
        <v>0</v>
      </c>
      <c r="AC297" s="113">
        <v>0</v>
      </c>
      <c r="AD297" s="113">
        <v>0</v>
      </c>
      <c r="AE297" s="113">
        <v>0</v>
      </c>
      <c r="AF297" s="113">
        <v>0</v>
      </c>
      <c r="AG297" s="113">
        <v>0</v>
      </c>
      <c r="AH297" s="113">
        <v>0</v>
      </c>
      <c r="AI297" s="113">
        <v>0</v>
      </c>
      <c r="AJ297" s="113">
        <v>0</v>
      </c>
      <c r="AK297" s="113">
        <v>0</v>
      </c>
      <c r="AL297" s="114">
        <v>0</v>
      </c>
      <c r="AM297" s="115">
        <v>128</v>
      </c>
      <c r="AN297" s="56">
        <f t="shared" si="16"/>
        <v>0</v>
      </c>
      <c r="AO297" s="56">
        <f t="shared" si="17"/>
        <v>0</v>
      </c>
      <c r="AP297" s="4" t="s">
        <v>145</v>
      </c>
    </row>
    <row r="298" spans="1:42" ht="17" thickBot="1">
      <c r="A298" s="136"/>
      <c r="B298" s="112" t="s">
        <v>6</v>
      </c>
      <c r="C298" s="113"/>
      <c r="D298" s="113"/>
      <c r="E298" s="113">
        <v>0</v>
      </c>
      <c r="F298" s="113">
        <v>0</v>
      </c>
      <c r="G298" s="113">
        <v>0</v>
      </c>
      <c r="H298" s="113">
        <v>0</v>
      </c>
      <c r="I298" s="113">
        <v>0</v>
      </c>
      <c r="J298" s="113">
        <v>0</v>
      </c>
      <c r="K298" s="113">
        <v>0</v>
      </c>
      <c r="L298" s="113">
        <v>0</v>
      </c>
      <c r="M298" s="113">
        <v>0</v>
      </c>
      <c r="N298" s="113">
        <v>0</v>
      </c>
      <c r="O298" s="113">
        <v>0</v>
      </c>
      <c r="P298" s="113">
        <v>0</v>
      </c>
      <c r="Q298" s="113">
        <v>0</v>
      </c>
      <c r="R298" s="113">
        <v>0</v>
      </c>
      <c r="S298" s="113">
        <v>0</v>
      </c>
      <c r="T298" s="113">
        <v>0</v>
      </c>
      <c r="U298" s="114">
        <v>0</v>
      </c>
      <c r="V298" s="113">
        <v>0</v>
      </c>
      <c r="W298" s="113">
        <v>0</v>
      </c>
      <c r="X298" s="113">
        <v>0</v>
      </c>
      <c r="Y298" s="113">
        <v>0</v>
      </c>
      <c r="Z298" s="113">
        <v>0</v>
      </c>
      <c r="AA298" s="113">
        <v>0</v>
      </c>
      <c r="AB298" s="113">
        <v>0</v>
      </c>
      <c r="AC298" s="113">
        <v>0</v>
      </c>
      <c r="AD298" s="113">
        <v>0</v>
      </c>
      <c r="AE298" s="113">
        <v>0</v>
      </c>
      <c r="AF298" s="113">
        <v>0</v>
      </c>
      <c r="AG298" s="113">
        <v>0</v>
      </c>
      <c r="AH298" s="113">
        <v>0</v>
      </c>
      <c r="AI298" s="113">
        <v>0</v>
      </c>
      <c r="AJ298" s="113">
        <v>0</v>
      </c>
      <c r="AK298" s="113">
        <v>0</v>
      </c>
      <c r="AL298" s="114">
        <v>0</v>
      </c>
      <c r="AM298" s="115"/>
      <c r="AN298" s="56">
        <f t="shared" si="16"/>
        <v>0</v>
      </c>
      <c r="AO298" s="56">
        <f t="shared" si="17"/>
        <v>0</v>
      </c>
      <c r="AP298" s="4"/>
    </row>
    <row r="299" spans="1:42" ht="17" thickBot="1">
      <c r="A299" s="136"/>
      <c r="B299" s="112" t="s">
        <v>10</v>
      </c>
      <c r="C299" s="113">
        <v>0</v>
      </c>
      <c r="D299" s="113"/>
      <c r="E299" s="113">
        <v>0</v>
      </c>
      <c r="F299" s="113">
        <v>0</v>
      </c>
      <c r="G299" s="113">
        <v>0</v>
      </c>
      <c r="H299" s="113">
        <v>0</v>
      </c>
      <c r="I299" s="113">
        <v>0</v>
      </c>
      <c r="J299" s="113">
        <v>0</v>
      </c>
      <c r="K299" s="113">
        <v>0</v>
      </c>
      <c r="L299" s="113">
        <v>0</v>
      </c>
      <c r="M299" s="113">
        <v>0</v>
      </c>
      <c r="N299" s="113">
        <v>0</v>
      </c>
      <c r="O299" s="113">
        <v>0</v>
      </c>
      <c r="P299" s="113">
        <v>0</v>
      </c>
      <c r="Q299" s="113">
        <v>0</v>
      </c>
      <c r="R299" s="113">
        <v>0</v>
      </c>
      <c r="S299" s="113">
        <v>0</v>
      </c>
      <c r="T299" s="113">
        <v>0</v>
      </c>
      <c r="U299" s="114">
        <v>0</v>
      </c>
      <c r="V299" s="113">
        <v>0</v>
      </c>
      <c r="W299" s="113">
        <v>0</v>
      </c>
      <c r="X299" s="113">
        <v>0</v>
      </c>
      <c r="Y299" s="113">
        <v>0</v>
      </c>
      <c r="Z299" s="113">
        <v>0</v>
      </c>
      <c r="AA299" s="113">
        <v>0</v>
      </c>
      <c r="AB299" s="113">
        <v>0</v>
      </c>
      <c r="AC299" s="113">
        <v>0</v>
      </c>
      <c r="AD299" s="113">
        <v>0</v>
      </c>
      <c r="AE299" s="113">
        <v>0</v>
      </c>
      <c r="AF299" s="113">
        <v>0</v>
      </c>
      <c r="AG299" s="113">
        <v>0</v>
      </c>
      <c r="AH299" s="113">
        <v>0</v>
      </c>
      <c r="AI299" s="113">
        <v>0</v>
      </c>
      <c r="AJ299" s="113">
        <v>0</v>
      </c>
      <c r="AK299" s="113">
        <v>0</v>
      </c>
      <c r="AL299" s="114">
        <v>0</v>
      </c>
      <c r="AM299" s="115"/>
      <c r="AN299" s="56">
        <f t="shared" si="16"/>
        <v>0</v>
      </c>
      <c r="AO299" s="56">
        <f t="shared" si="17"/>
        <v>0</v>
      </c>
      <c r="AP299" s="4"/>
    </row>
    <row r="300" spans="1:42" ht="17" thickBot="1">
      <c r="A300" s="136"/>
      <c r="B300" s="112" t="s">
        <v>7</v>
      </c>
      <c r="C300" s="113"/>
      <c r="D300" s="113"/>
      <c r="E300" s="113">
        <v>0</v>
      </c>
      <c r="F300" s="113">
        <v>0</v>
      </c>
      <c r="G300" s="113">
        <v>0</v>
      </c>
      <c r="H300" s="113">
        <v>0</v>
      </c>
      <c r="I300" s="113">
        <v>0</v>
      </c>
      <c r="J300" s="113">
        <v>0</v>
      </c>
      <c r="K300" s="113">
        <v>0</v>
      </c>
      <c r="L300" s="113">
        <v>0</v>
      </c>
      <c r="M300" s="113">
        <v>0</v>
      </c>
      <c r="N300" s="113">
        <v>0</v>
      </c>
      <c r="O300" s="113">
        <v>0</v>
      </c>
      <c r="P300" s="113">
        <v>0</v>
      </c>
      <c r="Q300" s="113">
        <v>0</v>
      </c>
      <c r="R300" s="113">
        <v>0</v>
      </c>
      <c r="S300" s="113">
        <v>0</v>
      </c>
      <c r="T300" s="113">
        <v>0</v>
      </c>
      <c r="U300" s="114">
        <v>0</v>
      </c>
      <c r="V300" s="113">
        <v>0</v>
      </c>
      <c r="W300" s="113">
        <v>0</v>
      </c>
      <c r="X300" s="113">
        <v>0</v>
      </c>
      <c r="Y300" s="113">
        <v>0</v>
      </c>
      <c r="Z300" s="113">
        <v>0</v>
      </c>
      <c r="AA300" s="113">
        <v>0</v>
      </c>
      <c r="AB300" s="113">
        <v>0</v>
      </c>
      <c r="AC300" s="113">
        <v>0</v>
      </c>
      <c r="AD300" s="113">
        <v>0</v>
      </c>
      <c r="AE300" s="113">
        <v>0</v>
      </c>
      <c r="AF300" s="113">
        <v>0</v>
      </c>
      <c r="AG300" s="113">
        <v>0</v>
      </c>
      <c r="AH300" s="113">
        <v>0</v>
      </c>
      <c r="AI300" s="113">
        <v>0</v>
      </c>
      <c r="AJ300" s="113">
        <v>0</v>
      </c>
      <c r="AK300" s="113">
        <v>0</v>
      </c>
      <c r="AL300" s="114">
        <v>0</v>
      </c>
      <c r="AM300" s="115"/>
      <c r="AN300" s="56">
        <f t="shared" si="16"/>
        <v>0</v>
      </c>
      <c r="AO300" s="56">
        <f t="shared" si="17"/>
        <v>0</v>
      </c>
      <c r="AP300" s="4"/>
    </row>
    <row r="301" spans="1:42" ht="17" thickBot="1">
      <c r="A301" s="136"/>
      <c r="B301" s="112" t="s">
        <v>8</v>
      </c>
      <c r="C301" s="113">
        <v>0</v>
      </c>
      <c r="D301" s="113">
        <v>0</v>
      </c>
      <c r="E301" s="113">
        <v>0</v>
      </c>
      <c r="F301" s="113">
        <v>0</v>
      </c>
      <c r="G301" s="113">
        <v>0</v>
      </c>
      <c r="H301" s="113">
        <v>0</v>
      </c>
      <c r="I301" s="113">
        <v>0</v>
      </c>
      <c r="J301" s="113">
        <v>0</v>
      </c>
      <c r="K301" s="113">
        <v>0</v>
      </c>
      <c r="L301" s="113">
        <v>0</v>
      </c>
      <c r="M301" s="113">
        <v>0</v>
      </c>
      <c r="N301" s="113">
        <v>0</v>
      </c>
      <c r="O301" s="113">
        <v>0</v>
      </c>
      <c r="P301" s="113">
        <v>0</v>
      </c>
      <c r="Q301" s="113">
        <v>0</v>
      </c>
      <c r="R301" s="113">
        <v>0</v>
      </c>
      <c r="S301" s="113">
        <v>0</v>
      </c>
      <c r="T301" s="113">
        <v>0</v>
      </c>
      <c r="U301" s="114">
        <v>0</v>
      </c>
      <c r="V301" s="113">
        <v>0</v>
      </c>
      <c r="W301" s="113">
        <v>0</v>
      </c>
      <c r="X301" s="113">
        <v>0</v>
      </c>
      <c r="Y301" s="113">
        <v>0</v>
      </c>
      <c r="Z301" s="113">
        <v>0</v>
      </c>
      <c r="AA301" s="113">
        <v>0</v>
      </c>
      <c r="AB301" s="113">
        <v>0</v>
      </c>
      <c r="AC301" s="113">
        <v>0</v>
      </c>
      <c r="AD301" s="113">
        <v>0</v>
      </c>
      <c r="AE301" s="113">
        <v>0</v>
      </c>
      <c r="AF301" s="113">
        <v>0</v>
      </c>
      <c r="AG301" s="113">
        <v>0</v>
      </c>
      <c r="AH301" s="113">
        <v>0</v>
      </c>
      <c r="AI301" s="113">
        <v>0</v>
      </c>
      <c r="AJ301" s="113">
        <v>0</v>
      </c>
      <c r="AK301" s="113">
        <v>0</v>
      </c>
      <c r="AL301" s="114">
        <v>0</v>
      </c>
      <c r="AM301" s="115"/>
      <c r="AN301" s="56">
        <f t="shared" si="16"/>
        <v>0</v>
      </c>
      <c r="AO301" s="56">
        <f t="shared" si="17"/>
        <v>0</v>
      </c>
      <c r="AP301" s="4"/>
    </row>
    <row r="302" spans="1:42" ht="17" thickBot="1">
      <c r="A302" s="116"/>
      <c r="B302" s="117" t="s">
        <v>9</v>
      </c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114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114"/>
      <c r="AM302" s="115"/>
      <c r="AN302" s="56">
        <f t="shared" si="16"/>
        <v>0</v>
      </c>
      <c r="AO302" s="56">
        <f t="shared" si="17"/>
        <v>0</v>
      </c>
      <c r="AP302" s="4"/>
    </row>
    <row r="303" spans="1:42" ht="17" thickBot="1">
      <c r="A303" s="136" t="s">
        <v>23</v>
      </c>
      <c r="B303" s="112" t="s">
        <v>5</v>
      </c>
      <c r="C303" s="113"/>
      <c r="D303" s="113"/>
      <c r="E303" s="113">
        <v>0</v>
      </c>
      <c r="F303" s="113">
        <v>-203898</v>
      </c>
      <c r="G303" s="113">
        <v>75629</v>
      </c>
      <c r="H303" s="113">
        <v>52038</v>
      </c>
      <c r="I303" s="113">
        <v>-128062</v>
      </c>
      <c r="J303" s="113">
        <v>72778</v>
      </c>
      <c r="K303" s="113">
        <v>10089</v>
      </c>
      <c r="L303" s="113">
        <v>31127</v>
      </c>
      <c r="M303" s="113">
        <v>1178</v>
      </c>
      <c r="N303" s="113">
        <v>165984</v>
      </c>
      <c r="O303" s="113">
        <v>47798</v>
      </c>
      <c r="P303" s="113">
        <v>16295</v>
      </c>
      <c r="Q303" s="113">
        <v>50859</v>
      </c>
      <c r="R303" s="113">
        <v>17512</v>
      </c>
      <c r="S303" s="113">
        <v>0</v>
      </c>
      <c r="T303" s="113">
        <v>133483</v>
      </c>
      <c r="U303" s="114">
        <v>831489</v>
      </c>
      <c r="V303" s="113">
        <v>0</v>
      </c>
      <c r="W303" s="113">
        <v>0</v>
      </c>
      <c r="X303" s="113">
        <v>0</v>
      </c>
      <c r="Y303" s="113">
        <v>68</v>
      </c>
      <c r="Z303" s="113">
        <v>68</v>
      </c>
      <c r="AA303" s="113">
        <v>96</v>
      </c>
      <c r="AB303" s="113">
        <v>96</v>
      </c>
      <c r="AC303" s="113">
        <v>96</v>
      </c>
      <c r="AD303" s="113">
        <v>52</v>
      </c>
      <c r="AE303" s="113">
        <v>340</v>
      </c>
      <c r="AF303" s="113">
        <v>0</v>
      </c>
      <c r="AG303" s="113">
        <v>0</v>
      </c>
      <c r="AH303" s="113">
        <v>0</v>
      </c>
      <c r="AI303" s="113">
        <v>0</v>
      </c>
      <c r="AJ303" s="113">
        <v>0</v>
      </c>
      <c r="AK303" s="113">
        <v>0</v>
      </c>
      <c r="AL303" s="114">
        <v>408</v>
      </c>
      <c r="AM303" s="115">
        <v>32</v>
      </c>
      <c r="AN303" s="56">
        <f t="shared" si="16"/>
        <v>26607648</v>
      </c>
      <c r="AO303" s="56">
        <f t="shared" si="17"/>
        <v>13056</v>
      </c>
      <c r="AP303" s="4" t="str">
        <f>VLOOKUP(A303,[1]Basic!$B:$F,5,0)</f>
        <v>LP5/5X</v>
      </c>
    </row>
    <row r="304" spans="1:42" ht="17" thickBot="1">
      <c r="A304" s="136"/>
      <c r="B304" s="112" t="s">
        <v>6</v>
      </c>
      <c r="C304" s="113"/>
      <c r="D304" s="113"/>
      <c r="E304" s="113">
        <v>0</v>
      </c>
      <c r="F304" s="113">
        <v>161082</v>
      </c>
      <c r="G304" s="113">
        <v>80678</v>
      </c>
      <c r="H304" s="113">
        <v>0</v>
      </c>
      <c r="I304" s="113">
        <v>241760</v>
      </c>
      <c r="J304" s="113">
        <v>794542</v>
      </c>
      <c r="K304" s="113">
        <v>0</v>
      </c>
      <c r="L304" s="113">
        <v>0</v>
      </c>
      <c r="M304" s="113">
        <v>100000</v>
      </c>
      <c r="N304" s="113">
        <v>794542</v>
      </c>
      <c r="O304" s="113">
        <v>0</v>
      </c>
      <c r="P304" s="113">
        <v>0</v>
      </c>
      <c r="Q304" s="113">
        <v>30000</v>
      </c>
      <c r="R304" s="113">
        <v>100000</v>
      </c>
      <c r="S304" s="113">
        <v>100000</v>
      </c>
      <c r="T304" s="113">
        <v>200000</v>
      </c>
      <c r="U304" s="114">
        <v>0</v>
      </c>
      <c r="V304" s="113">
        <v>30000</v>
      </c>
      <c r="W304" s="113">
        <v>0</v>
      </c>
      <c r="X304" s="113">
        <v>0</v>
      </c>
      <c r="Y304" s="113">
        <v>0</v>
      </c>
      <c r="Z304" s="113">
        <v>100000</v>
      </c>
      <c r="AA304" s="113">
        <v>0</v>
      </c>
      <c r="AB304" s="113">
        <v>0</v>
      </c>
      <c r="AC304" s="113">
        <v>0</v>
      </c>
      <c r="AD304" s="113">
        <v>0</v>
      </c>
      <c r="AE304" s="113">
        <v>0</v>
      </c>
      <c r="AF304" s="113">
        <v>0</v>
      </c>
      <c r="AG304" s="113">
        <v>0</v>
      </c>
      <c r="AH304" s="113">
        <v>0</v>
      </c>
      <c r="AI304" s="113">
        <v>0</v>
      </c>
      <c r="AJ304" s="113">
        <v>0</v>
      </c>
      <c r="AK304" s="113">
        <v>0</v>
      </c>
      <c r="AL304" s="114">
        <v>0</v>
      </c>
      <c r="AM304" s="115"/>
      <c r="AN304" s="56">
        <f t="shared" si="16"/>
        <v>0</v>
      </c>
      <c r="AO304" s="56">
        <f t="shared" si="17"/>
        <v>0</v>
      </c>
      <c r="AP304" s="4"/>
    </row>
    <row r="305" spans="1:42" ht="17" thickBot="1">
      <c r="A305" s="136"/>
      <c r="B305" s="112" t="s">
        <v>10</v>
      </c>
      <c r="C305" s="113">
        <v>279366</v>
      </c>
      <c r="D305" s="113"/>
      <c r="E305" s="113">
        <v>0</v>
      </c>
      <c r="F305" s="113">
        <v>279366</v>
      </c>
      <c r="G305" s="113">
        <v>0</v>
      </c>
      <c r="H305" s="113">
        <v>0</v>
      </c>
      <c r="I305" s="113">
        <v>0</v>
      </c>
      <c r="J305" s="113">
        <v>0</v>
      </c>
      <c r="K305" s="113">
        <v>0</v>
      </c>
      <c r="L305" s="113">
        <v>0</v>
      </c>
      <c r="M305" s="113">
        <v>0</v>
      </c>
      <c r="N305" s="113">
        <v>0</v>
      </c>
      <c r="O305" s="113">
        <v>0</v>
      </c>
      <c r="P305" s="113">
        <v>0</v>
      </c>
      <c r="Q305" s="113">
        <v>0</v>
      </c>
      <c r="R305" s="113">
        <v>0</v>
      </c>
      <c r="S305" s="113">
        <v>0</v>
      </c>
      <c r="T305" s="113">
        <v>0</v>
      </c>
      <c r="U305" s="114">
        <v>0</v>
      </c>
      <c r="V305" s="113">
        <v>0</v>
      </c>
      <c r="W305" s="113">
        <v>0</v>
      </c>
      <c r="X305" s="113">
        <v>0</v>
      </c>
      <c r="Y305" s="113">
        <v>0</v>
      </c>
      <c r="Z305" s="113">
        <v>0</v>
      </c>
      <c r="AA305" s="113">
        <v>0</v>
      </c>
      <c r="AB305" s="113">
        <v>0</v>
      </c>
      <c r="AC305" s="113">
        <v>0</v>
      </c>
      <c r="AD305" s="113">
        <v>0</v>
      </c>
      <c r="AE305" s="113">
        <v>0</v>
      </c>
      <c r="AF305" s="113">
        <v>0</v>
      </c>
      <c r="AG305" s="113">
        <v>0</v>
      </c>
      <c r="AH305" s="113">
        <v>0</v>
      </c>
      <c r="AI305" s="113">
        <v>0</v>
      </c>
      <c r="AJ305" s="113">
        <v>0</v>
      </c>
      <c r="AK305" s="113">
        <v>0</v>
      </c>
      <c r="AL305" s="114">
        <v>0</v>
      </c>
      <c r="AM305" s="115"/>
      <c r="AN305" s="56">
        <f t="shared" si="16"/>
        <v>0</v>
      </c>
      <c r="AO305" s="56">
        <f t="shared" si="17"/>
        <v>0</v>
      </c>
      <c r="AP305" s="4"/>
    </row>
    <row r="306" spans="1:42" ht="17" thickBot="1">
      <c r="A306" s="136"/>
      <c r="B306" s="112" t="s">
        <v>7</v>
      </c>
      <c r="C306" s="113"/>
      <c r="D306" s="113"/>
      <c r="E306" s="113">
        <v>0</v>
      </c>
      <c r="F306" s="113">
        <v>290448</v>
      </c>
      <c r="G306" s="113">
        <v>0</v>
      </c>
      <c r="H306" s="113">
        <v>0</v>
      </c>
      <c r="I306" s="113">
        <v>290448</v>
      </c>
      <c r="J306" s="113">
        <v>794542</v>
      </c>
      <c r="K306" s="113">
        <v>0</v>
      </c>
      <c r="L306" s="113">
        <v>0</v>
      </c>
      <c r="M306" s="113">
        <v>100000</v>
      </c>
      <c r="N306" s="113">
        <v>794542</v>
      </c>
      <c r="O306" s="113">
        <v>0</v>
      </c>
      <c r="P306" s="113">
        <v>0</v>
      </c>
      <c r="Q306" s="113">
        <v>30000</v>
      </c>
      <c r="R306" s="113">
        <v>100000</v>
      </c>
      <c r="S306" s="113">
        <v>100000</v>
      </c>
      <c r="T306" s="113">
        <v>230000</v>
      </c>
      <c r="U306" s="114">
        <v>1975074</v>
      </c>
      <c r="V306" s="113">
        <v>30000</v>
      </c>
      <c r="W306" s="113">
        <v>0</v>
      </c>
      <c r="X306" s="113">
        <v>0</v>
      </c>
      <c r="Y306" s="113">
        <v>0</v>
      </c>
      <c r="Z306" s="113">
        <v>130000</v>
      </c>
      <c r="AA306" s="113">
        <v>0</v>
      </c>
      <c r="AB306" s="113">
        <v>0</v>
      </c>
      <c r="AC306" s="113">
        <v>0</v>
      </c>
      <c r="AD306" s="113">
        <v>0</v>
      </c>
      <c r="AE306" s="113">
        <v>0</v>
      </c>
      <c r="AF306" s="113">
        <v>0</v>
      </c>
      <c r="AG306" s="113">
        <v>0</v>
      </c>
      <c r="AH306" s="113">
        <v>0</v>
      </c>
      <c r="AI306" s="113">
        <v>0</v>
      </c>
      <c r="AJ306" s="113">
        <v>0</v>
      </c>
      <c r="AK306" s="113">
        <v>0</v>
      </c>
      <c r="AL306" s="114">
        <v>1243176</v>
      </c>
      <c r="AM306" s="115"/>
      <c r="AN306" s="56">
        <f t="shared" si="16"/>
        <v>0</v>
      </c>
      <c r="AO306" s="56">
        <f t="shared" si="17"/>
        <v>0</v>
      </c>
      <c r="AP306" s="4"/>
    </row>
    <row r="307" spans="1:42" ht="17" thickBot="1">
      <c r="A307" s="136"/>
      <c r="B307" s="112" t="s">
        <v>8</v>
      </c>
      <c r="C307" s="113">
        <v>611535</v>
      </c>
      <c r="D307" s="113">
        <v>660084</v>
      </c>
      <c r="E307" s="113">
        <v>0</v>
      </c>
      <c r="F307" s="113">
        <v>442123</v>
      </c>
      <c r="G307" s="113">
        <v>374289</v>
      </c>
      <c r="H307" s="113">
        <v>322458</v>
      </c>
      <c r="I307" s="113">
        <v>418510</v>
      </c>
      <c r="J307" s="113">
        <v>1048401</v>
      </c>
      <c r="K307" s="113">
        <v>1038875</v>
      </c>
      <c r="L307" s="113">
        <v>1007748</v>
      </c>
      <c r="M307" s="113">
        <v>1106570</v>
      </c>
      <c r="N307" s="113">
        <v>1047068</v>
      </c>
      <c r="O307" s="113">
        <v>1098251</v>
      </c>
      <c r="P307" s="113">
        <v>1081956</v>
      </c>
      <c r="Q307" s="113">
        <v>1061097</v>
      </c>
      <c r="R307" s="113">
        <v>1010676</v>
      </c>
      <c r="S307" s="113">
        <v>1110676</v>
      </c>
      <c r="T307" s="113">
        <v>1143585</v>
      </c>
      <c r="U307" s="114">
        <v>1143585</v>
      </c>
      <c r="V307" s="113">
        <v>1273585</v>
      </c>
      <c r="W307" s="113">
        <v>1273585</v>
      </c>
      <c r="X307" s="113">
        <v>1273585</v>
      </c>
      <c r="Y307" s="113">
        <v>1273517</v>
      </c>
      <c r="Z307" s="113">
        <v>1273517</v>
      </c>
      <c r="AA307" s="113">
        <v>1273421</v>
      </c>
      <c r="AB307" s="113">
        <v>1273325</v>
      </c>
      <c r="AC307" s="113">
        <v>1273229</v>
      </c>
      <c r="AD307" s="113">
        <v>1273177</v>
      </c>
      <c r="AE307" s="113">
        <v>1273177</v>
      </c>
      <c r="AF307" s="113">
        <v>1273177</v>
      </c>
      <c r="AG307" s="113">
        <v>1273177</v>
      </c>
      <c r="AH307" s="113">
        <v>1273177</v>
      </c>
      <c r="AI307" s="113">
        <v>1273177</v>
      </c>
      <c r="AJ307" s="113">
        <v>1273177</v>
      </c>
      <c r="AK307" s="113">
        <v>1273177</v>
      </c>
      <c r="AL307" s="114">
        <v>1273177</v>
      </c>
      <c r="AM307" s="115"/>
      <c r="AN307" s="56">
        <f t="shared" si="16"/>
        <v>0</v>
      </c>
      <c r="AO307" s="56">
        <f t="shared" si="17"/>
        <v>0</v>
      </c>
      <c r="AP307" s="4"/>
    </row>
    <row r="308" spans="1:42" ht="17" thickBot="1">
      <c r="A308" s="116"/>
      <c r="B308" s="117" t="s">
        <v>9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114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114"/>
      <c r="AM308" s="115"/>
      <c r="AN308" s="56">
        <f t="shared" si="16"/>
        <v>0</v>
      </c>
      <c r="AO308" s="56">
        <f t="shared" si="17"/>
        <v>0</v>
      </c>
      <c r="AP308" s="4"/>
    </row>
    <row r="309" spans="1:42" ht="17" thickBot="1">
      <c r="A309" s="136" t="s">
        <v>24</v>
      </c>
      <c r="B309" s="112" t="s">
        <v>5</v>
      </c>
      <c r="C309" s="113"/>
      <c r="D309" s="113"/>
      <c r="E309" s="113">
        <v>53740</v>
      </c>
      <c r="F309" s="113">
        <v>-48095</v>
      </c>
      <c r="G309" s="113">
        <v>14068</v>
      </c>
      <c r="H309" s="113">
        <v>8303</v>
      </c>
      <c r="I309" s="113">
        <v>21331</v>
      </c>
      <c r="J309" s="113">
        <v>8811</v>
      </c>
      <c r="K309" s="113">
        <v>6181</v>
      </c>
      <c r="L309" s="113">
        <v>4587</v>
      </c>
      <c r="M309" s="113">
        <v>1088</v>
      </c>
      <c r="N309" s="113">
        <v>27352</v>
      </c>
      <c r="O309" s="113">
        <v>7113</v>
      </c>
      <c r="P309" s="113">
        <v>5863</v>
      </c>
      <c r="Q309" s="113">
        <v>9256</v>
      </c>
      <c r="R309" s="113">
        <v>379</v>
      </c>
      <c r="S309" s="113">
        <v>67</v>
      </c>
      <c r="T309" s="113">
        <v>22678</v>
      </c>
      <c r="U309" s="114">
        <v>145435</v>
      </c>
      <c r="V309" s="113">
        <v>0</v>
      </c>
      <c r="W309" s="113">
        <v>0</v>
      </c>
      <c r="X309" s="113">
        <v>238</v>
      </c>
      <c r="Y309" s="113">
        <v>0</v>
      </c>
      <c r="Z309" s="113">
        <v>238</v>
      </c>
      <c r="AA309" s="113">
        <v>0</v>
      </c>
      <c r="AB309" s="113">
        <v>0</v>
      </c>
      <c r="AC309" s="113">
        <v>224</v>
      </c>
      <c r="AD309" s="113">
        <v>0</v>
      </c>
      <c r="AE309" s="113">
        <v>224</v>
      </c>
      <c r="AF309" s="113">
        <v>0</v>
      </c>
      <c r="AG309" s="113">
        <v>0</v>
      </c>
      <c r="AH309" s="113">
        <v>0</v>
      </c>
      <c r="AI309" s="113">
        <v>0</v>
      </c>
      <c r="AJ309" s="113">
        <v>0</v>
      </c>
      <c r="AK309" s="113">
        <v>0</v>
      </c>
      <c r="AL309" s="114">
        <v>462</v>
      </c>
      <c r="AM309" s="115">
        <v>64</v>
      </c>
      <c r="AN309" s="56">
        <f t="shared" si="16"/>
        <v>9307840</v>
      </c>
      <c r="AO309" s="56">
        <f t="shared" si="17"/>
        <v>29568</v>
      </c>
      <c r="AP309" s="4" t="s">
        <v>130</v>
      </c>
    </row>
    <row r="310" spans="1:42" ht="17" thickBot="1">
      <c r="A310" s="136"/>
      <c r="B310" s="112" t="s">
        <v>6</v>
      </c>
      <c r="C310" s="113"/>
      <c r="D310" s="113"/>
      <c r="E310" s="113">
        <v>53740</v>
      </c>
      <c r="F310" s="113">
        <v>31015</v>
      </c>
      <c r="G310" s="113">
        <v>81920</v>
      </c>
      <c r="H310" s="113">
        <v>0</v>
      </c>
      <c r="I310" s="113">
        <v>166675</v>
      </c>
      <c r="J310" s="113">
        <v>70000</v>
      </c>
      <c r="K310" s="113">
        <v>0</v>
      </c>
      <c r="L310" s="113">
        <v>20000</v>
      </c>
      <c r="M310" s="113">
        <v>50000</v>
      </c>
      <c r="N310" s="113">
        <v>70000</v>
      </c>
      <c r="O310" s="113">
        <v>0</v>
      </c>
      <c r="P310" s="113">
        <v>0</v>
      </c>
      <c r="Q310" s="113">
        <v>20000</v>
      </c>
      <c r="R310" s="113">
        <v>0</v>
      </c>
      <c r="S310" s="113">
        <v>0</v>
      </c>
      <c r="T310" s="113">
        <v>50000</v>
      </c>
      <c r="U310" s="114">
        <v>0</v>
      </c>
      <c r="V310" s="113">
        <v>20000</v>
      </c>
      <c r="W310" s="113">
        <v>0</v>
      </c>
      <c r="X310" s="113">
        <v>0</v>
      </c>
      <c r="Y310" s="113">
        <v>0</v>
      </c>
      <c r="Z310" s="113">
        <v>0</v>
      </c>
      <c r="AA310" s="113">
        <v>0</v>
      </c>
      <c r="AB310" s="113">
        <v>0</v>
      </c>
      <c r="AC310" s="113">
        <v>0</v>
      </c>
      <c r="AD310" s="113">
        <v>0</v>
      </c>
      <c r="AE310" s="113">
        <v>0</v>
      </c>
      <c r="AF310" s="113">
        <v>0</v>
      </c>
      <c r="AG310" s="113">
        <v>0</v>
      </c>
      <c r="AH310" s="113">
        <v>0</v>
      </c>
      <c r="AI310" s="113">
        <v>0</v>
      </c>
      <c r="AJ310" s="113">
        <v>0</v>
      </c>
      <c r="AK310" s="113">
        <v>0</v>
      </c>
      <c r="AL310" s="114">
        <v>0</v>
      </c>
      <c r="AM310" s="115"/>
      <c r="AN310" s="56">
        <f t="shared" si="16"/>
        <v>0</v>
      </c>
      <c r="AO310" s="56">
        <f t="shared" si="17"/>
        <v>0</v>
      </c>
      <c r="AP310" s="4"/>
    </row>
    <row r="311" spans="1:42" ht="17" thickBot="1">
      <c r="A311" s="136"/>
      <c r="B311" s="112" t="s">
        <v>10</v>
      </c>
      <c r="C311" s="113">
        <v>29160</v>
      </c>
      <c r="D311" s="113"/>
      <c r="E311" s="113">
        <v>0</v>
      </c>
      <c r="F311" s="113">
        <v>29160</v>
      </c>
      <c r="G311" s="113">
        <v>0</v>
      </c>
      <c r="H311" s="113">
        <v>0</v>
      </c>
      <c r="I311" s="113">
        <v>0</v>
      </c>
      <c r="J311" s="113">
        <v>0</v>
      </c>
      <c r="K311" s="113">
        <v>0</v>
      </c>
      <c r="L311" s="113">
        <v>0</v>
      </c>
      <c r="M311" s="113">
        <v>0</v>
      </c>
      <c r="N311" s="113">
        <v>0</v>
      </c>
      <c r="O311" s="113">
        <v>0</v>
      </c>
      <c r="P311" s="113">
        <v>0</v>
      </c>
      <c r="Q311" s="113">
        <v>0</v>
      </c>
      <c r="R311" s="113">
        <v>0</v>
      </c>
      <c r="S311" s="113">
        <v>0</v>
      </c>
      <c r="T311" s="113">
        <v>0</v>
      </c>
      <c r="U311" s="114">
        <v>0</v>
      </c>
      <c r="V311" s="113">
        <v>31360</v>
      </c>
      <c r="W311" s="113">
        <v>0</v>
      </c>
      <c r="X311" s="113">
        <v>0</v>
      </c>
      <c r="Y311" s="113">
        <v>0</v>
      </c>
      <c r="Z311" s="113">
        <v>0</v>
      </c>
      <c r="AA311" s="113">
        <v>0</v>
      </c>
      <c r="AB311" s="113">
        <v>0</v>
      </c>
      <c r="AC311" s="113">
        <v>0</v>
      </c>
      <c r="AD311" s="113">
        <v>0</v>
      </c>
      <c r="AE311" s="113">
        <v>0</v>
      </c>
      <c r="AF311" s="113">
        <v>0</v>
      </c>
      <c r="AG311" s="113">
        <v>0</v>
      </c>
      <c r="AH311" s="113">
        <v>0</v>
      </c>
      <c r="AI311" s="113">
        <v>0</v>
      </c>
      <c r="AJ311" s="113">
        <v>0</v>
      </c>
      <c r="AK311" s="113">
        <v>0</v>
      </c>
      <c r="AL311" s="114">
        <v>0</v>
      </c>
      <c r="AM311" s="115"/>
      <c r="AN311" s="56">
        <f t="shared" si="16"/>
        <v>0</v>
      </c>
      <c r="AO311" s="56">
        <f t="shared" si="17"/>
        <v>0</v>
      </c>
      <c r="AP311" s="4"/>
    </row>
    <row r="312" spans="1:42" ht="17" thickBot="1">
      <c r="A312" s="136"/>
      <c r="B312" s="112" t="s">
        <v>7</v>
      </c>
      <c r="C312" s="113"/>
      <c r="D312" s="113"/>
      <c r="E312" s="113">
        <v>115283</v>
      </c>
      <c r="F312" s="113">
        <v>29160</v>
      </c>
      <c r="G312" s="113">
        <v>138880</v>
      </c>
      <c r="H312" s="113">
        <v>0</v>
      </c>
      <c r="I312" s="113">
        <v>283323</v>
      </c>
      <c r="J312" s="113">
        <v>70000</v>
      </c>
      <c r="K312" s="113">
        <v>49280</v>
      </c>
      <c r="L312" s="113">
        <v>20000</v>
      </c>
      <c r="M312" s="113">
        <v>50000</v>
      </c>
      <c r="N312" s="113">
        <v>139280</v>
      </c>
      <c r="O312" s="113">
        <v>0</v>
      </c>
      <c r="P312" s="113">
        <v>0</v>
      </c>
      <c r="Q312" s="113">
        <v>20000</v>
      </c>
      <c r="R312" s="113">
        <v>340000</v>
      </c>
      <c r="S312" s="113">
        <v>0</v>
      </c>
      <c r="T312" s="113">
        <v>410000</v>
      </c>
      <c r="U312" s="114">
        <v>906677</v>
      </c>
      <c r="V312" s="113">
        <v>51360</v>
      </c>
      <c r="W312" s="113">
        <v>0</v>
      </c>
      <c r="X312" s="113">
        <v>0</v>
      </c>
      <c r="Y312" s="113">
        <v>0</v>
      </c>
      <c r="Z312" s="113">
        <v>51360</v>
      </c>
      <c r="AA312" s="113">
        <v>0</v>
      </c>
      <c r="AB312" s="113">
        <v>0</v>
      </c>
      <c r="AC312" s="113">
        <v>0</v>
      </c>
      <c r="AD312" s="113">
        <v>0</v>
      </c>
      <c r="AE312" s="113">
        <v>0</v>
      </c>
      <c r="AF312" s="113">
        <v>0</v>
      </c>
      <c r="AG312" s="113">
        <v>0</v>
      </c>
      <c r="AH312" s="113">
        <v>0</v>
      </c>
      <c r="AI312" s="113">
        <v>0</v>
      </c>
      <c r="AJ312" s="113">
        <v>0</v>
      </c>
      <c r="AK312" s="113">
        <v>0</v>
      </c>
      <c r="AL312" s="114">
        <v>200675</v>
      </c>
      <c r="AM312" s="115"/>
      <c r="AN312" s="56">
        <f t="shared" si="16"/>
        <v>0</v>
      </c>
      <c r="AO312" s="56">
        <f t="shared" si="17"/>
        <v>0</v>
      </c>
      <c r="AP312" s="4"/>
    </row>
    <row r="313" spans="1:42" ht="17" thickBot="1">
      <c r="A313" s="136"/>
      <c r="B313" s="112" t="s">
        <v>8</v>
      </c>
      <c r="C313" s="113">
        <v>99734</v>
      </c>
      <c r="D313" s="113">
        <v>74074</v>
      </c>
      <c r="E313" s="113">
        <v>0</v>
      </c>
      <c r="F313" s="113">
        <v>83652</v>
      </c>
      <c r="G313" s="113">
        <v>71423</v>
      </c>
      <c r="H313" s="113">
        <v>64738</v>
      </c>
      <c r="I313" s="113">
        <v>261992</v>
      </c>
      <c r="J313" s="113">
        <v>127967</v>
      </c>
      <c r="K313" s="113">
        <v>122727</v>
      </c>
      <c r="L313" s="113">
        <v>138140</v>
      </c>
      <c r="M313" s="113">
        <v>187052</v>
      </c>
      <c r="N313" s="113">
        <v>373920</v>
      </c>
      <c r="O313" s="113">
        <v>416807</v>
      </c>
      <c r="P313" s="113">
        <v>410944</v>
      </c>
      <c r="Q313" s="113">
        <v>421688</v>
      </c>
      <c r="R313" s="113">
        <v>538931</v>
      </c>
      <c r="S313" s="113">
        <v>538864</v>
      </c>
      <c r="T313" s="113">
        <v>761242</v>
      </c>
      <c r="U313" s="114">
        <v>761242</v>
      </c>
      <c r="V313" s="113">
        <v>812602</v>
      </c>
      <c r="W313" s="113">
        <v>812602</v>
      </c>
      <c r="X313" s="113">
        <v>812364</v>
      </c>
      <c r="Y313" s="113">
        <v>812602</v>
      </c>
      <c r="Z313" s="113">
        <v>812364</v>
      </c>
      <c r="AA313" s="113">
        <v>812364</v>
      </c>
      <c r="AB313" s="113">
        <v>812364</v>
      </c>
      <c r="AC313" s="113">
        <v>812140</v>
      </c>
      <c r="AD313" s="113">
        <v>812140</v>
      </c>
      <c r="AE313" s="113">
        <v>812140</v>
      </c>
      <c r="AF313" s="113">
        <v>812140</v>
      </c>
      <c r="AG313" s="113">
        <v>812140</v>
      </c>
      <c r="AH313" s="113">
        <v>812140</v>
      </c>
      <c r="AI313" s="113">
        <v>812140</v>
      </c>
      <c r="AJ313" s="113">
        <v>812140</v>
      </c>
      <c r="AK313" s="113">
        <v>812140</v>
      </c>
      <c r="AL313" s="114">
        <v>812140</v>
      </c>
      <c r="AM313" s="115"/>
      <c r="AN313" s="56">
        <f t="shared" si="16"/>
        <v>0</v>
      </c>
      <c r="AO313" s="56">
        <f t="shared" si="17"/>
        <v>0</v>
      </c>
      <c r="AP313" s="4"/>
    </row>
    <row r="314" spans="1:42" ht="17" thickBot="1">
      <c r="A314" s="116"/>
      <c r="B314" s="117" t="s">
        <v>9</v>
      </c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114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114"/>
      <c r="AM314" s="115"/>
      <c r="AN314" s="56">
        <f t="shared" si="16"/>
        <v>0</v>
      </c>
      <c r="AO314" s="56">
        <f t="shared" si="17"/>
        <v>0</v>
      </c>
      <c r="AP314" s="4"/>
    </row>
    <row r="315" spans="1:42" ht="17" thickBot="1">
      <c r="A315" s="136" t="s">
        <v>125</v>
      </c>
      <c r="B315" s="112" t="s">
        <v>5</v>
      </c>
      <c r="C315" s="113"/>
      <c r="D315" s="113"/>
      <c r="E315" s="113">
        <v>0</v>
      </c>
      <c r="F315" s="113">
        <v>1707</v>
      </c>
      <c r="G315" s="113">
        <v>4576</v>
      </c>
      <c r="H315" s="113">
        <v>3276</v>
      </c>
      <c r="I315" s="113">
        <v>9559</v>
      </c>
      <c r="J315" s="113">
        <v>4312</v>
      </c>
      <c r="K315" s="113">
        <v>5037</v>
      </c>
      <c r="L315" s="113">
        <v>5523</v>
      </c>
      <c r="M315" s="113">
        <v>5040</v>
      </c>
      <c r="N315" s="113">
        <v>19912</v>
      </c>
      <c r="O315" s="113">
        <v>2880</v>
      </c>
      <c r="P315" s="113">
        <v>3472</v>
      </c>
      <c r="Q315" s="113">
        <v>3093</v>
      </c>
      <c r="R315" s="113">
        <v>4377</v>
      </c>
      <c r="S315" s="113">
        <v>1459</v>
      </c>
      <c r="T315" s="113">
        <v>15281</v>
      </c>
      <c r="U315" s="114">
        <v>78238</v>
      </c>
      <c r="V315" s="113">
        <v>1889</v>
      </c>
      <c r="W315" s="113">
        <v>1672</v>
      </c>
      <c r="X315" s="113">
        <v>1672</v>
      </c>
      <c r="Y315" s="113">
        <v>2109</v>
      </c>
      <c r="Z315" s="113">
        <v>7342</v>
      </c>
      <c r="AA315" s="113">
        <v>3444</v>
      </c>
      <c r="AB315" s="113">
        <v>4179</v>
      </c>
      <c r="AC315" s="113">
        <v>4200</v>
      </c>
      <c r="AD315" s="113">
        <v>4200</v>
      </c>
      <c r="AE315" s="113">
        <v>16023</v>
      </c>
      <c r="AF315" s="113">
        <v>2328</v>
      </c>
      <c r="AG315" s="113">
        <v>3696</v>
      </c>
      <c r="AH315" s="113">
        <v>4090</v>
      </c>
      <c r="AI315" s="113">
        <v>3638</v>
      </c>
      <c r="AJ315" s="113">
        <v>5121</v>
      </c>
      <c r="AK315" s="113">
        <v>18873</v>
      </c>
      <c r="AL315" s="114">
        <v>42238</v>
      </c>
      <c r="AM315" s="115">
        <v>64</v>
      </c>
      <c r="AN315" s="56">
        <f t="shared" si="16"/>
        <v>5007232</v>
      </c>
      <c r="AO315" s="56">
        <f t="shared" si="17"/>
        <v>2703232</v>
      </c>
      <c r="AP315" s="4" t="str">
        <f>VLOOKUP(A315,[1]Basic!$B:$F,5,0)</f>
        <v>D5 8GB</v>
      </c>
    </row>
    <row r="316" spans="1:42" ht="17" thickBot="1">
      <c r="A316" s="136"/>
      <c r="B316" s="112" t="s">
        <v>6</v>
      </c>
      <c r="C316" s="113"/>
      <c r="D316" s="113"/>
      <c r="E316" s="113">
        <v>0</v>
      </c>
      <c r="F316" s="113">
        <v>0</v>
      </c>
      <c r="G316" s="113">
        <v>12970</v>
      </c>
      <c r="H316" s="113">
        <v>0</v>
      </c>
      <c r="I316" s="113">
        <v>12970</v>
      </c>
      <c r="J316" s="113">
        <v>0</v>
      </c>
      <c r="K316" s="113">
        <v>0</v>
      </c>
      <c r="L316" s="113">
        <v>0</v>
      </c>
      <c r="M316" s="113">
        <v>0</v>
      </c>
      <c r="N316" s="113">
        <v>0</v>
      </c>
      <c r="O316" s="113">
        <v>0</v>
      </c>
      <c r="P316" s="113">
        <v>0</v>
      </c>
      <c r="Q316" s="113">
        <v>0</v>
      </c>
      <c r="R316" s="113">
        <v>0</v>
      </c>
      <c r="S316" s="113">
        <v>12000</v>
      </c>
      <c r="T316" s="113">
        <v>12000</v>
      </c>
      <c r="U316" s="114">
        <v>24970</v>
      </c>
      <c r="V316" s="113">
        <v>0</v>
      </c>
      <c r="W316" s="113">
        <v>0</v>
      </c>
      <c r="X316" s="113">
        <v>0</v>
      </c>
      <c r="Y316" s="113">
        <v>0</v>
      </c>
      <c r="Z316" s="113">
        <v>0</v>
      </c>
      <c r="AA316" s="113">
        <v>0</v>
      </c>
      <c r="AB316" s="113">
        <v>0</v>
      </c>
      <c r="AC316" s="113">
        <v>0</v>
      </c>
      <c r="AD316" s="113">
        <v>0</v>
      </c>
      <c r="AE316" s="113">
        <v>0</v>
      </c>
      <c r="AF316" s="113">
        <v>0</v>
      </c>
      <c r="AG316" s="113">
        <v>0</v>
      </c>
      <c r="AH316" s="113">
        <v>0</v>
      </c>
      <c r="AI316" s="113">
        <v>0</v>
      </c>
      <c r="AJ316" s="113">
        <v>12000</v>
      </c>
      <c r="AK316" s="113">
        <v>12000</v>
      </c>
      <c r="AL316" s="114">
        <v>12000</v>
      </c>
      <c r="AM316" s="115"/>
      <c r="AN316" s="56">
        <f t="shared" si="16"/>
        <v>0</v>
      </c>
      <c r="AO316" s="56">
        <f t="shared" si="17"/>
        <v>0</v>
      </c>
      <c r="AP316" s="4"/>
    </row>
    <row r="317" spans="1:42" ht="17" thickBot="1">
      <c r="A317" s="136"/>
      <c r="B317" s="112" t="s">
        <v>10</v>
      </c>
      <c r="C317" s="113">
        <v>21040</v>
      </c>
      <c r="D317" s="113"/>
      <c r="E317" s="113">
        <v>0</v>
      </c>
      <c r="F317" s="113">
        <v>21040</v>
      </c>
      <c r="G317" s="113">
        <v>0</v>
      </c>
      <c r="H317" s="113">
        <v>0</v>
      </c>
      <c r="I317" s="113">
        <v>0</v>
      </c>
      <c r="J317" s="113">
        <v>0</v>
      </c>
      <c r="K317" s="113">
        <v>0</v>
      </c>
      <c r="L317" s="113">
        <v>0</v>
      </c>
      <c r="M317" s="113">
        <v>0</v>
      </c>
      <c r="N317" s="113">
        <v>0</v>
      </c>
      <c r="O317" s="113">
        <v>0</v>
      </c>
      <c r="P317" s="113">
        <v>0</v>
      </c>
      <c r="Q317" s="113">
        <v>0</v>
      </c>
      <c r="R317" s="113">
        <v>0</v>
      </c>
      <c r="S317" s="113">
        <v>0</v>
      </c>
      <c r="T317" s="113">
        <v>0</v>
      </c>
      <c r="U317" s="114">
        <v>0</v>
      </c>
      <c r="V317" s="113">
        <v>0</v>
      </c>
      <c r="W317" s="113">
        <v>0</v>
      </c>
      <c r="X317" s="113">
        <v>0</v>
      </c>
      <c r="Y317" s="113">
        <v>0</v>
      </c>
      <c r="Z317" s="113">
        <v>0</v>
      </c>
      <c r="AA317" s="113">
        <v>0</v>
      </c>
      <c r="AB317" s="113">
        <v>0</v>
      </c>
      <c r="AC317" s="113">
        <v>0</v>
      </c>
      <c r="AD317" s="113">
        <v>0</v>
      </c>
      <c r="AE317" s="113">
        <v>0</v>
      </c>
      <c r="AF317" s="113">
        <v>0</v>
      </c>
      <c r="AG317" s="113">
        <v>0</v>
      </c>
      <c r="AH317" s="113">
        <v>0</v>
      </c>
      <c r="AI317" s="113">
        <v>0</v>
      </c>
      <c r="AJ317" s="113">
        <v>0</v>
      </c>
      <c r="AK317" s="113">
        <v>0</v>
      </c>
      <c r="AL317" s="114">
        <v>0</v>
      </c>
      <c r="AM317" s="115"/>
      <c r="AN317" s="56">
        <f t="shared" si="16"/>
        <v>0</v>
      </c>
      <c r="AO317" s="56">
        <f t="shared" si="17"/>
        <v>0</v>
      </c>
      <c r="AP317" s="4"/>
    </row>
    <row r="318" spans="1:42" ht="17" thickBot="1">
      <c r="A318" s="136"/>
      <c r="B318" s="112" t="s">
        <v>7</v>
      </c>
      <c r="C318" s="113"/>
      <c r="D318" s="113"/>
      <c r="E318" s="113">
        <v>0</v>
      </c>
      <c r="F318" s="113">
        <v>21040</v>
      </c>
      <c r="G318" s="113">
        <v>12970</v>
      </c>
      <c r="H318" s="113">
        <v>0</v>
      </c>
      <c r="I318" s="113">
        <v>34010</v>
      </c>
      <c r="J318" s="113">
        <v>0</v>
      </c>
      <c r="K318" s="113">
        <v>0</v>
      </c>
      <c r="L318" s="113">
        <v>0</v>
      </c>
      <c r="M318" s="113">
        <v>0</v>
      </c>
      <c r="N318" s="113">
        <v>0</v>
      </c>
      <c r="O318" s="113">
        <v>0</v>
      </c>
      <c r="P318" s="113">
        <v>0</v>
      </c>
      <c r="Q318" s="113">
        <v>0</v>
      </c>
      <c r="R318" s="113">
        <v>0</v>
      </c>
      <c r="S318" s="113">
        <v>12000</v>
      </c>
      <c r="T318" s="113">
        <v>12000</v>
      </c>
      <c r="U318" s="114">
        <v>79496</v>
      </c>
      <c r="V318" s="113">
        <v>0</v>
      </c>
      <c r="W318" s="113">
        <v>0</v>
      </c>
      <c r="X318" s="113">
        <v>0</v>
      </c>
      <c r="Y318" s="113">
        <v>0</v>
      </c>
      <c r="Z318" s="113">
        <v>0</v>
      </c>
      <c r="AA318" s="113">
        <v>0</v>
      </c>
      <c r="AB318" s="113">
        <v>0</v>
      </c>
      <c r="AC318" s="113">
        <v>0</v>
      </c>
      <c r="AD318" s="113">
        <v>0</v>
      </c>
      <c r="AE318" s="113">
        <v>0</v>
      </c>
      <c r="AF318" s="113">
        <v>0</v>
      </c>
      <c r="AG318" s="113">
        <v>0</v>
      </c>
      <c r="AH318" s="113">
        <v>0</v>
      </c>
      <c r="AI318" s="113">
        <v>0</v>
      </c>
      <c r="AJ318" s="113">
        <v>12000</v>
      </c>
      <c r="AK318" s="113">
        <v>12000</v>
      </c>
      <c r="AL318" s="114">
        <v>12000</v>
      </c>
      <c r="AM318" s="115"/>
      <c r="AN318" s="56">
        <f t="shared" si="16"/>
        <v>0</v>
      </c>
      <c r="AO318" s="56">
        <f t="shared" si="17"/>
        <v>0</v>
      </c>
      <c r="AP318" s="4"/>
    </row>
    <row r="319" spans="1:42" ht="17" thickBot="1">
      <c r="A319" s="136"/>
      <c r="B319" s="112" t="s">
        <v>8</v>
      </c>
      <c r="C319" s="113">
        <v>33971</v>
      </c>
      <c r="D319" s="113">
        <v>33486</v>
      </c>
      <c r="E319" s="113">
        <v>0</v>
      </c>
      <c r="F319" s="113">
        <v>19333</v>
      </c>
      <c r="G319" s="113">
        <v>27727</v>
      </c>
      <c r="H319" s="113">
        <v>24451</v>
      </c>
      <c r="I319" s="113">
        <v>24451</v>
      </c>
      <c r="J319" s="113">
        <v>20139</v>
      </c>
      <c r="K319" s="113">
        <v>15102</v>
      </c>
      <c r="L319" s="113">
        <v>9579</v>
      </c>
      <c r="M319" s="113">
        <v>4539</v>
      </c>
      <c r="N319" s="113">
        <v>4539</v>
      </c>
      <c r="O319" s="113">
        <v>1659</v>
      </c>
      <c r="P319" s="113">
        <v>-1813</v>
      </c>
      <c r="Q319" s="113">
        <v>-4906</v>
      </c>
      <c r="R319" s="113">
        <v>-9283</v>
      </c>
      <c r="S319" s="113">
        <v>1258</v>
      </c>
      <c r="T319" s="113">
        <v>1258</v>
      </c>
      <c r="U319" s="114">
        <v>1258</v>
      </c>
      <c r="V319" s="113">
        <v>-631</v>
      </c>
      <c r="W319" s="113">
        <v>-2303</v>
      </c>
      <c r="X319" s="113">
        <v>-3975</v>
      </c>
      <c r="Y319" s="113">
        <v>-6084</v>
      </c>
      <c r="Z319" s="113">
        <v>-6084</v>
      </c>
      <c r="AA319" s="113">
        <v>-9528</v>
      </c>
      <c r="AB319" s="113">
        <v>-13707</v>
      </c>
      <c r="AC319" s="113">
        <v>-17907</v>
      </c>
      <c r="AD319" s="113">
        <v>-22107</v>
      </c>
      <c r="AE319" s="113">
        <v>-22107</v>
      </c>
      <c r="AF319" s="113">
        <v>-24435</v>
      </c>
      <c r="AG319" s="113">
        <v>-28131</v>
      </c>
      <c r="AH319" s="113">
        <v>-32221</v>
      </c>
      <c r="AI319" s="113">
        <v>-35859</v>
      </c>
      <c r="AJ319" s="113">
        <v>-28980</v>
      </c>
      <c r="AK319" s="113">
        <v>-28980</v>
      </c>
      <c r="AL319" s="114">
        <v>-28980</v>
      </c>
      <c r="AM319" s="115"/>
      <c r="AN319" s="56">
        <f t="shared" si="16"/>
        <v>0</v>
      </c>
      <c r="AO319" s="56">
        <f t="shared" si="17"/>
        <v>0</v>
      </c>
      <c r="AP319" s="4"/>
    </row>
    <row r="320" spans="1:42" ht="17" thickBot="1">
      <c r="A320" s="116"/>
      <c r="B320" s="117" t="s">
        <v>9</v>
      </c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114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114"/>
      <c r="AM320" s="115"/>
      <c r="AN320" s="56">
        <f t="shared" si="16"/>
        <v>0</v>
      </c>
      <c r="AO320" s="56">
        <f t="shared" si="17"/>
        <v>0</v>
      </c>
      <c r="AP320" s="4"/>
    </row>
    <row r="321" spans="1:42" ht="17" thickBot="1">
      <c r="A321" s="136" t="s">
        <v>114</v>
      </c>
      <c r="B321" s="112" t="s">
        <v>5</v>
      </c>
      <c r="C321" s="113"/>
      <c r="D321" s="113"/>
      <c r="E321" s="113">
        <v>15000</v>
      </c>
      <c r="F321" s="113">
        <v>-41943</v>
      </c>
      <c r="G321" s="113">
        <v>6105</v>
      </c>
      <c r="H321" s="113">
        <v>3685</v>
      </c>
      <c r="I321" s="113">
        <v>-17153</v>
      </c>
      <c r="J321" s="113">
        <v>3842</v>
      </c>
      <c r="K321" s="113">
        <v>5802</v>
      </c>
      <c r="L321" s="113">
        <v>7593</v>
      </c>
      <c r="M321" s="113">
        <v>6198</v>
      </c>
      <c r="N321" s="113">
        <v>23435</v>
      </c>
      <c r="O321" s="113">
        <v>7143</v>
      </c>
      <c r="P321" s="113">
        <v>2888</v>
      </c>
      <c r="Q321" s="113">
        <v>8107</v>
      </c>
      <c r="R321" s="113">
        <v>5065</v>
      </c>
      <c r="S321" s="113">
        <v>5354</v>
      </c>
      <c r="T321" s="113">
        <v>28557</v>
      </c>
      <c r="U321" s="114">
        <v>93014</v>
      </c>
      <c r="V321" s="113">
        <v>2022</v>
      </c>
      <c r="W321" s="113">
        <v>1764</v>
      </c>
      <c r="X321" s="113">
        <v>1783</v>
      </c>
      <c r="Y321" s="113">
        <v>1597</v>
      </c>
      <c r="Z321" s="113">
        <v>7166</v>
      </c>
      <c r="AA321" s="113">
        <v>2553</v>
      </c>
      <c r="AB321" s="113">
        <v>2480</v>
      </c>
      <c r="AC321" s="113">
        <v>3100</v>
      </c>
      <c r="AD321" s="113">
        <v>2471</v>
      </c>
      <c r="AE321" s="113">
        <v>10604</v>
      </c>
      <c r="AF321" s="113">
        <v>1415</v>
      </c>
      <c r="AG321" s="113">
        <v>2310</v>
      </c>
      <c r="AH321" s="113">
        <v>3284</v>
      </c>
      <c r="AI321" s="113">
        <v>2793</v>
      </c>
      <c r="AJ321" s="113">
        <v>948</v>
      </c>
      <c r="AK321" s="113">
        <v>10750</v>
      </c>
      <c r="AL321" s="114">
        <v>28520</v>
      </c>
      <c r="AM321" s="115">
        <v>128</v>
      </c>
      <c r="AN321" s="56">
        <f t="shared" si="16"/>
        <v>11905792</v>
      </c>
      <c r="AO321" s="56">
        <f t="shared" si="17"/>
        <v>3650560</v>
      </c>
      <c r="AP321" s="4" t="str">
        <f>VLOOKUP(A321,[1]Basic!$B:$F,5,0)</f>
        <v>D5 16GB</v>
      </c>
    </row>
    <row r="322" spans="1:42" ht="17" thickBot="1">
      <c r="A322" s="136"/>
      <c r="B322" s="112" t="s">
        <v>6</v>
      </c>
      <c r="C322" s="113"/>
      <c r="D322" s="113"/>
      <c r="E322" s="113">
        <v>15000</v>
      </c>
      <c r="F322" s="113">
        <v>0</v>
      </c>
      <c r="G322" s="113">
        <v>9757</v>
      </c>
      <c r="H322" s="113">
        <v>0</v>
      </c>
      <c r="I322" s="113">
        <v>24757</v>
      </c>
      <c r="J322" s="113">
        <v>15000</v>
      </c>
      <c r="K322" s="113">
        <v>0</v>
      </c>
      <c r="L322" s="113">
        <v>0</v>
      </c>
      <c r="M322" s="113">
        <v>0</v>
      </c>
      <c r="N322" s="113">
        <v>15000</v>
      </c>
      <c r="O322" s="113">
        <v>4000</v>
      </c>
      <c r="P322" s="113">
        <v>0</v>
      </c>
      <c r="Q322" s="113">
        <v>0</v>
      </c>
      <c r="R322" s="113">
        <v>0</v>
      </c>
      <c r="S322" s="113">
        <v>15000</v>
      </c>
      <c r="T322" s="113">
        <v>19000</v>
      </c>
      <c r="U322" s="114">
        <v>58757</v>
      </c>
      <c r="V322" s="113">
        <v>0</v>
      </c>
      <c r="W322" s="113">
        <v>0</v>
      </c>
      <c r="X322" s="113">
        <v>0</v>
      </c>
      <c r="Y322" s="113">
        <v>0</v>
      </c>
      <c r="Z322" s="113">
        <v>0</v>
      </c>
      <c r="AA322" s="113">
        <v>0</v>
      </c>
      <c r="AB322" s="113">
        <v>0</v>
      </c>
      <c r="AC322" s="113">
        <v>0</v>
      </c>
      <c r="AD322" s="113">
        <v>0</v>
      </c>
      <c r="AE322" s="113">
        <v>0</v>
      </c>
      <c r="AF322" s="113">
        <v>0</v>
      </c>
      <c r="AG322" s="113">
        <v>0</v>
      </c>
      <c r="AH322" s="113">
        <v>0</v>
      </c>
      <c r="AI322" s="113">
        <v>0</v>
      </c>
      <c r="AJ322" s="113">
        <v>10000</v>
      </c>
      <c r="AK322" s="113">
        <v>10000</v>
      </c>
      <c r="AL322" s="114">
        <v>10000</v>
      </c>
      <c r="AM322" s="115"/>
      <c r="AN322" s="56">
        <f t="shared" si="16"/>
        <v>0</v>
      </c>
      <c r="AO322" s="56">
        <f t="shared" si="17"/>
        <v>0</v>
      </c>
      <c r="AP322" s="4"/>
    </row>
    <row r="323" spans="1:42" ht="17" thickBot="1">
      <c r="A323" s="136"/>
      <c r="B323" s="112" t="s">
        <v>10</v>
      </c>
      <c r="C323" s="113">
        <v>18008</v>
      </c>
      <c r="D323" s="113"/>
      <c r="E323" s="113">
        <v>0</v>
      </c>
      <c r="F323" s="113">
        <v>18008</v>
      </c>
      <c r="G323" s="113">
        <v>0</v>
      </c>
      <c r="H323" s="113">
        <v>0</v>
      </c>
      <c r="I323" s="113">
        <v>0</v>
      </c>
      <c r="J323" s="113">
        <v>0</v>
      </c>
      <c r="K323" s="113">
        <v>0</v>
      </c>
      <c r="L323" s="113">
        <v>0</v>
      </c>
      <c r="M323" s="113">
        <v>0</v>
      </c>
      <c r="N323" s="113">
        <v>0</v>
      </c>
      <c r="O323" s="113">
        <v>0</v>
      </c>
      <c r="P323" s="113">
        <v>0</v>
      </c>
      <c r="Q323" s="113">
        <v>0</v>
      </c>
      <c r="R323" s="113">
        <v>0</v>
      </c>
      <c r="S323" s="113">
        <v>0</v>
      </c>
      <c r="T323" s="113">
        <v>0</v>
      </c>
      <c r="U323" s="114">
        <v>0</v>
      </c>
      <c r="V323" s="113">
        <v>0</v>
      </c>
      <c r="W323" s="113">
        <v>0</v>
      </c>
      <c r="X323" s="113">
        <v>0</v>
      </c>
      <c r="Y323" s="113">
        <v>0</v>
      </c>
      <c r="Z323" s="113">
        <v>0</v>
      </c>
      <c r="AA323" s="113">
        <v>0</v>
      </c>
      <c r="AB323" s="113">
        <v>0</v>
      </c>
      <c r="AC323" s="113">
        <v>0</v>
      </c>
      <c r="AD323" s="113">
        <v>0</v>
      </c>
      <c r="AE323" s="113">
        <v>0</v>
      </c>
      <c r="AF323" s="113">
        <v>0</v>
      </c>
      <c r="AG323" s="113">
        <v>0</v>
      </c>
      <c r="AH323" s="113">
        <v>0</v>
      </c>
      <c r="AI323" s="113">
        <v>0</v>
      </c>
      <c r="AJ323" s="113">
        <v>0</v>
      </c>
      <c r="AK323" s="113">
        <v>0</v>
      </c>
      <c r="AL323" s="114">
        <v>0</v>
      </c>
      <c r="AM323" s="115"/>
      <c r="AN323" s="56">
        <f t="shared" si="16"/>
        <v>0</v>
      </c>
      <c r="AO323" s="56">
        <f t="shared" si="17"/>
        <v>0</v>
      </c>
      <c r="AP323" s="4"/>
    </row>
    <row r="324" spans="1:42" ht="17" thickBot="1">
      <c r="A324" s="136"/>
      <c r="B324" s="112" t="s">
        <v>7</v>
      </c>
      <c r="C324" s="113"/>
      <c r="D324" s="113"/>
      <c r="E324" s="113">
        <v>15000</v>
      </c>
      <c r="F324" s="113">
        <v>18008</v>
      </c>
      <c r="G324" s="113">
        <v>9757</v>
      </c>
      <c r="H324" s="113">
        <v>0</v>
      </c>
      <c r="I324" s="113">
        <v>42765</v>
      </c>
      <c r="J324" s="113">
        <v>15000</v>
      </c>
      <c r="K324" s="113">
        <v>0</v>
      </c>
      <c r="L324" s="113">
        <v>0</v>
      </c>
      <c r="M324" s="113">
        <v>0</v>
      </c>
      <c r="N324" s="113">
        <v>15000</v>
      </c>
      <c r="O324" s="113">
        <v>4000</v>
      </c>
      <c r="P324" s="113">
        <v>0</v>
      </c>
      <c r="Q324" s="113">
        <v>0</v>
      </c>
      <c r="R324" s="113">
        <v>0</v>
      </c>
      <c r="S324" s="113">
        <v>15000</v>
      </c>
      <c r="T324" s="113">
        <v>19000</v>
      </c>
      <c r="U324" s="114">
        <v>134940</v>
      </c>
      <c r="V324" s="113">
        <v>0</v>
      </c>
      <c r="W324" s="113">
        <v>0</v>
      </c>
      <c r="X324" s="113">
        <v>0</v>
      </c>
      <c r="Y324" s="113">
        <v>0</v>
      </c>
      <c r="Z324" s="113">
        <v>0</v>
      </c>
      <c r="AA324" s="113">
        <v>0</v>
      </c>
      <c r="AB324" s="113">
        <v>0</v>
      </c>
      <c r="AC324" s="113">
        <v>0</v>
      </c>
      <c r="AD324" s="113">
        <v>0</v>
      </c>
      <c r="AE324" s="113">
        <v>0</v>
      </c>
      <c r="AF324" s="113">
        <v>0</v>
      </c>
      <c r="AG324" s="113">
        <v>0</v>
      </c>
      <c r="AH324" s="113">
        <v>0</v>
      </c>
      <c r="AI324" s="113">
        <v>0</v>
      </c>
      <c r="AJ324" s="113">
        <v>10000</v>
      </c>
      <c r="AK324" s="113">
        <v>10000</v>
      </c>
      <c r="AL324" s="114">
        <v>10000</v>
      </c>
      <c r="AM324" s="115"/>
      <c r="AN324" s="56">
        <f t="shared" si="16"/>
        <v>0</v>
      </c>
      <c r="AO324" s="56">
        <f t="shared" si="17"/>
        <v>0</v>
      </c>
      <c r="AP324" s="4"/>
    </row>
    <row r="325" spans="1:42" ht="17" thickBot="1">
      <c r="A325" s="136"/>
      <c r="B325" s="112" t="s">
        <v>8</v>
      </c>
      <c r="C325" s="113">
        <v>72157</v>
      </c>
      <c r="D325" s="113">
        <v>58175</v>
      </c>
      <c r="E325" s="113">
        <v>0</v>
      </c>
      <c r="F325" s="113">
        <v>59951</v>
      </c>
      <c r="G325" s="113">
        <v>63603</v>
      </c>
      <c r="H325" s="113">
        <v>59918</v>
      </c>
      <c r="I325" s="113">
        <v>59918</v>
      </c>
      <c r="J325" s="113">
        <v>71076</v>
      </c>
      <c r="K325" s="113">
        <v>65274</v>
      </c>
      <c r="L325" s="113">
        <v>57681</v>
      </c>
      <c r="M325" s="113">
        <v>51483</v>
      </c>
      <c r="N325" s="113">
        <v>51483</v>
      </c>
      <c r="O325" s="113">
        <v>48340</v>
      </c>
      <c r="P325" s="113">
        <v>45452</v>
      </c>
      <c r="Q325" s="113">
        <v>37345</v>
      </c>
      <c r="R325" s="113">
        <v>32280</v>
      </c>
      <c r="S325" s="113">
        <v>41926</v>
      </c>
      <c r="T325" s="113">
        <v>41926</v>
      </c>
      <c r="U325" s="114">
        <v>41926</v>
      </c>
      <c r="V325" s="113">
        <v>39904</v>
      </c>
      <c r="W325" s="113">
        <v>38140</v>
      </c>
      <c r="X325" s="113">
        <v>36357</v>
      </c>
      <c r="Y325" s="113">
        <v>36503</v>
      </c>
      <c r="Z325" s="113">
        <v>34760</v>
      </c>
      <c r="AA325" s="113">
        <v>32207</v>
      </c>
      <c r="AB325" s="113">
        <v>29727</v>
      </c>
      <c r="AC325" s="113">
        <v>26627</v>
      </c>
      <c r="AD325" s="113">
        <v>24156</v>
      </c>
      <c r="AE325" s="113">
        <v>24156</v>
      </c>
      <c r="AF325" s="113">
        <v>22741</v>
      </c>
      <c r="AG325" s="113">
        <v>20431</v>
      </c>
      <c r="AH325" s="113">
        <v>17147</v>
      </c>
      <c r="AI325" s="113">
        <v>14354</v>
      </c>
      <c r="AJ325" s="113">
        <v>23406</v>
      </c>
      <c r="AK325" s="113">
        <v>23406</v>
      </c>
      <c r="AL325" s="114">
        <v>23406</v>
      </c>
      <c r="AM325" s="115"/>
      <c r="AN325" s="56">
        <f t="shared" si="16"/>
        <v>0</v>
      </c>
      <c r="AO325" s="56">
        <f t="shared" si="17"/>
        <v>0</v>
      </c>
      <c r="AP325" s="4"/>
    </row>
    <row r="326" spans="1:42" ht="17" thickBot="1">
      <c r="A326" s="116"/>
      <c r="B326" s="117" t="s">
        <v>9</v>
      </c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114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114"/>
      <c r="AM326" s="115"/>
      <c r="AN326" s="56">
        <f t="shared" si="16"/>
        <v>0</v>
      </c>
      <c r="AO326" s="56">
        <f t="shared" si="17"/>
        <v>0</v>
      </c>
      <c r="AP326" s="4"/>
    </row>
    <row r="327" spans="1:42" ht="17" thickBot="1">
      <c r="A327" s="136" t="s">
        <v>115</v>
      </c>
      <c r="B327" s="112" t="s">
        <v>5</v>
      </c>
      <c r="C327" s="113"/>
      <c r="D327" s="113"/>
      <c r="E327" s="113">
        <v>3537</v>
      </c>
      <c r="F327" s="113">
        <v>-14986</v>
      </c>
      <c r="G327" s="113">
        <v>973</v>
      </c>
      <c r="H327" s="113">
        <v>1054</v>
      </c>
      <c r="I327" s="113">
        <v>-9422</v>
      </c>
      <c r="J327" s="113">
        <v>1032</v>
      </c>
      <c r="K327" s="113">
        <v>1107</v>
      </c>
      <c r="L327" s="113">
        <v>1444</v>
      </c>
      <c r="M327" s="113">
        <v>2170</v>
      </c>
      <c r="N327" s="113">
        <v>5753</v>
      </c>
      <c r="O327" s="113">
        <v>2714</v>
      </c>
      <c r="P327" s="113">
        <v>713</v>
      </c>
      <c r="Q327" s="113">
        <v>2706</v>
      </c>
      <c r="R327" s="113">
        <v>1773</v>
      </c>
      <c r="S327" s="113">
        <v>2053</v>
      </c>
      <c r="T327" s="113">
        <v>9959</v>
      </c>
      <c r="U327" s="114">
        <v>25241</v>
      </c>
      <c r="V327" s="113">
        <v>1105</v>
      </c>
      <c r="W327" s="113">
        <v>812</v>
      </c>
      <c r="X327" s="113">
        <v>724</v>
      </c>
      <c r="Y327" s="113">
        <v>712</v>
      </c>
      <c r="Z327" s="113">
        <v>3353</v>
      </c>
      <c r="AA327" s="113">
        <v>893</v>
      </c>
      <c r="AB327" s="113">
        <v>246</v>
      </c>
      <c r="AC327" s="113">
        <v>344</v>
      </c>
      <c r="AD327" s="113">
        <v>344</v>
      </c>
      <c r="AE327" s="113">
        <v>1827</v>
      </c>
      <c r="AF327" s="113">
        <v>344</v>
      </c>
      <c r="AG327" s="113">
        <v>197</v>
      </c>
      <c r="AH327" s="113">
        <v>366</v>
      </c>
      <c r="AI327" s="113">
        <v>257</v>
      </c>
      <c r="AJ327" s="113">
        <v>257</v>
      </c>
      <c r="AK327" s="113">
        <v>1421</v>
      </c>
      <c r="AL327" s="114">
        <v>6601</v>
      </c>
      <c r="AM327" s="115">
        <v>256</v>
      </c>
      <c r="AN327" s="56">
        <f t="shared" si="16"/>
        <v>6461696</v>
      </c>
      <c r="AO327" s="56">
        <f t="shared" si="17"/>
        <v>1689856</v>
      </c>
      <c r="AP327" s="4" t="str">
        <f>VLOOKUP(A327,[1]Basic!$B:$F,5,0)</f>
        <v>D5 32GB</v>
      </c>
    </row>
    <row r="328" spans="1:42" ht="17" thickBot="1">
      <c r="A328" s="136"/>
      <c r="B328" s="112" t="s">
        <v>6</v>
      </c>
      <c r="C328" s="113"/>
      <c r="D328" s="113"/>
      <c r="E328" s="113">
        <v>3537</v>
      </c>
      <c r="F328" s="113">
        <v>0</v>
      </c>
      <c r="G328" s="113">
        <v>0</v>
      </c>
      <c r="H328" s="113">
        <v>0</v>
      </c>
      <c r="I328" s="113">
        <v>3537</v>
      </c>
      <c r="J328" s="113">
        <v>3000</v>
      </c>
      <c r="K328" s="113">
        <v>0</v>
      </c>
      <c r="L328" s="113">
        <v>0</v>
      </c>
      <c r="M328" s="113">
        <v>0</v>
      </c>
      <c r="N328" s="113">
        <v>3000</v>
      </c>
      <c r="O328" s="113">
        <v>2000</v>
      </c>
      <c r="P328" s="113">
        <v>0</v>
      </c>
      <c r="Q328" s="113">
        <v>0</v>
      </c>
      <c r="R328" s="113">
        <v>0</v>
      </c>
      <c r="S328" s="113">
        <v>3000</v>
      </c>
      <c r="T328" s="113">
        <v>5000</v>
      </c>
      <c r="U328" s="114">
        <v>11537</v>
      </c>
      <c r="V328" s="113">
        <v>0</v>
      </c>
      <c r="W328" s="113">
        <v>0</v>
      </c>
      <c r="X328" s="113">
        <v>0</v>
      </c>
      <c r="Y328" s="113">
        <v>0</v>
      </c>
      <c r="Z328" s="113">
        <v>0</v>
      </c>
      <c r="AA328" s="113">
        <v>1000</v>
      </c>
      <c r="AB328" s="113">
        <v>0</v>
      </c>
      <c r="AC328" s="113">
        <v>0</v>
      </c>
      <c r="AD328" s="113">
        <v>0</v>
      </c>
      <c r="AE328" s="113">
        <v>1000</v>
      </c>
      <c r="AF328" s="113">
        <v>5000</v>
      </c>
      <c r="AG328" s="113">
        <v>0</v>
      </c>
      <c r="AH328" s="113">
        <v>0</v>
      </c>
      <c r="AI328" s="113">
        <v>0</v>
      </c>
      <c r="AJ328" s="113">
        <v>0</v>
      </c>
      <c r="AK328" s="113">
        <v>5000</v>
      </c>
      <c r="AL328" s="114">
        <v>6000</v>
      </c>
      <c r="AM328" s="115"/>
      <c r="AN328" s="56">
        <f t="shared" si="16"/>
        <v>0</v>
      </c>
      <c r="AO328" s="56">
        <f t="shared" si="17"/>
        <v>0</v>
      </c>
      <c r="AP328" s="4"/>
    </row>
    <row r="329" spans="1:42" ht="17" thickBot="1">
      <c r="A329" s="136"/>
      <c r="B329" s="112" t="s">
        <v>10</v>
      </c>
      <c r="C329" s="113">
        <v>0</v>
      </c>
      <c r="D329" s="113"/>
      <c r="E329" s="113">
        <v>0</v>
      </c>
      <c r="F329" s="113">
        <v>0</v>
      </c>
      <c r="G329" s="113">
        <v>0</v>
      </c>
      <c r="H329" s="113">
        <v>0</v>
      </c>
      <c r="I329" s="113">
        <v>0</v>
      </c>
      <c r="J329" s="113">
        <v>0</v>
      </c>
      <c r="K329" s="113">
        <v>0</v>
      </c>
      <c r="L329" s="113">
        <v>0</v>
      </c>
      <c r="M329" s="113">
        <v>0</v>
      </c>
      <c r="N329" s="113">
        <v>0</v>
      </c>
      <c r="O329" s="113">
        <v>0</v>
      </c>
      <c r="P329" s="113">
        <v>0</v>
      </c>
      <c r="Q329" s="113">
        <v>0</v>
      </c>
      <c r="R329" s="113">
        <v>0</v>
      </c>
      <c r="S329" s="113">
        <v>0</v>
      </c>
      <c r="T329" s="113">
        <v>0</v>
      </c>
      <c r="U329" s="114">
        <v>0</v>
      </c>
      <c r="V329" s="113">
        <v>0</v>
      </c>
      <c r="W329" s="113">
        <v>0</v>
      </c>
      <c r="X329" s="113">
        <v>0</v>
      </c>
      <c r="Y329" s="113">
        <v>0</v>
      </c>
      <c r="Z329" s="113">
        <v>0</v>
      </c>
      <c r="AA329" s="113">
        <v>0</v>
      </c>
      <c r="AB329" s="113">
        <v>0</v>
      </c>
      <c r="AC329" s="113">
        <v>0</v>
      </c>
      <c r="AD329" s="113">
        <v>0</v>
      </c>
      <c r="AE329" s="113">
        <v>0</v>
      </c>
      <c r="AF329" s="113">
        <v>0</v>
      </c>
      <c r="AG329" s="113">
        <v>0</v>
      </c>
      <c r="AH329" s="113">
        <v>0</v>
      </c>
      <c r="AI329" s="113">
        <v>0</v>
      </c>
      <c r="AJ329" s="113">
        <v>0</v>
      </c>
      <c r="AK329" s="113">
        <v>0</v>
      </c>
      <c r="AL329" s="114">
        <v>0</v>
      </c>
      <c r="AM329" s="115"/>
      <c r="AN329" s="56">
        <f t="shared" si="16"/>
        <v>0</v>
      </c>
      <c r="AO329" s="56">
        <f t="shared" si="17"/>
        <v>0</v>
      </c>
      <c r="AP329" s="4"/>
    </row>
    <row r="330" spans="1:42" ht="17" thickBot="1">
      <c r="A330" s="136"/>
      <c r="B330" s="112" t="s">
        <v>7</v>
      </c>
      <c r="C330" s="113"/>
      <c r="D330" s="113"/>
      <c r="E330" s="113">
        <v>3537</v>
      </c>
      <c r="F330" s="113">
        <v>0</v>
      </c>
      <c r="G330" s="113">
        <v>0</v>
      </c>
      <c r="H330" s="113">
        <v>0</v>
      </c>
      <c r="I330" s="113">
        <v>3537</v>
      </c>
      <c r="J330" s="113">
        <v>3000</v>
      </c>
      <c r="K330" s="113">
        <v>0</v>
      </c>
      <c r="L330" s="113">
        <v>0</v>
      </c>
      <c r="M330" s="113">
        <v>0</v>
      </c>
      <c r="N330" s="113">
        <v>3000</v>
      </c>
      <c r="O330" s="113">
        <v>2000</v>
      </c>
      <c r="P330" s="113">
        <v>0</v>
      </c>
      <c r="Q330" s="113">
        <v>0</v>
      </c>
      <c r="R330" s="113">
        <v>0</v>
      </c>
      <c r="S330" s="113">
        <v>3000</v>
      </c>
      <c r="T330" s="113">
        <v>5000</v>
      </c>
      <c r="U330" s="114">
        <v>30488</v>
      </c>
      <c r="V330" s="113">
        <v>0</v>
      </c>
      <c r="W330" s="113">
        <v>0</v>
      </c>
      <c r="X330" s="113">
        <v>0</v>
      </c>
      <c r="Y330" s="113">
        <v>0</v>
      </c>
      <c r="Z330" s="113">
        <v>0</v>
      </c>
      <c r="AA330" s="113">
        <v>1000</v>
      </c>
      <c r="AB330" s="113">
        <v>0</v>
      </c>
      <c r="AC330" s="113">
        <v>0</v>
      </c>
      <c r="AD330" s="113">
        <v>0</v>
      </c>
      <c r="AE330" s="113">
        <v>1000</v>
      </c>
      <c r="AF330" s="113">
        <v>5000</v>
      </c>
      <c r="AG330" s="113">
        <v>0</v>
      </c>
      <c r="AH330" s="113">
        <v>0</v>
      </c>
      <c r="AI330" s="113">
        <v>0</v>
      </c>
      <c r="AJ330" s="113">
        <v>0</v>
      </c>
      <c r="AK330" s="113">
        <v>5000</v>
      </c>
      <c r="AL330" s="114">
        <v>6000</v>
      </c>
      <c r="AM330" s="115"/>
      <c r="AN330" s="56">
        <f t="shared" si="16"/>
        <v>0</v>
      </c>
      <c r="AO330" s="56">
        <f t="shared" si="17"/>
        <v>0</v>
      </c>
      <c r="AP330" s="4"/>
    </row>
    <row r="331" spans="1:42" ht="17" thickBot="1">
      <c r="A331" s="136"/>
      <c r="B331" s="112" t="s">
        <v>8</v>
      </c>
      <c r="C331" s="113">
        <v>7042</v>
      </c>
      <c r="D331" s="113">
        <v>18951</v>
      </c>
      <c r="E331" s="113">
        <v>0</v>
      </c>
      <c r="F331" s="113">
        <v>14986</v>
      </c>
      <c r="G331" s="113">
        <v>14013</v>
      </c>
      <c r="H331" s="113">
        <v>12959</v>
      </c>
      <c r="I331" s="113">
        <v>12959</v>
      </c>
      <c r="J331" s="113">
        <v>14927</v>
      </c>
      <c r="K331" s="113">
        <v>13820</v>
      </c>
      <c r="L331" s="113">
        <v>12376</v>
      </c>
      <c r="M331" s="113">
        <v>10206</v>
      </c>
      <c r="N331" s="113">
        <v>10206</v>
      </c>
      <c r="O331" s="113">
        <v>9492</v>
      </c>
      <c r="P331" s="113">
        <v>8779</v>
      </c>
      <c r="Q331" s="113">
        <v>6073</v>
      </c>
      <c r="R331" s="113">
        <v>4300</v>
      </c>
      <c r="S331" s="113">
        <v>5247</v>
      </c>
      <c r="T331" s="113">
        <v>5247</v>
      </c>
      <c r="U331" s="114">
        <v>5247</v>
      </c>
      <c r="V331" s="113">
        <v>4142</v>
      </c>
      <c r="W331" s="113">
        <v>3330</v>
      </c>
      <c r="X331" s="113">
        <v>2606</v>
      </c>
      <c r="Y331" s="113">
        <v>2618</v>
      </c>
      <c r="Z331" s="113">
        <v>1894</v>
      </c>
      <c r="AA331" s="113">
        <v>2001</v>
      </c>
      <c r="AB331" s="113">
        <v>1755</v>
      </c>
      <c r="AC331" s="113">
        <v>1411</v>
      </c>
      <c r="AD331" s="113">
        <v>1067</v>
      </c>
      <c r="AE331" s="113">
        <v>1067</v>
      </c>
      <c r="AF331" s="113">
        <v>5723</v>
      </c>
      <c r="AG331" s="113">
        <v>5526</v>
      </c>
      <c r="AH331" s="113">
        <v>5160</v>
      </c>
      <c r="AI331" s="113">
        <v>4903</v>
      </c>
      <c r="AJ331" s="113">
        <v>4646</v>
      </c>
      <c r="AK331" s="113">
        <v>4646</v>
      </c>
      <c r="AL331" s="114">
        <v>4646</v>
      </c>
      <c r="AM331" s="115"/>
      <c r="AN331" s="56">
        <f t="shared" si="16"/>
        <v>0</v>
      </c>
      <c r="AO331" s="56">
        <f t="shared" si="17"/>
        <v>0</v>
      </c>
      <c r="AP331" s="4"/>
    </row>
    <row r="332" spans="1:42" ht="17" thickBot="1">
      <c r="A332" s="116"/>
      <c r="B332" s="117" t="s">
        <v>9</v>
      </c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114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114"/>
      <c r="AM332" s="115"/>
      <c r="AN332" s="56">
        <f t="shared" si="16"/>
        <v>0</v>
      </c>
      <c r="AO332" s="56">
        <f t="shared" si="17"/>
        <v>0</v>
      </c>
      <c r="AP332" s="4"/>
    </row>
    <row r="333" spans="1:42" ht="17" thickBot="1">
      <c r="A333" s="136" t="s">
        <v>28</v>
      </c>
      <c r="B333" s="112" t="s">
        <v>5</v>
      </c>
      <c r="C333" s="113"/>
      <c r="D333" s="113"/>
      <c r="E333" s="113">
        <v>195093</v>
      </c>
      <c r="F333" s="113">
        <v>433434</v>
      </c>
      <c r="G333" s="113">
        <v>35575</v>
      </c>
      <c r="H333" s="113">
        <v>49193</v>
      </c>
      <c r="I333" s="113">
        <v>668888</v>
      </c>
      <c r="J333" s="113">
        <v>343428</v>
      </c>
      <c r="K333" s="113">
        <v>220237</v>
      </c>
      <c r="L333" s="113">
        <v>144252</v>
      </c>
      <c r="M333" s="113">
        <v>95825</v>
      </c>
      <c r="N333" s="113">
        <v>758899</v>
      </c>
      <c r="O333" s="113">
        <v>9858</v>
      </c>
      <c r="P333" s="113">
        <v>317839</v>
      </c>
      <c r="Q333" s="113">
        <v>182926</v>
      </c>
      <c r="R333" s="113">
        <v>223872</v>
      </c>
      <c r="S333" s="113">
        <v>36797</v>
      </c>
      <c r="T333" s="113">
        <v>829822</v>
      </c>
      <c r="U333" s="114">
        <v>2376184</v>
      </c>
      <c r="V333" s="113">
        <v>463</v>
      </c>
      <c r="W333" s="113">
        <v>1853</v>
      </c>
      <c r="X333" s="113">
        <v>1790</v>
      </c>
      <c r="Y333" s="113">
        <v>1154</v>
      </c>
      <c r="Z333" s="113">
        <v>35980</v>
      </c>
      <c r="AA333" s="113">
        <v>1270</v>
      </c>
      <c r="AB333" s="113">
        <v>861</v>
      </c>
      <c r="AC333" s="113">
        <v>1101</v>
      </c>
      <c r="AD333" s="113">
        <v>975</v>
      </c>
      <c r="AE333" s="113">
        <v>4207</v>
      </c>
      <c r="AF333" s="113">
        <v>595</v>
      </c>
      <c r="AG333" s="113">
        <v>663</v>
      </c>
      <c r="AH333" s="113">
        <v>789</v>
      </c>
      <c r="AI333" s="113">
        <v>700</v>
      </c>
      <c r="AJ333" s="113">
        <v>119</v>
      </c>
      <c r="AK333" s="113">
        <v>2866</v>
      </c>
      <c r="AL333" s="114">
        <v>43053</v>
      </c>
      <c r="AM333" s="115">
        <v>64</v>
      </c>
      <c r="AN333" s="56">
        <f t="shared" si="16"/>
        <v>152075776</v>
      </c>
      <c r="AO333" s="56">
        <f t="shared" si="17"/>
        <v>2755392</v>
      </c>
      <c r="AP333" s="4" t="str">
        <f>VLOOKUP(A333,[1]Basic!$B:$F,5,0)</f>
        <v>D5 8GB</v>
      </c>
    </row>
    <row r="334" spans="1:42" ht="17" thickBot="1">
      <c r="A334" s="136"/>
      <c r="B334" s="112" t="s">
        <v>6</v>
      </c>
      <c r="C334" s="113"/>
      <c r="D334" s="113"/>
      <c r="E334" s="113">
        <v>195093</v>
      </c>
      <c r="F334" s="113">
        <v>8766</v>
      </c>
      <c r="G334" s="113">
        <v>33678</v>
      </c>
      <c r="H334" s="113">
        <v>0</v>
      </c>
      <c r="I334" s="113">
        <v>237537</v>
      </c>
      <c r="J334" s="113">
        <v>358048</v>
      </c>
      <c r="K334" s="113">
        <v>0</v>
      </c>
      <c r="L334" s="113">
        <v>0</v>
      </c>
      <c r="M334" s="113">
        <v>300000</v>
      </c>
      <c r="N334" s="113">
        <v>358048</v>
      </c>
      <c r="O334" s="113">
        <v>200000</v>
      </c>
      <c r="P334" s="113">
        <v>0</v>
      </c>
      <c r="Q334" s="113">
        <v>200000</v>
      </c>
      <c r="R334" s="113">
        <v>200000</v>
      </c>
      <c r="S334" s="113">
        <v>214000</v>
      </c>
      <c r="T334" s="113">
        <v>908000</v>
      </c>
      <c r="U334" s="114">
        <v>11000</v>
      </c>
      <c r="V334" s="113">
        <v>200000</v>
      </c>
      <c r="W334" s="113">
        <v>0</v>
      </c>
      <c r="X334" s="113">
        <v>0</v>
      </c>
      <c r="Y334" s="113">
        <v>0</v>
      </c>
      <c r="Z334" s="113">
        <v>400000</v>
      </c>
      <c r="AA334" s="113">
        <v>4000</v>
      </c>
      <c r="AB334" s="113">
        <v>0</v>
      </c>
      <c r="AC334" s="113">
        <v>0</v>
      </c>
      <c r="AD334" s="113">
        <v>0</v>
      </c>
      <c r="AE334" s="113">
        <v>4000</v>
      </c>
      <c r="AF334" s="113">
        <v>0</v>
      </c>
      <c r="AG334" s="113">
        <v>0</v>
      </c>
      <c r="AH334" s="113">
        <v>0</v>
      </c>
      <c r="AI334" s="113">
        <v>0</v>
      </c>
      <c r="AJ334" s="113">
        <v>0</v>
      </c>
      <c r="AK334" s="113">
        <v>0</v>
      </c>
      <c r="AL334" s="114">
        <v>4000</v>
      </c>
      <c r="AM334" s="115"/>
      <c r="AN334" s="56">
        <f t="shared" ref="AN334:AN374" si="18">AM334*U334</f>
        <v>0</v>
      </c>
      <c r="AO334" s="56">
        <f t="shared" ref="AO334:AO374" si="19">AM334*AL334</f>
        <v>0</v>
      </c>
      <c r="AP334" s="4"/>
    </row>
    <row r="335" spans="1:42" ht="17" thickBot="1">
      <c r="A335" s="136"/>
      <c r="B335" s="112" t="s">
        <v>10</v>
      </c>
      <c r="C335" s="113">
        <v>445892</v>
      </c>
      <c r="D335" s="113"/>
      <c r="E335" s="113">
        <v>0</v>
      </c>
      <c r="F335" s="113">
        <v>445892</v>
      </c>
      <c r="G335" s="113">
        <v>0</v>
      </c>
      <c r="H335" s="113">
        <v>0</v>
      </c>
      <c r="I335" s="113">
        <v>17610</v>
      </c>
      <c r="J335" s="113">
        <v>0</v>
      </c>
      <c r="K335" s="113">
        <v>0</v>
      </c>
      <c r="L335" s="113">
        <v>0</v>
      </c>
      <c r="M335" s="113">
        <v>0</v>
      </c>
      <c r="N335" s="113">
        <v>0</v>
      </c>
      <c r="O335" s="113">
        <v>0</v>
      </c>
      <c r="P335" s="113">
        <v>0</v>
      </c>
      <c r="Q335" s="113">
        <v>0</v>
      </c>
      <c r="R335" s="113">
        <v>0</v>
      </c>
      <c r="S335" s="113">
        <v>0</v>
      </c>
      <c r="T335" s="113">
        <v>0</v>
      </c>
      <c r="U335" s="114">
        <v>0</v>
      </c>
      <c r="V335" s="113">
        <v>0</v>
      </c>
      <c r="W335" s="113">
        <v>0</v>
      </c>
      <c r="X335" s="113">
        <v>0</v>
      </c>
      <c r="Y335" s="113">
        <v>0</v>
      </c>
      <c r="Z335" s="113">
        <v>0</v>
      </c>
      <c r="AA335" s="113">
        <v>0</v>
      </c>
      <c r="AB335" s="113">
        <v>0</v>
      </c>
      <c r="AC335" s="113">
        <v>0</v>
      </c>
      <c r="AD335" s="113">
        <v>0</v>
      </c>
      <c r="AE335" s="113">
        <v>0</v>
      </c>
      <c r="AF335" s="113">
        <v>0</v>
      </c>
      <c r="AG335" s="113">
        <v>0</v>
      </c>
      <c r="AH335" s="113">
        <v>0</v>
      </c>
      <c r="AI335" s="113">
        <v>0</v>
      </c>
      <c r="AJ335" s="113">
        <v>0</v>
      </c>
      <c r="AK335" s="113">
        <v>0</v>
      </c>
      <c r="AL335" s="114">
        <v>0</v>
      </c>
      <c r="AM335" s="115"/>
      <c r="AN335" s="56">
        <f t="shared" si="18"/>
        <v>0</v>
      </c>
      <c r="AO335" s="56">
        <f t="shared" si="19"/>
        <v>0</v>
      </c>
      <c r="AP335" s="4"/>
    </row>
    <row r="336" spans="1:42" ht="17" thickBot="1">
      <c r="A336" s="136"/>
      <c r="B336" s="112" t="s">
        <v>7</v>
      </c>
      <c r="C336" s="113"/>
      <c r="D336" s="113"/>
      <c r="E336" s="113">
        <v>195093</v>
      </c>
      <c r="F336" s="113">
        <v>437048</v>
      </c>
      <c r="G336" s="113">
        <v>0</v>
      </c>
      <c r="H336" s="113">
        <v>100</v>
      </c>
      <c r="I336" s="113">
        <v>632241</v>
      </c>
      <c r="J336" s="113">
        <v>358048</v>
      </c>
      <c r="K336" s="113">
        <v>0</v>
      </c>
      <c r="L336" s="113">
        <v>0</v>
      </c>
      <c r="M336" s="113">
        <v>300000</v>
      </c>
      <c r="N336" s="113">
        <v>358048</v>
      </c>
      <c r="O336" s="113">
        <v>200000</v>
      </c>
      <c r="P336" s="113">
        <v>0</v>
      </c>
      <c r="Q336" s="113">
        <v>200000</v>
      </c>
      <c r="R336" s="113">
        <v>200000</v>
      </c>
      <c r="S336" s="113">
        <v>214000</v>
      </c>
      <c r="T336" s="113">
        <v>914000</v>
      </c>
      <c r="U336" s="114">
        <v>2022864</v>
      </c>
      <c r="V336" s="113">
        <v>200000</v>
      </c>
      <c r="W336" s="113">
        <v>0</v>
      </c>
      <c r="X336" s="113">
        <v>0</v>
      </c>
      <c r="Y336" s="113">
        <v>0</v>
      </c>
      <c r="Z336" s="113">
        <v>400000</v>
      </c>
      <c r="AA336" s="113">
        <v>4000</v>
      </c>
      <c r="AB336" s="113">
        <v>0</v>
      </c>
      <c r="AC336" s="113">
        <v>0</v>
      </c>
      <c r="AD336" s="113">
        <v>0</v>
      </c>
      <c r="AE336" s="113">
        <v>4000</v>
      </c>
      <c r="AF336" s="113">
        <v>0</v>
      </c>
      <c r="AG336" s="113">
        <v>0</v>
      </c>
      <c r="AH336" s="113">
        <v>0</v>
      </c>
      <c r="AI336" s="113">
        <v>0</v>
      </c>
      <c r="AJ336" s="113">
        <v>0</v>
      </c>
      <c r="AK336" s="113">
        <v>0</v>
      </c>
      <c r="AL336" s="114">
        <v>88624</v>
      </c>
      <c r="AM336" s="115"/>
      <c r="AN336" s="56">
        <f t="shared" si="18"/>
        <v>0</v>
      </c>
      <c r="AO336" s="56">
        <f t="shared" si="19"/>
        <v>0</v>
      </c>
      <c r="AP336" s="4"/>
    </row>
    <row r="337" spans="1:42" ht="17" thickBot="1">
      <c r="A337" s="136"/>
      <c r="B337" s="112" t="s">
        <v>8</v>
      </c>
      <c r="C337" s="113">
        <v>733751</v>
      </c>
      <c r="D337" s="113">
        <v>118575</v>
      </c>
      <c r="E337" s="113">
        <v>0</v>
      </c>
      <c r="F337" s="113">
        <v>9229</v>
      </c>
      <c r="G337" s="113">
        <v>-22787</v>
      </c>
      <c r="H337" s="113">
        <v>-67912</v>
      </c>
      <c r="I337" s="113">
        <v>-36647</v>
      </c>
      <c r="J337" s="113">
        <v>-48932</v>
      </c>
      <c r="K337" s="113">
        <v>-264113</v>
      </c>
      <c r="L337" s="113">
        <v>-408365</v>
      </c>
      <c r="M337" s="113">
        <v>-204190</v>
      </c>
      <c r="N337" s="113">
        <v>-437498</v>
      </c>
      <c r="O337" s="113">
        <v>-36606</v>
      </c>
      <c r="P337" s="113">
        <v>-354445</v>
      </c>
      <c r="Q337" s="113">
        <v>-337371</v>
      </c>
      <c r="R337" s="113">
        <v>-309681</v>
      </c>
      <c r="S337" s="113">
        <v>-132478</v>
      </c>
      <c r="T337" s="113">
        <v>-353320</v>
      </c>
      <c r="U337" s="114">
        <v>-353320</v>
      </c>
      <c r="V337" s="113">
        <v>15497</v>
      </c>
      <c r="W337" s="113">
        <v>13644</v>
      </c>
      <c r="X337" s="113">
        <v>11854</v>
      </c>
      <c r="Y337" s="113">
        <v>12235</v>
      </c>
      <c r="Z337" s="113">
        <v>10700</v>
      </c>
      <c r="AA337" s="113">
        <v>13430</v>
      </c>
      <c r="AB337" s="113">
        <v>12569</v>
      </c>
      <c r="AC337" s="113">
        <v>11468</v>
      </c>
      <c r="AD337" s="113">
        <v>10493</v>
      </c>
      <c r="AE337" s="113">
        <v>10493</v>
      </c>
      <c r="AF337" s="113">
        <v>9898</v>
      </c>
      <c r="AG337" s="113">
        <v>9235</v>
      </c>
      <c r="AH337" s="113">
        <v>8446</v>
      </c>
      <c r="AI337" s="113">
        <v>7746</v>
      </c>
      <c r="AJ337" s="113">
        <v>7627</v>
      </c>
      <c r="AK337" s="113">
        <v>7627</v>
      </c>
      <c r="AL337" s="114">
        <v>7627</v>
      </c>
      <c r="AM337" s="115"/>
      <c r="AN337" s="56">
        <f t="shared" si="18"/>
        <v>0</v>
      </c>
      <c r="AO337" s="56">
        <f t="shared" si="19"/>
        <v>0</v>
      </c>
      <c r="AP337" s="4"/>
    </row>
    <row r="338" spans="1:42" ht="17" thickBot="1">
      <c r="A338" s="116"/>
      <c r="B338" s="117" t="s">
        <v>9</v>
      </c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114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114"/>
      <c r="AM338" s="115"/>
      <c r="AN338" s="56">
        <f t="shared" si="18"/>
        <v>0</v>
      </c>
      <c r="AO338" s="56">
        <f t="shared" si="19"/>
        <v>0</v>
      </c>
      <c r="AP338" s="4"/>
    </row>
    <row r="339" spans="1:42" ht="17" thickBot="1">
      <c r="A339" s="136" t="s">
        <v>29</v>
      </c>
      <c r="B339" s="112" t="s">
        <v>5</v>
      </c>
      <c r="C339" s="113"/>
      <c r="D339" s="113"/>
      <c r="E339" s="113">
        <v>34319</v>
      </c>
      <c r="F339" s="113">
        <v>-24894</v>
      </c>
      <c r="G339" s="113">
        <v>13838</v>
      </c>
      <c r="H339" s="113">
        <v>24354</v>
      </c>
      <c r="I339" s="113">
        <v>33421</v>
      </c>
      <c r="J339" s="113">
        <v>26568</v>
      </c>
      <c r="K339" s="113">
        <v>25363</v>
      </c>
      <c r="L339" s="113">
        <v>24165</v>
      </c>
      <c r="M339" s="113">
        <v>31453</v>
      </c>
      <c r="N339" s="113">
        <v>107541</v>
      </c>
      <c r="O339" s="113">
        <v>11732</v>
      </c>
      <c r="P339" s="113">
        <v>42312</v>
      </c>
      <c r="Q339" s="113">
        <v>28586</v>
      </c>
      <c r="R339" s="113">
        <v>39445</v>
      </c>
      <c r="S339" s="113">
        <v>23900</v>
      </c>
      <c r="T339" s="113">
        <v>152824</v>
      </c>
      <c r="U339" s="114">
        <v>359481</v>
      </c>
      <c r="V339" s="113">
        <v>1338</v>
      </c>
      <c r="W339" s="113">
        <v>2130</v>
      </c>
      <c r="X339" s="113">
        <v>2082</v>
      </c>
      <c r="Y339" s="113">
        <v>1863</v>
      </c>
      <c r="Z339" s="113">
        <v>14768</v>
      </c>
      <c r="AA339" s="113">
        <v>1171</v>
      </c>
      <c r="AB339" s="113">
        <v>492</v>
      </c>
      <c r="AC339" s="113">
        <v>732</v>
      </c>
      <c r="AD339" s="113">
        <v>649</v>
      </c>
      <c r="AE339" s="113">
        <v>3044</v>
      </c>
      <c r="AF339" s="113">
        <v>577</v>
      </c>
      <c r="AG339" s="113">
        <v>456</v>
      </c>
      <c r="AH339" s="113">
        <v>696</v>
      </c>
      <c r="AI339" s="113">
        <v>356</v>
      </c>
      <c r="AJ339" s="113">
        <v>213</v>
      </c>
      <c r="AK339" s="113">
        <v>2298</v>
      </c>
      <c r="AL339" s="114">
        <v>20110</v>
      </c>
      <c r="AM339" s="115">
        <v>128</v>
      </c>
      <c r="AN339" s="56">
        <f t="shared" si="18"/>
        <v>46013568</v>
      </c>
      <c r="AO339" s="56">
        <f t="shared" si="19"/>
        <v>2574080</v>
      </c>
      <c r="AP339" s="4" t="str">
        <f>VLOOKUP(A339,[1]Basic!$B:$F,5,0)</f>
        <v>D5 16GB</v>
      </c>
    </row>
    <row r="340" spans="1:42" ht="17" thickBot="1">
      <c r="A340" s="136"/>
      <c r="B340" s="112" t="s">
        <v>6</v>
      </c>
      <c r="C340" s="113"/>
      <c r="D340" s="113"/>
      <c r="E340" s="113">
        <v>34319</v>
      </c>
      <c r="F340" s="113">
        <v>11519</v>
      </c>
      <c r="G340" s="113">
        <v>111000</v>
      </c>
      <c r="H340" s="113">
        <v>30000</v>
      </c>
      <c r="I340" s="113">
        <v>186838</v>
      </c>
      <c r="J340" s="113">
        <v>7125</v>
      </c>
      <c r="K340" s="113">
        <v>21500</v>
      </c>
      <c r="L340" s="113">
        <v>0</v>
      </c>
      <c r="M340" s="113">
        <v>0</v>
      </c>
      <c r="N340" s="113">
        <v>28625</v>
      </c>
      <c r="O340" s="113">
        <v>0</v>
      </c>
      <c r="P340" s="113">
        <v>0</v>
      </c>
      <c r="Q340" s="113">
        <v>0</v>
      </c>
      <c r="R340" s="113">
        <v>0</v>
      </c>
      <c r="S340" s="113">
        <v>2000</v>
      </c>
      <c r="T340" s="113">
        <v>2000</v>
      </c>
      <c r="U340" s="114">
        <v>13819</v>
      </c>
      <c r="V340" s="113">
        <v>0</v>
      </c>
      <c r="W340" s="113">
        <v>0</v>
      </c>
      <c r="X340" s="113">
        <v>0</v>
      </c>
      <c r="Y340" s="113">
        <v>0</v>
      </c>
      <c r="Z340" s="113">
        <v>0</v>
      </c>
      <c r="AA340" s="113">
        <v>0</v>
      </c>
      <c r="AB340" s="113">
        <v>0</v>
      </c>
      <c r="AC340" s="113">
        <v>0</v>
      </c>
      <c r="AD340" s="113">
        <v>0</v>
      </c>
      <c r="AE340" s="113">
        <v>0</v>
      </c>
      <c r="AF340" s="113">
        <v>1000</v>
      </c>
      <c r="AG340" s="113">
        <v>0</v>
      </c>
      <c r="AH340" s="113">
        <v>0</v>
      </c>
      <c r="AI340" s="113">
        <v>0</v>
      </c>
      <c r="AJ340" s="113">
        <v>0</v>
      </c>
      <c r="AK340" s="113">
        <v>1000</v>
      </c>
      <c r="AL340" s="114">
        <v>1000</v>
      </c>
      <c r="AM340" s="115"/>
      <c r="AN340" s="56">
        <f t="shared" si="18"/>
        <v>0</v>
      </c>
      <c r="AO340" s="56">
        <f t="shared" si="19"/>
        <v>0</v>
      </c>
      <c r="AP340" s="4"/>
    </row>
    <row r="341" spans="1:42" ht="17" thickBot="1">
      <c r="A341" s="136"/>
      <c r="B341" s="112" t="s">
        <v>10</v>
      </c>
      <c r="C341" s="113">
        <v>179166</v>
      </c>
      <c r="D341" s="113"/>
      <c r="E341" s="113">
        <v>0</v>
      </c>
      <c r="F341" s="113">
        <v>179166</v>
      </c>
      <c r="G341" s="113">
        <v>0</v>
      </c>
      <c r="H341" s="113">
        <v>0</v>
      </c>
      <c r="I341" s="113">
        <v>85379</v>
      </c>
      <c r="J341" s="113">
        <v>0</v>
      </c>
      <c r="K341" s="113">
        <v>0</v>
      </c>
      <c r="L341" s="113">
        <v>0</v>
      </c>
      <c r="M341" s="113">
        <v>0</v>
      </c>
      <c r="N341" s="113">
        <v>0</v>
      </c>
      <c r="O341" s="113">
        <v>0</v>
      </c>
      <c r="P341" s="113">
        <v>0</v>
      </c>
      <c r="Q341" s="113">
        <v>0</v>
      </c>
      <c r="R341" s="113">
        <v>0</v>
      </c>
      <c r="S341" s="113">
        <v>0</v>
      </c>
      <c r="T341" s="113">
        <v>0</v>
      </c>
      <c r="U341" s="114">
        <v>0</v>
      </c>
      <c r="V341" s="113">
        <v>0</v>
      </c>
      <c r="W341" s="113">
        <v>0</v>
      </c>
      <c r="X341" s="113">
        <v>0</v>
      </c>
      <c r="Y341" s="113">
        <v>0</v>
      </c>
      <c r="Z341" s="113">
        <v>0</v>
      </c>
      <c r="AA341" s="113">
        <v>0</v>
      </c>
      <c r="AB341" s="113">
        <v>0</v>
      </c>
      <c r="AC341" s="113">
        <v>0</v>
      </c>
      <c r="AD341" s="113">
        <v>0</v>
      </c>
      <c r="AE341" s="113">
        <v>0</v>
      </c>
      <c r="AF341" s="113">
        <v>0</v>
      </c>
      <c r="AG341" s="113">
        <v>0</v>
      </c>
      <c r="AH341" s="113">
        <v>0</v>
      </c>
      <c r="AI341" s="113">
        <v>0</v>
      </c>
      <c r="AJ341" s="113">
        <v>0</v>
      </c>
      <c r="AK341" s="113">
        <v>0</v>
      </c>
      <c r="AL341" s="114">
        <v>0</v>
      </c>
      <c r="AM341" s="115"/>
      <c r="AN341" s="56">
        <f t="shared" si="18"/>
        <v>0</v>
      </c>
      <c r="AO341" s="56">
        <f t="shared" si="19"/>
        <v>0</v>
      </c>
      <c r="AP341" s="4"/>
    </row>
    <row r="342" spans="1:42" ht="17" thickBot="1">
      <c r="A342" s="136"/>
      <c r="B342" s="112" t="s">
        <v>7</v>
      </c>
      <c r="C342" s="113"/>
      <c r="D342" s="113"/>
      <c r="E342" s="113">
        <v>30944</v>
      </c>
      <c r="F342" s="113">
        <v>96431</v>
      </c>
      <c r="G342" s="113">
        <v>0</v>
      </c>
      <c r="H342" s="113">
        <v>0</v>
      </c>
      <c r="I342" s="113">
        <v>127375</v>
      </c>
      <c r="J342" s="113">
        <v>7125</v>
      </c>
      <c r="K342" s="113">
        <v>21500</v>
      </c>
      <c r="L342" s="113">
        <v>0</v>
      </c>
      <c r="M342" s="113">
        <v>0</v>
      </c>
      <c r="N342" s="113">
        <v>28625</v>
      </c>
      <c r="O342" s="113">
        <v>0</v>
      </c>
      <c r="P342" s="113">
        <v>0</v>
      </c>
      <c r="Q342" s="113">
        <v>0</v>
      </c>
      <c r="R342" s="113">
        <v>0</v>
      </c>
      <c r="S342" s="113">
        <v>2000</v>
      </c>
      <c r="T342" s="113">
        <v>2000</v>
      </c>
      <c r="U342" s="114">
        <v>223695</v>
      </c>
      <c r="V342" s="113">
        <v>0</v>
      </c>
      <c r="W342" s="113">
        <v>0</v>
      </c>
      <c r="X342" s="113">
        <v>0</v>
      </c>
      <c r="Y342" s="113">
        <v>0</v>
      </c>
      <c r="Z342" s="113">
        <v>0</v>
      </c>
      <c r="AA342" s="113">
        <v>0</v>
      </c>
      <c r="AB342" s="113">
        <v>0</v>
      </c>
      <c r="AC342" s="113">
        <v>0</v>
      </c>
      <c r="AD342" s="113">
        <v>0</v>
      </c>
      <c r="AE342" s="113">
        <v>0</v>
      </c>
      <c r="AF342" s="113">
        <v>1000</v>
      </c>
      <c r="AG342" s="113">
        <v>0</v>
      </c>
      <c r="AH342" s="113">
        <v>0</v>
      </c>
      <c r="AI342" s="113">
        <v>0</v>
      </c>
      <c r="AJ342" s="113">
        <v>0</v>
      </c>
      <c r="AK342" s="113">
        <v>1000</v>
      </c>
      <c r="AL342" s="114">
        <v>11452</v>
      </c>
      <c r="AM342" s="115"/>
      <c r="AN342" s="56">
        <f t="shared" si="18"/>
        <v>0</v>
      </c>
      <c r="AO342" s="56">
        <f t="shared" si="19"/>
        <v>0</v>
      </c>
      <c r="AP342" s="4"/>
    </row>
    <row r="343" spans="1:42" ht="17" thickBot="1">
      <c r="A343" s="136"/>
      <c r="B343" s="112" t="s">
        <v>8</v>
      </c>
      <c r="C343" s="113">
        <v>249627</v>
      </c>
      <c r="D343" s="113">
        <v>65695</v>
      </c>
      <c r="E343" s="113">
        <v>0</v>
      </c>
      <c r="F343" s="113">
        <v>122599</v>
      </c>
      <c r="G343" s="113">
        <v>116878</v>
      </c>
      <c r="H343" s="113">
        <v>101826</v>
      </c>
      <c r="I343" s="113">
        <v>93954</v>
      </c>
      <c r="J343" s="113">
        <v>95867</v>
      </c>
      <c r="K343" s="113">
        <v>107532</v>
      </c>
      <c r="L343" s="113">
        <v>83367</v>
      </c>
      <c r="M343" s="113">
        <v>51914</v>
      </c>
      <c r="N343" s="113">
        <v>15038</v>
      </c>
      <c r="O343" s="113">
        <v>-10898</v>
      </c>
      <c r="P343" s="113">
        <v>-53210</v>
      </c>
      <c r="Q343" s="113">
        <v>-81796</v>
      </c>
      <c r="R343" s="113">
        <v>24646</v>
      </c>
      <c r="S343" s="113">
        <v>2746</v>
      </c>
      <c r="T343" s="113">
        <v>-135786</v>
      </c>
      <c r="U343" s="114">
        <v>-135786</v>
      </c>
      <c r="V343" s="113">
        <v>-144479</v>
      </c>
      <c r="W343" s="113">
        <v>-146609</v>
      </c>
      <c r="X343" s="113">
        <v>-148691</v>
      </c>
      <c r="Y343" s="113">
        <v>-148548</v>
      </c>
      <c r="Z343" s="113">
        <v>-150554</v>
      </c>
      <c r="AA343" s="113">
        <v>-151725</v>
      </c>
      <c r="AB343" s="113">
        <v>-152217</v>
      </c>
      <c r="AC343" s="113">
        <v>-152949</v>
      </c>
      <c r="AD343" s="113">
        <v>-153598</v>
      </c>
      <c r="AE343" s="113">
        <v>-153598</v>
      </c>
      <c r="AF343" s="113">
        <v>-153175</v>
      </c>
      <c r="AG343" s="113">
        <v>-153631</v>
      </c>
      <c r="AH343" s="113">
        <v>-154327</v>
      </c>
      <c r="AI343" s="113">
        <v>-154683</v>
      </c>
      <c r="AJ343" s="113">
        <v>-154896</v>
      </c>
      <c r="AK343" s="113">
        <v>-154896</v>
      </c>
      <c r="AL343" s="114">
        <v>-154896</v>
      </c>
      <c r="AM343" s="115"/>
      <c r="AN343" s="56">
        <f t="shared" si="18"/>
        <v>0</v>
      </c>
      <c r="AO343" s="56">
        <f t="shared" si="19"/>
        <v>0</v>
      </c>
      <c r="AP343" s="4"/>
    </row>
    <row r="344" spans="1:42" ht="17" thickBot="1">
      <c r="A344" s="116"/>
      <c r="B344" s="117" t="s">
        <v>9</v>
      </c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114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114"/>
      <c r="AM344" s="115"/>
      <c r="AN344" s="56">
        <f t="shared" si="18"/>
        <v>0</v>
      </c>
      <c r="AO344" s="56">
        <f t="shared" si="19"/>
        <v>0</v>
      </c>
      <c r="AP344" s="4"/>
    </row>
    <row r="345" spans="1:42" ht="17" thickBot="1">
      <c r="A345" s="136" t="s">
        <v>116</v>
      </c>
      <c r="B345" s="112" t="s">
        <v>5</v>
      </c>
      <c r="C345" s="113"/>
      <c r="D345" s="113"/>
      <c r="E345" s="113">
        <v>1000</v>
      </c>
      <c r="F345" s="113">
        <v>-8282</v>
      </c>
      <c r="G345" s="113">
        <v>2310</v>
      </c>
      <c r="H345" s="113">
        <v>2613</v>
      </c>
      <c r="I345" s="113">
        <v>-2359</v>
      </c>
      <c r="J345" s="113">
        <v>4113</v>
      </c>
      <c r="K345" s="113">
        <v>4683</v>
      </c>
      <c r="L345" s="113">
        <v>4747</v>
      </c>
      <c r="M345" s="113">
        <v>4776</v>
      </c>
      <c r="N345" s="113">
        <v>18319</v>
      </c>
      <c r="O345" s="113">
        <v>2744</v>
      </c>
      <c r="P345" s="113">
        <v>5671</v>
      </c>
      <c r="Q345" s="113">
        <v>4400</v>
      </c>
      <c r="R345" s="113">
        <v>4233</v>
      </c>
      <c r="S345" s="113">
        <v>3707</v>
      </c>
      <c r="T345" s="113">
        <v>20755</v>
      </c>
      <c r="U345" s="114">
        <v>56749</v>
      </c>
      <c r="V345" s="113">
        <v>685</v>
      </c>
      <c r="W345" s="113">
        <v>512</v>
      </c>
      <c r="X345" s="113">
        <v>483</v>
      </c>
      <c r="Y345" s="113">
        <v>571</v>
      </c>
      <c r="Z345" s="113">
        <v>2251</v>
      </c>
      <c r="AA345" s="113">
        <v>269</v>
      </c>
      <c r="AB345" s="113">
        <v>139</v>
      </c>
      <c r="AC345" s="113">
        <v>187</v>
      </c>
      <c r="AD345" s="113">
        <v>187</v>
      </c>
      <c r="AE345" s="113">
        <v>782</v>
      </c>
      <c r="AF345" s="113">
        <v>184</v>
      </c>
      <c r="AG345" s="113">
        <v>102</v>
      </c>
      <c r="AH345" s="113">
        <v>245</v>
      </c>
      <c r="AI345" s="113">
        <v>164</v>
      </c>
      <c r="AJ345" s="113">
        <v>164</v>
      </c>
      <c r="AK345" s="113">
        <v>859</v>
      </c>
      <c r="AL345" s="114">
        <v>3892</v>
      </c>
      <c r="AM345" s="115">
        <v>256</v>
      </c>
      <c r="AN345" s="56">
        <f t="shared" si="18"/>
        <v>14527744</v>
      </c>
      <c r="AO345" s="56">
        <f t="shared" si="19"/>
        <v>996352</v>
      </c>
      <c r="AP345" s="4" t="str">
        <f>VLOOKUP(A345,[1]Basic!$B:$F,5,0)</f>
        <v>D5 32GB</v>
      </c>
    </row>
    <row r="346" spans="1:42" ht="17" thickBot="1">
      <c r="A346" s="136"/>
      <c r="B346" s="112" t="s">
        <v>6</v>
      </c>
      <c r="C346" s="113"/>
      <c r="D346" s="113"/>
      <c r="E346" s="113">
        <v>1000</v>
      </c>
      <c r="F346" s="113">
        <v>0</v>
      </c>
      <c r="G346" s="113">
        <v>7963</v>
      </c>
      <c r="H346" s="113">
        <v>0</v>
      </c>
      <c r="I346" s="113">
        <v>8963</v>
      </c>
      <c r="J346" s="113">
        <v>0</v>
      </c>
      <c r="K346" s="113">
        <v>4000</v>
      </c>
      <c r="L346" s="113">
        <v>3000</v>
      </c>
      <c r="M346" s="113">
        <v>0</v>
      </c>
      <c r="N346" s="113">
        <v>0</v>
      </c>
      <c r="O346" s="113">
        <v>0</v>
      </c>
      <c r="P346" s="113">
        <v>0</v>
      </c>
      <c r="Q346" s="113">
        <v>0</v>
      </c>
      <c r="R346" s="113">
        <v>0</v>
      </c>
      <c r="S346" s="113">
        <v>9000</v>
      </c>
      <c r="T346" s="113">
        <v>2000</v>
      </c>
      <c r="U346" s="114">
        <v>3000</v>
      </c>
      <c r="V346" s="113">
        <v>2000</v>
      </c>
      <c r="W346" s="113">
        <v>0</v>
      </c>
      <c r="X346" s="113">
        <v>0</v>
      </c>
      <c r="Y346" s="113">
        <v>0</v>
      </c>
      <c r="Z346" s="113">
        <v>0</v>
      </c>
      <c r="AA346" s="113">
        <v>0</v>
      </c>
      <c r="AB346" s="113">
        <v>0</v>
      </c>
      <c r="AC346" s="113">
        <v>0</v>
      </c>
      <c r="AD346" s="113">
        <v>0</v>
      </c>
      <c r="AE346" s="113">
        <v>0</v>
      </c>
      <c r="AF346" s="113">
        <v>0</v>
      </c>
      <c r="AG346" s="113">
        <v>0</v>
      </c>
      <c r="AH346" s="113">
        <v>0</v>
      </c>
      <c r="AI346" s="113">
        <v>0</v>
      </c>
      <c r="AJ346" s="113">
        <v>0</v>
      </c>
      <c r="AK346" s="113">
        <v>0</v>
      </c>
      <c r="AL346" s="114">
        <v>0</v>
      </c>
      <c r="AM346" s="115"/>
      <c r="AN346" s="56">
        <f t="shared" si="18"/>
        <v>0</v>
      </c>
      <c r="AO346" s="56">
        <f t="shared" si="19"/>
        <v>0</v>
      </c>
      <c r="AP346" s="4"/>
    </row>
    <row r="347" spans="1:42" ht="17" thickBot="1">
      <c r="A347" s="136"/>
      <c r="B347" s="112" t="s">
        <v>10</v>
      </c>
      <c r="C347" s="113">
        <v>22730</v>
      </c>
      <c r="D347" s="113"/>
      <c r="E347" s="113">
        <v>0</v>
      </c>
      <c r="F347" s="113">
        <v>22730</v>
      </c>
      <c r="G347" s="113">
        <v>0</v>
      </c>
      <c r="H347" s="113">
        <v>0</v>
      </c>
      <c r="I347" s="113">
        <v>22730</v>
      </c>
      <c r="J347" s="113">
        <v>0</v>
      </c>
      <c r="K347" s="113">
        <v>0</v>
      </c>
      <c r="L347" s="113">
        <v>0</v>
      </c>
      <c r="M347" s="113">
        <v>0</v>
      </c>
      <c r="N347" s="113">
        <v>0</v>
      </c>
      <c r="O347" s="113">
        <v>0</v>
      </c>
      <c r="P347" s="113">
        <v>0</v>
      </c>
      <c r="Q347" s="113">
        <v>0</v>
      </c>
      <c r="R347" s="113">
        <v>0</v>
      </c>
      <c r="S347" s="113">
        <v>0</v>
      </c>
      <c r="T347" s="113">
        <v>0</v>
      </c>
      <c r="U347" s="114">
        <v>0</v>
      </c>
      <c r="V347" s="113">
        <v>0</v>
      </c>
      <c r="W347" s="113">
        <v>0</v>
      </c>
      <c r="X347" s="113">
        <v>0</v>
      </c>
      <c r="Y347" s="113">
        <v>0</v>
      </c>
      <c r="Z347" s="113">
        <v>0</v>
      </c>
      <c r="AA347" s="113">
        <v>0</v>
      </c>
      <c r="AB347" s="113">
        <v>0</v>
      </c>
      <c r="AC347" s="113">
        <v>0</v>
      </c>
      <c r="AD347" s="113">
        <v>0</v>
      </c>
      <c r="AE347" s="113">
        <v>0</v>
      </c>
      <c r="AF347" s="113">
        <v>0</v>
      </c>
      <c r="AG347" s="113">
        <v>0</v>
      </c>
      <c r="AH347" s="113">
        <v>0</v>
      </c>
      <c r="AI347" s="113">
        <v>0</v>
      </c>
      <c r="AJ347" s="113">
        <v>0</v>
      </c>
      <c r="AK347" s="113">
        <v>0</v>
      </c>
      <c r="AL347" s="114">
        <v>0</v>
      </c>
      <c r="AM347" s="115"/>
      <c r="AN347" s="56">
        <f t="shared" si="18"/>
        <v>0</v>
      </c>
      <c r="AO347" s="56">
        <f t="shared" si="19"/>
        <v>0</v>
      </c>
      <c r="AP347" s="4"/>
    </row>
    <row r="348" spans="1:42" ht="17" thickBot="1">
      <c r="A348" s="136"/>
      <c r="B348" s="112" t="s">
        <v>7</v>
      </c>
      <c r="C348" s="113"/>
      <c r="D348" s="113"/>
      <c r="E348" s="113">
        <v>1000</v>
      </c>
      <c r="F348" s="113">
        <v>0</v>
      </c>
      <c r="G348" s="113">
        <v>0</v>
      </c>
      <c r="H348" s="113">
        <v>0</v>
      </c>
      <c r="I348" s="113">
        <v>1000</v>
      </c>
      <c r="J348" s="113">
        <v>0</v>
      </c>
      <c r="K348" s="113">
        <v>0</v>
      </c>
      <c r="L348" s="113">
        <v>3000</v>
      </c>
      <c r="M348" s="113">
        <v>0</v>
      </c>
      <c r="N348" s="113">
        <v>3000</v>
      </c>
      <c r="O348" s="113">
        <v>0</v>
      </c>
      <c r="P348" s="113">
        <v>0</v>
      </c>
      <c r="Q348" s="113">
        <v>0</v>
      </c>
      <c r="R348" s="113">
        <v>0</v>
      </c>
      <c r="S348" s="113">
        <v>9000</v>
      </c>
      <c r="T348" s="113">
        <v>9000</v>
      </c>
      <c r="U348" s="114">
        <v>33034</v>
      </c>
      <c r="V348" s="113">
        <v>2000</v>
      </c>
      <c r="W348" s="113">
        <v>0</v>
      </c>
      <c r="X348" s="113">
        <v>0</v>
      </c>
      <c r="Y348" s="113">
        <v>0</v>
      </c>
      <c r="Z348" s="113">
        <v>2000</v>
      </c>
      <c r="AA348" s="113">
        <v>0</v>
      </c>
      <c r="AB348" s="113">
        <v>0</v>
      </c>
      <c r="AC348" s="113">
        <v>0</v>
      </c>
      <c r="AD348" s="113">
        <v>0</v>
      </c>
      <c r="AE348" s="113">
        <v>0</v>
      </c>
      <c r="AF348" s="113">
        <v>0</v>
      </c>
      <c r="AG348" s="113">
        <v>0</v>
      </c>
      <c r="AH348" s="113">
        <v>0</v>
      </c>
      <c r="AI348" s="113">
        <v>0</v>
      </c>
      <c r="AJ348" s="113">
        <v>0</v>
      </c>
      <c r="AK348" s="113">
        <v>0</v>
      </c>
      <c r="AL348" s="114">
        <v>2000</v>
      </c>
      <c r="AM348" s="115"/>
      <c r="AN348" s="56">
        <f t="shared" si="18"/>
        <v>0</v>
      </c>
      <c r="AO348" s="56">
        <f t="shared" si="19"/>
        <v>0</v>
      </c>
      <c r="AP348" s="4"/>
    </row>
    <row r="349" spans="1:42" ht="17" thickBot="1">
      <c r="A349" s="136"/>
      <c r="B349" s="112" t="s">
        <v>8</v>
      </c>
      <c r="C349" s="113">
        <v>31052</v>
      </c>
      <c r="D349" s="113">
        <v>20034</v>
      </c>
      <c r="E349" s="113">
        <v>0</v>
      </c>
      <c r="F349" s="113">
        <v>11104</v>
      </c>
      <c r="G349" s="113">
        <v>10814</v>
      </c>
      <c r="H349" s="113">
        <v>10522</v>
      </c>
      <c r="I349" s="113">
        <v>3359</v>
      </c>
      <c r="J349" s="113">
        <v>10184</v>
      </c>
      <c r="K349" s="113">
        <v>9832</v>
      </c>
      <c r="L349" s="113">
        <v>8085</v>
      </c>
      <c r="M349" s="113">
        <v>3309</v>
      </c>
      <c r="N349" s="113">
        <v>-11960</v>
      </c>
      <c r="O349" s="113">
        <v>-14704</v>
      </c>
      <c r="P349" s="113">
        <v>-20375</v>
      </c>
      <c r="Q349" s="113">
        <v>-24775</v>
      </c>
      <c r="R349" s="113">
        <v>7897</v>
      </c>
      <c r="S349" s="113">
        <v>13190</v>
      </c>
      <c r="T349" s="113">
        <v>-23715</v>
      </c>
      <c r="U349" s="114">
        <v>-23715</v>
      </c>
      <c r="V349" s="113">
        <v>-22400</v>
      </c>
      <c r="W349" s="113">
        <v>-22912</v>
      </c>
      <c r="X349" s="113">
        <v>-23395</v>
      </c>
      <c r="Y349" s="113">
        <v>-23483</v>
      </c>
      <c r="Z349" s="113">
        <v>-23966</v>
      </c>
      <c r="AA349" s="113">
        <v>-24235</v>
      </c>
      <c r="AB349" s="113">
        <v>-24374</v>
      </c>
      <c r="AC349" s="113">
        <v>-24561</v>
      </c>
      <c r="AD349" s="113">
        <v>-24748</v>
      </c>
      <c r="AE349" s="113">
        <v>-24748</v>
      </c>
      <c r="AF349" s="113">
        <v>-24932</v>
      </c>
      <c r="AG349" s="113">
        <v>-25034</v>
      </c>
      <c r="AH349" s="113">
        <v>-25279</v>
      </c>
      <c r="AI349" s="113">
        <v>-25443</v>
      </c>
      <c r="AJ349" s="113">
        <v>-25607</v>
      </c>
      <c r="AK349" s="113">
        <v>-25607</v>
      </c>
      <c r="AL349" s="114">
        <v>-25607</v>
      </c>
      <c r="AM349" s="115"/>
      <c r="AN349" s="56">
        <f t="shared" si="18"/>
        <v>0</v>
      </c>
      <c r="AO349" s="56">
        <f t="shared" si="19"/>
        <v>0</v>
      </c>
      <c r="AP349" s="4"/>
    </row>
    <row r="350" spans="1:42" ht="17" thickBot="1">
      <c r="A350" s="116"/>
      <c r="B350" s="117" t="s">
        <v>9</v>
      </c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114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114"/>
      <c r="AM350" s="115"/>
      <c r="AN350" s="56">
        <f t="shared" si="18"/>
        <v>0</v>
      </c>
      <c r="AO350" s="56">
        <f t="shared" si="19"/>
        <v>0</v>
      </c>
      <c r="AP350" s="4"/>
    </row>
    <row r="351" spans="1:42" ht="17" thickBot="1">
      <c r="A351" s="136" t="s">
        <v>30</v>
      </c>
      <c r="B351" s="112" t="s">
        <v>5</v>
      </c>
      <c r="C351" s="113"/>
      <c r="D351" s="113"/>
      <c r="E351" s="113">
        <v>108800</v>
      </c>
      <c r="F351" s="113">
        <v>-10120</v>
      </c>
      <c r="G351" s="113">
        <v>165501</v>
      </c>
      <c r="H351" s="113">
        <v>137229</v>
      </c>
      <c r="I351" s="113">
        <v>358863</v>
      </c>
      <c r="J351" s="113">
        <v>124172</v>
      </c>
      <c r="K351" s="113">
        <v>162343</v>
      </c>
      <c r="L351" s="113">
        <v>203871</v>
      </c>
      <c r="M351" s="113">
        <v>129888</v>
      </c>
      <c r="N351" s="113">
        <v>653787</v>
      </c>
      <c r="O351" s="113">
        <v>283763</v>
      </c>
      <c r="P351" s="113">
        <v>182181</v>
      </c>
      <c r="Q351" s="113">
        <v>290470</v>
      </c>
      <c r="R351" s="113">
        <v>207712</v>
      </c>
      <c r="S351" s="113">
        <v>78230</v>
      </c>
      <c r="T351" s="113">
        <v>1051390</v>
      </c>
      <c r="U351" s="114">
        <v>2744653</v>
      </c>
      <c r="V351" s="113">
        <v>66857</v>
      </c>
      <c r="W351" s="113">
        <v>4216</v>
      </c>
      <c r="X351" s="113">
        <v>5354</v>
      </c>
      <c r="Y351" s="113">
        <v>844</v>
      </c>
      <c r="Z351" s="113">
        <v>77271</v>
      </c>
      <c r="AA351" s="113">
        <v>1289</v>
      </c>
      <c r="AB351" s="113">
        <v>1444</v>
      </c>
      <c r="AC351" s="113">
        <v>1520</v>
      </c>
      <c r="AD351" s="113">
        <v>1024</v>
      </c>
      <c r="AE351" s="113">
        <v>5277</v>
      </c>
      <c r="AF351" s="113">
        <v>842</v>
      </c>
      <c r="AG351" s="113">
        <v>545</v>
      </c>
      <c r="AH351" s="113">
        <v>612</v>
      </c>
      <c r="AI351" s="113">
        <v>451</v>
      </c>
      <c r="AJ351" s="113">
        <v>381</v>
      </c>
      <c r="AK351" s="113">
        <v>2831</v>
      </c>
      <c r="AL351" s="114">
        <v>85379</v>
      </c>
      <c r="AM351" s="115">
        <v>32</v>
      </c>
      <c r="AN351" s="56">
        <f t="shared" si="18"/>
        <v>87828896</v>
      </c>
      <c r="AO351" s="56">
        <f t="shared" si="19"/>
        <v>2732128</v>
      </c>
      <c r="AP351" s="4" t="str">
        <f>VLOOKUP(A351,[1]Basic!$B:$F,5,0)</f>
        <v>LP5/5X</v>
      </c>
    </row>
    <row r="352" spans="1:42" ht="17" thickBot="1">
      <c r="A352" s="136"/>
      <c r="B352" s="112" t="s">
        <v>6</v>
      </c>
      <c r="C352" s="113"/>
      <c r="D352" s="113"/>
      <c r="E352" s="113">
        <v>108800</v>
      </c>
      <c r="F352" s="113">
        <v>226880</v>
      </c>
      <c r="G352" s="113">
        <v>173120</v>
      </c>
      <c r="H352" s="113">
        <v>0</v>
      </c>
      <c r="I352" s="113">
        <v>508800</v>
      </c>
      <c r="J352" s="113">
        <v>200000</v>
      </c>
      <c r="K352" s="113">
        <v>300000</v>
      </c>
      <c r="L352" s="113">
        <v>200000</v>
      </c>
      <c r="M352" s="113">
        <v>0</v>
      </c>
      <c r="N352" s="113">
        <v>0</v>
      </c>
      <c r="O352" s="113">
        <v>100000</v>
      </c>
      <c r="P352" s="113">
        <v>300000</v>
      </c>
      <c r="Q352" s="113">
        <v>600000</v>
      </c>
      <c r="R352" s="113">
        <v>0</v>
      </c>
      <c r="S352" s="113">
        <v>200000</v>
      </c>
      <c r="T352" s="113">
        <v>0</v>
      </c>
      <c r="U352" s="114">
        <v>0</v>
      </c>
      <c r="V352" s="113">
        <v>1100000</v>
      </c>
      <c r="W352" s="113">
        <v>0</v>
      </c>
      <c r="X352" s="113">
        <v>0</v>
      </c>
      <c r="Y352" s="113">
        <v>0</v>
      </c>
      <c r="Z352" s="113">
        <v>0</v>
      </c>
      <c r="AA352" s="113">
        <v>0</v>
      </c>
      <c r="AB352" s="113">
        <v>0</v>
      </c>
      <c r="AC352" s="113">
        <v>0</v>
      </c>
      <c r="AD352" s="113">
        <v>0</v>
      </c>
      <c r="AE352" s="113">
        <v>0</v>
      </c>
      <c r="AF352" s="113">
        <v>0</v>
      </c>
      <c r="AG352" s="113">
        <v>0</v>
      </c>
      <c r="AH352" s="113">
        <v>0</v>
      </c>
      <c r="AI352" s="113">
        <v>0</v>
      </c>
      <c r="AJ352" s="113">
        <v>3000</v>
      </c>
      <c r="AK352" s="113">
        <v>3000</v>
      </c>
      <c r="AL352" s="114">
        <v>3000</v>
      </c>
      <c r="AM352" s="115"/>
      <c r="AN352" s="56">
        <f t="shared" si="18"/>
        <v>0</v>
      </c>
      <c r="AO352" s="56">
        <f t="shared" si="19"/>
        <v>0</v>
      </c>
      <c r="AP352" s="4"/>
    </row>
    <row r="353" spans="1:42" ht="17" thickBot="1">
      <c r="A353" s="136"/>
      <c r="B353" s="112" t="s">
        <v>10</v>
      </c>
      <c r="C353" s="113">
        <v>1603800</v>
      </c>
      <c r="D353" s="113"/>
      <c r="E353" s="113">
        <v>0</v>
      </c>
      <c r="F353" s="113">
        <v>1603800</v>
      </c>
      <c r="G353" s="113">
        <v>0</v>
      </c>
      <c r="H353" s="113">
        <v>0</v>
      </c>
      <c r="I353" s="113">
        <v>869000</v>
      </c>
      <c r="J353" s="113">
        <v>0</v>
      </c>
      <c r="K353" s="113">
        <v>0</v>
      </c>
      <c r="L353" s="113">
        <v>0</v>
      </c>
      <c r="M353" s="113">
        <v>0</v>
      </c>
      <c r="N353" s="113">
        <v>0</v>
      </c>
      <c r="O353" s="113">
        <v>0</v>
      </c>
      <c r="P353" s="113">
        <v>0</v>
      </c>
      <c r="Q353" s="113">
        <v>0</v>
      </c>
      <c r="R353" s="113">
        <v>0</v>
      </c>
      <c r="S353" s="113">
        <v>0</v>
      </c>
      <c r="T353" s="113">
        <v>0</v>
      </c>
      <c r="U353" s="114">
        <v>0</v>
      </c>
      <c r="V353" s="113">
        <v>810240</v>
      </c>
      <c r="W353" s="113">
        <v>0</v>
      </c>
      <c r="X353" s="113">
        <v>0</v>
      </c>
      <c r="Y353" s="113">
        <v>0</v>
      </c>
      <c r="Z353" s="113">
        <v>0</v>
      </c>
      <c r="AA353" s="113">
        <v>0</v>
      </c>
      <c r="AB353" s="113">
        <v>0</v>
      </c>
      <c r="AC353" s="113">
        <v>0</v>
      </c>
      <c r="AD353" s="113">
        <v>0</v>
      </c>
      <c r="AE353" s="113">
        <v>0</v>
      </c>
      <c r="AF353" s="113">
        <v>0</v>
      </c>
      <c r="AG353" s="113">
        <v>0</v>
      </c>
      <c r="AH353" s="113">
        <v>0</v>
      </c>
      <c r="AI353" s="113">
        <v>0</v>
      </c>
      <c r="AJ353" s="113">
        <v>0</v>
      </c>
      <c r="AK353" s="113">
        <v>0</v>
      </c>
      <c r="AL353" s="114">
        <v>0</v>
      </c>
      <c r="AM353" s="115"/>
      <c r="AN353" s="56">
        <f t="shared" si="18"/>
        <v>0</v>
      </c>
      <c r="AO353" s="56">
        <f t="shared" si="19"/>
        <v>0</v>
      </c>
      <c r="AP353" s="4"/>
    </row>
    <row r="354" spans="1:42" ht="17" thickBot="1">
      <c r="A354" s="136"/>
      <c r="B354" s="112" t="s">
        <v>7</v>
      </c>
      <c r="C354" s="113"/>
      <c r="D354" s="113"/>
      <c r="E354" s="113">
        <v>108800</v>
      </c>
      <c r="F354" s="113">
        <v>734800</v>
      </c>
      <c r="G354" s="113">
        <v>0</v>
      </c>
      <c r="H354" s="113">
        <v>2800</v>
      </c>
      <c r="I354" s="113">
        <v>846400</v>
      </c>
      <c r="J354" s="113">
        <v>0</v>
      </c>
      <c r="K354" s="113">
        <v>21288</v>
      </c>
      <c r="L354" s="113">
        <v>200000</v>
      </c>
      <c r="M354" s="113">
        <v>0</v>
      </c>
      <c r="N354" s="113">
        <v>221288</v>
      </c>
      <c r="O354" s="113">
        <v>100000</v>
      </c>
      <c r="P354" s="113">
        <v>300000</v>
      </c>
      <c r="Q354" s="113">
        <v>600000</v>
      </c>
      <c r="R354" s="113">
        <v>0</v>
      </c>
      <c r="S354" s="113">
        <v>200000</v>
      </c>
      <c r="T354" s="113">
        <v>1200000</v>
      </c>
      <c r="U354" s="114">
        <v>2948301</v>
      </c>
      <c r="V354" s="113">
        <v>1910240</v>
      </c>
      <c r="W354" s="113">
        <v>0</v>
      </c>
      <c r="X354" s="113">
        <v>0</v>
      </c>
      <c r="Y354" s="113">
        <v>0</v>
      </c>
      <c r="Z354" s="113">
        <v>1910240</v>
      </c>
      <c r="AA354" s="113">
        <v>0</v>
      </c>
      <c r="AB354" s="113">
        <v>0</v>
      </c>
      <c r="AC354" s="113">
        <v>0</v>
      </c>
      <c r="AD354" s="113">
        <v>0</v>
      </c>
      <c r="AE354" s="113">
        <v>0</v>
      </c>
      <c r="AF354" s="113">
        <v>0</v>
      </c>
      <c r="AG354" s="113">
        <v>0</v>
      </c>
      <c r="AH354" s="113">
        <v>0</v>
      </c>
      <c r="AI354" s="113">
        <v>0</v>
      </c>
      <c r="AJ354" s="113">
        <v>3000</v>
      </c>
      <c r="AK354" s="113">
        <v>3000</v>
      </c>
      <c r="AL354" s="114">
        <v>2439372</v>
      </c>
      <c r="AM354" s="115"/>
      <c r="AN354" s="56">
        <f t="shared" si="18"/>
        <v>0</v>
      </c>
      <c r="AO354" s="56">
        <f t="shared" si="19"/>
        <v>0</v>
      </c>
      <c r="AP354" s="4"/>
    </row>
    <row r="355" spans="1:42" ht="17" thickBot="1">
      <c r="A355" s="136"/>
      <c r="B355" s="112" t="s">
        <v>8</v>
      </c>
      <c r="C355" s="113">
        <v>2074905</v>
      </c>
      <c r="D355" s="113">
        <v>680613</v>
      </c>
      <c r="E355" s="113">
        <v>0</v>
      </c>
      <c r="F355" s="113">
        <v>710310</v>
      </c>
      <c r="G355" s="113">
        <v>692377</v>
      </c>
      <c r="H355" s="113">
        <v>649830</v>
      </c>
      <c r="I355" s="113">
        <v>487537</v>
      </c>
      <c r="J355" s="113">
        <v>635755</v>
      </c>
      <c r="K355" s="113">
        <v>632074</v>
      </c>
      <c r="L355" s="113">
        <v>628203</v>
      </c>
      <c r="M355" s="113">
        <v>498315</v>
      </c>
      <c r="N355" s="113">
        <v>55038</v>
      </c>
      <c r="O355" s="113">
        <v>-137759</v>
      </c>
      <c r="P355" s="113">
        <v>-19940</v>
      </c>
      <c r="Q355" s="113">
        <v>289590</v>
      </c>
      <c r="R355" s="113">
        <v>524950</v>
      </c>
      <c r="S355" s="113">
        <v>646720</v>
      </c>
      <c r="T355" s="113">
        <v>203648</v>
      </c>
      <c r="U355" s="114">
        <v>203648</v>
      </c>
      <c r="V355" s="113">
        <v>2047031</v>
      </c>
      <c r="W355" s="113">
        <v>2042815</v>
      </c>
      <c r="X355" s="113">
        <v>2037461</v>
      </c>
      <c r="Y355" s="113">
        <v>2041693</v>
      </c>
      <c r="Z355" s="113">
        <v>2036617</v>
      </c>
      <c r="AA355" s="113">
        <v>2035328</v>
      </c>
      <c r="AB355" s="113">
        <v>2033884</v>
      </c>
      <c r="AC355" s="113">
        <v>2032364</v>
      </c>
      <c r="AD355" s="113">
        <v>2031340</v>
      </c>
      <c r="AE355" s="113">
        <v>2031340</v>
      </c>
      <c r="AF355" s="113">
        <v>2030498</v>
      </c>
      <c r="AG355" s="113">
        <v>2029953</v>
      </c>
      <c r="AH355" s="113">
        <v>2029341</v>
      </c>
      <c r="AI355" s="113">
        <v>2028890</v>
      </c>
      <c r="AJ355" s="113">
        <v>2031509</v>
      </c>
      <c r="AK355" s="113">
        <v>2031509</v>
      </c>
      <c r="AL355" s="114">
        <v>2031509</v>
      </c>
      <c r="AM355" s="115"/>
      <c r="AN355" s="56">
        <f t="shared" si="18"/>
        <v>0</v>
      </c>
      <c r="AO355" s="56">
        <f t="shared" si="19"/>
        <v>0</v>
      </c>
      <c r="AP355" s="4"/>
    </row>
    <row r="356" spans="1:42" ht="17" thickBot="1">
      <c r="A356" s="116"/>
      <c r="B356" s="117" t="s">
        <v>9</v>
      </c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114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114"/>
      <c r="AM356" s="115"/>
      <c r="AN356" s="56">
        <f t="shared" si="18"/>
        <v>0</v>
      </c>
      <c r="AO356" s="56">
        <f t="shared" si="19"/>
        <v>0</v>
      </c>
      <c r="AP356" s="4"/>
    </row>
    <row r="357" spans="1:42" ht="17" thickBot="1">
      <c r="A357" s="136" t="s">
        <v>31</v>
      </c>
      <c r="B357" s="112" t="s">
        <v>5</v>
      </c>
      <c r="C357" s="113"/>
      <c r="D357" s="113"/>
      <c r="E357" s="113">
        <v>25824</v>
      </c>
      <c r="F357" s="113">
        <v>-124707</v>
      </c>
      <c r="G357" s="113">
        <v>95597</v>
      </c>
      <c r="H357" s="113">
        <v>60344</v>
      </c>
      <c r="I357" s="113">
        <v>21953</v>
      </c>
      <c r="J357" s="113">
        <v>64232</v>
      </c>
      <c r="K357" s="113">
        <v>68280</v>
      </c>
      <c r="L357" s="113">
        <v>49533</v>
      </c>
      <c r="M357" s="113">
        <v>24921</v>
      </c>
      <c r="N357" s="113">
        <v>241151</v>
      </c>
      <c r="O357" s="113">
        <v>93391</v>
      </c>
      <c r="P357" s="113">
        <v>72448</v>
      </c>
      <c r="Q357" s="113">
        <v>89265</v>
      </c>
      <c r="R357" s="113">
        <v>40008</v>
      </c>
      <c r="S357" s="113">
        <v>8969</v>
      </c>
      <c r="T357" s="113">
        <v>305001</v>
      </c>
      <c r="U357" s="114">
        <v>949797</v>
      </c>
      <c r="V357" s="113">
        <v>7644</v>
      </c>
      <c r="W357" s="113">
        <v>1216</v>
      </c>
      <c r="X357" s="113">
        <v>1548</v>
      </c>
      <c r="Y357" s="113">
        <v>228</v>
      </c>
      <c r="Z357" s="113">
        <v>10636</v>
      </c>
      <c r="AA357" s="113">
        <v>443</v>
      </c>
      <c r="AB357" s="113">
        <v>523</v>
      </c>
      <c r="AC357" s="113">
        <v>416</v>
      </c>
      <c r="AD357" s="113">
        <v>204</v>
      </c>
      <c r="AE357" s="113">
        <v>1586</v>
      </c>
      <c r="AF357" s="113">
        <v>164</v>
      </c>
      <c r="AG357" s="113">
        <v>124</v>
      </c>
      <c r="AH357" s="113">
        <v>189</v>
      </c>
      <c r="AI357" s="113">
        <v>80</v>
      </c>
      <c r="AJ357" s="113">
        <v>32</v>
      </c>
      <c r="AK357" s="113">
        <v>589</v>
      </c>
      <c r="AL357" s="114">
        <v>12811</v>
      </c>
      <c r="AM357" s="115">
        <v>64</v>
      </c>
      <c r="AN357" s="56">
        <f t="shared" si="18"/>
        <v>60787008</v>
      </c>
      <c r="AO357" s="56">
        <f t="shared" si="19"/>
        <v>819904</v>
      </c>
      <c r="AP357" s="4" t="s">
        <v>130</v>
      </c>
    </row>
    <row r="358" spans="1:42" ht="17" thickBot="1">
      <c r="A358" s="136"/>
      <c r="B358" s="112" t="s">
        <v>6</v>
      </c>
      <c r="C358" s="113"/>
      <c r="D358" s="113"/>
      <c r="E358" s="113">
        <v>25824</v>
      </c>
      <c r="F358" s="113">
        <v>10000</v>
      </c>
      <c r="G358" s="113">
        <v>200000</v>
      </c>
      <c r="H358" s="113">
        <v>0</v>
      </c>
      <c r="I358" s="113">
        <v>235824</v>
      </c>
      <c r="J358" s="113">
        <v>0</v>
      </c>
      <c r="K358" s="113">
        <v>200000</v>
      </c>
      <c r="L358" s="113">
        <v>100000</v>
      </c>
      <c r="M358" s="113">
        <v>100000</v>
      </c>
      <c r="N358" s="113">
        <v>0</v>
      </c>
      <c r="O358" s="113">
        <v>100000</v>
      </c>
      <c r="P358" s="113">
        <v>0</v>
      </c>
      <c r="Q358" s="113">
        <v>200000</v>
      </c>
      <c r="R358" s="113">
        <v>360000</v>
      </c>
      <c r="S358" s="113">
        <v>0</v>
      </c>
      <c r="T358" s="113">
        <v>0</v>
      </c>
      <c r="U358" s="114">
        <v>0</v>
      </c>
      <c r="V358" s="113">
        <v>0</v>
      </c>
      <c r="W358" s="113">
        <v>0</v>
      </c>
      <c r="X358" s="113">
        <v>0</v>
      </c>
      <c r="Y358" s="113">
        <v>0</v>
      </c>
      <c r="Z358" s="113">
        <v>0</v>
      </c>
      <c r="AA358" s="113">
        <v>0</v>
      </c>
      <c r="AB358" s="113">
        <v>0</v>
      </c>
      <c r="AC358" s="113">
        <v>0</v>
      </c>
      <c r="AD358" s="113">
        <v>0</v>
      </c>
      <c r="AE358" s="113">
        <v>0</v>
      </c>
      <c r="AF358" s="113">
        <v>0</v>
      </c>
      <c r="AG358" s="113">
        <v>0</v>
      </c>
      <c r="AH358" s="113">
        <v>0</v>
      </c>
      <c r="AI358" s="113">
        <v>0</v>
      </c>
      <c r="AJ358" s="113">
        <v>0</v>
      </c>
      <c r="AK358" s="113">
        <v>0</v>
      </c>
      <c r="AL358" s="114">
        <v>0</v>
      </c>
      <c r="AM358" s="115"/>
      <c r="AN358" s="56">
        <f t="shared" si="18"/>
        <v>0</v>
      </c>
      <c r="AO358" s="56">
        <f t="shared" si="19"/>
        <v>0</v>
      </c>
      <c r="AP358" s="4"/>
    </row>
    <row r="359" spans="1:42" ht="17" thickBot="1">
      <c r="A359" s="136"/>
      <c r="B359" s="112" t="s">
        <v>10</v>
      </c>
      <c r="C359" s="113">
        <v>920803</v>
      </c>
      <c r="D359" s="113"/>
      <c r="E359" s="113">
        <v>0</v>
      </c>
      <c r="F359" s="113">
        <v>919523</v>
      </c>
      <c r="G359" s="113">
        <v>0</v>
      </c>
      <c r="H359" s="113">
        <v>0</v>
      </c>
      <c r="I359" s="113">
        <v>215919</v>
      </c>
      <c r="J359" s="113">
        <v>0</v>
      </c>
      <c r="K359" s="113">
        <v>0</v>
      </c>
      <c r="L359" s="113">
        <v>0</v>
      </c>
      <c r="M359" s="113">
        <v>0</v>
      </c>
      <c r="N359" s="113">
        <v>0</v>
      </c>
      <c r="O359" s="113">
        <v>0</v>
      </c>
      <c r="P359" s="113">
        <v>0</v>
      </c>
      <c r="Q359" s="113">
        <v>0</v>
      </c>
      <c r="R359" s="113">
        <v>0</v>
      </c>
      <c r="S359" s="113">
        <v>0</v>
      </c>
      <c r="T359" s="113">
        <v>0</v>
      </c>
      <c r="U359" s="114">
        <v>0</v>
      </c>
      <c r="V359" s="113">
        <v>221743</v>
      </c>
      <c r="W359" s="113">
        <v>0</v>
      </c>
      <c r="X359" s="113">
        <v>0</v>
      </c>
      <c r="Y359" s="113">
        <v>0</v>
      </c>
      <c r="Z359" s="113">
        <v>0</v>
      </c>
      <c r="AA359" s="113">
        <v>0</v>
      </c>
      <c r="AB359" s="113">
        <v>0</v>
      </c>
      <c r="AC359" s="113">
        <v>0</v>
      </c>
      <c r="AD359" s="113">
        <v>0</v>
      </c>
      <c r="AE359" s="113">
        <v>0</v>
      </c>
      <c r="AF359" s="113">
        <v>0</v>
      </c>
      <c r="AG359" s="113">
        <v>0</v>
      </c>
      <c r="AH359" s="113">
        <v>0</v>
      </c>
      <c r="AI359" s="113">
        <v>0</v>
      </c>
      <c r="AJ359" s="113">
        <v>0</v>
      </c>
      <c r="AK359" s="113">
        <v>0</v>
      </c>
      <c r="AL359" s="114">
        <v>0</v>
      </c>
      <c r="AM359" s="115"/>
      <c r="AN359" s="56">
        <f t="shared" si="18"/>
        <v>0</v>
      </c>
      <c r="AO359" s="56">
        <f t="shared" si="19"/>
        <v>0</v>
      </c>
      <c r="AP359" s="4"/>
    </row>
    <row r="360" spans="1:42" ht="17" thickBot="1">
      <c r="A360" s="136"/>
      <c r="B360" s="112" t="s">
        <v>7</v>
      </c>
      <c r="C360" s="113"/>
      <c r="D360" s="113"/>
      <c r="E360" s="113">
        <v>0</v>
      </c>
      <c r="F360" s="113">
        <v>703604</v>
      </c>
      <c r="G360" s="113">
        <v>0</v>
      </c>
      <c r="H360" s="113">
        <v>1900</v>
      </c>
      <c r="I360" s="113">
        <v>705504</v>
      </c>
      <c r="J360" s="113">
        <v>0</v>
      </c>
      <c r="K360" s="113">
        <v>5900</v>
      </c>
      <c r="L360" s="113">
        <v>100000</v>
      </c>
      <c r="M360" s="113">
        <v>100000</v>
      </c>
      <c r="N360" s="113">
        <v>205900</v>
      </c>
      <c r="O360" s="113">
        <v>100000</v>
      </c>
      <c r="P360" s="113">
        <v>0</v>
      </c>
      <c r="Q360" s="113">
        <v>200000</v>
      </c>
      <c r="R360" s="113">
        <v>0</v>
      </c>
      <c r="S360" s="113">
        <v>0</v>
      </c>
      <c r="T360" s="113">
        <v>300000</v>
      </c>
      <c r="U360" s="114">
        <v>1593096</v>
      </c>
      <c r="V360" s="113">
        <v>221743</v>
      </c>
      <c r="W360" s="113">
        <v>0</v>
      </c>
      <c r="X360" s="113">
        <v>0</v>
      </c>
      <c r="Y360" s="113">
        <v>0</v>
      </c>
      <c r="Z360" s="113">
        <v>221743</v>
      </c>
      <c r="AA360" s="113">
        <v>0</v>
      </c>
      <c r="AB360" s="113">
        <v>0</v>
      </c>
      <c r="AC360" s="113">
        <v>0</v>
      </c>
      <c r="AD360" s="113">
        <v>0</v>
      </c>
      <c r="AE360" s="113">
        <v>0</v>
      </c>
      <c r="AF360" s="113">
        <v>0</v>
      </c>
      <c r="AG360" s="113">
        <v>0</v>
      </c>
      <c r="AH360" s="113">
        <v>0</v>
      </c>
      <c r="AI360" s="113">
        <v>0</v>
      </c>
      <c r="AJ360" s="113">
        <v>0</v>
      </c>
      <c r="AK360" s="113">
        <v>0</v>
      </c>
      <c r="AL360" s="114">
        <v>716397</v>
      </c>
      <c r="AM360" s="115"/>
      <c r="AN360" s="56">
        <f t="shared" si="18"/>
        <v>0</v>
      </c>
      <c r="AO360" s="56">
        <f t="shared" si="19"/>
        <v>0</v>
      </c>
      <c r="AP360" s="4"/>
    </row>
    <row r="361" spans="1:42" ht="17" thickBot="1">
      <c r="A361" s="136"/>
      <c r="B361" s="112" t="s">
        <v>8</v>
      </c>
      <c r="C361" s="113">
        <v>1196885</v>
      </c>
      <c r="D361" s="113">
        <v>381692</v>
      </c>
      <c r="E361" s="113">
        <v>0</v>
      </c>
      <c r="F361" s="113">
        <v>784772</v>
      </c>
      <c r="G361" s="113">
        <v>721036</v>
      </c>
      <c r="H361" s="113">
        <v>685896</v>
      </c>
      <c r="I361" s="113">
        <v>683551</v>
      </c>
      <c r="J361" s="113">
        <v>650867</v>
      </c>
      <c r="K361" s="113">
        <v>617947</v>
      </c>
      <c r="L361" s="113">
        <v>668414</v>
      </c>
      <c r="M361" s="113">
        <v>743493</v>
      </c>
      <c r="N361" s="113">
        <v>648300</v>
      </c>
      <c r="O361" s="113">
        <v>653989</v>
      </c>
      <c r="P361" s="113">
        <v>581541</v>
      </c>
      <c r="Q361" s="113">
        <v>692276</v>
      </c>
      <c r="R361" s="113">
        <v>469503</v>
      </c>
      <c r="S361" s="113">
        <v>460534</v>
      </c>
      <c r="T361" s="113">
        <v>643299</v>
      </c>
      <c r="U361" s="114">
        <v>643299</v>
      </c>
      <c r="V361" s="113">
        <v>857398</v>
      </c>
      <c r="W361" s="113">
        <v>856182</v>
      </c>
      <c r="X361" s="113">
        <v>854634</v>
      </c>
      <c r="Y361" s="113">
        <v>855954</v>
      </c>
      <c r="Z361" s="113">
        <v>854406</v>
      </c>
      <c r="AA361" s="113">
        <v>853963</v>
      </c>
      <c r="AB361" s="113">
        <v>853440</v>
      </c>
      <c r="AC361" s="113">
        <v>853024</v>
      </c>
      <c r="AD361" s="113">
        <v>852820</v>
      </c>
      <c r="AE361" s="113">
        <v>852820</v>
      </c>
      <c r="AF361" s="113">
        <v>852656</v>
      </c>
      <c r="AG361" s="113">
        <v>852532</v>
      </c>
      <c r="AH361" s="113">
        <v>852343</v>
      </c>
      <c r="AI361" s="113">
        <v>852263</v>
      </c>
      <c r="AJ361" s="113">
        <v>852231</v>
      </c>
      <c r="AK361" s="113">
        <v>852231</v>
      </c>
      <c r="AL361" s="114">
        <v>852231</v>
      </c>
      <c r="AM361" s="115"/>
      <c r="AN361" s="56">
        <f t="shared" si="18"/>
        <v>0</v>
      </c>
      <c r="AO361" s="56">
        <f t="shared" si="19"/>
        <v>0</v>
      </c>
      <c r="AP361" s="4"/>
    </row>
    <row r="362" spans="1:42" ht="17" thickBot="1">
      <c r="A362" s="116"/>
      <c r="B362" s="117" t="s">
        <v>9</v>
      </c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114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114"/>
      <c r="AM362" s="115"/>
      <c r="AN362" s="56">
        <f t="shared" si="18"/>
        <v>0</v>
      </c>
      <c r="AO362" s="56">
        <f t="shared" si="19"/>
        <v>0</v>
      </c>
      <c r="AP362" s="4"/>
    </row>
    <row r="363" spans="1:42" ht="17" thickBot="1">
      <c r="A363" s="136" t="s">
        <v>52</v>
      </c>
      <c r="B363" s="112" t="s">
        <v>5</v>
      </c>
      <c r="C363" s="113"/>
      <c r="D363" s="113"/>
      <c r="E363" s="113">
        <v>300</v>
      </c>
      <c r="F363" s="113">
        <v>-336</v>
      </c>
      <c r="G363" s="113">
        <v>60</v>
      </c>
      <c r="H363" s="113">
        <v>20</v>
      </c>
      <c r="I363" s="113">
        <v>24</v>
      </c>
      <c r="J363" s="113">
        <v>70</v>
      </c>
      <c r="K363" s="113">
        <v>18</v>
      </c>
      <c r="L363" s="113">
        <v>18</v>
      </c>
      <c r="M363" s="113">
        <v>80</v>
      </c>
      <c r="N363" s="113">
        <v>126</v>
      </c>
      <c r="O363" s="113">
        <v>0</v>
      </c>
      <c r="P363" s="113">
        <v>32</v>
      </c>
      <c r="Q363" s="113">
        <v>20</v>
      </c>
      <c r="R363" s="113">
        <v>108</v>
      </c>
      <c r="S363" s="113">
        <v>0</v>
      </c>
      <c r="T363" s="113">
        <v>240</v>
      </c>
      <c r="U363" s="114">
        <v>802</v>
      </c>
      <c r="V363" s="113">
        <v>0</v>
      </c>
      <c r="W363" s="113">
        <v>0</v>
      </c>
      <c r="X363" s="113">
        <v>0</v>
      </c>
      <c r="Y363" s="113">
        <v>0</v>
      </c>
      <c r="Z363" s="113">
        <v>0</v>
      </c>
      <c r="AA363" s="113">
        <v>0</v>
      </c>
      <c r="AB363" s="113">
        <v>0</v>
      </c>
      <c r="AC363" s="113">
        <v>0</v>
      </c>
      <c r="AD363" s="113">
        <v>0</v>
      </c>
      <c r="AE363" s="113">
        <v>0</v>
      </c>
      <c r="AF363" s="113">
        <v>0</v>
      </c>
      <c r="AG363" s="113">
        <v>0</v>
      </c>
      <c r="AH363" s="113">
        <v>0</v>
      </c>
      <c r="AI363" s="113">
        <v>0</v>
      </c>
      <c r="AJ363" s="113">
        <v>0</v>
      </c>
      <c r="AK363" s="113">
        <v>0</v>
      </c>
      <c r="AL363" s="114">
        <v>0</v>
      </c>
      <c r="AM363" s="115">
        <v>128</v>
      </c>
      <c r="AN363" s="56">
        <f t="shared" si="18"/>
        <v>102656</v>
      </c>
      <c r="AO363" s="56">
        <f t="shared" si="19"/>
        <v>0</v>
      </c>
      <c r="AP363" s="4" t="s">
        <v>145</v>
      </c>
    </row>
    <row r="364" spans="1:42" ht="17" thickBot="1">
      <c r="A364" s="136"/>
      <c r="B364" s="112" t="s">
        <v>6</v>
      </c>
      <c r="C364" s="113"/>
      <c r="D364" s="113"/>
      <c r="E364" s="113">
        <v>300</v>
      </c>
      <c r="F364" s="113">
        <v>0</v>
      </c>
      <c r="G364" s="113">
        <v>0</v>
      </c>
      <c r="H364" s="113">
        <v>0</v>
      </c>
      <c r="I364" s="113">
        <v>300</v>
      </c>
      <c r="J364" s="113">
        <v>0</v>
      </c>
      <c r="K364" s="113">
        <v>0</v>
      </c>
      <c r="L364" s="113">
        <v>0</v>
      </c>
      <c r="M364" s="113">
        <v>0</v>
      </c>
      <c r="N364" s="113">
        <v>0</v>
      </c>
      <c r="O364" s="113">
        <v>0</v>
      </c>
      <c r="P364" s="113">
        <v>0</v>
      </c>
      <c r="Q364" s="113">
        <v>0</v>
      </c>
      <c r="R364" s="113">
        <v>100</v>
      </c>
      <c r="S364" s="113">
        <v>0</v>
      </c>
      <c r="T364" s="113">
        <v>100</v>
      </c>
      <c r="U364" s="114">
        <v>0</v>
      </c>
      <c r="V364" s="113">
        <v>0</v>
      </c>
      <c r="W364" s="113">
        <v>0</v>
      </c>
      <c r="X364" s="113">
        <v>0</v>
      </c>
      <c r="Y364" s="113">
        <v>0</v>
      </c>
      <c r="Z364" s="113">
        <v>0</v>
      </c>
      <c r="AA364" s="113">
        <v>0</v>
      </c>
      <c r="AB364" s="113">
        <v>0</v>
      </c>
      <c r="AC364" s="113">
        <v>0</v>
      </c>
      <c r="AD364" s="113">
        <v>0</v>
      </c>
      <c r="AE364" s="113">
        <v>0</v>
      </c>
      <c r="AF364" s="113">
        <v>0</v>
      </c>
      <c r="AG364" s="113">
        <v>0</v>
      </c>
      <c r="AH364" s="113">
        <v>0</v>
      </c>
      <c r="AI364" s="113">
        <v>0</v>
      </c>
      <c r="AJ364" s="113">
        <v>0</v>
      </c>
      <c r="AK364" s="113">
        <v>0</v>
      </c>
      <c r="AL364" s="114">
        <v>0</v>
      </c>
      <c r="AM364" s="115"/>
      <c r="AN364" s="56">
        <f t="shared" si="18"/>
        <v>0</v>
      </c>
      <c r="AO364" s="56">
        <f t="shared" si="19"/>
        <v>0</v>
      </c>
      <c r="AP364" s="4"/>
    </row>
    <row r="365" spans="1:42" ht="17" thickBot="1">
      <c r="A365" s="136"/>
      <c r="B365" s="112" t="s">
        <v>10</v>
      </c>
      <c r="C365" s="113">
        <v>0</v>
      </c>
      <c r="D365" s="113"/>
      <c r="E365" s="113">
        <v>0</v>
      </c>
      <c r="F365" s="113">
        <v>0</v>
      </c>
      <c r="G365" s="113">
        <v>0</v>
      </c>
      <c r="H365" s="113">
        <v>0</v>
      </c>
      <c r="I365" s="113">
        <v>0</v>
      </c>
      <c r="J365" s="113">
        <v>0</v>
      </c>
      <c r="K365" s="113">
        <v>0</v>
      </c>
      <c r="L365" s="113">
        <v>0</v>
      </c>
      <c r="M365" s="113">
        <v>0</v>
      </c>
      <c r="N365" s="113">
        <v>0</v>
      </c>
      <c r="O365" s="113">
        <v>0</v>
      </c>
      <c r="P365" s="113">
        <v>0</v>
      </c>
      <c r="Q365" s="113">
        <v>0</v>
      </c>
      <c r="R365" s="113">
        <v>0</v>
      </c>
      <c r="S365" s="113">
        <v>0</v>
      </c>
      <c r="T365" s="113">
        <v>0</v>
      </c>
      <c r="U365" s="114">
        <v>0</v>
      </c>
      <c r="V365" s="113">
        <v>0</v>
      </c>
      <c r="W365" s="113">
        <v>0</v>
      </c>
      <c r="X365" s="113">
        <v>0</v>
      </c>
      <c r="Y365" s="113">
        <v>0</v>
      </c>
      <c r="Z365" s="113">
        <v>0</v>
      </c>
      <c r="AA365" s="113">
        <v>0</v>
      </c>
      <c r="AB365" s="113">
        <v>0</v>
      </c>
      <c r="AC365" s="113">
        <v>0</v>
      </c>
      <c r="AD365" s="113">
        <v>0</v>
      </c>
      <c r="AE365" s="113">
        <v>0</v>
      </c>
      <c r="AF365" s="113">
        <v>0</v>
      </c>
      <c r="AG365" s="113">
        <v>0</v>
      </c>
      <c r="AH365" s="113">
        <v>0</v>
      </c>
      <c r="AI365" s="113">
        <v>0</v>
      </c>
      <c r="AJ365" s="113">
        <v>0</v>
      </c>
      <c r="AK365" s="113">
        <v>0</v>
      </c>
      <c r="AL365" s="114">
        <v>0</v>
      </c>
      <c r="AM365" s="115"/>
      <c r="AN365" s="56">
        <f t="shared" si="18"/>
        <v>0</v>
      </c>
      <c r="AO365" s="56">
        <f t="shared" si="19"/>
        <v>0</v>
      </c>
      <c r="AP365" s="4"/>
    </row>
    <row r="366" spans="1:42" ht="17" thickBot="1">
      <c r="A366" s="136"/>
      <c r="B366" s="112" t="s">
        <v>7</v>
      </c>
      <c r="C366" s="113"/>
      <c r="D366" s="113"/>
      <c r="E366" s="113">
        <v>300</v>
      </c>
      <c r="F366" s="113">
        <v>0</v>
      </c>
      <c r="G366" s="113">
        <v>0</v>
      </c>
      <c r="H366" s="113">
        <v>0</v>
      </c>
      <c r="I366" s="113">
        <v>300</v>
      </c>
      <c r="J366" s="113">
        <v>0</v>
      </c>
      <c r="K366" s="113">
        <v>0</v>
      </c>
      <c r="L366" s="113">
        <v>0</v>
      </c>
      <c r="M366" s="113">
        <v>0</v>
      </c>
      <c r="N366" s="113">
        <v>0</v>
      </c>
      <c r="O366" s="113">
        <v>0</v>
      </c>
      <c r="P366" s="113">
        <v>0</v>
      </c>
      <c r="Q366" s="113">
        <v>0</v>
      </c>
      <c r="R366" s="113">
        <v>100</v>
      </c>
      <c r="S366" s="113">
        <v>0</v>
      </c>
      <c r="T366" s="113">
        <v>100</v>
      </c>
      <c r="U366" s="114">
        <v>812</v>
      </c>
      <c r="V366" s="113">
        <v>0</v>
      </c>
      <c r="W366" s="113">
        <v>0</v>
      </c>
      <c r="X366" s="113">
        <v>0</v>
      </c>
      <c r="Y366" s="113">
        <v>0</v>
      </c>
      <c r="Z366" s="113">
        <v>0</v>
      </c>
      <c r="AA366" s="113">
        <v>0</v>
      </c>
      <c r="AB366" s="113">
        <v>0</v>
      </c>
      <c r="AC366" s="113">
        <v>0</v>
      </c>
      <c r="AD366" s="113">
        <v>0</v>
      </c>
      <c r="AE366" s="113">
        <v>0</v>
      </c>
      <c r="AF366" s="113">
        <v>0</v>
      </c>
      <c r="AG366" s="113">
        <v>0</v>
      </c>
      <c r="AH366" s="113">
        <v>0</v>
      </c>
      <c r="AI366" s="113">
        <v>0</v>
      </c>
      <c r="AJ366" s="113">
        <v>0</v>
      </c>
      <c r="AK366" s="113">
        <v>0</v>
      </c>
      <c r="AL366" s="114">
        <v>10</v>
      </c>
      <c r="AM366" s="115"/>
      <c r="AN366" s="56">
        <f t="shared" si="18"/>
        <v>0</v>
      </c>
      <c r="AO366" s="56">
        <f t="shared" si="19"/>
        <v>0</v>
      </c>
      <c r="AP366" s="4"/>
    </row>
    <row r="367" spans="1:42" ht="17" thickBot="1">
      <c r="A367" s="136"/>
      <c r="B367" s="112" t="s">
        <v>8</v>
      </c>
      <c r="C367" s="113">
        <v>628</v>
      </c>
      <c r="D367" s="113">
        <v>412</v>
      </c>
      <c r="E367" s="113">
        <v>0</v>
      </c>
      <c r="F367" s="113">
        <v>336</v>
      </c>
      <c r="G367" s="113">
        <v>276</v>
      </c>
      <c r="H367" s="113">
        <v>256</v>
      </c>
      <c r="I367" s="113">
        <v>276</v>
      </c>
      <c r="J367" s="113">
        <v>186</v>
      </c>
      <c r="K367" s="113">
        <v>168</v>
      </c>
      <c r="L367" s="113">
        <v>150</v>
      </c>
      <c r="M367" s="113">
        <v>70</v>
      </c>
      <c r="N367" s="113">
        <v>150</v>
      </c>
      <c r="O367" s="113">
        <v>70</v>
      </c>
      <c r="P367" s="113">
        <v>38</v>
      </c>
      <c r="Q367" s="113">
        <v>18</v>
      </c>
      <c r="R367" s="113">
        <v>10</v>
      </c>
      <c r="S367" s="113">
        <v>10</v>
      </c>
      <c r="T367" s="113">
        <v>10</v>
      </c>
      <c r="U367" s="114">
        <v>10</v>
      </c>
      <c r="V367" s="113">
        <v>10</v>
      </c>
      <c r="W367" s="113">
        <v>10</v>
      </c>
      <c r="X367" s="113">
        <v>10</v>
      </c>
      <c r="Y367" s="113">
        <v>10</v>
      </c>
      <c r="Z367" s="113">
        <v>10</v>
      </c>
      <c r="AA367" s="113">
        <v>10</v>
      </c>
      <c r="AB367" s="113">
        <v>10</v>
      </c>
      <c r="AC367" s="113">
        <v>10</v>
      </c>
      <c r="AD367" s="113">
        <v>10</v>
      </c>
      <c r="AE367" s="113">
        <v>10</v>
      </c>
      <c r="AF367" s="113">
        <v>10</v>
      </c>
      <c r="AG367" s="113">
        <v>10</v>
      </c>
      <c r="AH367" s="113">
        <v>10</v>
      </c>
      <c r="AI367" s="113">
        <v>10</v>
      </c>
      <c r="AJ367" s="113">
        <v>10</v>
      </c>
      <c r="AK367" s="113">
        <v>10</v>
      </c>
      <c r="AL367" s="114">
        <v>10</v>
      </c>
      <c r="AM367" s="115"/>
      <c r="AN367" s="56">
        <f t="shared" si="18"/>
        <v>0</v>
      </c>
      <c r="AO367" s="56">
        <f t="shared" si="19"/>
        <v>0</v>
      </c>
      <c r="AP367" s="4"/>
    </row>
    <row r="368" spans="1:42" ht="17" thickBot="1">
      <c r="A368" s="116"/>
      <c r="B368" s="117" t="s">
        <v>9</v>
      </c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114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114"/>
      <c r="AM368" s="115"/>
      <c r="AN368" s="56">
        <f t="shared" si="18"/>
        <v>0</v>
      </c>
      <c r="AO368" s="56">
        <f t="shared" si="19"/>
        <v>0</v>
      </c>
      <c r="AP368" s="4"/>
    </row>
    <row r="369" spans="1:56" ht="17" thickBot="1">
      <c r="A369" s="136" t="s">
        <v>148</v>
      </c>
      <c r="B369" s="112" t="s">
        <v>5</v>
      </c>
      <c r="C369" s="113"/>
      <c r="D369" s="113"/>
      <c r="E369" s="113">
        <v>0</v>
      </c>
      <c r="F369" s="113">
        <v>0</v>
      </c>
      <c r="G369" s="113">
        <v>0</v>
      </c>
      <c r="H369" s="113">
        <v>0</v>
      </c>
      <c r="I369" s="113">
        <v>0</v>
      </c>
      <c r="J369" s="113">
        <v>0</v>
      </c>
      <c r="K369" s="113">
        <v>0</v>
      </c>
      <c r="L369" s="113">
        <v>0</v>
      </c>
      <c r="M369" s="113">
        <v>46</v>
      </c>
      <c r="N369" s="113">
        <v>0</v>
      </c>
      <c r="O369" s="113">
        <v>0</v>
      </c>
      <c r="P369" s="113">
        <v>0</v>
      </c>
      <c r="Q369" s="113">
        <v>0</v>
      </c>
      <c r="R369" s="113">
        <v>0</v>
      </c>
      <c r="S369" s="113">
        <v>0</v>
      </c>
      <c r="T369" s="113">
        <v>46</v>
      </c>
      <c r="U369" s="114">
        <v>58</v>
      </c>
      <c r="V369" s="113">
        <v>0</v>
      </c>
      <c r="W369" s="113">
        <v>0</v>
      </c>
      <c r="X369" s="113">
        <v>0</v>
      </c>
      <c r="Y369" s="113">
        <v>0</v>
      </c>
      <c r="Z369" s="113">
        <v>0</v>
      </c>
      <c r="AA369" s="113">
        <v>0</v>
      </c>
      <c r="AB369" s="113">
        <v>0</v>
      </c>
      <c r="AC369" s="113">
        <v>0</v>
      </c>
      <c r="AD369" s="113">
        <v>0</v>
      </c>
      <c r="AE369" s="113">
        <v>0</v>
      </c>
      <c r="AF369" s="113">
        <v>0</v>
      </c>
      <c r="AG369" s="113">
        <v>0</v>
      </c>
      <c r="AH369" s="113">
        <v>0</v>
      </c>
      <c r="AI369" s="113">
        <v>0</v>
      </c>
      <c r="AJ369" s="113">
        <v>0</v>
      </c>
      <c r="AK369" s="113">
        <v>0</v>
      </c>
      <c r="AL369" s="114">
        <v>0</v>
      </c>
      <c r="AM369" s="115">
        <v>256</v>
      </c>
      <c r="AN369" s="56">
        <f t="shared" si="18"/>
        <v>14848</v>
      </c>
      <c r="AO369" s="56">
        <f t="shared" si="19"/>
        <v>0</v>
      </c>
      <c r="AP369" s="4" t="s">
        <v>147</v>
      </c>
    </row>
    <row r="370" spans="1:56" ht="17" thickBot="1">
      <c r="A370" s="136"/>
      <c r="B370" s="112" t="s">
        <v>6</v>
      </c>
      <c r="C370" s="113"/>
      <c r="D370" s="113"/>
      <c r="E370" s="113">
        <v>0</v>
      </c>
      <c r="F370" s="113">
        <v>0</v>
      </c>
      <c r="G370" s="113">
        <v>0</v>
      </c>
      <c r="H370" s="113">
        <v>0</v>
      </c>
      <c r="I370" s="113">
        <v>0</v>
      </c>
      <c r="J370" s="113">
        <v>0</v>
      </c>
      <c r="K370" s="113">
        <v>0</v>
      </c>
      <c r="L370" s="113">
        <v>0</v>
      </c>
      <c r="M370" s="113">
        <v>0</v>
      </c>
      <c r="N370" s="113">
        <v>0</v>
      </c>
      <c r="O370" s="113">
        <v>0</v>
      </c>
      <c r="P370" s="113">
        <v>0</v>
      </c>
      <c r="Q370" s="113">
        <v>0</v>
      </c>
      <c r="R370" s="113">
        <v>0</v>
      </c>
      <c r="S370" s="113">
        <v>0</v>
      </c>
      <c r="T370" s="113">
        <v>0</v>
      </c>
      <c r="U370" s="114">
        <v>0</v>
      </c>
      <c r="V370" s="113">
        <v>0</v>
      </c>
      <c r="W370" s="113">
        <v>0</v>
      </c>
      <c r="X370" s="113">
        <v>0</v>
      </c>
      <c r="Y370" s="113">
        <v>0</v>
      </c>
      <c r="Z370" s="113">
        <v>0</v>
      </c>
      <c r="AA370" s="113">
        <v>0</v>
      </c>
      <c r="AB370" s="113">
        <v>0</v>
      </c>
      <c r="AC370" s="113">
        <v>0</v>
      </c>
      <c r="AD370" s="113">
        <v>0</v>
      </c>
      <c r="AE370" s="113">
        <v>0</v>
      </c>
      <c r="AF370" s="113">
        <v>0</v>
      </c>
      <c r="AG370" s="113">
        <v>0</v>
      </c>
      <c r="AH370" s="113">
        <v>0</v>
      </c>
      <c r="AI370" s="113">
        <v>0</v>
      </c>
      <c r="AJ370" s="113">
        <v>0</v>
      </c>
      <c r="AK370" s="113">
        <v>0</v>
      </c>
      <c r="AL370" s="114">
        <v>0</v>
      </c>
      <c r="AM370" s="115"/>
      <c r="AN370" s="56">
        <f t="shared" si="18"/>
        <v>0</v>
      </c>
      <c r="AO370" s="56">
        <f t="shared" si="19"/>
        <v>0</v>
      </c>
      <c r="AP370" s="4"/>
    </row>
    <row r="371" spans="1:56" ht="17" thickBot="1">
      <c r="A371" s="136"/>
      <c r="B371" s="112" t="s">
        <v>10</v>
      </c>
      <c r="C371" s="113">
        <v>0</v>
      </c>
      <c r="D371" s="113"/>
      <c r="E371" s="113">
        <v>0</v>
      </c>
      <c r="F371" s="113">
        <v>0</v>
      </c>
      <c r="G371" s="113">
        <v>0</v>
      </c>
      <c r="H371" s="113">
        <v>0</v>
      </c>
      <c r="I371" s="113">
        <v>0</v>
      </c>
      <c r="J371" s="113">
        <v>0</v>
      </c>
      <c r="K371" s="113">
        <v>0</v>
      </c>
      <c r="L371" s="113">
        <v>0</v>
      </c>
      <c r="M371" s="113">
        <v>0</v>
      </c>
      <c r="N371" s="113">
        <v>0</v>
      </c>
      <c r="O371" s="113">
        <v>0</v>
      </c>
      <c r="P371" s="113">
        <v>0</v>
      </c>
      <c r="Q371" s="113">
        <v>0</v>
      </c>
      <c r="R371" s="113">
        <v>0</v>
      </c>
      <c r="S371" s="113">
        <v>0</v>
      </c>
      <c r="T371" s="113">
        <v>0</v>
      </c>
      <c r="U371" s="114">
        <v>0</v>
      </c>
      <c r="V371" s="113">
        <v>0</v>
      </c>
      <c r="W371" s="113">
        <v>0</v>
      </c>
      <c r="X371" s="113">
        <v>0</v>
      </c>
      <c r="Y371" s="113">
        <v>0</v>
      </c>
      <c r="Z371" s="113">
        <v>0</v>
      </c>
      <c r="AA371" s="113">
        <v>0</v>
      </c>
      <c r="AB371" s="113">
        <v>0</v>
      </c>
      <c r="AC371" s="113">
        <v>0</v>
      </c>
      <c r="AD371" s="113">
        <v>0</v>
      </c>
      <c r="AE371" s="113">
        <v>0</v>
      </c>
      <c r="AF371" s="113">
        <v>0</v>
      </c>
      <c r="AG371" s="113">
        <v>0</v>
      </c>
      <c r="AH371" s="113">
        <v>0</v>
      </c>
      <c r="AI371" s="113">
        <v>0</v>
      </c>
      <c r="AJ371" s="113">
        <v>0</v>
      </c>
      <c r="AK371" s="113">
        <v>0</v>
      </c>
      <c r="AL371" s="114">
        <v>0</v>
      </c>
      <c r="AM371" s="115"/>
      <c r="AN371" s="56">
        <f t="shared" si="18"/>
        <v>0</v>
      </c>
      <c r="AO371" s="56">
        <f t="shared" si="19"/>
        <v>0</v>
      </c>
      <c r="AP371" s="4"/>
    </row>
    <row r="372" spans="1:56" ht="17" thickBot="1">
      <c r="A372" s="136"/>
      <c r="B372" s="112" t="s">
        <v>7</v>
      </c>
      <c r="C372" s="113"/>
      <c r="D372" s="113"/>
      <c r="E372" s="113">
        <v>0</v>
      </c>
      <c r="F372" s="113">
        <v>0</v>
      </c>
      <c r="G372" s="113">
        <v>0</v>
      </c>
      <c r="H372" s="113">
        <v>0</v>
      </c>
      <c r="I372" s="113">
        <v>0</v>
      </c>
      <c r="J372" s="113">
        <v>0</v>
      </c>
      <c r="K372" s="113">
        <v>0</v>
      </c>
      <c r="L372" s="113">
        <v>0</v>
      </c>
      <c r="M372" s="113">
        <v>0</v>
      </c>
      <c r="N372" s="113">
        <v>0</v>
      </c>
      <c r="O372" s="113">
        <v>0</v>
      </c>
      <c r="P372" s="113">
        <v>0</v>
      </c>
      <c r="Q372" s="113">
        <v>0</v>
      </c>
      <c r="R372" s="113">
        <v>0</v>
      </c>
      <c r="S372" s="113">
        <v>0</v>
      </c>
      <c r="T372" s="113">
        <v>0</v>
      </c>
      <c r="U372" s="114">
        <v>12</v>
      </c>
      <c r="V372" s="113">
        <v>0</v>
      </c>
      <c r="W372" s="113">
        <v>0</v>
      </c>
      <c r="X372" s="113">
        <v>0</v>
      </c>
      <c r="Y372" s="113">
        <v>0</v>
      </c>
      <c r="Z372" s="113">
        <v>0</v>
      </c>
      <c r="AA372" s="113">
        <v>0</v>
      </c>
      <c r="AB372" s="113">
        <v>0</v>
      </c>
      <c r="AC372" s="113">
        <v>0</v>
      </c>
      <c r="AD372" s="113">
        <v>0</v>
      </c>
      <c r="AE372" s="113">
        <v>0</v>
      </c>
      <c r="AF372" s="113">
        <v>0</v>
      </c>
      <c r="AG372" s="113">
        <v>0</v>
      </c>
      <c r="AH372" s="113">
        <v>0</v>
      </c>
      <c r="AI372" s="113">
        <v>0</v>
      </c>
      <c r="AJ372" s="113">
        <v>0</v>
      </c>
      <c r="AK372" s="113">
        <v>0</v>
      </c>
      <c r="AL372" s="114">
        <v>-46</v>
      </c>
      <c r="AM372" s="115"/>
      <c r="AN372" s="56">
        <f t="shared" si="18"/>
        <v>0</v>
      </c>
      <c r="AO372" s="56">
        <f t="shared" si="19"/>
        <v>0</v>
      </c>
      <c r="AP372" s="4"/>
    </row>
    <row r="373" spans="1:56" ht="17" thickBot="1">
      <c r="A373" s="136"/>
      <c r="B373" s="112" t="s">
        <v>8</v>
      </c>
      <c r="C373" s="113">
        <v>0</v>
      </c>
      <c r="D373" s="113">
        <v>12</v>
      </c>
      <c r="E373" s="113">
        <v>0</v>
      </c>
      <c r="F373" s="113">
        <v>0</v>
      </c>
      <c r="G373" s="113">
        <v>0</v>
      </c>
      <c r="H373" s="113">
        <v>0</v>
      </c>
      <c r="I373" s="113">
        <v>0</v>
      </c>
      <c r="J373" s="113">
        <v>0</v>
      </c>
      <c r="K373" s="113">
        <v>0</v>
      </c>
      <c r="L373" s="113">
        <v>0</v>
      </c>
      <c r="M373" s="113">
        <v>-46</v>
      </c>
      <c r="N373" s="113">
        <v>0</v>
      </c>
      <c r="O373" s="113">
        <v>-46</v>
      </c>
      <c r="P373" s="113">
        <v>-46</v>
      </c>
      <c r="Q373" s="113">
        <v>-46</v>
      </c>
      <c r="R373" s="113">
        <v>-46</v>
      </c>
      <c r="S373" s="113">
        <v>-46</v>
      </c>
      <c r="T373" s="113">
        <v>-46</v>
      </c>
      <c r="U373" s="114">
        <v>-46</v>
      </c>
      <c r="V373" s="113">
        <v>-46</v>
      </c>
      <c r="W373" s="113">
        <v>-46</v>
      </c>
      <c r="X373" s="113">
        <v>-46</v>
      </c>
      <c r="Y373" s="113">
        <v>-46</v>
      </c>
      <c r="Z373" s="113">
        <v>-46</v>
      </c>
      <c r="AA373" s="113">
        <v>-46</v>
      </c>
      <c r="AB373" s="113">
        <v>-46</v>
      </c>
      <c r="AC373" s="113">
        <v>-46</v>
      </c>
      <c r="AD373" s="113">
        <v>-46</v>
      </c>
      <c r="AE373" s="113">
        <v>-46</v>
      </c>
      <c r="AF373" s="113">
        <v>-46</v>
      </c>
      <c r="AG373" s="113">
        <v>-46</v>
      </c>
      <c r="AH373" s="113">
        <v>-46</v>
      </c>
      <c r="AI373" s="113">
        <v>-46</v>
      </c>
      <c r="AJ373" s="113">
        <v>-46</v>
      </c>
      <c r="AK373" s="113">
        <v>-46</v>
      </c>
      <c r="AL373" s="114">
        <v>-46</v>
      </c>
      <c r="AM373" s="115"/>
      <c r="AN373" s="56">
        <f t="shared" si="18"/>
        <v>0</v>
      </c>
      <c r="AO373" s="56">
        <f t="shared" si="19"/>
        <v>0</v>
      </c>
      <c r="AP373" s="4"/>
    </row>
    <row r="374" spans="1:56" ht="17" thickBot="1">
      <c r="A374" s="116"/>
      <c r="B374" s="117" t="s">
        <v>9</v>
      </c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114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114"/>
      <c r="AM374" s="115"/>
      <c r="AN374" s="56">
        <f t="shared" si="18"/>
        <v>0</v>
      </c>
      <c r="AO374" s="56">
        <f t="shared" si="19"/>
        <v>0</v>
      </c>
      <c r="AP374" s="4"/>
    </row>
    <row r="375" spans="1:56" ht="17" thickBot="1">
      <c r="A375" s="142" t="s">
        <v>14</v>
      </c>
      <c r="B375" s="122" t="s">
        <v>5</v>
      </c>
      <c r="C375" s="114"/>
      <c r="D375" s="114"/>
      <c r="E375" s="114">
        <v>2326909</v>
      </c>
      <c r="F375" s="114">
        <v>2130319</v>
      </c>
      <c r="G375" s="114">
        <v>2308641</v>
      </c>
      <c r="H375" s="114">
        <v>3210748</v>
      </c>
      <c r="I375" s="114">
        <v>7753349</v>
      </c>
      <c r="J375" s="114">
        <v>2663924</v>
      </c>
      <c r="K375" s="114">
        <v>1957771</v>
      </c>
      <c r="L375" s="114">
        <v>2675389</v>
      </c>
      <c r="M375" s="114">
        <v>1253156</v>
      </c>
      <c r="N375" s="114">
        <v>10405865</v>
      </c>
      <c r="O375" s="114">
        <v>3774507</v>
      </c>
      <c r="P375" s="114">
        <v>2319906</v>
      </c>
      <c r="Q375" s="114">
        <v>3444509</v>
      </c>
      <c r="R375" s="114">
        <v>1896391</v>
      </c>
      <c r="S375" s="114">
        <v>546551</v>
      </c>
      <c r="T375" s="114">
        <v>12286731</v>
      </c>
      <c r="U375" s="114">
        <v>42231954</v>
      </c>
      <c r="V375" s="114">
        <v>248406</v>
      </c>
      <c r="W375" s="114">
        <v>162393</v>
      </c>
      <c r="X375" s="114">
        <v>184464</v>
      </c>
      <c r="Y375" s="114">
        <v>176071</v>
      </c>
      <c r="Z375" s="114">
        <v>834110</v>
      </c>
      <c r="AA375" s="114">
        <v>193086</v>
      </c>
      <c r="AB375" s="114">
        <v>238396</v>
      </c>
      <c r="AC375" s="114">
        <v>227640</v>
      </c>
      <c r="AD375" s="114">
        <v>202570</v>
      </c>
      <c r="AE375" s="114">
        <v>861692</v>
      </c>
      <c r="AF375" s="114">
        <v>133522</v>
      </c>
      <c r="AG375" s="114">
        <v>257892</v>
      </c>
      <c r="AH375" s="114">
        <v>259465</v>
      </c>
      <c r="AI375" s="114">
        <v>210866</v>
      </c>
      <c r="AJ375" s="114">
        <v>254379</v>
      </c>
      <c r="AK375" s="114">
        <v>1116124</v>
      </c>
      <c r="AL375" s="114">
        <v>2811926</v>
      </c>
      <c r="AM375" s="115"/>
      <c r="AN375" s="56">
        <f t="shared" ref="AN375:AN376" si="20">AM375*U375</f>
        <v>0</v>
      </c>
      <c r="AO375" s="56">
        <f t="shared" ref="AO375:AO376" si="21">AM375*AL375</f>
        <v>0</v>
      </c>
      <c r="AP375" s="4"/>
    </row>
    <row r="376" spans="1:56" ht="17" thickBot="1">
      <c r="A376" s="142"/>
      <c r="B376" s="122" t="s">
        <v>6</v>
      </c>
      <c r="C376" s="114"/>
      <c r="D376" s="114"/>
      <c r="E376" s="114">
        <v>2326909</v>
      </c>
      <c r="F376" s="114">
        <v>1572679</v>
      </c>
      <c r="G376" s="114">
        <v>3277017</v>
      </c>
      <c r="H376" s="114">
        <v>540591</v>
      </c>
      <c r="I376" s="114">
        <v>5363922</v>
      </c>
      <c r="J376" s="114">
        <v>4726486</v>
      </c>
      <c r="K376" s="114">
        <v>975968</v>
      </c>
      <c r="L376" s="114">
        <v>1613204</v>
      </c>
      <c r="M376" s="114">
        <v>2163162</v>
      </c>
      <c r="N376" s="114">
        <v>2859499</v>
      </c>
      <c r="O376" s="114">
        <v>1948907</v>
      </c>
      <c r="P376" s="114">
        <v>986000</v>
      </c>
      <c r="Q376" s="114">
        <v>2457000</v>
      </c>
      <c r="R376" s="114">
        <v>2463200</v>
      </c>
      <c r="S376" s="114">
        <v>3372400</v>
      </c>
      <c r="T376" s="114">
        <v>6102607</v>
      </c>
      <c r="U376" s="114">
        <v>15876582</v>
      </c>
      <c r="V376" s="114">
        <v>1723420</v>
      </c>
      <c r="W376" s="114">
        <v>0</v>
      </c>
      <c r="X376" s="114">
        <v>0</v>
      </c>
      <c r="Y376" s="114">
        <v>0</v>
      </c>
      <c r="Z376" s="114">
        <v>1523420</v>
      </c>
      <c r="AA376" s="114">
        <v>97200</v>
      </c>
      <c r="AB376" s="114">
        <v>0</v>
      </c>
      <c r="AC376" s="114">
        <v>0</v>
      </c>
      <c r="AD376" s="114">
        <v>30500</v>
      </c>
      <c r="AE376" s="114">
        <v>127700</v>
      </c>
      <c r="AF376" s="114">
        <v>92000</v>
      </c>
      <c r="AG376" s="114">
        <v>0</v>
      </c>
      <c r="AH376" s="114">
        <v>0</v>
      </c>
      <c r="AI376" s="114">
        <v>650000</v>
      </c>
      <c r="AJ376" s="114">
        <v>1138000</v>
      </c>
      <c r="AK376" s="114">
        <v>1788000</v>
      </c>
      <c r="AL376" s="114">
        <v>3439120</v>
      </c>
      <c r="AM376" s="115"/>
      <c r="AN376" s="56">
        <f t="shared" si="20"/>
        <v>0</v>
      </c>
      <c r="AO376" s="56">
        <f t="shared" si="21"/>
        <v>0</v>
      </c>
      <c r="AP376" s="4"/>
    </row>
    <row r="377" spans="1:56" ht="17" thickBot="1">
      <c r="A377" s="142"/>
      <c r="B377" s="122" t="s">
        <v>10</v>
      </c>
      <c r="C377" s="114">
        <v>13027626</v>
      </c>
      <c r="D377" s="114">
        <f>SUM(D5,D11,D17,D23,D29,D35,D41,D47,D53,D59,D65,D71,D77,D83,D89,D95,D101,D113,D119,D125,D131,D137,D143,D149,D155,D167,D173,D179,D191,D197,D203,D209,D215,D221,D227,D239,D245,D251,D257,D263,D269,D275,D281,D287,D293,D299,D233,D185,D107,D305,D311)</f>
        <v>0</v>
      </c>
      <c r="E377" s="114">
        <v>0</v>
      </c>
      <c r="F377" s="114">
        <v>13195642</v>
      </c>
      <c r="G377" s="114">
        <v>28000</v>
      </c>
      <c r="H377" s="114">
        <v>0</v>
      </c>
      <c r="I377" s="114">
        <v>4201432</v>
      </c>
      <c r="J377" s="114">
        <v>0</v>
      </c>
      <c r="K377" s="114">
        <v>0</v>
      </c>
      <c r="L377" s="114">
        <v>0</v>
      </c>
      <c r="M377" s="114">
        <v>0</v>
      </c>
      <c r="N377" s="114">
        <v>0</v>
      </c>
      <c r="O377" s="114">
        <v>0</v>
      </c>
      <c r="P377" s="114">
        <v>0</v>
      </c>
      <c r="Q377" s="114">
        <v>0</v>
      </c>
      <c r="R377" s="114">
        <v>0</v>
      </c>
      <c r="S377" s="114">
        <v>60000</v>
      </c>
      <c r="T377" s="114">
        <v>0</v>
      </c>
      <c r="U377" s="114">
        <v>4201432</v>
      </c>
      <c r="V377" s="114">
        <v>3180884</v>
      </c>
      <c r="W377" s="114">
        <v>0</v>
      </c>
      <c r="X377" s="114">
        <v>0</v>
      </c>
      <c r="Y377" s="114">
        <v>0</v>
      </c>
      <c r="Z377" s="114">
        <v>3180884</v>
      </c>
      <c r="AA377" s="114">
        <v>0</v>
      </c>
      <c r="AB377" s="114">
        <v>0</v>
      </c>
      <c r="AC377" s="114">
        <v>0</v>
      </c>
      <c r="AD377" s="114">
        <v>0</v>
      </c>
      <c r="AE377" s="114">
        <v>0</v>
      </c>
      <c r="AF377" s="114">
        <v>0</v>
      </c>
      <c r="AG377" s="114">
        <v>0</v>
      </c>
      <c r="AH377" s="114">
        <v>0</v>
      </c>
      <c r="AI377" s="114">
        <v>0</v>
      </c>
      <c r="AJ377" s="114">
        <v>60000</v>
      </c>
      <c r="AK377" s="114">
        <v>0</v>
      </c>
      <c r="AL377" s="114">
        <v>3180884</v>
      </c>
      <c r="AM377" s="115"/>
      <c r="AP377" s="4"/>
    </row>
    <row r="378" spans="1:56" ht="17" thickBot="1">
      <c r="A378" s="142"/>
      <c r="B378" s="122" t="s">
        <v>44</v>
      </c>
      <c r="C378" s="114"/>
      <c r="D378" s="114"/>
      <c r="E378" s="114">
        <v>2326909</v>
      </c>
      <c r="F378" s="114">
        <v>14768321</v>
      </c>
      <c r="G378" s="114">
        <v>3305017</v>
      </c>
      <c r="H378" s="114">
        <v>540591</v>
      </c>
      <c r="I378" s="114">
        <v>20906588</v>
      </c>
      <c r="J378" s="114">
        <v>4726486</v>
      </c>
      <c r="K378" s="114">
        <v>975968</v>
      </c>
      <c r="L378" s="114">
        <v>1613204</v>
      </c>
      <c r="M378" s="114">
        <v>2163162</v>
      </c>
      <c r="N378" s="114">
        <v>8105070</v>
      </c>
      <c r="O378" s="114">
        <v>1948907</v>
      </c>
      <c r="P378" s="114">
        <v>986000</v>
      </c>
      <c r="Q378" s="114">
        <v>2457000</v>
      </c>
      <c r="R378" s="114">
        <v>2463200</v>
      </c>
      <c r="S378" s="114">
        <v>3432400</v>
      </c>
      <c r="T378" s="114">
        <v>11685207</v>
      </c>
      <c r="U378" s="114">
        <v>48260462</v>
      </c>
      <c r="V378" s="114">
        <v>4904304</v>
      </c>
      <c r="W378" s="114">
        <v>0</v>
      </c>
      <c r="X378" s="114">
        <v>0</v>
      </c>
      <c r="Y378" s="114">
        <v>0</v>
      </c>
      <c r="Z378" s="114">
        <v>5914604</v>
      </c>
      <c r="AA378" s="114">
        <v>97200</v>
      </c>
      <c r="AB378" s="114">
        <v>0</v>
      </c>
      <c r="AC378" s="114">
        <v>0</v>
      </c>
      <c r="AD378" s="114">
        <v>30500</v>
      </c>
      <c r="AE378" s="114">
        <v>127700</v>
      </c>
      <c r="AF378" s="114">
        <v>92000</v>
      </c>
      <c r="AG378" s="114">
        <v>0</v>
      </c>
      <c r="AH378" s="114">
        <v>0</v>
      </c>
      <c r="AI378" s="114">
        <v>650000</v>
      </c>
      <c r="AJ378" s="114">
        <v>1198000</v>
      </c>
      <c r="AK378" s="114">
        <v>1940000</v>
      </c>
      <c r="AL378" s="114">
        <v>10596176</v>
      </c>
      <c r="AM378" s="115"/>
      <c r="AP378" s="4"/>
    </row>
    <row r="379" spans="1:56" ht="17" thickBot="1">
      <c r="A379" s="142"/>
      <c r="B379" s="122" t="s">
        <v>8</v>
      </c>
      <c r="C379" s="114">
        <v>21903939</v>
      </c>
      <c r="D379" s="114">
        <v>11786009</v>
      </c>
      <c r="E379" s="114">
        <v>0</v>
      </c>
      <c r="F379" s="114">
        <v>12638002</v>
      </c>
      <c r="G379" s="114">
        <v>13634378</v>
      </c>
      <c r="H379" s="114">
        <v>10416737</v>
      </c>
      <c r="I379" s="114">
        <v>17375651</v>
      </c>
      <c r="J379" s="114">
        <v>17246548</v>
      </c>
      <c r="K379" s="114">
        <v>16264745</v>
      </c>
      <c r="L379" s="114">
        <v>15202560</v>
      </c>
      <c r="M379" s="114">
        <v>16112566</v>
      </c>
      <c r="N379" s="114">
        <v>15074856</v>
      </c>
      <c r="O379" s="114">
        <v>14345496</v>
      </c>
      <c r="P379" s="114">
        <v>13011590</v>
      </c>
      <c r="Q379" s="114">
        <v>12024081</v>
      </c>
      <c r="R379" s="114">
        <v>12590890</v>
      </c>
      <c r="S379" s="114">
        <v>15476739</v>
      </c>
      <c r="T379" s="114">
        <v>14473332</v>
      </c>
      <c r="U379" s="114">
        <v>6028508</v>
      </c>
      <c r="V379" s="114">
        <v>11631930</v>
      </c>
      <c r="W379" s="114">
        <v>11469537</v>
      </c>
      <c r="X379" s="114">
        <v>11285073</v>
      </c>
      <c r="Y379" s="114">
        <v>11293466</v>
      </c>
      <c r="Z379" s="114">
        <v>19553826</v>
      </c>
      <c r="AA379" s="114">
        <v>19457940</v>
      </c>
      <c r="AB379" s="114">
        <v>19219544</v>
      </c>
      <c r="AC379" s="114">
        <v>18991904</v>
      </c>
      <c r="AD379" s="114">
        <v>18819834</v>
      </c>
      <c r="AE379" s="114">
        <v>18819834</v>
      </c>
      <c r="AF379" s="114">
        <v>18778312</v>
      </c>
      <c r="AG379" s="114">
        <v>18520420</v>
      </c>
      <c r="AH379" s="114">
        <v>18260955</v>
      </c>
      <c r="AI379" s="114">
        <v>18700089</v>
      </c>
      <c r="AJ379" s="114">
        <v>19643710</v>
      </c>
      <c r="AK379" s="114">
        <v>19643710</v>
      </c>
      <c r="AL379" s="114">
        <v>19643710</v>
      </c>
      <c r="AM379" s="115"/>
      <c r="AP379" s="4"/>
    </row>
    <row r="380" spans="1:56" ht="17" thickBot="1">
      <c r="A380" s="143" t="s">
        <v>54</v>
      </c>
      <c r="B380" s="123" t="s">
        <v>5</v>
      </c>
      <c r="C380" s="124">
        <v>0</v>
      </c>
      <c r="D380" s="124">
        <v>0</v>
      </c>
      <c r="E380" s="124">
        <v>80544512</v>
      </c>
      <c r="F380" s="124">
        <v>59697568</v>
      </c>
      <c r="G380" s="124">
        <v>76042248</v>
      </c>
      <c r="H380" s="124">
        <v>113162608</v>
      </c>
      <c r="I380" s="124">
        <v>267590680</v>
      </c>
      <c r="J380" s="124">
        <v>103561184</v>
      </c>
      <c r="K380" s="124">
        <v>88180288</v>
      </c>
      <c r="L380" s="124">
        <v>96014440</v>
      </c>
      <c r="M380" s="124">
        <v>65052784</v>
      </c>
      <c r="N380" s="124">
        <v>397336312</v>
      </c>
      <c r="O380" s="124">
        <v>114378856</v>
      </c>
      <c r="P380" s="124">
        <v>97727416</v>
      </c>
      <c r="Q380" s="124">
        <v>123051016</v>
      </c>
      <c r="R380" s="124">
        <v>85076776</v>
      </c>
      <c r="S380" s="124">
        <v>43430352</v>
      </c>
      <c r="T380" s="124">
        <v>476531840</v>
      </c>
      <c r="U380" s="125">
        <v>1537794200</v>
      </c>
      <c r="V380" s="124">
        <v>9627824</v>
      </c>
      <c r="W380" s="124">
        <v>13677280</v>
      </c>
      <c r="X380" s="124">
        <v>14475840</v>
      </c>
      <c r="Y380" s="124">
        <v>14380192</v>
      </c>
      <c r="Z380" s="124">
        <v>56622352</v>
      </c>
      <c r="AA380" s="124">
        <v>15398064</v>
      </c>
      <c r="AB380" s="124">
        <v>17369808</v>
      </c>
      <c r="AC380" s="124">
        <v>17066152</v>
      </c>
      <c r="AD380" s="124">
        <v>15438224</v>
      </c>
      <c r="AE380" s="124">
        <v>65272248</v>
      </c>
      <c r="AF380" s="124">
        <v>10359336</v>
      </c>
      <c r="AG380" s="124">
        <v>19862008</v>
      </c>
      <c r="AH380" s="124">
        <v>19144464</v>
      </c>
      <c r="AI380" s="124">
        <v>15378792</v>
      </c>
      <c r="AJ380" s="124">
        <v>19388480</v>
      </c>
      <c r="AK380" s="124">
        <v>84133080</v>
      </c>
      <c r="AL380" s="126">
        <v>206027680</v>
      </c>
      <c r="AM380" s="115"/>
      <c r="AN380" s="127" t="s">
        <v>150</v>
      </c>
      <c r="AO380" s="144" t="s">
        <v>151</v>
      </c>
      <c r="AP380" s="145" t="s">
        <v>152</v>
      </c>
      <c r="AQ380" s="144" t="s">
        <v>153</v>
      </c>
      <c r="AR380" s="144" t="s">
        <v>154</v>
      </c>
      <c r="AS380" s="144"/>
      <c r="AT380" s="144"/>
      <c r="AU380" s="145" t="s">
        <v>131</v>
      </c>
      <c r="AV380" s="147" t="s">
        <v>155</v>
      </c>
      <c r="AW380" s="148"/>
      <c r="AX380" s="148"/>
      <c r="AY380" s="148"/>
      <c r="AZ380" s="148"/>
      <c r="BA380" s="148"/>
      <c r="BB380" s="148"/>
      <c r="BC380" s="149"/>
      <c r="BD380" s="144" t="s">
        <v>156</v>
      </c>
    </row>
    <row r="381" spans="1:56" ht="17" thickBot="1">
      <c r="A381" s="143"/>
      <c r="B381" s="123" t="s">
        <v>6</v>
      </c>
      <c r="C381" s="124">
        <v>0</v>
      </c>
      <c r="D381" s="124">
        <v>0</v>
      </c>
      <c r="E381" s="124">
        <v>80544512</v>
      </c>
      <c r="F381" s="124">
        <v>57573824</v>
      </c>
      <c r="G381" s="124">
        <v>134254912</v>
      </c>
      <c r="H381" s="124">
        <v>43853568</v>
      </c>
      <c r="I381" s="124">
        <v>239729536</v>
      </c>
      <c r="J381" s="124">
        <v>148841952</v>
      </c>
      <c r="K381" s="124">
        <v>45171904</v>
      </c>
      <c r="L381" s="124">
        <v>53053376</v>
      </c>
      <c r="M381" s="124">
        <v>75761856</v>
      </c>
      <c r="N381" s="124">
        <v>145894656</v>
      </c>
      <c r="O381" s="124">
        <v>113326816</v>
      </c>
      <c r="P381" s="124">
        <v>36608000</v>
      </c>
      <c r="Q381" s="124">
        <v>100320000</v>
      </c>
      <c r="R381" s="124">
        <v>102092800</v>
      </c>
      <c r="S381" s="124">
        <v>184331200</v>
      </c>
      <c r="T381" s="124">
        <v>278107616</v>
      </c>
      <c r="U381" s="124">
        <v>586205472</v>
      </c>
      <c r="V381" s="124">
        <v>60216960</v>
      </c>
      <c r="W381" s="124">
        <v>0</v>
      </c>
      <c r="X381" s="124">
        <v>0</v>
      </c>
      <c r="Y381" s="124">
        <v>0</v>
      </c>
      <c r="Z381" s="124">
        <v>47416960</v>
      </c>
      <c r="AA381" s="124">
        <v>6977600</v>
      </c>
      <c r="AB381" s="124">
        <v>0</v>
      </c>
      <c r="AC381" s="124">
        <v>0</v>
      </c>
      <c r="AD381" s="124">
        <v>2048000</v>
      </c>
      <c r="AE381" s="124">
        <v>9025600</v>
      </c>
      <c r="AF381" s="124">
        <v>12096000</v>
      </c>
      <c r="AG381" s="124">
        <v>0</v>
      </c>
      <c r="AH381" s="124">
        <v>0</v>
      </c>
      <c r="AI381" s="124">
        <v>41600000</v>
      </c>
      <c r="AJ381" s="124">
        <v>88288000</v>
      </c>
      <c r="AK381" s="124">
        <v>129888000</v>
      </c>
      <c r="AL381" s="124">
        <v>186330560</v>
      </c>
      <c r="AM381" s="115"/>
      <c r="AN381" s="127"/>
      <c r="AO381" s="144"/>
      <c r="AP381" s="146"/>
      <c r="AQ381" s="144"/>
      <c r="AR381" s="128" t="s">
        <v>157</v>
      </c>
      <c r="AS381" s="128" t="s">
        <v>158</v>
      </c>
      <c r="AT381" s="128" t="s">
        <v>159</v>
      </c>
      <c r="AU381" s="146"/>
      <c r="AV381" s="129" t="s">
        <v>160</v>
      </c>
      <c r="AW381" s="129" t="s">
        <v>161</v>
      </c>
      <c r="AX381" s="129" t="s">
        <v>162</v>
      </c>
      <c r="AY381" s="129" t="s">
        <v>163</v>
      </c>
      <c r="AZ381" s="130" t="s">
        <v>143</v>
      </c>
      <c r="BA381" s="130" t="s">
        <v>145</v>
      </c>
      <c r="BB381" s="130" t="s">
        <v>147</v>
      </c>
      <c r="BC381" s="130" t="s">
        <v>149</v>
      </c>
      <c r="BD381" s="144"/>
    </row>
    <row r="382" spans="1:56" ht="17" thickBot="1">
      <c r="A382" s="143"/>
      <c r="B382" s="123" t="s">
        <v>10</v>
      </c>
      <c r="C382" s="124">
        <v>465671752</v>
      </c>
      <c r="D382" s="124">
        <v>0</v>
      </c>
      <c r="E382" s="124">
        <v>0</v>
      </c>
      <c r="F382" s="124">
        <v>463861832</v>
      </c>
      <c r="G382" s="124">
        <v>896000</v>
      </c>
      <c r="H382" s="124">
        <v>0</v>
      </c>
      <c r="I382" s="124">
        <v>173855280</v>
      </c>
      <c r="J382" s="124">
        <v>0</v>
      </c>
      <c r="K382" s="124">
        <v>0</v>
      </c>
      <c r="L382" s="124">
        <v>0</v>
      </c>
      <c r="M382" s="124">
        <v>0</v>
      </c>
      <c r="N382" s="124">
        <v>0</v>
      </c>
      <c r="O382" s="124">
        <v>0</v>
      </c>
      <c r="P382" s="124">
        <v>0</v>
      </c>
      <c r="Q382" s="124">
        <v>0</v>
      </c>
      <c r="R382" s="124">
        <v>0</v>
      </c>
      <c r="S382" s="124">
        <v>480000</v>
      </c>
      <c r="T382" s="124">
        <v>0</v>
      </c>
      <c r="U382" s="124">
        <v>157212976</v>
      </c>
      <c r="V382" s="124">
        <v>144148368</v>
      </c>
      <c r="W382" s="124">
        <v>0</v>
      </c>
      <c r="X382" s="124">
        <v>0</v>
      </c>
      <c r="Y382" s="124">
        <v>0</v>
      </c>
      <c r="Z382" s="124">
        <v>144148368</v>
      </c>
      <c r="AA382" s="124">
        <v>0</v>
      </c>
      <c r="AB382" s="124">
        <v>0</v>
      </c>
      <c r="AC382" s="124">
        <v>0</v>
      </c>
      <c r="AD382" s="124">
        <v>0</v>
      </c>
      <c r="AE382" s="124">
        <v>0</v>
      </c>
      <c r="AF382" s="124">
        <v>0</v>
      </c>
      <c r="AG382" s="124">
        <v>0</v>
      </c>
      <c r="AH382" s="124">
        <v>0</v>
      </c>
      <c r="AI382" s="124">
        <v>0</v>
      </c>
      <c r="AJ382" s="124">
        <v>480000</v>
      </c>
      <c r="AK382" s="124">
        <v>0</v>
      </c>
      <c r="AL382" s="124">
        <v>144148368</v>
      </c>
      <c r="AM382" s="115"/>
      <c r="AN382" s="127"/>
      <c r="AO382" s="131">
        <f>SUMIF($AP$3:$AP$373,"LP3",$AN$3:$AP$373)/1000000</f>
        <v>0</v>
      </c>
      <c r="AP382" s="131">
        <f>SUMIF($AP$3:$AP$374,"LP4/4X",$AN$3:$AN$374)/1000000</f>
        <v>9.7718559999999997</v>
      </c>
      <c r="AQ382" s="131">
        <f>SUMIF($AP$3:$AP$374,"LP5/5X",$AN$3:$AN$374)/1000000</f>
        <v>455.60233599999998</v>
      </c>
      <c r="AR382" s="131">
        <f>SUMIF($AP$3:$AP$374,"8Gb",$AN$3:$AN$374)/1000000</f>
        <v>0</v>
      </c>
      <c r="AS382" s="131">
        <f>SUMIF($AP$3:$AP$374,"16Gb",$AN$3:$AN$374)/1000000</f>
        <v>0</v>
      </c>
      <c r="AT382" s="131">
        <f>SUMIF($AP$3:$AP$374,"32Gb",$AN$3:$AN$374)/1000000</f>
        <v>0</v>
      </c>
      <c r="AU382" s="131">
        <f>SUMIF($AP$3:$AP$374,"D5 ob",$AN$3:$AN$374)/1000000</f>
        <v>0</v>
      </c>
      <c r="AV382" s="131">
        <f>SUMIF($AP$3:$AP$374,"D4 4GB",$AN$3:$AN$374)/1000000</f>
        <v>13.294816000000001</v>
      </c>
      <c r="AW382" s="131">
        <f>SUMIF($AP$3:$AP$374,"D4 8GB",$AN$3:$AN$374)/1000000</f>
        <v>217.12902399999999</v>
      </c>
      <c r="AX382" s="131">
        <f>SUMIF($AP$3:$AP$374,"D4 16GB",$AN$3:$AN$374)/1000000</f>
        <v>172.46528000000001</v>
      </c>
      <c r="AY382" s="131">
        <f>SUMIF($AP$3:$AP$374,"D4 32GB",$AN$3:$AN$374)/1000000</f>
        <v>9.9212799999999994</v>
      </c>
      <c r="AZ382" s="131">
        <f>SUMIF($AP$3:$AP$374,"D5 8GB",$AN$3:$AN$374)/1000000</f>
        <v>172.43814399999999</v>
      </c>
      <c r="BA382" s="131">
        <f>SUMIF($AP$3:$AP$374,"D5 16GB",$AN$3:$AN$374)/1000000</f>
        <v>92.865408000000002</v>
      </c>
      <c r="BB382" s="131">
        <f>SUMIF($AP$3:$AP$374,"D5 32GB",$AN$3:$AN$374)/1000000</f>
        <v>33.880319999999998</v>
      </c>
      <c r="BC382" s="131">
        <f>SUMIF($AP$3:$AP$374,"D5 48GB",$AN$3:$AN$374)/1000000</f>
        <v>0</v>
      </c>
      <c r="BD382" s="131">
        <f>SUM(AO382:BB382)</f>
        <v>1177.3684639999999</v>
      </c>
    </row>
    <row r="383" spans="1:56" ht="17" thickBot="1">
      <c r="A383" s="143"/>
      <c r="B383" s="123" t="s">
        <v>44</v>
      </c>
      <c r="C383" s="124">
        <v>0</v>
      </c>
      <c r="D383" s="124">
        <v>0</v>
      </c>
      <c r="E383" s="124">
        <v>80544512</v>
      </c>
      <c r="F383" s="124">
        <v>521435656</v>
      </c>
      <c r="G383" s="124">
        <v>135150912</v>
      </c>
      <c r="H383" s="124">
        <v>43853568</v>
      </c>
      <c r="I383" s="124">
        <v>778792648</v>
      </c>
      <c r="J383" s="124">
        <v>148841952</v>
      </c>
      <c r="K383" s="124">
        <v>45171904</v>
      </c>
      <c r="L383" s="124">
        <v>53053376</v>
      </c>
      <c r="M383" s="124">
        <v>75761856</v>
      </c>
      <c r="N383" s="124">
        <v>279389088</v>
      </c>
      <c r="O383" s="124">
        <v>113326816</v>
      </c>
      <c r="P383" s="124">
        <v>36608000</v>
      </c>
      <c r="Q383" s="124">
        <v>100320000</v>
      </c>
      <c r="R383" s="124">
        <v>102092800</v>
      </c>
      <c r="S383" s="124">
        <v>184811200</v>
      </c>
      <c r="T383" s="124">
        <v>553312416</v>
      </c>
      <c r="U383" s="124">
        <v>1869042000</v>
      </c>
      <c r="V383" s="124">
        <v>204365328</v>
      </c>
      <c r="W383" s="124">
        <v>0</v>
      </c>
      <c r="X383" s="124">
        <v>0</v>
      </c>
      <c r="Y383" s="124">
        <v>0</v>
      </c>
      <c r="Z383" s="124">
        <v>233843728</v>
      </c>
      <c r="AA383" s="124">
        <v>6977600</v>
      </c>
      <c r="AB383" s="124">
        <v>0</v>
      </c>
      <c r="AC383" s="124">
        <v>0</v>
      </c>
      <c r="AD383" s="124">
        <v>2048000</v>
      </c>
      <c r="AE383" s="124">
        <v>9025600</v>
      </c>
      <c r="AF383" s="124">
        <v>12096000</v>
      </c>
      <c r="AG383" s="124">
        <v>0</v>
      </c>
      <c r="AH383" s="124">
        <v>0</v>
      </c>
      <c r="AI383" s="124">
        <v>41600000</v>
      </c>
      <c r="AJ383" s="124">
        <v>88768000</v>
      </c>
      <c r="AK383" s="124">
        <v>142464000</v>
      </c>
      <c r="AL383" s="124">
        <v>451026184</v>
      </c>
      <c r="AM383" s="115"/>
      <c r="AN383" s="127"/>
      <c r="AO383" s="127"/>
      <c r="AP383" s="127"/>
      <c r="AQ383" s="127"/>
      <c r="AR383" s="127"/>
      <c r="AS383" s="127"/>
      <c r="AT383" s="127"/>
      <c r="AU383" s="127"/>
      <c r="AV383" s="127"/>
      <c r="AW383" s="127"/>
      <c r="AX383" s="127"/>
      <c r="AY383" s="127"/>
      <c r="AZ383" s="127"/>
      <c r="BA383" s="127"/>
      <c r="BB383" s="127"/>
      <c r="BC383" s="127"/>
    </row>
    <row r="384" spans="1:56" ht="17" thickBot="1">
      <c r="A384" s="143"/>
      <c r="B384" s="123" t="s">
        <v>8</v>
      </c>
      <c r="C384" s="124">
        <v>796839544</v>
      </c>
      <c r="D384" s="124">
        <v>396335368</v>
      </c>
      <c r="E384" s="124">
        <v>0</v>
      </c>
      <c r="F384" s="124">
        <v>461738088</v>
      </c>
      <c r="G384" s="124">
        <v>520846752</v>
      </c>
      <c r="H384" s="124">
        <v>412683312</v>
      </c>
      <c r="I384" s="124">
        <v>692257200</v>
      </c>
      <c r="J384" s="124">
        <v>670514432</v>
      </c>
      <c r="K384" s="124">
        <v>627506048</v>
      </c>
      <c r="L384" s="124">
        <v>584544984</v>
      </c>
      <c r="M384" s="124">
        <v>595254056</v>
      </c>
      <c r="N384" s="124">
        <v>574309976</v>
      </c>
      <c r="O384" s="124">
        <v>595340008</v>
      </c>
      <c r="P384" s="124">
        <v>534220592</v>
      </c>
      <c r="Q384" s="124">
        <v>511489576</v>
      </c>
      <c r="R384" s="124">
        <v>528505600</v>
      </c>
      <c r="S384" s="124">
        <v>669886448</v>
      </c>
      <c r="T384" s="124">
        <v>651090552</v>
      </c>
      <c r="U384" s="124">
        <v>331247800</v>
      </c>
      <c r="V384" s="124">
        <v>551002488</v>
      </c>
      <c r="W384" s="124">
        <v>537325208</v>
      </c>
      <c r="X384" s="124">
        <v>522849368</v>
      </c>
      <c r="Y384" s="124">
        <v>522945016</v>
      </c>
      <c r="Z384" s="124">
        <v>828311928</v>
      </c>
      <c r="AA384" s="124">
        <v>819891464</v>
      </c>
      <c r="AB384" s="124">
        <v>802521656</v>
      </c>
      <c r="AC384" s="124">
        <v>785455504</v>
      </c>
      <c r="AD384" s="124">
        <v>772065280</v>
      </c>
      <c r="AE384" s="124">
        <v>772065280</v>
      </c>
      <c r="AF384" s="124">
        <v>773801944</v>
      </c>
      <c r="AG384" s="124">
        <v>753939936</v>
      </c>
      <c r="AH384" s="124">
        <v>734795472</v>
      </c>
      <c r="AI384" s="124">
        <v>761016680</v>
      </c>
      <c r="AJ384" s="124">
        <v>830396200</v>
      </c>
      <c r="AK384" s="124">
        <v>830396200</v>
      </c>
      <c r="AL384" s="124">
        <v>830396200</v>
      </c>
      <c r="AM384" s="115"/>
      <c r="AN384" s="127" t="s">
        <v>164</v>
      </c>
      <c r="AO384" s="144" t="s">
        <v>151</v>
      </c>
      <c r="AP384" s="145" t="s">
        <v>152</v>
      </c>
      <c r="AQ384" s="144" t="s">
        <v>153</v>
      </c>
      <c r="AR384" s="144" t="s">
        <v>154</v>
      </c>
      <c r="AS384" s="144"/>
      <c r="AT384" s="144"/>
      <c r="AU384" s="145" t="s">
        <v>131</v>
      </c>
      <c r="AV384" s="147" t="s">
        <v>155</v>
      </c>
      <c r="AW384" s="148"/>
      <c r="AX384" s="148"/>
      <c r="AY384" s="148"/>
      <c r="AZ384" s="148"/>
      <c r="BA384" s="148"/>
      <c r="BB384" s="148"/>
      <c r="BC384" s="149"/>
      <c r="BD384" s="144" t="s">
        <v>156</v>
      </c>
    </row>
    <row r="385" spans="4:56">
      <c r="E385" s="93">
        <f>E381*0.23/1000000</f>
        <v>18.525237760000003</v>
      </c>
      <c r="F385" s="93">
        <f t="shared" ref="F385:S385" si="22">F381*0.23/1000000</f>
        <v>13.241979520000001</v>
      </c>
      <c r="G385" s="93">
        <f t="shared" si="22"/>
        <v>30.878629760000003</v>
      </c>
      <c r="H385" s="93">
        <f t="shared" si="22"/>
        <v>10.08632064</v>
      </c>
      <c r="J385" s="93">
        <f t="shared" si="22"/>
        <v>34.233648960000004</v>
      </c>
      <c r="K385" s="93">
        <f t="shared" si="22"/>
        <v>10.38953792</v>
      </c>
      <c r="L385" s="93">
        <f t="shared" si="22"/>
        <v>12.20227648</v>
      </c>
      <c r="M385" s="93">
        <f t="shared" si="22"/>
        <v>17.42522688</v>
      </c>
      <c r="O385" s="93">
        <f t="shared" si="22"/>
        <v>26.065167679999998</v>
      </c>
      <c r="P385" s="93">
        <f t="shared" si="22"/>
        <v>8.4198400000000007</v>
      </c>
      <c r="Q385" s="93">
        <f t="shared" si="22"/>
        <v>23.073599999999999</v>
      </c>
      <c r="R385" s="93">
        <f t="shared" si="22"/>
        <v>23.481344</v>
      </c>
      <c r="S385" s="93">
        <f t="shared" si="22"/>
        <v>42.396175999999997</v>
      </c>
      <c r="V385" s="93">
        <f t="shared" ref="V385:Y385" si="23">V381*0.23/1000000</f>
        <v>13.8499008</v>
      </c>
      <c r="W385" s="93">
        <f t="shared" si="23"/>
        <v>0</v>
      </c>
      <c r="X385" s="93">
        <f t="shared" si="23"/>
        <v>0</v>
      </c>
      <c r="Y385" s="93">
        <f t="shared" si="23"/>
        <v>0</v>
      </c>
      <c r="AA385" s="93">
        <f t="shared" ref="AA385:AD385" si="24">AA381*0.23/1000000</f>
        <v>1.6048480000000001</v>
      </c>
      <c r="AB385" s="93">
        <f t="shared" si="24"/>
        <v>0</v>
      </c>
      <c r="AC385" s="93">
        <f t="shared" si="24"/>
        <v>0</v>
      </c>
      <c r="AD385" s="93">
        <f t="shared" si="24"/>
        <v>0.47104000000000001</v>
      </c>
      <c r="AF385" s="93">
        <f t="shared" ref="AF385:AJ385" si="25">AF381*0.23/1000000</f>
        <v>2.7820800000000001</v>
      </c>
      <c r="AG385" s="93">
        <f t="shared" si="25"/>
        <v>0</v>
      </c>
      <c r="AH385" s="93">
        <f t="shared" si="25"/>
        <v>0</v>
      </c>
      <c r="AI385" s="93">
        <f t="shared" si="25"/>
        <v>9.5679999999999996</v>
      </c>
      <c r="AJ385" s="93">
        <f t="shared" si="25"/>
        <v>20.306239999999999</v>
      </c>
      <c r="AN385" s="127"/>
      <c r="AO385" s="144"/>
      <c r="AP385" s="146"/>
      <c r="AQ385" s="144"/>
      <c r="AR385" s="128" t="s">
        <v>157</v>
      </c>
      <c r="AS385" s="128" t="s">
        <v>158</v>
      </c>
      <c r="AT385" s="128" t="s">
        <v>159</v>
      </c>
      <c r="AU385" s="146"/>
      <c r="AV385" s="129" t="s">
        <v>160</v>
      </c>
      <c r="AW385" s="129" t="s">
        <v>161</v>
      </c>
      <c r="AX385" s="129" t="s">
        <v>162</v>
      </c>
      <c r="AY385" s="129" t="s">
        <v>163</v>
      </c>
      <c r="AZ385" s="130" t="s">
        <v>143</v>
      </c>
      <c r="BA385" s="130" t="s">
        <v>145</v>
      </c>
      <c r="BB385" s="130" t="s">
        <v>147</v>
      </c>
      <c r="BC385" s="130" t="s">
        <v>149</v>
      </c>
      <c r="BD385" s="144"/>
    </row>
    <row r="386" spans="4:56">
      <c r="AN386" s="127"/>
      <c r="AO386" s="131">
        <f>SUMIF($AP$3:$AP$369,"LP3",$AO$3:$AO$369)/1000000</f>
        <v>0</v>
      </c>
      <c r="AP386" s="131">
        <f>SUMIF($AP$3:$AP$374,"LP4/4X",$AO$3:$AO$374)/1000000</f>
        <v>1.0336E-2</v>
      </c>
      <c r="AQ386" s="131">
        <f>SUMIF($AP$3:$AP$374,"LP5/5X",$AO$3:$AO$374)/1000000</f>
        <v>3.796576</v>
      </c>
      <c r="AR386" s="131">
        <f>SUMIF($AP$3:$AP$374,"8Gb",$AO$3:$AO$374)/1000000</f>
        <v>0</v>
      </c>
      <c r="AS386" s="131">
        <f>SUMIF($AP$3:$AP$374,"16Gb",$AO$3:$AO$374)/1000000</f>
        <v>0</v>
      </c>
      <c r="AT386" s="131">
        <f>SUMIF($AP$3:$AP$374,"32Gb",$AO$3:$AO$374)/1000000</f>
        <v>0</v>
      </c>
      <c r="AU386" s="131">
        <f>SUMIF($AP$3:$AP$374,"D5 ob",$AO$3:$AO$374)/1000000</f>
        <v>0</v>
      </c>
      <c r="AV386" s="131">
        <f>SUMIF($AP$3:$AP$374,"D4 4GB",$AO$3:$AO$374)/1000000</f>
        <v>6.0693760000000001</v>
      </c>
      <c r="AW386" s="131">
        <f>SUMIF($AP$3:$AP$374,"D4 8GB",$AO$3:$AO$374)/1000000</f>
        <v>95.289856</v>
      </c>
      <c r="AX386" s="131">
        <f>SUMIF($AP$3:$AP$374,"D4 16GB",$AO$3:$AO$374)/1000000</f>
        <v>68.721024</v>
      </c>
      <c r="AY386" s="131">
        <f>SUMIF($AP$3:$AP$374,"D4 32GB",$AO$3:$AO$374)/1000000</f>
        <v>0.45081599999999999</v>
      </c>
      <c r="AZ386" s="131">
        <f>SUMIF($AP$3:$AP$374,"D5 8GB",$AO$3:$AO$374)/1000000</f>
        <v>7.7713279999999996</v>
      </c>
      <c r="BA386" s="131">
        <f>SUMIF($AP$3:$AP$374,"D5 16GB",$AO$3:$AO$374)/1000000</f>
        <v>15.526911999999999</v>
      </c>
      <c r="BB386" s="131">
        <f>SUMIF($AP$3:$AP$374,"D5 32GB",$AO$3:$AO$374)/1000000</f>
        <v>4.3647999999999998</v>
      </c>
      <c r="BC386" s="131"/>
      <c r="BD386" s="131">
        <f>SUM(AO386:BB386)</f>
        <v>202.00102400000003</v>
      </c>
    </row>
    <row r="387" spans="4:56">
      <c r="U387" s="93">
        <f>[2]TNB!U302</f>
        <v>474777208</v>
      </c>
      <c r="AL387" s="93">
        <f>[2]TNB!AL302</f>
        <v>8597296</v>
      </c>
    </row>
    <row r="388" spans="4:56">
      <c r="U388" s="93">
        <f>[2]LNB!U284</f>
        <v>728731784</v>
      </c>
      <c r="AL388" s="93">
        <f>[2]LNB!AL284</f>
        <v>6061216</v>
      </c>
    </row>
    <row r="389" spans="4:56">
      <c r="U389" s="93">
        <f>[2]TDT!U278</f>
        <v>164504536</v>
      </c>
      <c r="AL389" s="93">
        <f>[2]TDT!AL278</f>
        <v>51878800</v>
      </c>
    </row>
    <row r="390" spans="4:56">
      <c r="U390" s="93">
        <f>[2]LDT!U272</f>
        <v>169780672</v>
      </c>
      <c r="AL390" s="93">
        <f>[2]LDT!AL272</f>
        <v>139490368</v>
      </c>
    </row>
    <row r="391" spans="4:56">
      <c r="D391" s="132" t="s">
        <v>165</v>
      </c>
      <c r="E391" s="132" t="s">
        <v>166</v>
      </c>
      <c r="U391" s="93">
        <f>SUM(U387:U390)</f>
        <v>1537794200</v>
      </c>
      <c r="AL391" s="93">
        <f>SUM(AL387:AL390)</f>
        <v>206027680</v>
      </c>
    </row>
    <row r="392" spans="4:56">
      <c r="D392" s="132" t="s">
        <v>167</v>
      </c>
      <c r="E392" s="133">
        <v>475</v>
      </c>
    </row>
    <row r="393" spans="4:56">
      <c r="D393" s="132" t="s">
        <v>168</v>
      </c>
      <c r="E393" s="133">
        <v>728</v>
      </c>
    </row>
    <row r="394" spans="4:56">
      <c r="D394" s="132" t="s">
        <v>169</v>
      </c>
      <c r="E394" s="133">
        <v>165</v>
      </c>
    </row>
    <row r="395" spans="4:56">
      <c r="D395" s="132" t="s">
        <v>170</v>
      </c>
      <c r="E395" s="133">
        <v>170</v>
      </c>
    </row>
    <row r="396" spans="4:56">
      <c r="D396" s="132" t="s">
        <v>171</v>
      </c>
      <c r="E396" s="133">
        <f t="shared" ref="E396" si="26">SUM(E392:E395)</f>
        <v>1538</v>
      </c>
    </row>
  </sheetData>
  <autoFilter ref="A2:AO72" xr:uid="{00000000-0009-0000-0000-000000000000}"/>
  <mergeCells count="85">
    <mergeCell ref="AQ384:AQ385"/>
    <mergeCell ref="AR384:AT384"/>
    <mergeCell ref="AU384:AU385"/>
    <mergeCell ref="AV384:BC384"/>
    <mergeCell ref="BD384:BD385"/>
    <mergeCell ref="AQ380:AQ381"/>
    <mergeCell ref="AR380:AT380"/>
    <mergeCell ref="AU380:AU381"/>
    <mergeCell ref="AV380:BC380"/>
    <mergeCell ref="BD380:BD381"/>
    <mergeCell ref="A375:A379"/>
    <mergeCell ref="A380:A384"/>
    <mergeCell ref="AO380:AO381"/>
    <mergeCell ref="AP380:AP381"/>
    <mergeCell ref="AO384:AO385"/>
    <mergeCell ref="AP384:AP385"/>
    <mergeCell ref="A351:A355"/>
    <mergeCell ref="A357:A361"/>
    <mergeCell ref="A363:A367"/>
    <mergeCell ref="A369:A373"/>
    <mergeCell ref="A321:A325"/>
    <mergeCell ref="A327:A331"/>
    <mergeCell ref="A333:A337"/>
    <mergeCell ref="A339:A343"/>
    <mergeCell ref="A345:A349"/>
    <mergeCell ref="A303:A307"/>
    <mergeCell ref="A309:A313"/>
    <mergeCell ref="A315:A319"/>
    <mergeCell ref="A273:A277"/>
    <mergeCell ref="A279:A283"/>
    <mergeCell ref="A285:A289"/>
    <mergeCell ref="A291:A295"/>
    <mergeCell ref="A297:A301"/>
    <mergeCell ref="A243:A247"/>
    <mergeCell ref="A249:A253"/>
    <mergeCell ref="A255:A259"/>
    <mergeCell ref="A261:A265"/>
    <mergeCell ref="A267:A271"/>
    <mergeCell ref="A213:A217"/>
    <mergeCell ref="A219:A223"/>
    <mergeCell ref="A225:A229"/>
    <mergeCell ref="A231:A235"/>
    <mergeCell ref="A237:A241"/>
    <mergeCell ref="A189:A193"/>
    <mergeCell ref="A195:A199"/>
    <mergeCell ref="A201:A205"/>
    <mergeCell ref="A207:A211"/>
    <mergeCell ref="A159:A163"/>
    <mergeCell ref="A165:A169"/>
    <mergeCell ref="A171:A175"/>
    <mergeCell ref="A177:A181"/>
    <mergeCell ref="A183:A187"/>
    <mergeCell ref="A129:A133"/>
    <mergeCell ref="A135:A139"/>
    <mergeCell ref="A141:A145"/>
    <mergeCell ref="A147:A151"/>
    <mergeCell ref="A153:A157"/>
    <mergeCell ref="A117:A121"/>
    <mergeCell ref="A123:A127"/>
    <mergeCell ref="A75:A79"/>
    <mergeCell ref="A81:A85"/>
    <mergeCell ref="A87:A91"/>
    <mergeCell ref="A93:A97"/>
    <mergeCell ref="A99:A103"/>
    <mergeCell ref="A51:A55"/>
    <mergeCell ref="A27:A31"/>
    <mergeCell ref="A33:A37"/>
    <mergeCell ref="A105:A109"/>
    <mergeCell ref="A111:A115"/>
    <mergeCell ref="A69:A73"/>
    <mergeCell ref="V1:Y1"/>
    <mergeCell ref="AA1:AD1"/>
    <mergeCell ref="AF1:AJ1"/>
    <mergeCell ref="O1:S1"/>
    <mergeCell ref="A1:B1"/>
    <mergeCell ref="E1:H1"/>
    <mergeCell ref="A9:A13"/>
    <mergeCell ref="A3:A7"/>
    <mergeCell ref="J1:M1"/>
    <mergeCell ref="A39:A43"/>
    <mergeCell ref="A57:A61"/>
    <mergeCell ref="A15:A19"/>
    <mergeCell ref="A21:A25"/>
    <mergeCell ref="A45:A49"/>
    <mergeCell ref="A63:A67"/>
  </mergeCells>
  <phoneticPr fontId="3" type="noConversion"/>
  <conditionalFormatting sqref="A375:A384 A3:A302">
    <cfRule type="duplicateValues" dxfId="3914" priority="2653"/>
    <cfRule type="duplicateValues" dxfId="3913" priority="2654"/>
    <cfRule type="duplicateValues" dxfId="3912" priority="2655"/>
  </conditionalFormatting>
  <conditionalFormatting sqref="A303:A308">
    <cfRule type="duplicateValues" dxfId="3911" priority="2644"/>
    <cfRule type="duplicateValues" dxfId="3910" priority="2645"/>
    <cfRule type="duplicateValues" dxfId="3909" priority="2646"/>
  </conditionalFormatting>
  <conditionalFormatting sqref="A309:A314">
    <cfRule type="duplicateValues" dxfId="3908" priority="2641"/>
    <cfRule type="duplicateValues" dxfId="3907" priority="2642"/>
    <cfRule type="duplicateValues" dxfId="3906" priority="2643"/>
  </conditionalFormatting>
  <conditionalFormatting sqref="A321:A326">
    <cfRule type="duplicateValues" dxfId="3905" priority="2638"/>
    <cfRule type="duplicateValues" dxfId="3904" priority="2639"/>
    <cfRule type="duplicateValues" dxfId="3903" priority="2640"/>
  </conditionalFormatting>
  <conditionalFormatting sqref="A333:A338">
    <cfRule type="duplicateValues" dxfId="3902" priority="2635"/>
    <cfRule type="duplicateValues" dxfId="3901" priority="2636"/>
    <cfRule type="duplicateValues" dxfId="3900" priority="2637"/>
  </conditionalFormatting>
  <conditionalFormatting sqref="A339:A344">
    <cfRule type="duplicateValues" dxfId="3899" priority="2632"/>
    <cfRule type="duplicateValues" dxfId="3898" priority="2633"/>
    <cfRule type="duplicateValues" dxfId="3897" priority="2634"/>
  </conditionalFormatting>
  <conditionalFormatting sqref="A351:A356">
    <cfRule type="duplicateValues" dxfId="3896" priority="2629"/>
    <cfRule type="duplicateValues" dxfId="3895" priority="2630"/>
    <cfRule type="duplicateValues" dxfId="3894" priority="2631"/>
  </conditionalFormatting>
  <conditionalFormatting sqref="A357:A362">
    <cfRule type="duplicateValues" dxfId="3893" priority="2626"/>
    <cfRule type="duplicateValues" dxfId="3892" priority="2627"/>
    <cfRule type="duplicateValues" dxfId="3891" priority="2628"/>
  </conditionalFormatting>
  <conditionalFormatting sqref="J32:M32">
    <cfRule type="cellIs" dxfId="3890" priority="2614" stopIfTrue="1" operator="lessThanOrEqual">
      <formula>3000</formula>
    </cfRule>
    <cfRule type="cellIs" dxfId="3889" priority="2615" stopIfTrue="1" operator="between">
      <formula>3000</formula>
      <formula>9000</formula>
    </cfRule>
    <cfRule type="cellIs" dxfId="3888" priority="2616" stopIfTrue="1" operator="greaterThanOrEqual">
      <formula>9000</formula>
    </cfRule>
  </conditionalFormatting>
  <conditionalFormatting sqref="O32:S32">
    <cfRule type="cellIs" dxfId="3887" priority="2611" stopIfTrue="1" operator="lessThanOrEqual">
      <formula>3000</formula>
    </cfRule>
    <cfRule type="cellIs" dxfId="3886" priority="2612" stopIfTrue="1" operator="between">
      <formula>3000</formula>
      <formula>9000</formula>
    </cfRule>
    <cfRule type="cellIs" dxfId="3885" priority="2613" stopIfTrue="1" operator="greaterThanOrEqual">
      <formula>9000</formula>
    </cfRule>
  </conditionalFormatting>
  <conditionalFormatting sqref="E32:H32">
    <cfRule type="cellIs" dxfId="3884" priority="2608" stopIfTrue="1" operator="lessThanOrEqual">
      <formula>3000</formula>
    </cfRule>
    <cfRule type="cellIs" dxfId="3883" priority="2609" stopIfTrue="1" operator="between">
      <formula>3000</formula>
      <formula>9000</formula>
    </cfRule>
    <cfRule type="cellIs" dxfId="3882" priority="2610" stopIfTrue="1" operator="greaterThanOrEqual">
      <formula>9000</formula>
    </cfRule>
  </conditionalFormatting>
  <conditionalFormatting sqref="E8:H8">
    <cfRule type="cellIs" dxfId="3881" priority="2530" stopIfTrue="1" operator="lessThanOrEqual">
      <formula>3000</formula>
    </cfRule>
    <cfRule type="cellIs" dxfId="3880" priority="2531" stopIfTrue="1" operator="between">
      <formula>3000</formula>
      <formula>9000</formula>
    </cfRule>
    <cfRule type="cellIs" dxfId="3879" priority="2532" stopIfTrue="1" operator="greaterThanOrEqual">
      <formula>9000</formula>
    </cfRule>
  </conditionalFormatting>
  <conditionalFormatting sqref="O44">
    <cfRule type="cellIs" dxfId="3878" priority="2164" stopIfTrue="1" operator="lessThanOrEqual">
      <formula>3000</formula>
    </cfRule>
    <cfRule type="cellIs" dxfId="3877" priority="2165" stopIfTrue="1" operator="between">
      <formula>3000</formula>
      <formula>9000</formula>
    </cfRule>
    <cfRule type="cellIs" dxfId="3876" priority="2166" stopIfTrue="1" operator="greaterThanOrEqual">
      <formula>9000</formula>
    </cfRule>
  </conditionalFormatting>
  <conditionalFormatting sqref="P92:S92">
    <cfRule type="cellIs" dxfId="3875" priority="2065" stopIfTrue="1" operator="lessThanOrEqual">
      <formula>3000</formula>
    </cfRule>
    <cfRule type="cellIs" dxfId="3874" priority="2066" stopIfTrue="1" operator="between">
      <formula>3000</formula>
      <formula>9000</formula>
    </cfRule>
    <cfRule type="cellIs" dxfId="3873" priority="2067" stopIfTrue="1" operator="greaterThanOrEqual">
      <formula>9000</formula>
    </cfRule>
  </conditionalFormatting>
  <conditionalFormatting sqref="J104:M104">
    <cfRule type="cellIs" dxfId="3872" priority="2047" stopIfTrue="1" operator="lessThanOrEqual">
      <formula>3000</formula>
    </cfRule>
    <cfRule type="cellIs" dxfId="3871" priority="2048" stopIfTrue="1" operator="between">
      <formula>3000</formula>
      <formula>9000</formula>
    </cfRule>
    <cfRule type="cellIs" dxfId="3870" priority="2049" stopIfTrue="1" operator="greaterThanOrEqual">
      <formula>9000</formula>
    </cfRule>
  </conditionalFormatting>
  <conditionalFormatting sqref="O98">
    <cfRule type="cellIs" dxfId="3869" priority="2056" stopIfTrue="1" operator="lessThanOrEqual">
      <formula>3000</formula>
    </cfRule>
    <cfRule type="cellIs" dxfId="3868" priority="2057" stopIfTrue="1" operator="between">
      <formula>3000</formula>
      <formula>9000</formula>
    </cfRule>
    <cfRule type="cellIs" dxfId="3867" priority="2058" stopIfTrue="1" operator="greaterThanOrEqual">
      <formula>9000</formula>
    </cfRule>
  </conditionalFormatting>
  <conditionalFormatting sqref="E116:H116">
    <cfRule type="cellIs" dxfId="3866" priority="2038" stopIfTrue="1" operator="lessThanOrEqual">
      <formula>3000</formula>
    </cfRule>
    <cfRule type="cellIs" dxfId="3865" priority="2039" stopIfTrue="1" operator="between">
      <formula>3000</formula>
      <formula>9000</formula>
    </cfRule>
    <cfRule type="cellIs" dxfId="3864" priority="2040" stopIfTrue="1" operator="greaterThanOrEqual">
      <formula>9000</formula>
    </cfRule>
  </conditionalFormatting>
  <conditionalFormatting sqref="E56:H56">
    <cfRule type="cellIs" dxfId="3863" priority="2146" stopIfTrue="1" operator="lessThanOrEqual">
      <formula>3000</formula>
    </cfRule>
    <cfRule type="cellIs" dxfId="3862" priority="2147" stopIfTrue="1" operator="between">
      <formula>3000</formula>
      <formula>9000</formula>
    </cfRule>
    <cfRule type="cellIs" dxfId="3861" priority="2148" stopIfTrue="1" operator="greaterThanOrEqual">
      <formula>9000</formula>
    </cfRule>
  </conditionalFormatting>
  <conditionalFormatting sqref="E128:H128">
    <cfRule type="cellIs" dxfId="3860" priority="2014" stopIfTrue="1" operator="lessThanOrEqual">
      <formula>3000</formula>
    </cfRule>
    <cfRule type="cellIs" dxfId="3859" priority="2015" stopIfTrue="1" operator="between">
      <formula>3000</formula>
      <formula>9000</formula>
    </cfRule>
    <cfRule type="cellIs" dxfId="3858" priority="2016" stopIfTrue="1" operator="greaterThanOrEqual">
      <formula>9000</formula>
    </cfRule>
  </conditionalFormatting>
  <conditionalFormatting sqref="J50:M50">
    <cfRule type="cellIs" dxfId="3857" priority="2155" stopIfTrue="1" operator="lessThanOrEqual">
      <formula>3000</formula>
    </cfRule>
    <cfRule type="cellIs" dxfId="3856" priority="2156" stopIfTrue="1" operator="between">
      <formula>3000</formula>
      <formula>9000</formula>
    </cfRule>
    <cfRule type="cellIs" dxfId="3855" priority="2157" stopIfTrue="1" operator="greaterThanOrEqual">
      <formula>9000</formula>
    </cfRule>
  </conditionalFormatting>
  <conditionalFormatting sqref="P128:S128">
    <cfRule type="cellIs" dxfId="3854" priority="2005" stopIfTrue="1" operator="lessThanOrEqual">
      <formula>3000</formula>
    </cfRule>
    <cfRule type="cellIs" dxfId="3853" priority="2006" stopIfTrue="1" operator="between">
      <formula>3000</formula>
      <formula>9000</formula>
    </cfRule>
    <cfRule type="cellIs" dxfId="3852" priority="2007" stopIfTrue="1" operator="greaterThanOrEqual">
      <formula>9000</formula>
    </cfRule>
  </conditionalFormatting>
  <conditionalFormatting sqref="E92:H92">
    <cfRule type="cellIs" dxfId="3851" priority="2074" stopIfTrue="1" operator="lessThanOrEqual">
      <formula>3000</formula>
    </cfRule>
    <cfRule type="cellIs" dxfId="3850" priority="2075" stopIfTrue="1" operator="between">
      <formula>3000</formula>
      <formula>9000</formula>
    </cfRule>
    <cfRule type="cellIs" dxfId="3849" priority="2076" stopIfTrue="1" operator="greaterThanOrEqual">
      <formula>9000</formula>
    </cfRule>
  </conditionalFormatting>
  <conditionalFormatting sqref="J80:M80">
    <cfRule type="cellIs" dxfId="3848" priority="2095" stopIfTrue="1" operator="lessThanOrEqual">
      <formula>3000</formula>
    </cfRule>
    <cfRule type="cellIs" dxfId="3847" priority="2096" stopIfTrue="1" operator="between">
      <formula>3000</formula>
      <formula>9000</formula>
    </cfRule>
    <cfRule type="cellIs" dxfId="3846" priority="2097" stopIfTrue="1" operator="greaterThanOrEqual">
      <formula>9000</formula>
    </cfRule>
  </conditionalFormatting>
  <conditionalFormatting sqref="O74">
    <cfRule type="cellIs" dxfId="3845" priority="2104" stopIfTrue="1" operator="lessThanOrEqual">
      <formula>3000</formula>
    </cfRule>
    <cfRule type="cellIs" dxfId="3844" priority="2105" stopIfTrue="1" operator="between">
      <formula>3000</formula>
      <formula>9000</formula>
    </cfRule>
    <cfRule type="cellIs" dxfId="3843" priority="2106" stopIfTrue="1" operator="greaterThanOrEqual">
      <formula>9000</formula>
    </cfRule>
  </conditionalFormatting>
  <conditionalFormatting sqref="P38:S38">
    <cfRule type="cellIs" dxfId="3842" priority="2173" stopIfTrue="1" operator="lessThanOrEqual">
      <formula>3000</formula>
    </cfRule>
    <cfRule type="cellIs" dxfId="3841" priority="2174" stopIfTrue="1" operator="between">
      <formula>3000</formula>
      <formula>9000</formula>
    </cfRule>
    <cfRule type="cellIs" dxfId="3840" priority="2175" stopIfTrue="1" operator="greaterThanOrEqual">
      <formula>9000</formula>
    </cfRule>
  </conditionalFormatting>
  <conditionalFormatting sqref="J26:M26">
    <cfRule type="cellIs" dxfId="3839" priority="2359" stopIfTrue="1" operator="lessThanOrEqual">
      <formula>3000</formula>
    </cfRule>
    <cfRule type="cellIs" dxfId="3838" priority="2360" stopIfTrue="1" operator="between">
      <formula>3000</formula>
      <formula>9000</formula>
    </cfRule>
    <cfRule type="cellIs" dxfId="3837" priority="2361" stopIfTrue="1" operator="greaterThanOrEqual">
      <formula>9000</formula>
    </cfRule>
  </conditionalFormatting>
  <conditionalFormatting sqref="O20">
    <cfRule type="cellIs" dxfId="3836" priority="2368" stopIfTrue="1" operator="lessThanOrEqual">
      <formula>3000</formula>
    </cfRule>
    <cfRule type="cellIs" dxfId="3835" priority="2369" stopIfTrue="1" operator="between">
      <formula>3000</formula>
      <formula>9000</formula>
    </cfRule>
    <cfRule type="cellIs" dxfId="3834" priority="2370" stopIfTrue="1" operator="greaterThanOrEqual">
      <formula>9000</formula>
    </cfRule>
  </conditionalFormatting>
  <conditionalFormatting sqref="J14:M14">
    <cfRule type="cellIs" dxfId="3833" priority="2491" stopIfTrue="1" operator="lessThanOrEqual">
      <formula>3000</formula>
    </cfRule>
    <cfRule type="cellIs" dxfId="3832" priority="2492" stopIfTrue="1" operator="between">
      <formula>3000</formula>
      <formula>9000</formula>
    </cfRule>
    <cfRule type="cellIs" dxfId="3831" priority="2493" stopIfTrue="1" operator="greaterThanOrEqual">
      <formula>9000</formula>
    </cfRule>
  </conditionalFormatting>
  <conditionalFormatting sqref="E134:H134">
    <cfRule type="cellIs" dxfId="3830" priority="1930" stopIfTrue="1" operator="lessThanOrEqual">
      <formula>3000</formula>
    </cfRule>
    <cfRule type="cellIs" dxfId="3829" priority="1931" stopIfTrue="1" operator="between">
      <formula>3000</formula>
      <formula>9000</formula>
    </cfRule>
    <cfRule type="cellIs" dxfId="3828" priority="1932" stopIfTrue="1" operator="greaterThanOrEqual">
      <formula>9000</formula>
    </cfRule>
  </conditionalFormatting>
  <conditionalFormatting sqref="E122:H122">
    <cfRule type="cellIs" dxfId="3827" priority="2026" stopIfTrue="1" operator="lessThanOrEqual">
      <formula>3000</formula>
    </cfRule>
    <cfRule type="cellIs" dxfId="3826" priority="2027" stopIfTrue="1" operator="between">
      <formula>3000</formula>
      <formula>9000</formula>
    </cfRule>
    <cfRule type="cellIs" dxfId="3825" priority="2028" stopIfTrue="1" operator="greaterThanOrEqual">
      <formula>9000</formula>
    </cfRule>
  </conditionalFormatting>
  <conditionalFormatting sqref="J116:M116">
    <cfRule type="cellIs" dxfId="3824" priority="2035" stopIfTrue="1" operator="lessThanOrEqual">
      <formula>3000</formula>
    </cfRule>
    <cfRule type="cellIs" dxfId="3823" priority="2036" stopIfTrue="1" operator="between">
      <formula>3000</formula>
      <formula>9000</formula>
    </cfRule>
    <cfRule type="cellIs" dxfId="3822" priority="2037" stopIfTrue="1" operator="greaterThanOrEqual">
      <formula>9000</formula>
    </cfRule>
  </conditionalFormatting>
  <conditionalFormatting sqref="O104">
    <cfRule type="cellIs" dxfId="3821" priority="2044" stopIfTrue="1" operator="lessThanOrEqual">
      <formula>3000</formula>
    </cfRule>
    <cfRule type="cellIs" dxfId="3820" priority="2045" stopIfTrue="1" operator="between">
      <formula>3000</formula>
      <formula>9000</formula>
    </cfRule>
    <cfRule type="cellIs" dxfId="3819" priority="2046" stopIfTrue="1" operator="greaterThanOrEqual">
      <formula>9000</formula>
    </cfRule>
  </conditionalFormatting>
  <conditionalFormatting sqref="P122:S122">
    <cfRule type="cellIs" dxfId="3818" priority="2017" stopIfTrue="1" operator="lessThanOrEqual">
      <formula>3000</formula>
    </cfRule>
    <cfRule type="cellIs" dxfId="3817" priority="2018" stopIfTrue="1" operator="between">
      <formula>3000</formula>
      <formula>9000</formula>
    </cfRule>
    <cfRule type="cellIs" dxfId="3816" priority="2019" stopIfTrue="1" operator="greaterThanOrEqual">
      <formula>9000</formula>
    </cfRule>
  </conditionalFormatting>
  <conditionalFormatting sqref="E200:H200">
    <cfRule type="cellIs" dxfId="3815" priority="1822" stopIfTrue="1" operator="lessThanOrEqual">
      <formula>3000</formula>
    </cfRule>
    <cfRule type="cellIs" dxfId="3814" priority="1823" stopIfTrue="1" operator="between">
      <formula>3000</formula>
      <formula>9000</formula>
    </cfRule>
    <cfRule type="cellIs" dxfId="3813" priority="1824" stopIfTrue="1" operator="greaterThanOrEqual">
      <formula>9000</formula>
    </cfRule>
  </conditionalFormatting>
  <conditionalFormatting sqref="J194:M194">
    <cfRule type="cellIs" dxfId="3812" priority="1831" stopIfTrue="1" operator="lessThanOrEqual">
      <formula>3000</formula>
    </cfRule>
    <cfRule type="cellIs" dxfId="3811" priority="1832" stopIfTrue="1" operator="between">
      <formula>3000</formula>
      <formula>9000</formula>
    </cfRule>
    <cfRule type="cellIs" dxfId="3810" priority="1833" stopIfTrue="1" operator="greaterThanOrEqual">
      <formula>9000</formula>
    </cfRule>
  </conditionalFormatting>
  <conditionalFormatting sqref="O182">
    <cfRule type="cellIs" dxfId="3809" priority="1840" stopIfTrue="1" operator="lessThanOrEqual">
      <formula>3000</formula>
    </cfRule>
    <cfRule type="cellIs" dxfId="3808" priority="1841" stopIfTrue="1" operator="between">
      <formula>3000</formula>
      <formula>9000</formula>
    </cfRule>
    <cfRule type="cellIs" dxfId="3807" priority="1842" stopIfTrue="1" operator="greaterThanOrEqual">
      <formula>9000</formula>
    </cfRule>
  </conditionalFormatting>
  <conditionalFormatting sqref="P176:S176">
    <cfRule type="cellIs" dxfId="3806" priority="1849" stopIfTrue="1" operator="lessThanOrEqual">
      <formula>3000</formula>
    </cfRule>
    <cfRule type="cellIs" dxfId="3805" priority="1850" stopIfTrue="1" operator="between">
      <formula>3000</formula>
      <formula>9000</formula>
    </cfRule>
    <cfRule type="cellIs" dxfId="3804" priority="1851" stopIfTrue="1" operator="greaterThanOrEqual">
      <formula>9000</formula>
    </cfRule>
  </conditionalFormatting>
  <conditionalFormatting sqref="E104:H104">
    <cfRule type="cellIs" dxfId="3803" priority="2050" stopIfTrue="1" operator="lessThanOrEqual">
      <formula>3000</formula>
    </cfRule>
    <cfRule type="cellIs" dxfId="3802" priority="2051" stopIfTrue="1" operator="between">
      <formula>3000</formula>
      <formula>9000</formula>
    </cfRule>
    <cfRule type="cellIs" dxfId="3801" priority="2052" stopIfTrue="1" operator="greaterThanOrEqual">
      <formula>9000</formula>
    </cfRule>
  </conditionalFormatting>
  <conditionalFormatting sqref="J98:M98">
    <cfRule type="cellIs" dxfId="3800" priority="2059" stopIfTrue="1" operator="lessThanOrEqual">
      <formula>3000</formula>
    </cfRule>
    <cfRule type="cellIs" dxfId="3799" priority="2060" stopIfTrue="1" operator="between">
      <formula>3000</formula>
      <formula>9000</formula>
    </cfRule>
    <cfRule type="cellIs" dxfId="3798" priority="2061" stopIfTrue="1" operator="greaterThanOrEqual">
      <formula>9000</formula>
    </cfRule>
  </conditionalFormatting>
  <conditionalFormatting sqref="O92">
    <cfRule type="cellIs" dxfId="3797" priority="2068" stopIfTrue="1" operator="lessThanOrEqual">
      <formula>3000</formula>
    </cfRule>
    <cfRule type="cellIs" dxfId="3796" priority="2069" stopIfTrue="1" operator="between">
      <formula>3000</formula>
      <formula>9000</formula>
    </cfRule>
    <cfRule type="cellIs" dxfId="3795" priority="2070" stopIfTrue="1" operator="greaterThanOrEqual">
      <formula>9000</formula>
    </cfRule>
  </conditionalFormatting>
  <conditionalFormatting sqref="P86:S86">
    <cfRule type="cellIs" dxfId="3794" priority="2077" stopIfTrue="1" operator="lessThanOrEqual">
      <formula>3000</formula>
    </cfRule>
    <cfRule type="cellIs" dxfId="3793" priority="2078" stopIfTrue="1" operator="between">
      <formula>3000</formula>
      <formula>9000</formula>
    </cfRule>
    <cfRule type="cellIs" dxfId="3792" priority="2079" stopIfTrue="1" operator="greaterThanOrEqual">
      <formula>9000</formula>
    </cfRule>
  </conditionalFormatting>
  <conditionalFormatting sqref="E62:H62">
    <cfRule type="cellIs" dxfId="3791" priority="2134" stopIfTrue="1" operator="lessThanOrEqual">
      <formula>3000</formula>
    </cfRule>
    <cfRule type="cellIs" dxfId="3790" priority="2135" stopIfTrue="1" operator="between">
      <formula>3000</formula>
      <formula>9000</formula>
    </cfRule>
    <cfRule type="cellIs" dxfId="3789" priority="2136" stopIfTrue="1" operator="greaterThanOrEqual">
      <formula>9000</formula>
    </cfRule>
  </conditionalFormatting>
  <conditionalFormatting sqref="J56:M56">
    <cfRule type="cellIs" dxfId="3788" priority="2143" stopIfTrue="1" operator="lessThanOrEqual">
      <formula>3000</formula>
    </cfRule>
    <cfRule type="cellIs" dxfId="3787" priority="2144" stopIfTrue="1" operator="between">
      <formula>3000</formula>
      <formula>9000</formula>
    </cfRule>
    <cfRule type="cellIs" dxfId="3786" priority="2145" stopIfTrue="1" operator="greaterThanOrEqual">
      <formula>9000</formula>
    </cfRule>
  </conditionalFormatting>
  <conditionalFormatting sqref="P44:S44">
    <cfRule type="cellIs" dxfId="3785" priority="2161" stopIfTrue="1" operator="lessThanOrEqual">
      <formula>3000</formula>
    </cfRule>
    <cfRule type="cellIs" dxfId="3784" priority="2162" stopIfTrue="1" operator="between">
      <formula>3000</formula>
      <formula>9000</formula>
    </cfRule>
    <cfRule type="cellIs" dxfId="3783" priority="2163" stopIfTrue="1" operator="greaterThanOrEqual">
      <formula>9000</formula>
    </cfRule>
  </conditionalFormatting>
  <conditionalFormatting sqref="P26:S26">
    <cfRule type="cellIs" dxfId="3782" priority="2353" stopIfTrue="1" operator="lessThanOrEqual">
      <formula>3000</formula>
    </cfRule>
    <cfRule type="cellIs" dxfId="3781" priority="2354" stopIfTrue="1" operator="between">
      <formula>3000</formula>
      <formula>9000</formula>
    </cfRule>
    <cfRule type="cellIs" dxfId="3780" priority="2355" stopIfTrue="1" operator="greaterThanOrEqual">
      <formula>9000</formula>
    </cfRule>
  </conditionalFormatting>
  <conditionalFormatting sqref="E14:H14">
    <cfRule type="cellIs" dxfId="3779" priority="2494" stopIfTrue="1" operator="lessThanOrEqual">
      <formula>3000</formula>
    </cfRule>
    <cfRule type="cellIs" dxfId="3778" priority="2495" stopIfTrue="1" operator="between">
      <formula>3000</formula>
      <formula>9000</formula>
    </cfRule>
    <cfRule type="cellIs" dxfId="3777" priority="2496" stopIfTrue="1" operator="greaterThanOrEqual">
      <formula>9000</formula>
    </cfRule>
  </conditionalFormatting>
  <conditionalFormatting sqref="P8:S8">
    <cfRule type="cellIs" dxfId="3776" priority="2521" stopIfTrue="1" operator="lessThanOrEqual">
      <formula>3000</formula>
    </cfRule>
    <cfRule type="cellIs" dxfId="3775" priority="2522" stopIfTrue="1" operator="between">
      <formula>3000</formula>
      <formula>9000</formula>
    </cfRule>
    <cfRule type="cellIs" dxfId="3774" priority="2523" stopIfTrue="1" operator="greaterThanOrEqual">
      <formula>9000</formula>
    </cfRule>
  </conditionalFormatting>
  <conditionalFormatting sqref="E86:H86">
    <cfRule type="cellIs" dxfId="3773" priority="2086" stopIfTrue="1" operator="lessThanOrEqual">
      <formula>3000</formula>
    </cfRule>
    <cfRule type="cellIs" dxfId="3772" priority="2087" stopIfTrue="1" operator="between">
      <formula>3000</formula>
      <formula>9000</formula>
    </cfRule>
    <cfRule type="cellIs" dxfId="3771" priority="2088" stopIfTrue="1" operator="greaterThanOrEqual">
      <formula>9000</formula>
    </cfRule>
  </conditionalFormatting>
  <conditionalFormatting sqref="J86:M86">
    <cfRule type="cellIs" dxfId="3770" priority="2083" stopIfTrue="1" operator="lessThanOrEqual">
      <formula>3000</formula>
    </cfRule>
    <cfRule type="cellIs" dxfId="3769" priority="2084" stopIfTrue="1" operator="between">
      <formula>3000</formula>
      <formula>9000</formula>
    </cfRule>
    <cfRule type="cellIs" dxfId="3768" priority="2085" stopIfTrue="1" operator="greaterThanOrEqual">
      <formula>9000</formula>
    </cfRule>
  </conditionalFormatting>
  <conditionalFormatting sqref="P98:S98">
    <cfRule type="cellIs" dxfId="3767" priority="2053" stopIfTrue="1" operator="lessThanOrEqual">
      <formula>3000</formula>
    </cfRule>
    <cfRule type="cellIs" dxfId="3766" priority="2054" stopIfTrue="1" operator="between">
      <formula>3000</formula>
      <formula>9000</formula>
    </cfRule>
    <cfRule type="cellIs" dxfId="3765" priority="2055" stopIfTrue="1" operator="greaterThanOrEqual">
      <formula>9000</formula>
    </cfRule>
  </conditionalFormatting>
  <conditionalFormatting sqref="E146:H146">
    <cfRule type="cellIs" dxfId="3764" priority="1906" stopIfTrue="1" operator="lessThanOrEqual">
      <formula>3000</formula>
    </cfRule>
    <cfRule type="cellIs" dxfId="3763" priority="1907" stopIfTrue="1" operator="between">
      <formula>3000</formula>
      <formula>9000</formula>
    </cfRule>
    <cfRule type="cellIs" dxfId="3762" priority="1908" stopIfTrue="1" operator="greaterThanOrEqual">
      <formula>9000</formula>
    </cfRule>
  </conditionalFormatting>
  <conditionalFormatting sqref="J140:M140">
    <cfRule type="cellIs" dxfId="3761" priority="1915" stopIfTrue="1" operator="lessThanOrEqual">
      <formula>3000</formula>
    </cfRule>
    <cfRule type="cellIs" dxfId="3760" priority="1916" stopIfTrue="1" operator="between">
      <formula>3000</formula>
      <formula>9000</formula>
    </cfRule>
    <cfRule type="cellIs" dxfId="3759" priority="1917" stopIfTrue="1" operator="greaterThanOrEqual">
      <formula>9000</formula>
    </cfRule>
  </conditionalFormatting>
  <conditionalFormatting sqref="O146">
    <cfRule type="cellIs" dxfId="3758" priority="1900" stopIfTrue="1" operator="lessThanOrEqual">
      <formula>3000</formula>
    </cfRule>
    <cfRule type="cellIs" dxfId="3757" priority="1901" stopIfTrue="1" operator="between">
      <formula>3000</formula>
      <formula>9000</formula>
    </cfRule>
    <cfRule type="cellIs" dxfId="3756" priority="1902" stopIfTrue="1" operator="greaterThanOrEqual">
      <formula>9000</formula>
    </cfRule>
  </conditionalFormatting>
  <conditionalFormatting sqref="P140:S140">
    <cfRule type="cellIs" dxfId="3755" priority="1909" stopIfTrue="1" operator="lessThanOrEqual">
      <formula>3000</formula>
    </cfRule>
    <cfRule type="cellIs" dxfId="3754" priority="1910" stopIfTrue="1" operator="between">
      <formula>3000</formula>
      <formula>9000</formula>
    </cfRule>
    <cfRule type="cellIs" dxfId="3753" priority="1911" stopIfTrue="1" operator="greaterThanOrEqual">
      <formula>9000</formula>
    </cfRule>
  </conditionalFormatting>
  <conditionalFormatting sqref="E224:H224">
    <cfRule type="cellIs" dxfId="3752" priority="1762" stopIfTrue="1" operator="lessThanOrEqual">
      <formula>3000</formula>
    </cfRule>
    <cfRule type="cellIs" dxfId="3751" priority="1763" stopIfTrue="1" operator="between">
      <formula>3000</formula>
      <formula>9000</formula>
    </cfRule>
    <cfRule type="cellIs" dxfId="3750" priority="1764" stopIfTrue="1" operator="greaterThanOrEqual">
      <formula>9000</formula>
    </cfRule>
  </conditionalFormatting>
  <conditionalFormatting sqref="J224:M224">
    <cfRule type="cellIs" dxfId="3749" priority="1759" stopIfTrue="1" operator="lessThanOrEqual">
      <formula>3000</formula>
    </cfRule>
    <cfRule type="cellIs" dxfId="3748" priority="1760" stopIfTrue="1" operator="between">
      <formula>3000</formula>
      <formula>9000</formula>
    </cfRule>
    <cfRule type="cellIs" dxfId="3747" priority="1761" stopIfTrue="1" operator="greaterThanOrEqual">
      <formula>9000</formula>
    </cfRule>
  </conditionalFormatting>
  <conditionalFormatting sqref="O224">
    <cfRule type="cellIs" dxfId="3746" priority="1756" stopIfTrue="1" operator="lessThanOrEqual">
      <formula>3000</formula>
    </cfRule>
    <cfRule type="cellIs" dxfId="3745" priority="1757" stopIfTrue="1" operator="between">
      <formula>3000</formula>
      <formula>9000</formula>
    </cfRule>
    <cfRule type="cellIs" dxfId="3744" priority="1758" stopIfTrue="1" operator="greaterThanOrEqual">
      <formula>9000</formula>
    </cfRule>
  </conditionalFormatting>
  <conditionalFormatting sqref="P224:S224">
    <cfRule type="cellIs" dxfId="3743" priority="1753" stopIfTrue="1" operator="lessThanOrEqual">
      <formula>3000</formula>
    </cfRule>
    <cfRule type="cellIs" dxfId="3742" priority="1754" stopIfTrue="1" operator="between">
      <formula>3000</formula>
      <formula>9000</formula>
    </cfRule>
    <cfRule type="cellIs" dxfId="3741" priority="1755" stopIfTrue="1" operator="greaterThanOrEqual">
      <formula>9000</formula>
    </cfRule>
  </conditionalFormatting>
  <conditionalFormatting sqref="E254:H254">
    <cfRule type="cellIs" dxfId="3740" priority="1714" stopIfTrue="1" operator="lessThanOrEqual">
      <formula>3000</formula>
    </cfRule>
    <cfRule type="cellIs" dxfId="3739" priority="1715" stopIfTrue="1" operator="between">
      <formula>3000</formula>
      <formula>9000</formula>
    </cfRule>
    <cfRule type="cellIs" dxfId="3738" priority="1716" stopIfTrue="1" operator="greaterThanOrEqual">
      <formula>9000</formula>
    </cfRule>
  </conditionalFormatting>
  <conditionalFormatting sqref="J254:M254">
    <cfRule type="cellIs" dxfId="3737" priority="1711" stopIfTrue="1" operator="lessThanOrEqual">
      <formula>3000</formula>
    </cfRule>
    <cfRule type="cellIs" dxfId="3736" priority="1712" stopIfTrue="1" operator="between">
      <formula>3000</formula>
      <formula>9000</formula>
    </cfRule>
    <cfRule type="cellIs" dxfId="3735" priority="1713" stopIfTrue="1" operator="greaterThanOrEqual">
      <formula>9000</formula>
    </cfRule>
  </conditionalFormatting>
  <conditionalFormatting sqref="O254">
    <cfRule type="cellIs" dxfId="3734" priority="1708" stopIfTrue="1" operator="lessThanOrEqual">
      <formula>3000</formula>
    </cfRule>
    <cfRule type="cellIs" dxfId="3733" priority="1709" stopIfTrue="1" operator="between">
      <formula>3000</formula>
      <formula>9000</formula>
    </cfRule>
    <cfRule type="cellIs" dxfId="3732" priority="1710" stopIfTrue="1" operator="greaterThanOrEqual">
      <formula>9000</formula>
    </cfRule>
  </conditionalFormatting>
  <conditionalFormatting sqref="J8:M8">
    <cfRule type="cellIs" dxfId="3731" priority="2527" stopIfTrue="1" operator="lessThanOrEqual">
      <formula>3000</formula>
    </cfRule>
    <cfRule type="cellIs" dxfId="3730" priority="2528" stopIfTrue="1" operator="between">
      <formula>3000</formula>
      <formula>9000</formula>
    </cfRule>
    <cfRule type="cellIs" dxfId="3729" priority="2529" stopIfTrue="1" operator="greaterThanOrEqual">
      <formula>9000</formula>
    </cfRule>
  </conditionalFormatting>
  <conditionalFormatting sqref="O8">
    <cfRule type="cellIs" dxfId="3728" priority="2524" stopIfTrue="1" operator="lessThanOrEqual">
      <formula>3000</formula>
    </cfRule>
    <cfRule type="cellIs" dxfId="3727" priority="2525" stopIfTrue="1" operator="between">
      <formula>3000</formula>
      <formula>9000</formula>
    </cfRule>
    <cfRule type="cellIs" dxfId="3726" priority="2526" stopIfTrue="1" operator="greaterThanOrEqual">
      <formula>9000</formula>
    </cfRule>
  </conditionalFormatting>
  <conditionalFormatting sqref="O14">
    <cfRule type="cellIs" dxfId="3725" priority="2488" stopIfTrue="1" operator="lessThanOrEqual">
      <formula>3000</formula>
    </cfRule>
    <cfRule type="cellIs" dxfId="3724" priority="2489" stopIfTrue="1" operator="between">
      <formula>3000</formula>
      <formula>9000</formula>
    </cfRule>
    <cfRule type="cellIs" dxfId="3723" priority="2490" stopIfTrue="1" operator="greaterThanOrEqual">
      <formula>9000</formula>
    </cfRule>
  </conditionalFormatting>
  <conditionalFormatting sqref="P14:S14">
    <cfRule type="cellIs" dxfId="3722" priority="2485" stopIfTrue="1" operator="lessThanOrEqual">
      <formula>3000</formula>
    </cfRule>
    <cfRule type="cellIs" dxfId="3721" priority="2486" stopIfTrue="1" operator="between">
      <formula>3000</formula>
      <formula>9000</formula>
    </cfRule>
    <cfRule type="cellIs" dxfId="3720" priority="2487" stopIfTrue="1" operator="greaterThanOrEqual">
      <formula>9000</formula>
    </cfRule>
  </conditionalFormatting>
  <conditionalFormatting sqref="E20:H20">
    <cfRule type="cellIs" dxfId="3719" priority="2374" stopIfTrue="1" operator="lessThanOrEqual">
      <formula>3000</formula>
    </cfRule>
    <cfRule type="cellIs" dxfId="3718" priority="2375" stopIfTrue="1" operator="between">
      <formula>3000</formula>
      <formula>9000</formula>
    </cfRule>
    <cfRule type="cellIs" dxfId="3717" priority="2376" stopIfTrue="1" operator="greaterThanOrEqual">
      <formula>9000</formula>
    </cfRule>
  </conditionalFormatting>
  <conditionalFormatting sqref="J20:M20">
    <cfRule type="cellIs" dxfId="3716" priority="2371" stopIfTrue="1" operator="lessThanOrEqual">
      <formula>3000</formula>
    </cfRule>
    <cfRule type="cellIs" dxfId="3715" priority="2372" stopIfTrue="1" operator="between">
      <formula>3000</formula>
      <formula>9000</formula>
    </cfRule>
    <cfRule type="cellIs" dxfId="3714" priority="2373" stopIfTrue="1" operator="greaterThanOrEqual">
      <formula>9000</formula>
    </cfRule>
  </conditionalFormatting>
  <conditionalFormatting sqref="E26:H26">
    <cfRule type="cellIs" dxfId="3713" priority="2362" stopIfTrue="1" operator="lessThanOrEqual">
      <formula>3000</formula>
    </cfRule>
    <cfRule type="cellIs" dxfId="3712" priority="2363" stopIfTrue="1" operator="between">
      <formula>3000</formula>
      <formula>9000</formula>
    </cfRule>
    <cfRule type="cellIs" dxfId="3711" priority="2364" stopIfTrue="1" operator="greaterThanOrEqual">
      <formula>9000</formula>
    </cfRule>
  </conditionalFormatting>
  <conditionalFormatting sqref="P20:S20">
    <cfRule type="cellIs" dxfId="3710" priority="2365" stopIfTrue="1" operator="lessThanOrEqual">
      <formula>3000</formula>
    </cfRule>
    <cfRule type="cellIs" dxfId="3709" priority="2366" stopIfTrue="1" operator="between">
      <formula>3000</formula>
      <formula>9000</formula>
    </cfRule>
    <cfRule type="cellIs" dxfId="3708" priority="2367" stopIfTrue="1" operator="greaterThanOrEqual">
      <formula>9000</formula>
    </cfRule>
  </conditionalFormatting>
  <conditionalFormatting sqref="O26">
    <cfRule type="cellIs" dxfId="3707" priority="2356" stopIfTrue="1" operator="lessThanOrEqual">
      <formula>3000</formula>
    </cfRule>
    <cfRule type="cellIs" dxfId="3706" priority="2357" stopIfTrue="1" operator="between">
      <formula>3000</formula>
      <formula>9000</formula>
    </cfRule>
    <cfRule type="cellIs" dxfId="3705" priority="2358" stopIfTrue="1" operator="greaterThanOrEqual">
      <formula>9000</formula>
    </cfRule>
  </conditionalFormatting>
  <conditionalFormatting sqref="E38:H38">
    <cfRule type="cellIs" dxfId="3704" priority="2182" stopIfTrue="1" operator="lessThanOrEqual">
      <formula>3000</formula>
    </cfRule>
    <cfRule type="cellIs" dxfId="3703" priority="2183" stopIfTrue="1" operator="between">
      <formula>3000</formula>
      <formula>9000</formula>
    </cfRule>
    <cfRule type="cellIs" dxfId="3702" priority="2184" stopIfTrue="1" operator="greaterThanOrEqual">
      <formula>9000</formula>
    </cfRule>
  </conditionalFormatting>
  <conditionalFormatting sqref="J38:M38">
    <cfRule type="cellIs" dxfId="3701" priority="2179" stopIfTrue="1" operator="lessThanOrEqual">
      <formula>3000</formula>
    </cfRule>
    <cfRule type="cellIs" dxfId="3700" priority="2180" stopIfTrue="1" operator="between">
      <formula>3000</formula>
      <formula>9000</formula>
    </cfRule>
    <cfRule type="cellIs" dxfId="3699" priority="2181" stopIfTrue="1" operator="greaterThanOrEqual">
      <formula>9000</formula>
    </cfRule>
  </conditionalFormatting>
  <conditionalFormatting sqref="O38">
    <cfRule type="cellIs" dxfId="3698" priority="2176" stopIfTrue="1" operator="lessThanOrEqual">
      <formula>3000</formula>
    </cfRule>
    <cfRule type="cellIs" dxfId="3697" priority="2177" stopIfTrue="1" operator="between">
      <formula>3000</formula>
      <formula>9000</formula>
    </cfRule>
    <cfRule type="cellIs" dxfId="3696" priority="2178" stopIfTrue="1" operator="greaterThanOrEqual">
      <formula>9000</formula>
    </cfRule>
  </conditionalFormatting>
  <conditionalFormatting sqref="P50:S50">
    <cfRule type="cellIs" dxfId="3695" priority="2149" stopIfTrue="1" operator="lessThanOrEqual">
      <formula>3000</formula>
    </cfRule>
    <cfRule type="cellIs" dxfId="3694" priority="2150" stopIfTrue="1" operator="between">
      <formula>3000</formula>
      <formula>9000</formula>
    </cfRule>
    <cfRule type="cellIs" dxfId="3693" priority="2151" stopIfTrue="1" operator="greaterThanOrEqual">
      <formula>9000</formula>
    </cfRule>
  </conditionalFormatting>
  <conditionalFormatting sqref="E44:H44">
    <cfRule type="cellIs" dxfId="3692" priority="2170" stopIfTrue="1" operator="lessThanOrEqual">
      <formula>3000</formula>
    </cfRule>
    <cfRule type="cellIs" dxfId="3691" priority="2171" stopIfTrue="1" operator="between">
      <formula>3000</formula>
      <formula>9000</formula>
    </cfRule>
    <cfRule type="cellIs" dxfId="3690" priority="2172" stopIfTrue="1" operator="greaterThanOrEqual">
      <formula>9000</formula>
    </cfRule>
  </conditionalFormatting>
  <conditionalFormatting sqref="J44:M44">
    <cfRule type="cellIs" dxfId="3689" priority="2167" stopIfTrue="1" operator="lessThanOrEqual">
      <formula>3000</formula>
    </cfRule>
    <cfRule type="cellIs" dxfId="3688" priority="2168" stopIfTrue="1" operator="between">
      <formula>3000</formula>
      <formula>9000</formula>
    </cfRule>
    <cfRule type="cellIs" dxfId="3687" priority="2169" stopIfTrue="1" operator="greaterThanOrEqual">
      <formula>9000</formula>
    </cfRule>
  </conditionalFormatting>
  <conditionalFormatting sqref="O50">
    <cfRule type="cellIs" dxfId="3686" priority="2152" stopIfTrue="1" operator="lessThanOrEqual">
      <formula>3000</formula>
    </cfRule>
    <cfRule type="cellIs" dxfId="3685" priority="2153" stopIfTrue="1" operator="between">
      <formula>3000</formula>
      <formula>9000</formula>
    </cfRule>
    <cfRule type="cellIs" dxfId="3684" priority="2154" stopIfTrue="1" operator="greaterThanOrEqual">
      <formula>9000</formula>
    </cfRule>
  </conditionalFormatting>
  <conditionalFormatting sqref="P56:S56">
    <cfRule type="cellIs" dxfId="3683" priority="2137" stopIfTrue="1" operator="lessThanOrEqual">
      <formula>3000</formula>
    </cfRule>
    <cfRule type="cellIs" dxfId="3682" priority="2138" stopIfTrue="1" operator="between">
      <formula>3000</formula>
      <formula>9000</formula>
    </cfRule>
    <cfRule type="cellIs" dxfId="3681" priority="2139" stopIfTrue="1" operator="greaterThanOrEqual">
      <formula>9000</formula>
    </cfRule>
  </conditionalFormatting>
  <conditionalFormatting sqref="E50:H50">
    <cfRule type="cellIs" dxfId="3680" priority="2158" stopIfTrue="1" operator="lessThanOrEqual">
      <formula>3000</formula>
    </cfRule>
    <cfRule type="cellIs" dxfId="3679" priority="2159" stopIfTrue="1" operator="between">
      <formula>3000</formula>
      <formula>9000</formula>
    </cfRule>
    <cfRule type="cellIs" dxfId="3678" priority="2160" stopIfTrue="1" operator="greaterThanOrEqual">
      <formula>9000</formula>
    </cfRule>
  </conditionalFormatting>
  <conditionalFormatting sqref="J62:M62">
    <cfRule type="cellIs" dxfId="3677" priority="2131" stopIfTrue="1" operator="lessThanOrEqual">
      <formula>3000</formula>
    </cfRule>
    <cfRule type="cellIs" dxfId="3676" priority="2132" stopIfTrue="1" operator="between">
      <formula>3000</formula>
      <formula>9000</formula>
    </cfRule>
    <cfRule type="cellIs" dxfId="3675" priority="2133" stopIfTrue="1" operator="greaterThanOrEqual">
      <formula>9000</formula>
    </cfRule>
  </conditionalFormatting>
  <conditionalFormatting sqref="O56">
    <cfRule type="cellIs" dxfId="3674" priority="2140" stopIfTrue="1" operator="lessThanOrEqual">
      <formula>3000</formula>
    </cfRule>
    <cfRule type="cellIs" dxfId="3673" priority="2141" stopIfTrue="1" operator="between">
      <formula>3000</formula>
      <formula>9000</formula>
    </cfRule>
    <cfRule type="cellIs" dxfId="3672" priority="2142" stopIfTrue="1" operator="greaterThanOrEqual">
      <formula>9000</formula>
    </cfRule>
  </conditionalFormatting>
  <conditionalFormatting sqref="P62:S62">
    <cfRule type="cellIs" dxfId="3671" priority="2125" stopIfTrue="1" operator="lessThanOrEqual">
      <formula>3000</formula>
    </cfRule>
    <cfRule type="cellIs" dxfId="3670" priority="2126" stopIfTrue="1" operator="between">
      <formula>3000</formula>
      <formula>9000</formula>
    </cfRule>
    <cfRule type="cellIs" dxfId="3669" priority="2127" stopIfTrue="1" operator="greaterThanOrEqual">
      <formula>9000</formula>
    </cfRule>
  </conditionalFormatting>
  <conditionalFormatting sqref="E68:H68">
    <cfRule type="cellIs" dxfId="3668" priority="2122" stopIfTrue="1" operator="lessThanOrEqual">
      <formula>3000</formula>
    </cfRule>
    <cfRule type="cellIs" dxfId="3667" priority="2123" stopIfTrue="1" operator="between">
      <formula>3000</formula>
      <formula>9000</formula>
    </cfRule>
    <cfRule type="cellIs" dxfId="3666" priority="2124" stopIfTrue="1" operator="greaterThanOrEqual">
      <formula>9000</formula>
    </cfRule>
  </conditionalFormatting>
  <conditionalFormatting sqref="J68:M68">
    <cfRule type="cellIs" dxfId="3665" priority="2119" stopIfTrue="1" operator="lessThanOrEqual">
      <formula>3000</formula>
    </cfRule>
    <cfRule type="cellIs" dxfId="3664" priority="2120" stopIfTrue="1" operator="between">
      <formula>3000</formula>
      <formula>9000</formula>
    </cfRule>
    <cfRule type="cellIs" dxfId="3663" priority="2121" stopIfTrue="1" operator="greaterThanOrEqual">
      <formula>9000</formula>
    </cfRule>
  </conditionalFormatting>
  <conditionalFormatting sqref="O62">
    <cfRule type="cellIs" dxfId="3662" priority="2128" stopIfTrue="1" operator="lessThanOrEqual">
      <formula>3000</formula>
    </cfRule>
    <cfRule type="cellIs" dxfId="3661" priority="2129" stopIfTrue="1" operator="between">
      <formula>3000</formula>
      <formula>9000</formula>
    </cfRule>
    <cfRule type="cellIs" dxfId="3660" priority="2130" stopIfTrue="1" operator="greaterThanOrEqual">
      <formula>9000</formula>
    </cfRule>
  </conditionalFormatting>
  <conditionalFormatting sqref="E74:H74">
    <cfRule type="cellIs" dxfId="3659" priority="2110" stopIfTrue="1" operator="lessThanOrEqual">
      <formula>3000</formula>
    </cfRule>
    <cfRule type="cellIs" dxfId="3658" priority="2111" stopIfTrue="1" operator="between">
      <formula>3000</formula>
      <formula>9000</formula>
    </cfRule>
    <cfRule type="cellIs" dxfId="3657" priority="2112" stopIfTrue="1" operator="greaterThanOrEqual">
      <formula>9000</formula>
    </cfRule>
  </conditionalFormatting>
  <conditionalFormatting sqref="J74:M74">
    <cfRule type="cellIs" dxfId="3656" priority="2107" stopIfTrue="1" operator="lessThanOrEqual">
      <formula>3000</formula>
    </cfRule>
    <cfRule type="cellIs" dxfId="3655" priority="2108" stopIfTrue="1" operator="between">
      <formula>3000</formula>
      <formula>9000</formula>
    </cfRule>
    <cfRule type="cellIs" dxfId="3654" priority="2109" stopIfTrue="1" operator="greaterThanOrEqual">
      <formula>9000</formula>
    </cfRule>
  </conditionalFormatting>
  <conditionalFormatting sqref="O68">
    <cfRule type="cellIs" dxfId="3653" priority="2116" stopIfTrue="1" operator="lessThanOrEqual">
      <formula>3000</formula>
    </cfRule>
    <cfRule type="cellIs" dxfId="3652" priority="2117" stopIfTrue="1" operator="between">
      <formula>3000</formula>
      <formula>9000</formula>
    </cfRule>
    <cfRule type="cellIs" dxfId="3651" priority="2118" stopIfTrue="1" operator="greaterThanOrEqual">
      <formula>9000</formula>
    </cfRule>
  </conditionalFormatting>
  <conditionalFormatting sqref="E80:H80">
    <cfRule type="cellIs" dxfId="3650" priority="2098" stopIfTrue="1" operator="lessThanOrEqual">
      <formula>3000</formula>
    </cfRule>
    <cfRule type="cellIs" dxfId="3649" priority="2099" stopIfTrue="1" operator="between">
      <formula>3000</formula>
      <formula>9000</formula>
    </cfRule>
    <cfRule type="cellIs" dxfId="3648" priority="2100" stopIfTrue="1" operator="greaterThanOrEqual">
      <formula>9000</formula>
    </cfRule>
  </conditionalFormatting>
  <conditionalFormatting sqref="P68:S68">
    <cfRule type="cellIs" dxfId="3647" priority="2113" stopIfTrue="1" operator="lessThanOrEqual">
      <formula>3000</formula>
    </cfRule>
    <cfRule type="cellIs" dxfId="3646" priority="2114" stopIfTrue="1" operator="between">
      <formula>3000</formula>
      <formula>9000</formula>
    </cfRule>
    <cfRule type="cellIs" dxfId="3645" priority="2115" stopIfTrue="1" operator="greaterThanOrEqual">
      <formula>9000</formula>
    </cfRule>
  </conditionalFormatting>
  <conditionalFormatting sqref="O80">
    <cfRule type="cellIs" dxfId="3644" priority="2092" stopIfTrue="1" operator="lessThanOrEqual">
      <formula>3000</formula>
    </cfRule>
    <cfRule type="cellIs" dxfId="3643" priority="2093" stopIfTrue="1" operator="between">
      <formula>3000</formula>
      <formula>9000</formula>
    </cfRule>
    <cfRule type="cellIs" dxfId="3642" priority="2094" stopIfTrue="1" operator="greaterThanOrEqual">
      <formula>9000</formula>
    </cfRule>
  </conditionalFormatting>
  <conditionalFormatting sqref="P74:S74">
    <cfRule type="cellIs" dxfId="3641" priority="2101" stopIfTrue="1" operator="lessThanOrEqual">
      <formula>3000</formula>
    </cfRule>
    <cfRule type="cellIs" dxfId="3640" priority="2102" stopIfTrue="1" operator="between">
      <formula>3000</formula>
      <formula>9000</formula>
    </cfRule>
    <cfRule type="cellIs" dxfId="3639" priority="2103" stopIfTrue="1" operator="greaterThanOrEqual">
      <formula>9000</formula>
    </cfRule>
  </conditionalFormatting>
  <conditionalFormatting sqref="J92:M92">
    <cfRule type="cellIs" dxfId="3638" priority="2071" stopIfTrue="1" operator="lessThanOrEqual">
      <formula>3000</formula>
    </cfRule>
    <cfRule type="cellIs" dxfId="3637" priority="2072" stopIfTrue="1" operator="between">
      <formula>3000</formula>
      <formula>9000</formula>
    </cfRule>
    <cfRule type="cellIs" dxfId="3636" priority="2073" stopIfTrue="1" operator="greaterThanOrEqual">
      <formula>9000</formula>
    </cfRule>
  </conditionalFormatting>
  <conditionalFormatting sqref="O86">
    <cfRule type="cellIs" dxfId="3635" priority="2080" stopIfTrue="1" operator="lessThanOrEqual">
      <formula>3000</formula>
    </cfRule>
    <cfRule type="cellIs" dxfId="3634" priority="2081" stopIfTrue="1" operator="between">
      <formula>3000</formula>
      <formula>9000</formula>
    </cfRule>
    <cfRule type="cellIs" dxfId="3633" priority="2082" stopIfTrue="1" operator="greaterThanOrEqual">
      <formula>9000</formula>
    </cfRule>
  </conditionalFormatting>
  <conditionalFormatting sqref="P80:S80">
    <cfRule type="cellIs" dxfId="3632" priority="2089" stopIfTrue="1" operator="lessThanOrEqual">
      <formula>3000</formula>
    </cfRule>
    <cfRule type="cellIs" dxfId="3631" priority="2090" stopIfTrue="1" operator="between">
      <formula>3000</formula>
      <formula>9000</formula>
    </cfRule>
    <cfRule type="cellIs" dxfId="3630" priority="2091" stopIfTrue="1" operator="greaterThanOrEqual">
      <formula>9000</formula>
    </cfRule>
  </conditionalFormatting>
  <conditionalFormatting sqref="E98:H98">
    <cfRule type="cellIs" dxfId="3629" priority="2062" stopIfTrue="1" operator="lessThanOrEqual">
      <formula>3000</formula>
    </cfRule>
    <cfRule type="cellIs" dxfId="3628" priority="2063" stopIfTrue="1" operator="between">
      <formula>3000</formula>
      <formula>9000</formula>
    </cfRule>
    <cfRule type="cellIs" dxfId="3627" priority="2064" stopIfTrue="1" operator="greaterThanOrEqual">
      <formula>9000</formula>
    </cfRule>
  </conditionalFormatting>
  <conditionalFormatting sqref="P104:S104">
    <cfRule type="cellIs" dxfId="3626" priority="2041" stopIfTrue="1" operator="lessThanOrEqual">
      <formula>3000</formula>
    </cfRule>
    <cfRule type="cellIs" dxfId="3625" priority="2042" stopIfTrue="1" operator="between">
      <formula>3000</formula>
      <formula>9000</formula>
    </cfRule>
    <cfRule type="cellIs" dxfId="3624" priority="2043" stopIfTrue="1" operator="greaterThanOrEqual">
      <formula>9000</formula>
    </cfRule>
  </conditionalFormatting>
  <conditionalFormatting sqref="O116">
    <cfRule type="cellIs" dxfId="3623" priority="2032" stopIfTrue="1" operator="lessThanOrEqual">
      <formula>3000</formula>
    </cfRule>
    <cfRule type="cellIs" dxfId="3622" priority="2033" stopIfTrue="1" operator="between">
      <formula>3000</formula>
      <formula>9000</formula>
    </cfRule>
    <cfRule type="cellIs" dxfId="3621" priority="2034" stopIfTrue="1" operator="greaterThanOrEqual">
      <formula>9000</formula>
    </cfRule>
  </conditionalFormatting>
  <conditionalFormatting sqref="P116:S116">
    <cfRule type="cellIs" dxfId="3620" priority="2029" stopIfTrue="1" operator="lessThanOrEqual">
      <formula>3000</formula>
    </cfRule>
    <cfRule type="cellIs" dxfId="3619" priority="2030" stopIfTrue="1" operator="between">
      <formula>3000</formula>
      <formula>9000</formula>
    </cfRule>
    <cfRule type="cellIs" dxfId="3618" priority="2031" stopIfTrue="1" operator="greaterThanOrEqual">
      <formula>9000</formula>
    </cfRule>
  </conditionalFormatting>
  <conditionalFormatting sqref="J122:M122">
    <cfRule type="cellIs" dxfId="3617" priority="2023" stopIfTrue="1" operator="lessThanOrEqual">
      <formula>3000</formula>
    </cfRule>
    <cfRule type="cellIs" dxfId="3616" priority="2024" stopIfTrue="1" operator="between">
      <formula>3000</formula>
      <formula>9000</formula>
    </cfRule>
    <cfRule type="cellIs" dxfId="3615" priority="2025" stopIfTrue="1" operator="greaterThanOrEqual">
      <formula>9000</formula>
    </cfRule>
  </conditionalFormatting>
  <conditionalFormatting sqref="O122">
    <cfRule type="cellIs" dxfId="3614" priority="2020" stopIfTrue="1" operator="lessThanOrEqual">
      <formula>3000</formula>
    </cfRule>
    <cfRule type="cellIs" dxfId="3613" priority="2021" stopIfTrue="1" operator="between">
      <formula>3000</formula>
      <formula>9000</formula>
    </cfRule>
    <cfRule type="cellIs" dxfId="3612" priority="2022" stopIfTrue="1" operator="greaterThanOrEqual">
      <formula>9000</formula>
    </cfRule>
  </conditionalFormatting>
  <conditionalFormatting sqref="J128:M128">
    <cfRule type="cellIs" dxfId="3611" priority="2011" stopIfTrue="1" operator="lessThanOrEqual">
      <formula>3000</formula>
    </cfRule>
    <cfRule type="cellIs" dxfId="3610" priority="2012" stopIfTrue="1" operator="between">
      <formula>3000</formula>
      <formula>9000</formula>
    </cfRule>
    <cfRule type="cellIs" dxfId="3609" priority="2013" stopIfTrue="1" operator="greaterThanOrEqual">
      <formula>9000</formula>
    </cfRule>
  </conditionalFormatting>
  <conditionalFormatting sqref="O128">
    <cfRule type="cellIs" dxfId="3608" priority="2008" stopIfTrue="1" operator="lessThanOrEqual">
      <formula>3000</formula>
    </cfRule>
    <cfRule type="cellIs" dxfId="3607" priority="2009" stopIfTrue="1" operator="between">
      <formula>3000</formula>
      <formula>9000</formula>
    </cfRule>
    <cfRule type="cellIs" dxfId="3606" priority="2010" stopIfTrue="1" operator="greaterThanOrEqual">
      <formula>9000</formula>
    </cfRule>
  </conditionalFormatting>
  <conditionalFormatting sqref="J134:M134">
    <cfRule type="cellIs" dxfId="3605" priority="1927" stopIfTrue="1" operator="lessThanOrEqual">
      <formula>3000</formula>
    </cfRule>
    <cfRule type="cellIs" dxfId="3604" priority="1928" stopIfTrue="1" operator="between">
      <formula>3000</formula>
      <formula>9000</formula>
    </cfRule>
    <cfRule type="cellIs" dxfId="3603" priority="1929" stopIfTrue="1" operator="greaterThanOrEqual">
      <formula>9000</formula>
    </cfRule>
  </conditionalFormatting>
  <conditionalFormatting sqref="E140:H140">
    <cfRule type="cellIs" dxfId="3602" priority="1918" stopIfTrue="1" operator="lessThanOrEqual">
      <formula>3000</formula>
    </cfRule>
    <cfRule type="cellIs" dxfId="3601" priority="1919" stopIfTrue="1" operator="between">
      <formula>3000</formula>
      <formula>9000</formula>
    </cfRule>
    <cfRule type="cellIs" dxfId="3600" priority="1920" stopIfTrue="1" operator="greaterThanOrEqual">
      <formula>9000</formula>
    </cfRule>
  </conditionalFormatting>
  <conditionalFormatting sqref="O134">
    <cfRule type="cellIs" dxfId="3599" priority="1924" stopIfTrue="1" operator="lessThanOrEqual">
      <formula>3000</formula>
    </cfRule>
    <cfRule type="cellIs" dxfId="3598" priority="1925" stopIfTrue="1" operator="between">
      <formula>3000</formula>
      <formula>9000</formula>
    </cfRule>
    <cfRule type="cellIs" dxfId="3597" priority="1926" stopIfTrue="1" operator="greaterThanOrEqual">
      <formula>9000</formula>
    </cfRule>
  </conditionalFormatting>
  <conditionalFormatting sqref="P134:S134">
    <cfRule type="cellIs" dxfId="3596" priority="1921" stopIfTrue="1" operator="lessThanOrEqual">
      <formula>3000</formula>
    </cfRule>
    <cfRule type="cellIs" dxfId="3595" priority="1922" stopIfTrue="1" operator="between">
      <formula>3000</formula>
      <formula>9000</formula>
    </cfRule>
    <cfRule type="cellIs" dxfId="3594" priority="1923" stopIfTrue="1" operator="greaterThanOrEqual">
      <formula>9000</formula>
    </cfRule>
  </conditionalFormatting>
  <conditionalFormatting sqref="J146:M146">
    <cfRule type="cellIs" dxfId="3593" priority="1903" stopIfTrue="1" operator="lessThanOrEqual">
      <formula>3000</formula>
    </cfRule>
    <cfRule type="cellIs" dxfId="3592" priority="1904" stopIfTrue="1" operator="between">
      <formula>3000</formula>
      <formula>9000</formula>
    </cfRule>
    <cfRule type="cellIs" dxfId="3591" priority="1905" stopIfTrue="1" operator="greaterThanOrEqual">
      <formula>9000</formula>
    </cfRule>
  </conditionalFormatting>
  <conditionalFormatting sqref="O140">
    <cfRule type="cellIs" dxfId="3590" priority="1912" stopIfTrue="1" operator="lessThanOrEqual">
      <formula>3000</formula>
    </cfRule>
    <cfRule type="cellIs" dxfId="3589" priority="1913" stopIfTrue="1" operator="between">
      <formula>3000</formula>
      <formula>9000</formula>
    </cfRule>
    <cfRule type="cellIs" dxfId="3588" priority="1914" stopIfTrue="1" operator="greaterThanOrEqual">
      <formula>9000</formula>
    </cfRule>
  </conditionalFormatting>
  <conditionalFormatting sqref="E152:H152">
    <cfRule type="cellIs" dxfId="3587" priority="1894" stopIfTrue="1" operator="lessThanOrEqual">
      <formula>3000</formula>
    </cfRule>
    <cfRule type="cellIs" dxfId="3586" priority="1895" stopIfTrue="1" operator="between">
      <formula>3000</formula>
      <formula>9000</formula>
    </cfRule>
    <cfRule type="cellIs" dxfId="3585" priority="1896" stopIfTrue="1" operator="greaterThanOrEqual">
      <formula>9000</formula>
    </cfRule>
  </conditionalFormatting>
  <conditionalFormatting sqref="J152:M152">
    <cfRule type="cellIs" dxfId="3584" priority="1891" stopIfTrue="1" operator="lessThanOrEqual">
      <formula>3000</formula>
    </cfRule>
    <cfRule type="cellIs" dxfId="3583" priority="1892" stopIfTrue="1" operator="between">
      <formula>3000</formula>
      <formula>9000</formula>
    </cfRule>
    <cfRule type="cellIs" dxfId="3582" priority="1893" stopIfTrue="1" operator="greaterThanOrEqual">
      <formula>9000</formula>
    </cfRule>
  </conditionalFormatting>
  <conditionalFormatting sqref="P146:S146">
    <cfRule type="cellIs" dxfId="3581" priority="1897" stopIfTrue="1" operator="lessThanOrEqual">
      <formula>3000</formula>
    </cfRule>
    <cfRule type="cellIs" dxfId="3580" priority="1898" stopIfTrue="1" operator="between">
      <formula>3000</formula>
      <formula>9000</formula>
    </cfRule>
    <cfRule type="cellIs" dxfId="3579" priority="1899" stopIfTrue="1" operator="greaterThanOrEqual">
      <formula>9000</formula>
    </cfRule>
  </conditionalFormatting>
  <conditionalFormatting sqref="E158:H158">
    <cfRule type="cellIs" dxfId="3578" priority="1882" stopIfTrue="1" operator="lessThanOrEqual">
      <formula>3000</formula>
    </cfRule>
    <cfRule type="cellIs" dxfId="3577" priority="1883" stopIfTrue="1" operator="between">
      <formula>3000</formula>
      <formula>9000</formula>
    </cfRule>
    <cfRule type="cellIs" dxfId="3576" priority="1884" stopIfTrue="1" operator="greaterThanOrEqual">
      <formula>9000</formula>
    </cfRule>
  </conditionalFormatting>
  <conditionalFormatting sqref="O152">
    <cfRule type="cellIs" dxfId="3575" priority="1888" stopIfTrue="1" operator="lessThanOrEqual">
      <formula>3000</formula>
    </cfRule>
    <cfRule type="cellIs" dxfId="3574" priority="1889" stopIfTrue="1" operator="between">
      <formula>3000</formula>
      <formula>9000</formula>
    </cfRule>
    <cfRule type="cellIs" dxfId="3573" priority="1890" stopIfTrue="1" operator="greaterThanOrEqual">
      <formula>9000</formula>
    </cfRule>
  </conditionalFormatting>
  <conditionalFormatting sqref="P152:S152">
    <cfRule type="cellIs" dxfId="3572" priority="1885" stopIfTrue="1" operator="lessThanOrEqual">
      <formula>3000</formula>
    </cfRule>
    <cfRule type="cellIs" dxfId="3571" priority="1886" stopIfTrue="1" operator="between">
      <formula>3000</formula>
      <formula>9000</formula>
    </cfRule>
    <cfRule type="cellIs" dxfId="3570" priority="1887" stopIfTrue="1" operator="greaterThanOrEqual">
      <formula>9000</formula>
    </cfRule>
  </conditionalFormatting>
  <conditionalFormatting sqref="J158:M158">
    <cfRule type="cellIs" dxfId="3569" priority="1879" stopIfTrue="1" operator="lessThanOrEqual">
      <formula>3000</formula>
    </cfRule>
    <cfRule type="cellIs" dxfId="3568" priority="1880" stopIfTrue="1" operator="between">
      <formula>3000</formula>
      <formula>9000</formula>
    </cfRule>
    <cfRule type="cellIs" dxfId="3567" priority="1881" stopIfTrue="1" operator="greaterThanOrEqual">
      <formula>9000</formula>
    </cfRule>
  </conditionalFormatting>
  <conditionalFormatting sqref="O158">
    <cfRule type="cellIs" dxfId="3566" priority="1876" stopIfTrue="1" operator="lessThanOrEqual">
      <formula>3000</formula>
    </cfRule>
    <cfRule type="cellIs" dxfId="3565" priority="1877" stopIfTrue="1" operator="between">
      <formula>3000</formula>
      <formula>9000</formula>
    </cfRule>
    <cfRule type="cellIs" dxfId="3564" priority="1878" stopIfTrue="1" operator="greaterThanOrEqual">
      <formula>9000</formula>
    </cfRule>
  </conditionalFormatting>
  <conditionalFormatting sqref="P158:S158">
    <cfRule type="cellIs" dxfId="3563" priority="1873" stopIfTrue="1" operator="lessThanOrEqual">
      <formula>3000</formula>
    </cfRule>
    <cfRule type="cellIs" dxfId="3562" priority="1874" stopIfTrue="1" operator="between">
      <formula>3000</formula>
      <formula>9000</formula>
    </cfRule>
    <cfRule type="cellIs" dxfId="3561" priority="1875" stopIfTrue="1" operator="greaterThanOrEqual">
      <formula>9000</formula>
    </cfRule>
  </conditionalFormatting>
  <conditionalFormatting sqref="E170:H170">
    <cfRule type="cellIs" dxfId="3560" priority="1870" stopIfTrue="1" operator="lessThanOrEqual">
      <formula>3000</formula>
    </cfRule>
    <cfRule type="cellIs" dxfId="3559" priority="1871" stopIfTrue="1" operator="between">
      <formula>3000</formula>
      <formula>9000</formula>
    </cfRule>
    <cfRule type="cellIs" dxfId="3558" priority="1872" stopIfTrue="1" operator="greaterThanOrEqual">
      <formula>9000</formula>
    </cfRule>
  </conditionalFormatting>
  <conditionalFormatting sqref="J170:M170">
    <cfRule type="cellIs" dxfId="3557" priority="1867" stopIfTrue="1" operator="lessThanOrEqual">
      <formula>3000</formula>
    </cfRule>
    <cfRule type="cellIs" dxfId="3556" priority="1868" stopIfTrue="1" operator="between">
      <formula>3000</formula>
      <formula>9000</formula>
    </cfRule>
    <cfRule type="cellIs" dxfId="3555" priority="1869" stopIfTrue="1" operator="greaterThanOrEqual">
      <formula>9000</formula>
    </cfRule>
  </conditionalFormatting>
  <conditionalFormatting sqref="O170">
    <cfRule type="cellIs" dxfId="3554" priority="1864" stopIfTrue="1" operator="lessThanOrEqual">
      <formula>3000</formula>
    </cfRule>
    <cfRule type="cellIs" dxfId="3553" priority="1865" stopIfTrue="1" operator="between">
      <formula>3000</formula>
      <formula>9000</formula>
    </cfRule>
    <cfRule type="cellIs" dxfId="3552" priority="1866" stopIfTrue="1" operator="greaterThanOrEqual">
      <formula>9000</formula>
    </cfRule>
  </conditionalFormatting>
  <conditionalFormatting sqref="P170:S170">
    <cfRule type="cellIs" dxfId="3551" priority="1861" stopIfTrue="1" operator="lessThanOrEqual">
      <formula>3000</formula>
    </cfRule>
    <cfRule type="cellIs" dxfId="3550" priority="1862" stopIfTrue="1" operator="between">
      <formula>3000</formula>
      <formula>9000</formula>
    </cfRule>
    <cfRule type="cellIs" dxfId="3549" priority="1863" stopIfTrue="1" operator="greaterThanOrEqual">
      <formula>9000</formula>
    </cfRule>
  </conditionalFormatting>
  <conditionalFormatting sqref="E176:H176">
    <cfRule type="cellIs" dxfId="3548" priority="1858" stopIfTrue="1" operator="lessThanOrEqual">
      <formula>3000</formula>
    </cfRule>
    <cfRule type="cellIs" dxfId="3547" priority="1859" stopIfTrue="1" operator="between">
      <formula>3000</formula>
      <formula>9000</formula>
    </cfRule>
    <cfRule type="cellIs" dxfId="3546" priority="1860" stopIfTrue="1" operator="greaterThanOrEqual">
      <formula>9000</formula>
    </cfRule>
  </conditionalFormatting>
  <conditionalFormatting sqref="O176">
    <cfRule type="cellIs" dxfId="3545" priority="1852" stopIfTrue="1" operator="lessThanOrEqual">
      <formula>3000</formula>
    </cfRule>
    <cfRule type="cellIs" dxfId="3544" priority="1853" stopIfTrue="1" operator="between">
      <formula>3000</formula>
      <formula>9000</formula>
    </cfRule>
    <cfRule type="cellIs" dxfId="3543" priority="1854" stopIfTrue="1" operator="greaterThanOrEqual">
      <formula>9000</formula>
    </cfRule>
  </conditionalFormatting>
  <conditionalFormatting sqref="J176:M176">
    <cfRule type="cellIs" dxfId="3542" priority="1855" stopIfTrue="1" operator="lessThanOrEqual">
      <formula>3000</formula>
    </cfRule>
    <cfRule type="cellIs" dxfId="3541" priority="1856" stopIfTrue="1" operator="between">
      <formula>3000</formula>
      <formula>9000</formula>
    </cfRule>
    <cfRule type="cellIs" dxfId="3540" priority="1857" stopIfTrue="1" operator="greaterThanOrEqual">
      <formula>9000</formula>
    </cfRule>
  </conditionalFormatting>
  <conditionalFormatting sqref="P182:S182">
    <cfRule type="cellIs" dxfId="3539" priority="1837" stopIfTrue="1" operator="lessThanOrEqual">
      <formula>3000</formula>
    </cfRule>
    <cfRule type="cellIs" dxfId="3538" priority="1838" stopIfTrue="1" operator="between">
      <formula>3000</formula>
      <formula>9000</formula>
    </cfRule>
    <cfRule type="cellIs" dxfId="3537" priority="1839" stopIfTrue="1" operator="greaterThanOrEqual">
      <formula>9000</formula>
    </cfRule>
  </conditionalFormatting>
  <conditionalFormatting sqref="E182:H182">
    <cfRule type="cellIs" dxfId="3536" priority="1846" stopIfTrue="1" operator="lessThanOrEqual">
      <formula>3000</formula>
    </cfRule>
    <cfRule type="cellIs" dxfId="3535" priority="1847" stopIfTrue="1" operator="between">
      <formula>3000</formula>
      <formula>9000</formula>
    </cfRule>
    <cfRule type="cellIs" dxfId="3534" priority="1848" stopIfTrue="1" operator="greaterThanOrEqual">
      <formula>9000</formula>
    </cfRule>
  </conditionalFormatting>
  <conditionalFormatting sqref="J182:M182">
    <cfRule type="cellIs" dxfId="3533" priority="1843" stopIfTrue="1" operator="lessThanOrEqual">
      <formula>3000</formula>
    </cfRule>
    <cfRule type="cellIs" dxfId="3532" priority="1844" stopIfTrue="1" operator="between">
      <formula>3000</formula>
      <formula>9000</formula>
    </cfRule>
    <cfRule type="cellIs" dxfId="3531" priority="1845" stopIfTrue="1" operator="greaterThanOrEqual">
      <formula>9000</formula>
    </cfRule>
  </conditionalFormatting>
  <conditionalFormatting sqref="O194">
    <cfRule type="cellIs" dxfId="3530" priority="1828" stopIfTrue="1" operator="lessThanOrEqual">
      <formula>3000</formula>
    </cfRule>
    <cfRule type="cellIs" dxfId="3529" priority="1829" stopIfTrue="1" operator="between">
      <formula>3000</formula>
      <formula>9000</formula>
    </cfRule>
    <cfRule type="cellIs" dxfId="3528" priority="1830" stopIfTrue="1" operator="greaterThanOrEqual">
      <formula>9000</formula>
    </cfRule>
  </conditionalFormatting>
  <conditionalFormatting sqref="P194:S194">
    <cfRule type="cellIs" dxfId="3527" priority="1825" stopIfTrue="1" operator="lessThanOrEqual">
      <formula>3000</formula>
    </cfRule>
    <cfRule type="cellIs" dxfId="3526" priority="1826" stopIfTrue="1" operator="between">
      <formula>3000</formula>
      <formula>9000</formula>
    </cfRule>
    <cfRule type="cellIs" dxfId="3525" priority="1827" stopIfTrue="1" operator="greaterThanOrEqual">
      <formula>9000</formula>
    </cfRule>
  </conditionalFormatting>
  <conditionalFormatting sqref="E194:H194">
    <cfRule type="cellIs" dxfId="3524" priority="1834" stopIfTrue="1" operator="lessThanOrEqual">
      <formula>3000</formula>
    </cfRule>
    <cfRule type="cellIs" dxfId="3523" priority="1835" stopIfTrue="1" operator="between">
      <formula>3000</formula>
      <formula>9000</formula>
    </cfRule>
    <cfRule type="cellIs" dxfId="3522" priority="1836" stopIfTrue="1" operator="greaterThanOrEqual">
      <formula>9000</formula>
    </cfRule>
  </conditionalFormatting>
  <conditionalFormatting sqref="J200:M200">
    <cfRule type="cellIs" dxfId="3521" priority="1819" stopIfTrue="1" operator="lessThanOrEqual">
      <formula>3000</formula>
    </cfRule>
    <cfRule type="cellIs" dxfId="3520" priority="1820" stopIfTrue="1" operator="between">
      <formula>3000</formula>
      <formula>9000</formula>
    </cfRule>
    <cfRule type="cellIs" dxfId="3519" priority="1821" stopIfTrue="1" operator="greaterThanOrEqual">
      <formula>9000</formula>
    </cfRule>
  </conditionalFormatting>
  <conditionalFormatting sqref="O200">
    <cfRule type="cellIs" dxfId="3518" priority="1816" stopIfTrue="1" operator="lessThanOrEqual">
      <formula>3000</formula>
    </cfRule>
    <cfRule type="cellIs" dxfId="3517" priority="1817" stopIfTrue="1" operator="between">
      <formula>3000</formula>
      <formula>9000</formula>
    </cfRule>
    <cfRule type="cellIs" dxfId="3516" priority="1818" stopIfTrue="1" operator="greaterThanOrEqual">
      <formula>9000</formula>
    </cfRule>
  </conditionalFormatting>
  <conditionalFormatting sqref="P200:S200">
    <cfRule type="cellIs" dxfId="3515" priority="1813" stopIfTrue="1" operator="lessThanOrEqual">
      <formula>3000</formula>
    </cfRule>
    <cfRule type="cellIs" dxfId="3514" priority="1814" stopIfTrue="1" operator="between">
      <formula>3000</formula>
      <formula>9000</formula>
    </cfRule>
    <cfRule type="cellIs" dxfId="3513" priority="1815" stopIfTrue="1" operator="greaterThanOrEqual">
      <formula>9000</formula>
    </cfRule>
  </conditionalFormatting>
  <conditionalFormatting sqref="E206:H206">
    <cfRule type="cellIs" dxfId="3512" priority="1810" stopIfTrue="1" operator="lessThanOrEqual">
      <formula>3000</formula>
    </cfRule>
    <cfRule type="cellIs" dxfId="3511" priority="1811" stopIfTrue="1" operator="between">
      <formula>3000</formula>
      <formula>9000</formula>
    </cfRule>
    <cfRule type="cellIs" dxfId="3510" priority="1812" stopIfTrue="1" operator="greaterThanOrEqual">
      <formula>9000</formula>
    </cfRule>
  </conditionalFormatting>
  <conditionalFormatting sqref="J206:M206">
    <cfRule type="cellIs" dxfId="3509" priority="1807" stopIfTrue="1" operator="lessThanOrEqual">
      <formula>3000</formula>
    </cfRule>
    <cfRule type="cellIs" dxfId="3508" priority="1808" stopIfTrue="1" operator="between">
      <formula>3000</formula>
      <formula>9000</formula>
    </cfRule>
    <cfRule type="cellIs" dxfId="3507" priority="1809" stopIfTrue="1" operator="greaterThanOrEqual">
      <formula>9000</formula>
    </cfRule>
  </conditionalFormatting>
  <conditionalFormatting sqref="O206">
    <cfRule type="cellIs" dxfId="3506" priority="1804" stopIfTrue="1" operator="lessThanOrEqual">
      <formula>3000</formula>
    </cfRule>
    <cfRule type="cellIs" dxfId="3505" priority="1805" stopIfTrue="1" operator="between">
      <formula>3000</formula>
      <formula>9000</formula>
    </cfRule>
    <cfRule type="cellIs" dxfId="3504" priority="1806" stopIfTrue="1" operator="greaterThanOrEqual">
      <formula>9000</formula>
    </cfRule>
  </conditionalFormatting>
  <conditionalFormatting sqref="P206:S206">
    <cfRule type="cellIs" dxfId="3503" priority="1801" stopIfTrue="1" operator="lessThanOrEqual">
      <formula>3000</formula>
    </cfRule>
    <cfRule type="cellIs" dxfId="3502" priority="1802" stopIfTrue="1" operator="between">
      <formula>3000</formula>
      <formula>9000</formula>
    </cfRule>
    <cfRule type="cellIs" dxfId="3501" priority="1803" stopIfTrue="1" operator="greaterThanOrEqual">
      <formula>9000</formula>
    </cfRule>
  </conditionalFormatting>
  <conditionalFormatting sqref="E212:H212">
    <cfRule type="cellIs" dxfId="3500" priority="1798" stopIfTrue="1" operator="lessThanOrEqual">
      <formula>3000</formula>
    </cfRule>
    <cfRule type="cellIs" dxfId="3499" priority="1799" stopIfTrue="1" operator="between">
      <formula>3000</formula>
      <formula>9000</formula>
    </cfRule>
    <cfRule type="cellIs" dxfId="3498" priority="1800" stopIfTrue="1" operator="greaterThanOrEqual">
      <formula>9000</formula>
    </cfRule>
  </conditionalFormatting>
  <conditionalFormatting sqref="J212:M212">
    <cfRule type="cellIs" dxfId="3497" priority="1795" stopIfTrue="1" operator="lessThanOrEqual">
      <formula>3000</formula>
    </cfRule>
    <cfRule type="cellIs" dxfId="3496" priority="1796" stopIfTrue="1" operator="between">
      <formula>3000</formula>
      <formula>9000</formula>
    </cfRule>
    <cfRule type="cellIs" dxfId="3495" priority="1797" stopIfTrue="1" operator="greaterThanOrEqual">
      <formula>9000</formula>
    </cfRule>
  </conditionalFormatting>
  <conditionalFormatting sqref="O212">
    <cfRule type="cellIs" dxfId="3494" priority="1792" stopIfTrue="1" operator="lessThanOrEqual">
      <formula>3000</formula>
    </cfRule>
    <cfRule type="cellIs" dxfId="3493" priority="1793" stopIfTrue="1" operator="between">
      <formula>3000</formula>
      <formula>9000</formula>
    </cfRule>
    <cfRule type="cellIs" dxfId="3492" priority="1794" stopIfTrue="1" operator="greaterThanOrEqual">
      <formula>9000</formula>
    </cfRule>
  </conditionalFormatting>
  <conditionalFormatting sqref="P212:S212">
    <cfRule type="cellIs" dxfId="3491" priority="1789" stopIfTrue="1" operator="lessThanOrEqual">
      <formula>3000</formula>
    </cfRule>
    <cfRule type="cellIs" dxfId="3490" priority="1790" stopIfTrue="1" operator="between">
      <formula>3000</formula>
      <formula>9000</formula>
    </cfRule>
    <cfRule type="cellIs" dxfId="3489" priority="1791" stopIfTrue="1" operator="greaterThanOrEqual">
      <formula>9000</formula>
    </cfRule>
  </conditionalFormatting>
  <conditionalFormatting sqref="E218:H218">
    <cfRule type="cellIs" dxfId="3488" priority="1774" stopIfTrue="1" operator="lessThanOrEqual">
      <formula>3000</formula>
    </cfRule>
    <cfRule type="cellIs" dxfId="3487" priority="1775" stopIfTrue="1" operator="between">
      <formula>3000</formula>
      <formula>9000</formula>
    </cfRule>
    <cfRule type="cellIs" dxfId="3486" priority="1776" stopIfTrue="1" operator="greaterThanOrEqual">
      <formula>9000</formula>
    </cfRule>
  </conditionalFormatting>
  <conditionalFormatting sqref="J218:M218">
    <cfRule type="cellIs" dxfId="3485" priority="1771" stopIfTrue="1" operator="lessThanOrEqual">
      <formula>3000</formula>
    </cfRule>
    <cfRule type="cellIs" dxfId="3484" priority="1772" stopIfTrue="1" operator="between">
      <formula>3000</formula>
      <formula>9000</formula>
    </cfRule>
    <cfRule type="cellIs" dxfId="3483" priority="1773" stopIfTrue="1" operator="greaterThanOrEqual">
      <formula>9000</formula>
    </cfRule>
  </conditionalFormatting>
  <conditionalFormatting sqref="O218">
    <cfRule type="cellIs" dxfId="3482" priority="1768" stopIfTrue="1" operator="lessThanOrEqual">
      <formula>3000</formula>
    </cfRule>
    <cfRule type="cellIs" dxfId="3481" priority="1769" stopIfTrue="1" operator="between">
      <formula>3000</formula>
      <formula>9000</formula>
    </cfRule>
    <cfRule type="cellIs" dxfId="3480" priority="1770" stopIfTrue="1" operator="greaterThanOrEqual">
      <formula>9000</formula>
    </cfRule>
  </conditionalFormatting>
  <conditionalFormatting sqref="P218:S218">
    <cfRule type="cellIs" dxfId="3479" priority="1765" stopIfTrue="1" operator="lessThanOrEqual">
      <formula>3000</formula>
    </cfRule>
    <cfRule type="cellIs" dxfId="3478" priority="1766" stopIfTrue="1" operator="between">
      <formula>3000</formula>
      <formula>9000</formula>
    </cfRule>
    <cfRule type="cellIs" dxfId="3477" priority="1767" stopIfTrue="1" operator="greaterThanOrEqual">
      <formula>9000</formula>
    </cfRule>
  </conditionalFormatting>
  <conditionalFormatting sqref="E230:H230">
    <cfRule type="cellIs" dxfId="3476" priority="1750" stopIfTrue="1" operator="lessThanOrEqual">
      <formula>3000</formula>
    </cfRule>
    <cfRule type="cellIs" dxfId="3475" priority="1751" stopIfTrue="1" operator="between">
      <formula>3000</formula>
      <formula>9000</formula>
    </cfRule>
    <cfRule type="cellIs" dxfId="3474" priority="1752" stopIfTrue="1" operator="greaterThanOrEqual">
      <formula>9000</formula>
    </cfRule>
  </conditionalFormatting>
  <conditionalFormatting sqref="J230:M230">
    <cfRule type="cellIs" dxfId="3473" priority="1747" stopIfTrue="1" operator="lessThanOrEqual">
      <formula>3000</formula>
    </cfRule>
    <cfRule type="cellIs" dxfId="3472" priority="1748" stopIfTrue="1" operator="between">
      <formula>3000</formula>
      <formula>9000</formula>
    </cfRule>
    <cfRule type="cellIs" dxfId="3471" priority="1749" stopIfTrue="1" operator="greaterThanOrEqual">
      <formula>9000</formula>
    </cfRule>
  </conditionalFormatting>
  <conditionalFormatting sqref="O230">
    <cfRule type="cellIs" dxfId="3470" priority="1744" stopIfTrue="1" operator="lessThanOrEqual">
      <formula>3000</formula>
    </cfRule>
    <cfRule type="cellIs" dxfId="3469" priority="1745" stopIfTrue="1" operator="between">
      <formula>3000</formula>
      <formula>9000</formula>
    </cfRule>
    <cfRule type="cellIs" dxfId="3468" priority="1746" stopIfTrue="1" operator="greaterThanOrEqual">
      <formula>9000</formula>
    </cfRule>
  </conditionalFormatting>
  <conditionalFormatting sqref="P230:S230">
    <cfRule type="cellIs" dxfId="3467" priority="1741" stopIfTrue="1" operator="lessThanOrEqual">
      <formula>3000</formula>
    </cfRule>
    <cfRule type="cellIs" dxfId="3466" priority="1742" stopIfTrue="1" operator="between">
      <formula>3000</formula>
      <formula>9000</formula>
    </cfRule>
    <cfRule type="cellIs" dxfId="3465" priority="1743" stopIfTrue="1" operator="greaterThanOrEqual">
      <formula>9000</formula>
    </cfRule>
  </conditionalFormatting>
  <conditionalFormatting sqref="E242:H242">
    <cfRule type="cellIs" dxfId="3464" priority="1738" stopIfTrue="1" operator="lessThanOrEqual">
      <formula>3000</formula>
    </cfRule>
    <cfRule type="cellIs" dxfId="3463" priority="1739" stopIfTrue="1" operator="between">
      <formula>3000</formula>
      <formula>9000</formula>
    </cfRule>
    <cfRule type="cellIs" dxfId="3462" priority="1740" stopIfTrue="1" operator="greaterThanOrEqual">
      <formula>9000</formula>
    </cfRule>
  </conditionalFormatting>
  <conditionalFormatting sqref="J242:M242">
    <cfRule type="cellIs" dxfId="3461" priority="1735" stopIfTrue="1" operator="lessThanOrEqual">
      <formula>3000</formula>
    </cfRule>
    <cfRule type="cellIs" dxfId="3460" priority="1736" stopIfTrue="1" operator="between">
      <formula>3000</formula>
      <formula>9000</formula>
    </cfRule>
    <cfRule type="cellIs" dxfId="3459" priority="1737" stopIfTrue="1" operator="greaterThanOrEqual">
      <formula>9000</formula>
    </cfRule>
  </conditionalFormatting>
  <conditionalFormatting sqref="O242">
    <cfRule type="cellIs" dxfId="3458" priority="1732" stopIfTrue="1" operator="lessThanOrEqual">
      <formula>3000</formula>
    </cfRule>
    <cfRule type="cellIs" dxfId="3457" priority="1733" stopIfTrue="1" operator="between">
      <formula>3000</formula>
      <formula>9000</formula>
    </cfRule>
    <cfRule type="cellIs" dxfId="3456" priority="1734" stopIfTrue="1" operator="greaterThanOrEqual">
      <formula>9000</formula>
    </cfRule>
  </conditionalFormatting>
  <conditionalFormatting sqref="P242:S242">
    <cfRule type="cellIs" dxfId="3455" priority="1729" stopIfTrue="1" operator="lessThanOrEqual">
      <formula>3000</formula>
    </cfRule>
    <cfRule type="cellIs" dxfId="3454" priority="1730" stopIfTrue="1" operator="between">
      <formula>3000</formula>
      <formula>9000</formula>
    </cfRule>
    <cfRule type="cellIs" dxfId="3453" priority="1731" stopIfTrue="1" operator="greaterThanOrEqual">
      <formula>9000</formula>
    </cfRule>
  </conditionalFormatting>
  <conditionalFormatting sqref="E248:H248">
    <cfRule type="cellIs" dxfId="3452" priority="1726" stopIfTrue="1" operator="lessThanOrEqual">
      <formula>3000</formula>
    </cfRule>
    <cfRule type="cellIs" dxfId="3451" priority="1727" stopIfTrue="1" operator="between">
      <formula>3000</formula>
      <formula>9000</formula>
    </cfRule>
    <cfRule type="cellIs" dxfId="3450" priority="1728" stopIfTrue="1" operator="greaterThanOrEqual">
      <formula>9000</formula>
    </cfRule>
  </conditionalFormatting>
  <conditionalFormatting sqref="J248:M248">
    <cfRule type="cellIs" dxfId="3449" priority="1723" stopIfTrue="1" operator="lessThanOrEqual">
      <formula>3000</formula>
    </cfRule>
    <cfRule type="cellIs" dxfId="3448" priority="1724" stopIfTrue="1" operator="between">
      <formula>3000</formula>
      <formula>9000</formula>
    </cfRule>
    <cfRule type="cellIs" dxfId="3447" priority="1725" stopIfTrue="1" operator="greaterThanOrEqual">
      <formula>9000</formula>
    </cfRule>
  </conditionalFormatting>
  <conditionalFormatting sqref="O248">
    <cfRule type="cellIs" dxfId="3446" priority="1720" stopIfTrue="1" operator="lessThanOrEqual">
      <formula>3000</formula>
    </cfRule>
    <cfRule type="cellIs" dxfId="3445" priority="1721" stopIfTrue="1" operator="between">
      <formula>3000</formula>
      <formula>9000</formula>
    </cfRule>
    <cfRule type="cellIs" dxfId="3444" priority="1722" stopIfTrue="1" operator="greaterThanOrEqual">
      <formula>9000</formula>
    </cfRule>
  </conditionalFormatting>
  <conditionalFormatting sqref="P248:S248">
    <cfRule type="cellIs" dxfId="3443" priority="1717" stopIfTrue="1" operator="lessThanOrEqual">
      <formula>3000</formula>
    </cfRule>
    <cfRule type="cellIs" dxfId="3442" priority="1718" stopIfTrue="1" operator="between">
      <formula>3000</formula>
      <formula>9000</formula>
    </cfRule>
    <cfRule type="cellIs" dxfId="3441" priority="1719" stopIfTrue="1" operator="greaterThanOrEqual">
      <formula>9000</formula>
    </cfRule>
  </conditionalFormatting>
  <conditionalFormatting sqref="P254:S254">
    <cfRule type="cellIs" dxfId="3440" priority="1705" stopIfTrue="1" operator="lessThanOrEqual">
      <formula>3000</formula>
    </cfRule>
    <cfRule type="cellIs" dxfId="3439" priority="1706" stopIfTrue="1" operator="between">
      <formula>3000</formula>
      <formula>9000</formula>
    </cfRule>
    <cfRule type="cellIs" dxfId="3438" priority="1707" stopIfTrue="1" operator="greaterThanOrEqual">
      <formula>9000</formula>
    </cfRule>
  </conditionalFormatting>
  <conditionalFormatting sqref="E260:H260">
    <cfRule type="cellIs" dxfId="3437" priority="1702" stopIfTrue="1" operator="lessThanOrEqual">
      <formula>3000</formula>
    </cfRule>
    <cfRule type="cellIs" dxfId="3436" priority="1703" stopIfTrue="1" operator="between">
      <formula>3000</formula>
      <formula>9000</formula>
    </cfRule>
    <cfRule type="cellIs" dxfId="3435" priority="1704" stopIfTrue="1" operator="greaterThanOrEqual">
      <formula>9000</formula>
    </cfRule>
  </conditionalFormatting>
  <conditionalFormatting sqref="J260:M260">
    <cfRule type="cellIs" dxfId="3434" priority="1699" stopIfTrue="1" operator="lessThanOrEqual">
      <formula>3000</formula>
    </cfRule>
    <cfRule type="cellIs" dxfId="3433" priority="1700" stopIfTrue="1" operator="between">
      <formula>3000</formula>
      <formula>9000</formula>
    </cfRule>
    <cfRule type="cellIs" dxfId="3432" priority="1701" stopIfTrue="1" operator="greaterThanOrEqual">
      <formula>9000</formula>
    </cfRule>
  </conditionalFormatting>
  <conditionalFormatting sqref="O260">
    <cfRule type="cellIs" dxfId="3431" priority="1696" stopIfTrue="1" operator="lessThanOrEqual">
      <formula>3000</formula>
    </cfRule>
    <cfRule type="cellIs" dxfId="3430" priority="1697" stopIfTrue="1" operator="between">
      <formula>3000</formula>
      <formula>9000</formula>
    </cfRule>
    <cfRule type="cellIs" dxfId="3429" priority="1698" stopIfTrue="1" operator="greaterThanOrEqual">
      <formula>9000</formula>
    </cfRule>
  </conditionalFormatting>
  <conditionalFormatting sqref="E266:H266">
    <cfRule type="cellIs" dxfId="3428" priority="1690" stopIfTrue="1" operator="lessThanOrEqual">
      <formula>3000</formula>
    </cfRule>
    <cfRule type="cellIs" dxfId="3427" priority="1691" stopIfTrue="1" operator="between">
      <formula>3000</formula>
      <formula>9000</formula>
    </cfRule>
    <cfRule type="cellIs" dxfId="3426" priority="1692" stopIfTrue="1" operator="greaterThanOrEqual">
      <formula>9000</formula>
    </cfRule>
  </conditionalFormatting>
  <conditionalFormatting sqref="J266:M266">
    <cfRule type="cellIs" dxfId="3425" priority="1687" stopIfTrue="1" operator="lessThanOrEqual">
      <formula>3000</formula>
    </cfRule>
    <cfRule type="cellIs" dxfId="3424" priority="1688" stopIfTrue="1" operator="between">
      <formula>3000</formula>
      <formula>9000</formula>
    </cfRule>
    <cfRule type="cellIs" dxfId="3423" priority="1689" stopIfTrue="1" operator="greaterThanOrEqual">
      <formula>9000</formula>
    </cfRule>
  </conditionalFormatting>
  <conditionalFormatting sqref="O266">
    <cfRule type="cellIs" dxfId="3422" priority="1684" stopIfTrue="1" operator="lessThanOrEqual">
      <formula>3000</formula>
    </cfRule>
    <cfRule type="cellIs" dxfId="3421" priority="1685" stopIfTrue="1" operator="between">
      <formula>3000</formula>
      <formula>9000</formula>
    </cfRule>
    <cfRule type="cellIs" dxfId="3420" priority="1686" stopIfTrue="1" operator="greaterThanOrEqual">
      <formula>9000</formula>
    </cfRule>
  </conditionalFormatting>
  <conditionalFormatting sqref="P260:S260">
    <cfRule type="cellIs" dxfId="3419" priority="1693" stopIfTrue="1" operator="lessThanOrEqual">
      <formula>3000</formula>
    </cfRule>
    <cfRule type="cellIs" dxfId="3418" priority="1694" stopIfTrue="1" operator="between">
      <formula>3000</formula>
      <formula>9000</formula>
    </cfRule>
    <cfRule type="cellIs" dxfId="3417" priority="1695" stopIfTrue="1" operator="greaterThanOrEqual">
      <formula>9000</formula>
    </cfRule>
  </conditionalFormatting>
  <conditionalFormatting sqref="E272:H272">
    <cfRule type="cellIs" dxfId="3416" priority="1678" stopIfTrue="1" operator="lessThanOrEqual">
      <formula>3000</formula>
    </cfRule>
    <cfRule type="cellIs" dxfId="3415" priority="1679" stopIfTrue="1" operator="between">
      <formula>3000</formula>
      <formula>9000</formula>
    </cfRule>
    <cfRule type="cellIs" dxfId="3414" priority="1680" stopIfTrue="1" operator="greaterThanOrEqual">
      <formula>9000</formula>
    </cfRule>
  </conditionalFormatting>
  <conditionalFormatting sqref="J272:M272">
    <cfRule type="cellIs" dxfId="3413" priority="1675" stopIfTrue="1" operator="lessThanOrEqual">
      <formula>3000</formula>
    </cfRule>
    <cfRule type="cellIs" dxfId="3412" priority="1676" stopIfTrue="1" operator="between">
      <formula>3000</formula>
      <formula>9000</formula>
    </cfRule>
    <cfRule type="cellIs" dxfId="3411" priority="1677" stopIfTrue="1" operator="greaterThanOrEqual">
      <formula>9000</formula>
    </cfRule>
  </conditionalFormatting>
  <conditionalFormatting sqref="O272">
    <cfRule type="cellIs" dxfId="3410" priority="1672" stopIfTrue="1" operator="lessThanOrEqual">
      <formula>3000</formula>
    </cfRule>
    <cfRule type="cellIs" dxfId="3409" priority="1673" stopIfTrue="1" operator="between">
      <formula>3000</formula>
      <formula>9000</formula>
    </cfRule>
    <cfRule type="cellIs" dxfId="3408" priority="1674" stopIfTrue="1" operator="greaterThanOrEqual">
      <formula>9000</formula>
    </cfRule>
  </conditionalFormatting>
  <conditionalFormatting sqref="P266:S266">
    <cfRule type="cellIs" dxfId="3407" priority="1681" stopIfTrue="1" operator="lessThanOrEqual">
      <formula>3000</formula>
    </cfRule>
    <cfRule type="cellIs" dxfId="3406" priority="1682" stopIfTrue="1" operator="between">
      <formula>3000</formula>
      <formula>9000</formula>
    </cfRule>
    <cfRule type="cellIs" dxfId="3405" priority="1683" stopIfTrue="1" operator="greaterThanOrEqual">
      <formula>9000</formula>
    </cfRule>
  </conditionalFormatting>
  <conditionalFormatting sqref="E278:H278">
    <cfRule type="cellIs" dxfId="3404" priority="1666" stopIfTrue="1" operator="lessThanOrEqual">
      <formula>3000</formula>
    </cfRule>
    <cfRule type="cellIs" dxfId="3403" priority="1667" stopIfTrue="1" operator="between">
      <formula>3000</formula>
      <formula>9000</formula>
    </cfRule>
    <cfRule type="cellIs" dxfId="3402" priority="1668" stopIfTrue="1" operator="greaterThanOrEqual">
      <formula>9000</formula>
    </cfRule>
  </conditionalFormatting>
  <conditionalFormatting sqref="J278:M278">
    <cfRule type="cellIs" dxfId="3401" priority="1663" stopIfTrue="1" operator="lessThanOrEqual">
      <formula>3000</formula>
    </cfRule>
    <cfRule type="cellIs" dxfId="3400" priority="1664" stopIfTrue="1" operator="between">
      <formula>3000</formula>
      <formula>9000</formula>
    </cfRule>
    <cfRule type="cellIs" dxfId="3399" priority="1665" stopIfTrue="1" operator="greaterThanOrEqual">
      <formula>9000</formula>
    </cfRule>
  </conditionalFormatting>
  <conditionalFormatting sqref="O278">
    <cfRule type="cellIs" dxfId="3398" priority="1660" stopIfTrue="1" operator="lessThanOrEqual">
      <formula>3000</formula>
    </cfRule>
    <cfRule type="cellIs" dxfId="3397" priority="1661" stopIfTrue="1" operator="between">
      <formula>3000</formula>
      <formula>9000</formula>
    </cfRule>
    <cfRule type="cellIs" dxfId="3396" priority="1662" stopIfTrue="1" operator="greaterThanOrEqual">
      <formula>9000</formula>
    </cfRule>
  </conditionalFormatting>
  <conditionalFormatting sqref="P272:S272">
    <cfRule type="cellIs" dxfId="3395" priority="1669" stopIfTrue="1" operator="lessThanOrEqual">
      <formula>3000</formula>
    </cfRule>
    <cfRule type="cellIs" dxfId="3394" priority="1670" stopIfTrue="1" operator="between">
      <formula>3000</formula>
      <formula>9000</formula>
    </cfRule>
    <cfRule type="cellIs" dxfId="3393" priority="1671" stopIfTrue="1" operator="greaterThanOrEqual">
      <formula>9000</formula>
    </cfRule>
  </conditionalFormatting>
  <conditionalFormatting sqref="P278:S278">
    <cfRule type="cellIs" dxfId="3392" priority="1657" stopIfTrue="1" operator="lessThanOrEqual">
      <formula>3000</formula>
    </cfRule>
    <cfRule type="cellIs" dxfId="3391" priority="1658" stopIfTrue="1" operator="between">
      <formula>3000</formula>
      <formula>9000</formula>
    </cfRule>
    <cfRule type="cellIs" dxfId="3390" priority="1659" stopIfTrue="1" operator="greaterThanOrEqual">
      <formula>9000</formula>
    </cfRule>
  </conditionalFormatting>
  <conditionalFormatting sqref="E284:H284">
    <cfRule type="cellIs" dxfId="3389" priority="1654" stopIfTrue="1" operator="lessThanOrEqual">
      <formula>3000</formula>
    </cfRule>
    <cfRule type="cellIs" dxfId="3388" priority="1655" stopIfTrue="1" operator="between">
      <formula>3000</formula>
      <formula>9000</formula>
    </cfRule>
    <cfRule type="cellIs" dxfId="3387" priority="1656" stopIfTrue="1" operator="greaterThanOrEqual">
      <formula>9000</formula>
    </cfRule>
  </conditionalFormatting>
  <conditionalFormatting sqref="J284:M284">
    <cfRule type="cellIs" dxfId="3386" priority="1651" stopIfTrue="1" operator="lessThanOrEqual">
      <formula>3000</formula>
    </cfRule>
    <cfRule type="cellIs" dxfId="3385" priority="1652" stopIfTrue="1" operator="between">
      <formula>3000</formula>
      <formula>9000</formula>
    </cfRule>
    <cfRule type="cellIs" dxfId="3384" priority="1653" stopIfTrue="1" operator="greaterThanOrEqual">
      <formula>9000</formula>
    </cfRule>
  </conditionalFormatting>
  <conditionalFormatting sqref="O284">
    <cfRule type="cellIs" dxfId="3383" priority="1648" stopIfTrue="1" operator="lessThanOrEqual">
      <formula>3000</formula>
    </cfRule>
    <cfRule type="cellIs" dxfId="3382" priority="1649" stopIfTrue="1" operator="between">
      <formula>3000</formula>
      <formula>9000</formula>
    </cfRule>
    <cfRule type="cellIs" dxfId="3381" priority="1650" stopIfTrue="1" operator="greaterThanOrEqual">
      <formula>9000</formula>
    </cfRule>
  </conditionalFormatting>
  <conditionalFormatting sqref="P284:S284">
    <cfRule type="cellIs" dxfId="3380" priority="1645" stopIfTrue="1" operator="lessThanOrEqual">
      <formula>3000</formula>
    </cfRule>
    <cfRule type="cellIs" dxfId="3379" priority="1646" stopIfTrue="1" operator="between">
      <formula>3000</formula>
      <formula>9000</formula>
    </cfRule>
    <cfRule type="cellIs" dxfId="3378" priority="1647" stopIfTrue="1" operator="greaterThanOrEqual">
      <formula>9000</formula>
    </cfRule>
  </conditionalFormatting>
  <conditionalFormatting sqref="E290:H290">
    <cfRule type="cellIs" dxfId="3377" priority="1642" stopIfTrue="1" operator="lessThanOrEqual">
      <formula>3000</formula>
    </cfRule>
    <cfRule type="cellIs" dxfId="3376" priority="1643" stopIfTrue="1" operator="between">
      <formula>3000</formula>
      <formula>9000</formula>
    </cfRule>
    <cfRule type="cellIs" dxfId="3375" priority="1644" stopIfTrue="1" operator="greaterThanOrEqual">
      <formula>9000</formula>
    </cfRule>
  </conditionalFormatting>
  <conditionalFormatting sqref="J290:M290">
    <cfRule type="cellIs" dxfId="3374" priority="1639" stopIfTrue="1" operator="lessThanOrEqual">
      <formula>3000</formula>
    </cfRule>
    <cfRule type="cellIs" dxfId="3373" priority="1640" stopIfTrue="1" operator="between">
      <formula>3000</formula>
      <formula>9000</formula>
    </cfRule>
    <cfRule type="cellIs" dxfId="3372" priority="1641" stopIfTrue="1" operator="greaterThanOrEqual">
      <formula>9000</formula>
    </cfRule>
  </conditionalFormatting>
  <conditionalFormatting sqref="O290">
    <cfRule type="cellIs" dxfId="3371" priority="1636" stopIfTrue="1" operator="lessThanOrEqual">
      <formula>3000</formula>
    </cfRule>
    <cfRule type="cellIs" dxfId="3370" priority="1637" stopIfTrue="1" operator="between">
      <formula>3000</formula>
      <formula>9000</formula>
    </cfRule>
    <cfRule type="cellIs" dxfId="3369" priority="1638" stopIfTrue="1" operator="greaterThanOrEqual">
      <formula>9000</formula>
    </cfRule>
  </conditionalFormatting>
  <conditionalFormatting sqref="P290:S290">
    <cfRule type="cellIs" dxfId="3368" priority="1633" stopIfTrue="1" operator="lessThanOrEqual">
      <formula>3000</formula>
    </cfRule>
    <cfRule type="cellIs" dxfId="3367" priority="1634" stopIfTrue="1" operator="between">
      <formula>3000</formula>
      <formula>9000</formula>
    </cfRule>
    <cfRule type="cellIs" dxfId="3366" priority="1635" stopIfTrue="1" operator="greaterThanOrEqual">
      <formula>9000</formula>
    </cfRule>
  </conditionalFormatting>
  <conditionalFormatting sqref="E296:H296 E164:H164">
    <cfRule type="cellIs" dxfId="3365" priority="1630" stopIfTrue="1" operator="lessThanOrEqual">
      <formula>3000</formula>
    </cfRule>
    <cfRule type="cellIs" dxfId="3364" priority="1631" stopIfTrue="1" operator="between">
      <formula>3000</formula>
      <formula>9000</formula>
    </cfRule>
    <cfRule type="cellIs" dxfId="3363" priority="1632" stopIfTrue="1" operator="greaterThanOrEqual">
      <formula>9000</formula>
    </cfRule>
  </conditionalFormatting>
  <conditionalFormatting sqref="J296:M296 J164:M164">
    <cfRule type="cellIs" dxfId="3362" priority="1627" stopIfTrue="1" operator="lessThanOrEqual">
      <formula>3000</formula>
    </cfRule>
    <cfRule type="cellIs" dxfId="3361" priority="1628" stopIfTrue="1" operator="between">
      <formula>3000</formula>
      <formula>9000</formula>
    </cfRule>
    <cfRule type="cellIs" dxfId="3360" priority="1629" stopIfTrue="1" operator="greaterThanOrEqual">
      <formula>9000</formula>
    </cfRule>
  </conditionalFormatting>
  <conditionalFormatting sqref="O296 O164">
    <cfRule type="cellIs" dxfId="3359" priority="1624" stopIfTrue="1" operator="lessThanOrEqual">
      <formula>3000</formula>
    </cfRule>
    <cfRule type="cellIs" dxfId="3358" priority="1625" stopIfTrue="1" operator="between">
      <formula>3000</formula>
      <formula>9000</formula>
    </cfRule>
    <cfRule type="cellIs" dxfId="3357" priority="1626" stopIfTrue="1" operator="greaterThanOrEqual">
      <formula>9000</formula>
    </cfRule>
  </conditionalFormatting>
  <conditionalFormatting sqref="P296:S296 P164:S164">
    <cfRule type="cellIs" dxfId="3356" priority="1621" stopIfTrue="1" operator="lessThanOrEqual">
      <formula>3000</formula>
    </cfRule>
    <cfRule type="cellIs" dxfId="3355" priority="1622" stopIfTrue="1" operator="between">
      <formula>3000</formula>
      <formula>9000</formula>
    </cfRule>
    <cfRule type="cellIs" dxfId="3354" priority="1623" stopIfTrue="1" operator="greaterThanOrEqual">
      <formula>9000</formula>
    </cfRule>
  </conditionalFormatting>
  <conditionalFormatting sqref="E302:H302">
    <cfRule type="cellIs" dxfId="3353" priority="1618" stopIfTrue="1" operator="lessThanOrEqual">
      <formula>3000</formula>
    </cfRule>
    <cfRule type="cellIs" dxfId="3352" priority="1619" stopIfTrue="1" operator="between">
      <formula>3000</formula>
      <formula>9000</formula>
    </cfRule>
    <cfRule type="cellIs" dxfId="3351" priority="1620" stopIfTrue="1" operator="greaterThanOrEqual">
      <formula>9000</formula>
    </cfRule>
  </conditionalFormatting>
  <conditionalFormatting sqref="J302:M302">
    <cfRule type="cellIs" dxfId="3350" priority="1615" stopIfTrue="1" operator="lessThanOrEqual">
      <formula>3000</formula>
    </cfRule>
    <cfRule type="cellIs" dxfId="3349" priority="1616" stopIfTrue="1" operator="between">
      <formula>3000</formula>
      <formula>9000</formula>
    </cfRule>
    <cfRule type="cellIs" dxfId="3348" priority="1617" stopIfTrue="1" operator="greaterThanOrEqual">
      <formula>9000</formula>
    </cfRule>
  </conditionalFormatting>
  <conditionalFormatting sqref="O302">
    <cfRule type="cellIs" dxfId="3347" priority="1612" stopIfTrue="1" operator="lessThanOrEqual">
      <formula>3000</formula>
    </cfRule>
    <cfRule type="cellIs" dxfId="3346" priority="1613" stopIfTrue="1" operator="between">
      <formula>3000</formula>
      <formula>9000</formula>
    </cfRule>
    <cfRule type="cellIs" dxfId="3345" priority="1614" stopIfTrue="1" operator="greaterThanOrEqual">
      <formula>9000</formula>
    </cfRule>
  </conditionalFormatting>
  <conditionalFormatting sqref="P302:S302">
    <cfRule type="cellIs" dxfId="3344" priority="1609" stopIfTrue="1" operator="lessThanOrEqual">
      <formula>3000</formula>
    </cfRule>
    <cfRule type="cellIs" dxfId="3343" priority="1610" stopIfTrue="1" operator="between">
      <formula>3000</formula>
      <formula>9000</formula>
    </cfRule>
    <cfRule type="cellIs" dxfId="3342" priority="1611" stopIfTrue="1" operator="greaterThanOrEqual">
      <formula>9000</formula>
    </cfRule>
  </conditionalFormatting>
  <conditionalFormatting sqref="J110:M110">
    <cfRule type="cellIs" dxfId="3341" priority="1603" stopIfTrue="1" operator="lessThanOrEqual">
      <formula>3000</formula>
    </cfRule>
    <cfRule type="cellIs" dxfId="3340" priority="1604" stopIfTrue="1" operator="between">
      <formula>3000</formula>
      <formula>9000</formula>
    </cfRule>
    <cfRule type="cellIs" dxfId="3339" priority="1605" stopIfTrue="1" operator="greaterThanOrEqual">
      <formula>9000</formula>
    </cfRule>
  </conditionalFormatting>
  <conditionalFormatting sqref="O110">
    <cfRule type="cellIs" dxfId="3338" priority="1600" stopIfTrue="1" operator="lessThanOrEqual">
      <formula>3000</formula>
    </cfRule>
    <cfRule type="cellIs" dxfId="3337" priority="1601" stopIfTrue="1" operator="between">
      <formula>3000</formula>
      <formula>9000</formula>
    </cfRule>
    <cfRule type="cellIs" dxfId="3336" priority="1602" stopIfTrue="1" operator="greaterThanOrEqual">
      <formula>9000</formula>
    </cfRule>
  </conditionalFormatting>
  <conditionalFormatting sqref="E110:H110">
    <cfRule type="cellIs" dxfId="3335" priority="1606" stopIfTrue="1" operator="lessThanOrEqual">
      <formula>3000</formula>
    </cfRule>
    <cfRule type="cellIs" dxfId="3334" priority="1607" stopIfTrue="1" operator="between">
      <formula>3000</formula>
      <formula>9000</formula>
    </cfRule>
    <cfRule type="cellIs" dxfId="3333" priority="1608" stopIfTrue="1" operator="greaterThanOrEqual">
      <formula>9000</formula>
    </cfRule>
  </conditionalFormatting>
  <conditionalFormatting sqref="P110:S110">
    <cfRule type="cellIs" dxfId="3332" priority="1597" stopIfTrue="1" operator="lessThanOrEqual">
      <formula>3000</formula>
    </cfRule>
    <cfRule type="cellIs" dxfId="3331" priority="1598" stopIfTrue="1" operator="between">
      <formula>3000</formula>
      <formula>9000</formula>
    </cfRule>
    <cfRule type="cellIs" dxfId="3330" priority="1599" stopIfTrue="1" operator="greaterThanOrEqual">
      <formula>9000</formula>
    </cfRule>
  </conditionalFormatting>
  <conditionalFormatting sqref="O188">
    <cfRule type="cellIs" dxfId="3329" priority="1588" stopIfTrue="1" operator="lessThanOrEqual">
      <formula>3000</formula>
    </cfRule>
    <cfRule type="cellIs" dxfId="3328" priority="1589" stopIfTrue="1" operator="between">
      <formula>3000</formula>
      <formula>9000</formula>
    </cfRule>
    <cfRule type="cellIs" dxfId="3327" priority="1590" stopIfTrue="1" operator="greaterThanOrEqual">
      <formula>9000</formula>
    </cfRule>
  </conditionalFormatting>
  <conditionalFormatting sqref="P188:S188">
    <cfRule type="cellIs" dxfId="3326" priority="1585" stopIfTrue="1" operator="lessThanOrEqual">
      <formula>3000</formula>
    </cfRule>
    <cfRule type="cellIs" dxfId="3325" priority="1586" stopIfTrue="1" operator="between">
      <formula>3000</formula>
      <formula>9000</formula>
    </cfRule>
    <cfRule type="cellIs" dxfId="3324" priority="1587" stopIfTrue="1" operator="greaterThanOrEqual">
      <formula>9000</formula>
    </cfRule>
  </conditionalFormatting>
  <conditionalFormatting sqref="E188:H188">
    <cfRule type="cellIs" dxfId="3323" priority="1594" stopIfTrue="1" operator="lessThanOrEqual">
      <formula>3000</formula>
    </cfRule>
    <cfRule type="cellIs" dxfId="3322" priority="1595" stopIfTrue="1" operator="between">
      <formula>3000</formula>
      <formula>9000</formula>
    </cfRule>
    <cfRule type="cellIs" dxfId="3321" priority="1596" stopIfTrue="1" operator="greaterThanOrEqual">
      <formula>9000</formula>
    </cfRule>
  </conditionalFormatting>
  <conditionalFormatting sqref="J188:M188">
    <cfRule type="cellIs" dxfId="3320" priority="1591" stopIfTrue="1" operator="lessThanOrEqual">
      <formula>3000</formula>
    </cfRule>
    <cfRule type="cellIs" dxfId="3319" priority="1592" stopIfTrue="1" operator="between">
      <formula>3000</formula>
      <formula>9000</formula>
    </cfRule>
    <cfRule type="cellIs" dxfId="3318" priority="1593" stopIfTrue="1" operator="greaterThanOrEqual">
      <formula>9000</formula>
    </cfRule>
  </conditionalFormatting>
  <conditionalFormatting sqref="E236:H236">
    <cfRule type="cellIs" dxfId="3317" priority="1582" stopIfTrue="1" operator="lessThanOrEqual">
      <formula>3000</formula>
    </cfRule>
    <cfRule type="cellIs" dxfId="3316" priority="1583" stopIfTrue="1" operator="between">
      <formula>3000</formula>
      <formula>9000</formula>
    </cfRule>
    <cfRule type="cellIs" dxfId="3315" priority="1584" stopIfTrue="1" operator="greaterThanOrEqual">
      <formula>9000</formula>
    </cfRule>
  </conditionalFormatting>
  <conditionalFormatting sqref="J236:M236">
    <cfRule type="cellIs" dxfId="3314" priority="1579" stopIfTrue="1" operator="lessThanOrEqual">
      <formula>3000</formula>
    </cfRule>
    <cfRule type="cellIs" dxfId="3313" priority="1580" stopIfTrue="1" operator="between">
      <formula>3000</formula>
      <formula>9000</formula>
    </cfRule>
    <cfRule type="cellIs" dxfId="3312" priority="1581" stopIfTrue="1" operator="greaterThanOrEqual">
      <formula>9000</formula>
    </cfRule>
  </conditionalFormatting>
  <conditionalFormatting sqref="O236">
    <cfRule type="cellIs" dxfId="3311" priority="1576" stopIfTrue="1" operator="lessThanOrEqual">
      <formula>3000</formula>
    </cfRule>
    <cfRule type="cellIs" dxfId="3310" priority="1577" stopIfTrue="1" operator="between">
      <formula>3000</formula>
      <formula>9000</formula>
    </cfRule>
    <cfRule type="cellIs" dxfId="3309" priority="1578" stopIfTrue="1" operator="greaterThanOrEqual">
      <formula>9000</formula>
    </cfRule>
  </conditionalFormatting>
  <conditionalFormatting sqref="P236:S236">
    <cfRule type="cellIs" dxfId="3308" priority="1573" stopIfTrue="1" operator="lessThanOrEqual">
      <formula>3000</formula>
    </cfRule>
    <cfRule type="cellIs" dxfId="3307" priority="1574" stopIfTrue="1" operator="between">
      <formula>3000</formula>
      <formula>9000</formula>
    </cfRule>
    <cfRule type="cellIs" dxfId="3306" priority="1575" stopIfTrue="1" operator="greaterThanOrEqual">
      <formula>9000</formula>
    </cfRule>
  </conditionalFormatting>
  <conditionalFormatting sqref="E308:H308">
    <cfRule type="cellIs" dxfId="3305" priority="1546" stopIfTrue="1" operator="lessThanOrEqual">
      <formula>3000</formula>
    </cfRule>
    <cfRule type="cellIs" dxfId="3304" priority="1547" stopIfTrue="1" operator="between">
      <formula>3000</formula>
      <formula>9000</formula>
    </cfRule>
    <cfRule type="cellIs" dxfId="3303" priority="1548" stopIfTrue="1" operator="greaterThanOrEqual">
      <formula>9000</formula>
    </cfRule>
  </conditionalFormatting>
  <conditionalFormatting sqref="J308:M308">
    <cfRule type="cellIs" dxfId="3302" priority="1543" stopIfTrue="1" operator="lessThanOrEqual">
      <formula>3000</formula>
    </cfRule>
    <cfRule type="cellIs" dxfId="3301" priority="1544" stopIfTrue="1" operator="between">
      <formula>3000</formula>
      <formula>9000</formula>
    </cfRule>
    <cfRule type="cellIs" dxfId="3300" priority="1545" stopIfTrue="1" operator="greaterThanOrEqual">
      <formula>9000</formula>
    </cfRule>
  </conditionalFormatting>
  <conditionalFormatting sqref="O308">
    <cfRule type="cellIs" dxfId="3299" priority="1540" stopIfTrue="1" operator="lessThanOrEqual">
      <formula>3000</formula>
    </cfRule>
    <cfRule type="cellIs" dxfId="3298" priority="1541" stopIfTrue="1" operator="between">
      <formula>3000</formula>
      <formula>9000</formula>
    </cfRule>
    <cfRule type="cellIs" dxfId="3297" priority="1542" stopIfTrue="1" operator="greaterThanOrEqual">
      <formula>9000</formula>
    </cfRule>
  </conditionalFormatting>
  <conditionalFormatting sqref="P308:S308">
    <cfRule type="cellIs" dxfId="3296" priority="1537" stopIfTrue="1" operator="lessThanOrEqual">
      <formula>3000</formula>
    </cfRule>
    <cfRule type="cellIs" dxfId="3295" priority="1538" stopIfTrue="1" operator="between">
      <formula>3000</formula>
      <formula>9000</formula>
    </cfRule>
    <cfRule type="cellIs" dxfId="3294" priority="1539" stopIfTrue="1" operator="greaterThanOrEqual">
      <formula>9000</formula>
    </cfRule>
  </conditionalFormatting>
  <conditionalFormatting sqref="E314:H314">
    <cfRule type="cellIs" dxfId="3293" priority="1534" stopIfTrue="1" operator="lessThanOrEqual">
      <formula>3000</formula>
    </cfRule>
    <cfRule type="cellIs" dxfId="3292" priority="1535" stopIfTrue="1" operator="between">
      <formula>3000</formula>
      <formula>9000</formula>
    </cfRule>
    <cfRule type="cellIs" dxfId="3291" priority="1536" stopIfTrue="1" operator="greaterThanOrEqual">
      <formula>9000</formula>
    </cfRule>
  </conditionalFormatting>
  <conditionalFormatting sqref="J314:M314">
    <cfRule type="cellIs" dxfId="3290" priority="1531" stopIfTrue="1" operator="lessThanOrEqual">
      <formula>3000</formula>
    </cfRule>
    <cfRule type="cellIs" dxfId="3289" priority="1532" stopIfTrue="1" operator="between">
      <formula>3000</formula>
      <formula>9000</formula>
    </cfRule>
    <cfRule type="cellIs" dxfId="3288" priority="1533" stopIfTrue="1" operator="greaterThanOrEqual">
      <formula>9000</formula>
    </cfRule>
  </conditionalFormatting>
  <conditionalFormatting sqref="O314">
    <cfRule type="cellIs" dxfId="3287" priority="1528" stopIfTrue="1" operator="lessThanOrEqual">
      <formula>3000</formula>
    </cfRule>
    <cfRule type="cellIs" dxfId="3286" priority="1529" stopIfTrue="1" operator="between">
      <formula>3000</formula>
      <formula>9000</formula>
    </cfRule>
    <cfRule type="cellIs" dxfId="3285" priority="1530" stopIfTrue="1" operator="greaterThanOrEqual">
      <formula>9000</formula>
    </cfRule>
  </conditionalFormatting>
  <conditionalFormatting sqref="P314:S314">
    <cfRule type="cellIs" dxfId="3284" priority="1525" stopIfTrue="1" operator="lessThanOrEqual">
      <formula>3000</formula>
    </cfRule>
    <cfRule type="cellIs" dxfId="3283" priority="1526" stopIfTrue="1" operator="between">
      <formula>3000</formula>
      <formula>9000</formula>
    </cfRule>
    <cfRule type="cellIs" dxfId="3282" priority="1527" stopIfTrue="1" operator="greaterThanOrEqual">
      <formula>9000</formula>
    </cfRule>
  </conditionalFormatting>
  <conditionalFormatting sqref="E326:H326">
    <cfRule type="cellIs" dxfId="3281" priority="1522" stopIfTrue="1" operator="lessThanOrEqual">
      <formula>3000</formula>
    </cfRule>
    <cfRule type="cellIs" dxfId="3280" priority="1523" stopIfTrue="1" operator="between">
      <formula>3000</formula>
      <formula>9000</formula>
    </cfRule>
    <cfRule type="cellIs" dxfId="3279" priority="1524" stopIfTrue="1" operator="greaterThanOrEqual">
      <formula>9000</formula>
    </cfRule>
  </conditionalFormatting>
  <conditionalFormatting sqref="J326:M326">
    <cfRule type="cellIs" dxfId="3278" priority="1519" stopIfTrue="1" operator="lessThanOrEqual">
      <formula>3000</formula>
    </cfRule>
    <cfRule type="cellIs" dxfId="3277" priority="1520" stopIfTrue="1" operator="between">
      <formula>3000</formula>
      <formula>9000</formula>
    </cfRule>
    <cfRule type="cellIs" dxfId="3276" priority="1521" stopIfTrue="1" operator="greaterThanOrEqual">
      <formula>9000</formula>
    </cfRule>
  </conditionalFormatting>
  <conditionalFormatting sqref="O326">
    <cfRule type="cellIs" dxfId="3275" priority="1516" stopIfTrue="1" operator="lessThanOrEqual">
      <formula>3000</formula>
    </cfRule>
    <cfRule type="cellIs" dxfId="3274" priority="1517" stopIfTrue="1" operator="between">
      <formula>3000</formula>
      <formula>9000</formula>
    </cfRule>
    <cfRule type="cellIs" dxfId="3273" priority="1518" stopIfTrue="1" operator="greaterThanOrEqual">
      <formula>9000</formula>
    </cfRule>
  </conditionalFormatting>
  <conditionalFormatting sqref="P326:S326">
    <cfRule type="cellIs" dxfId="3272" priority="1513" stopIfTrue="1" operator="lessThanOrEqual">
      <formula>3000</formula>
    </cfRule>
    <cfRule type="cellIs" dxfId="3271" priority="1514" stopIfTrue="1" operator="between">
      <formula>3000</formula>
      <formula>9000</formula>
    </cfRule>
    <cfRule type="cellIs" dxfId="3270" priority="1515" stopIfTrue="1" operator="greaterThanOrEqual">
      <formula>9000</formula>
    </cfRule>
  </conditionalFormatting>
  <conditionalFormatting sqref="E338:H338">
    <cfRule type="cellIs" dxfId="3269" priority="1510" stopIfTrue="1" operator="lessThanOrEqual">
      <formula>3000</formula>
    </cfRule>
    <cfRule type="cellIs" dxfId="3268" priority="1511" stopIfTrue="1" operator="between">
      <formula>3000</formula>
      <formula>9000</formula>
    </cfRule>
    <cfRule type="cellIs" dxfId="3267" priority="1512" stopIfTrue="1" operator="greaterThanOrEqual">
      <formula>9000</formula>
    </cfRule>
  </conditionalFormatting>
  <conditionalFormatting sqref="J338:M338">
    <cfRule type="cellIs" dxfId="3266" priority="1507" stopIfTrue="1" operator="lessThanOrEqual">
      <formula>3000</formula>
    </cfRule>
    <cfRule type="cellIs" dxfId="3265" priority="1508" stopIfTrue="1" operator="between">
      <formula>3000</formula>
      <formula>9000</formula>
    </cfRule>
    <cfRule type="cellIs" dxfId="3264" priority="1509" stopIfTrue="1" operator="greaterThanOrEqual">
      <formula>9000</formula>
    </cfRule>
  </conditionalFormatting>
  <conditionalFormatting sqref="O338">
    <cfRule type="cellIs" dxfId="3263" priority="1504" stopIfTrue="1" operator="lessThanOrEqual">
      <formula>3000</formula>
    </cfRule>
    <cfRule type="cellIs" dxfId="3262" priority="1505" stopIfTrue="1" operator="between">
      <formula>3000</formula>
      <formula>9000</formula>
    </cfRule>
    <cfRule type="cellIs" dxfId="3261" priority="1506" stopIfTrue="1" operator="greaterThanOrEqual">
      <formula>9000</formula>
    </cfRule>
  </conditionalFormatting>
  <conditionalFormatting sqref="P338:S338">
    <cfRule type="cellIs" dxfId="3260" priority="1501" stopIfTrue="1" operator="lessThanOrEqual">
      <formula>3000</formula>
    </cfRule>
    <cfRule type="cellIs" dxfId="3259" priority="1502" stopIfTrue="1" operator="between">
      <formula>3000</formula>
      <formula>9000</formula>
    </cfRule>
    <cfRule type="cellIs" dxfId="3258" priority="1503" stopIfTrue="1" operator="greaterThanOrEqual">
      <formula>9000</formula>
    </cfRule>
  </conditionalFormatting>
  <conditionalFormatting sqref="E344:H344">
    <cfRule type="cellIs" dxfId="3257" priority="1498" stopIfTrue="1" operator="lessThanOrEqual">
      <formula>3000</formula>
    </cfRule>
    <cfRule type="cellIs" dxfId="3256" priority="1499" stopIfTrue="1" operator="between">
      <formula>3000</formula>
      <formula>9000</formula>
    </cfRule>
    <cfRule type="cellIs" dxfId="3255" priority="1500" stopIfTrue="1" operator="greaterThanOrEqual">
      <formula>9000</formula>
    </cfRule>
  </conditionalFormatting>
  <conditionalFormatting sqref="J344:M344">
    <cfRule type="cellIs" dxfId="3254" priority="1495" stopIfTrue="1" operator="lessThanOrEqual">
      <formula>3000</formula>
    </cfRule>
    <cfRule type="cellIs" dxfId="3253" priority="1496" stopIfTrue="1" operator="between">
      <formula>3000</formula>
      <formula>9000</formula>
    </cfRule>
    <cfRule type="cellIs" dxfId="3252" priority="1497" stopIfTrue="1" operator="greaterThanOrEqual">
      <formula>9000</formula>
    </cfRule>
  </conditionalFormatting>
  <conditionalFormatting sqref="O344">
    <cfRule type="cellIs" dxfId="3251" priority="1492" stopIfTrue="1" operator="lessThanOrEqual">
      <formula>3000</formula>
    </cfRule>
    <cfRule type="cellIs" dxfId="3250" priority="1493" stopIfTrue="1" operator="between">
      <formula>3000</formula>
      <formula>9000</formula>
    </cfRule>
    <cfRule type="cellIs" dxfId="3249" priority="1494" stopIfTrue="1" operator="greaterThanOrEqual">
      <formula>9000</formula>
    </cfRule>
  </conditionalFormatting>
  <conditionalFormatting sqref="P344:S344">
    <cfRule type="cellIs" dxfId="3248" priority="1489" stopIfTrue="1" operator="lessThanOrEqual">
      <formula>3000</formula>
    </cfRule>
    <cfRule type="cellIs" dxfId="3247" priority="1490" stopIfTrue="1" operator="between">
      <formula>3000</formula>
      <formula>9000</formula>
    </cfRule>
    <cfRule type="cellIs" dxfId="3246" priority="1491" stopIfTrue="1" operator="greaterThanOrEqual">
      <formula>9000</formula>
    </cfRule>
  </conditionalFormatting>
  <conditionalFormatting sqref="AA32:AD32">
    <cfRule type="cellIs" dxfId="3245" priority="1477" stopIfTrue="1" operator="lessThanOrEqual">
      <formula>3000</formula>
    </cfRule>
    <cfRule type="cellIs" dxfId="3244" priority="1478" stopIfTrue="1" operator="between">
      <formula>3000</formula>
      <formula>9000</formula>
    </cfRule>
    <cfRule type="cellIs" dxfId="3243" priority="1479" stopIfTrue="1" operator="greaterThanOrEqual">
      <formula>9000</formula>
    </cfRule>
  </conditionalFormatting>
  <conditionalFormatting sqref="AF32:AJ32">
    <cfRule type="cellIs" dxfId="3242" priority="1474" stopIfTrue="1" operator="lessThanOrEqual">
      <formula>3000</formula>
    </cfRule>
    <cfRule type="cellIs" dxfId="3241" priority="1475" stopIfTrue="1" operator="between">
      <formula>3000</formula>
      <formula>9000</formula>
    </cfRule>
    <cfRule type="cellIs" dxfId="3240" priority="1476" stopIfTrue="1" operator="greaterThanOrEqual">
      <formula>9000</formula>
    </cfRule>
  </conditionalFormatting>
  <conditionalFormatting sqref="V32:Y32">
    <cfRule type="cellIs" dxfId="3239" priority="1471" stopIfTrue="1" operator="lessThanOrEqual">
      <formula>3000</formula>
    </cfRule>
    <cfRule type="cellIs" dxfId="3238" priority="1472" stopIfTrue="1" operator="between">
      <formula>3000</formula>
      <formula>9000</formula>
    </cfRule>
    <cfRule type="cellIs" dxfId="3237" priority="1473" stopIfTrue="1" operator="greaterThanOrEqual">
      <formula>9000</formula>
    </cfRule>
  </conditionalFormatting>
  <conditionalFormatting sqref="V8:Y8">
    <cfRule type="cellIs" dxfId="3236" priority="1393" stopIfTrue="1" operator="lessThanOrEqual">
      <formula>3000</formula>
    </cfRule>
    <cfRule type="cellIs" dxfId="3235" priority="1394" stopIfTrue="1" operator="between">
      <formula>3000</formula>
      <formula>9000</formula>
    </cfRule>
    <cfRule type="cellIs" dxfId="3234" priority="1395" stopIfTrue="1" operator="greaterThanOrEqual">
      <formula>9000</formula>
    </cfRule>
  </conditionalFormatting>
  <conditionalFormatting sqref="AF44">
    <cfRule type="cellIs" dxfId="3233" priority="1027" stopIfTrue="1" operator="lessThanOrEqual">
      <formula>3000</formula>
    </cfRule>
    <cfRule type="cellIs" dxfId="3232" priority="1028" stopIfTrue="1" operator="between">
      <formula>3000</formula>
      <formula>9000</formula>
    </cfRule>
    <cfRule type="cellIs" dxfId="3231" priority="1029" stopIfTrue="1" operator="greaterThanOrEqual">
      <formula>9000</formula>
    </cfRule>
  </conditionalFormatting>
  <conditionalFormatting sqref="AG92:AJ92">
    <cfRule type="cellIs" dxfId="3230" priority="928" stopIfTrue="1" operator="lessThanOrEqual">
      <formula>3000</formula>
    </cfRule>
    <cfRule type="cellIs" dxfId="3229" priority="929" stopIfTrue="1" operator="between">
      <formula>3000</formula>
      <formula>9000</formula>
    </cfRule>
    <cfRule type="cellIs" dxfId="3228" priority="930" stopIfTrue="1" operator="greaterThanOrEqual">
      <formula>9000</formula>
    </cfRule>
  </conditionalFormatting>
  <conditionalFormatting sqref="AA104:AD104">
    <cfRule type="cellIs" dxfId="3227" priority="910" stopIfTrue="1" operator="lessThanOrEqual">
      <formula>3000</formula>
    </cfRule>
    <cfRule type="cellIs" dxfId="3226" priority="911" stopIfTrue="1" operator="between">
      <formula>3000</formula>
      <formula>9000</formula>
    </cfRule>
    <cfRule type="cellIs" dxfId="3225" priority="912" stopIfTrue="1" operator="greaterThanOrEqual">
      <formula>9000</formula>
    </cfRule>
  </conditionalFormatting>
  <conditionalFormatting sqref="AF98">
    <cfRule type="cellIs" dxfId="3224" priority="919" stopIfTrue="1" operator="lessThanOrEqual">
      <formula>3000</formula>
    </cfRule>
    <cfRule type="cellIs" dxfId="3223" priority="920" stopIfTrue="1" operator="between">
      <formula>3000</formula>
      <formula>9000</formula>
    </cfRule>
    <cfRule type="cellIs" dxfId="3222" priority="921" stopIfTrue="1" operator="greaterThanOrEqual">
      <formula>9000</formula>
    </cfRule>
  </conditionalFormatting>
  <conditionalFormatting sqref="V116:Y116">
    <cfRule type="cellIs" dxfId="3221" priority="901" stopIfTrue="1" operator="lessThanOrEqual">
      <formula>3000</formula>
    </cfRule>
    <cfRule type="cellIs" dxfId="3220" priority="902" stopIfTrue="1" operator="between">
      <formula>3000</formula>
      <formula>9000</formula>
    </cfRule>
    <cfRule type="cellIs" dxfId="3219" priority="903" stopIfTrue="1" operator="greaterThanOrEqual">
      <formula>9000</formula>
    </cfRule>
  </conditionalFormatting>
  <conditionalFormatting sqref="V56:Y56">
    <cfRule type="cellIs" dxfId="3218" priority="1009" stopIfTrue="1" operator="lessThanOrEqual">
      <formula>3000</formula>
    </cfRule>
    <cfRule type="cellIs" dxfId="3217" priority="1010" stopIfTrue="1" operator="between">
      <formula>3000</formula>
      <formula>9000</formula>
    </cfRule>
    <cfRule type="cellIs" dxfId="3216" priority="1011" stopIfTrue="1" operator="greaterThanOrEqual">
      <formula>9000</formula>
    </cfRule>
  </conditionalFormatting>
  <conditionalFormatting sqref="V128:Y128">
    <cfRule type="cellIs" dxfId="3215" priority="877" stopIfTrue="1" operator="lessThanOrEqual">
      <formula>3000</formula>
    </cfRule>
    <cfRule type="cellIs" dxfId="3214" priority="878" stopIfTrue="1" operator="between">
      <formula>3000</formula>
      <formula>9000</formula>
    </cfRule>
    <cfRule type="cellIs" dxfId="3213" priority="879" stopIfTrue="1" operator="greaterThanOrEqual">
      <formula>9000</formula>
    </cfRule>
  </conditionalFormatting>
  <conditionalFormatting sqref="AA50:AD50">
    <cfRule type="cellIs" dxfId="3212" priority="1018" stopIfTrue="1" operator="lessThanOrEqual">
      <formula>3000</formula>
    </cfRule>
    <cfRule type="cellIs" dxfId="3211" priority="1019" stopIfTrue="1" operator="between">
      <formula>3000</formula>
      <formula>9000</formula>
    </cfRule>
    <cfRule type="cellIs" dxfId="3210" priority="1020" stopIfTrue="1" operator="greaterThanOrEqual">
      <formula>9000</formula>
    </cfRule>
  </conditionalFormatting>
  <conditionalFormatting sqref="AG128:AJ128">
    <cfRule type="cellIs" dxfId="3209" priority="868" stopIfTrue="1" operator="lessThanOrEqual">
      <formula>3000</formula>
    </cfRule>
    <cfRule type="cellIs" dxfId="3208" priority="869" stopIfTrue="1" operator="between">
      <formula>3000</formula>
      <formula>9000</formula>
    </cfRule>
    <cfRule type="cellIs" dxfId="3207" priority="870" stopIfTrue="1" operator="greaterThanOrEqual">
      <formula>9000</formula>
    </cfRule>
  </conditionalFormatting>
  <conditionalFormatting sqref="V92:Y92">
    <cfRule type="cellIs" dxfId="3206" priority="937" stopIfTrue="1" operator="lessThanOrEqual">
      <formula>3000</formula>
    </cfRule>
    <cfRule type="cellIs" dxfId="3205" priority="938" stopIfTrue="1" operator="between">
      <formula>3000</formula>
      <formula>9000</formula>
    </cfRule>
    <cfRule type="cellIs" dxfId="3204" priority="939" stopIfTrue="1" operator="greaterThanOrEqual">
      <formula>9000</formula>
    </cfRule>
  </conditionalFormatting>
  <conditionalFormatting sqref="AA80:AD80">
    <cfRule type="cellIs" dxfId="3203" priority="958" stopIfTrue="1" operator="lessThanOrEqual">
      <formula>3000</formula>
    </cfRule>
    <cfRule type="cellIs" dxfId="3202" priority="959" stopIfTrue="1" operator="between">
      <formula>3000</formula>
      <formula>9000</formula>
    </cfRule>
    <cfRule type="cellIs" dxfId="3201" priority="960" stopIfTrue="1" operator="greaterThanOrEqual">
      <formula>9000</formula>
    </cfRule>
  </conditionalFormatting>
  <conditionalFormatting sqref="AF74">
    <cfRule type="cellIs" dxfId="3200" priority="967" stopIfTrue="1" operator="lessThanOrEqual">
      <formula>3000</formula>
    </cfRule>
    <cfRule type="cellIs" dxfId="3199" priority="968" stopIfTrue="1" operator="between">
      <formula>3000</formula>
      <formula>9000</formula>
    </cfRule>
    <cfRule type="cellIs" dxfId="3198" priority="969" stopIfTrue="1" operator="greaterThanOrEqual">
      <formula>9000</formula>
    </cfRule>
  </conditionalFormatting>
  <conditionalFormatting sqref="AG38:AJ38">
    <cfRule type="cellIs" dxfId="3197" priority="1036" stopIfTrue="1" operator="lessThanOrEqual">
      <formula>3000</formula>
    </cfRule>
    <cfRule type="cellIs" dxfId="3196" priority="1037" stopIfTrue="1" operator="between">
      <formula>3000</formula>
      <formula>9000</formula>
    </cfRule>
    <cfRule type="cellIs" dxfId="3195" priority="1038" stopIfTrue="1" operator="greaterThanOrEqual">
      <formula>9000</formula>
    </cfRule>
  </conditionalFormatting>
  <conditionalFormatting sqref="AA26:AD26">
    <cfRule type="cellIs" dxfId="3194" priority="1222" stopIfTrue="1" operator="lessThanOrEqual">
      <formula>3000</formula>
    </cfRule>
    <cfRule type="cellIs" dxfId="3193" priority="1223" stopIfTrue="1" operator="between">
      <formula>3000</formula>
      <formula>9000</formula>
    </cfRule>
    <cfRule type="cellIs" dxfId="3192" priority="1224" stopIfTrue="1" operator="greaterThanOrEqual">
      <formula>9000</formula>
    </cfRule>
  </conditionalFormatting>
  <conditionalFormatting sqref="AF20">
    <cfRule type="cellIs" dxfId="3191" priority="1231" stopIfTrue="1" operator="lessThanOrEqual">
      <formula>3000</formula>
    </cfRule>
    <cfRule type="cellIs" dxfId="3190" priority="1232" stopIfTrue="1" operator="between">
      <formula>3000</formula>
      <formula>9000</formula>
    </cfRule>
    <cfRule type="cellIs" dxfId="3189" priority="1233" stopIfTrue="1" operator="greaterThanOrEqual">
      <formula>9000</formula>
    </cfRule>
  </conditionalFormatting>
  <conditionalFormatting sqref="AA14:AD14">
    <cfRule type="cellIs" dxfId="3188" priority="1354" stopIfTrue="1" operator="lessThanOrEqual">
      <formula>3000</formula>
    </cfRule>
    <cfRule type="cellIs" dxfId="3187" priority="1355" stopIfTrue="1" operator="between">
      <formula>3000</formula>
      <formula>9000</formula>
    </cfRule>
    <cfRule type="cellIs" dxfId="3186" priority="1356" stopIfTrue="1" operator="greaterThanOrEqual">
      <formula>9000</formula>
    </cfRule>
  </conditionalFormatting>
  <conditionalFormatting sqref="V134:Y134">
    <cfRule type="cellIs" dxfId="3185" priority="793" stopIfTrue="1" operator="lessThanOrEqual">
      <formula>3000</formula>
    </cfRule>
    <cfRule type="cellIs" dxfId="3184" priority="794" stopIfTrue="1" operator="between">
      <formula>3000</formula>
      <formula>9000</formula>
    </cfRule>
    <cfRule type="cellIs" dxfId="3183" priority="795" stopIfTrue="1" operator="greaterThanOrEqual">
      <formula>9000</formula>
    </cfRule>
  </conditionalFormatting>
  <conditionalFormatting sqref="V122:Y122">
    <cfRule type="cellIs" dxfId="3182" priority="889" stopIfTrue="1" operator="lessThanOrEqual">
      <formula>3000</formula>
    </cfRule>
    <cfRule type="cellIs" dxfId="3181" priority="890" stopIfTrue="1" operator="between">
      <formula>3000</formula>
      <formula>9000</formula>
    </cfRule>
    <cfRule type="cellIs" dxfId="3180" priority="891" stopIfTrue="1" operator="greaterThanOrEqual">
      <formula>9000</formula>
    </cfRule>
  </conditionalFormatting>
  <conditionalFormatting sqref="AA116:AD116">
    <cfRule type="cellIs" dxfId="3179" priority="898" stopIfTrue="1" operator="lessThanOrEqual">
      <formula>3000</formula>
    </cfRule>
    <cfRule type="cellIs" dxfId="3178" priority="899" stopIfTrue="1" operator="between">
      <formula>3000</formula>
      <formula>9000</formula>
    </cfRule>
    <cfRule type="cellIs" dxfId="3177" priority="900" stopIfTrue="1" operator="greaterThanOrEqual">
      <formula>9000</formula>
    </cfRule>
  </conditionalFormatting>
  <conditionalFormatting sqref="AF104">
    <cfRule type="cellIs" dxfId="3176" priority="907" stopIfTrue="1" operator="lessThanOrEqual">
      <formula>3000</formula>
    </cfRule>
    <cfRule type="cellIs" dxfId="3175" priority="908" stopIfTrue="1" operator="between">
      <formula>3000</formula>
      <formula>9000</formula>
    </cfRule>
    <cfRule type="cellIs" dxfId="3174" priority="909" stopIfTrue="1" operator="greaterThanOrEqual">
      <formula>9000</formula>
    </cfRule>
  </conditionalFormatting>
  <conditionalFormatting sqref="AG122:AJ122">
    <cfRule type="cellIs" dxfId="3173" priority="880" stopIfTrue="1" operator="lessThanOrEqual">
      <formula>3000</formula>
    </cfRule>
    <cfRule type="cellIs" dxfId="3172" priority="881" stopIfTrue="1" operator="between">
      <formula>3000</formula>
      <formula>9000</formula>
    </cfRule>
    <cfRule type="cellIs" dxfId="3171" priority="882" stopIfTrue="1" operator="greaterThanOrEqual">
      <formula>9000</formula>
    </cfRule>
  </conditionalFormatting>
  <conditionalFormatting sqref="V200:Y200">
    <cfRule type="cellIs" dxfId="3170" priority="685" stopIfTrue="1" operator="lessThanOrEqual">
      <formula>3000</formula>
    </cfRule>
    <cfRule type="cellIs" dxfId="3169" priority="686" stopIfTrue="1" operator="between">
      <formula>3000</formula>
      <formula>9000</formula>
    </cfRule>
    <cfRule type="cellIs" dxfId="3168" priority="687" stopIfTrue="1" operator="greaterThanOrEqual">
      <formula>9000</formula>
    </cfRule>
  </conditionalFormatting>
  <conditionalFormatting sqref="AA194:AD194">
    <cfRule type="cellIs" dxfId="3167" priority="694" stopIfTrue="1" operator="lessThanOrEqual">
      <formula>3000</formula>
    </cfRule>
    <cfRule type="cellIs" dxfId="3166" priority="695" stopIfTrue="1" operator="between">
      <formula>3000</formula>
      <formula>9000</formula>
    </cfRule>
    <cfRule type="cellIs" dxfId="3165" priority="696" stopIfTrue="1" operator="greaterThanOrEqual">
      <formula>9000</formula>
    </cfRule>
  </conditionalFormatting>
  <conditionalFormatting sqref="AF182">
    <cfRule type="cellIs" dxfId="3164" priority="703" stopIfTrue="1" operator="lessThanOrEqual">
      <formula>3000</formula>
    </cfRule>
    <cfRule type="cellIs" dxfId="3163" priority="704" stopIfTrue="1" operator="between">
      <formula>3000</formula>
      <formula>9000</formula>
    </cfRule>
    <cfRule type="cellIs" dxfId="3162" priority="705" stopIfTrue="1" operator="greaterThanOrEqual">
      <formula>9000</formula>
    </cfRule>
  </conditionalFormatting>
  <conditionalFormatting sqref="AG176:AJ176">
    <cfRule type="cellIs" dxfId="3161" priority="712" stopIfTrue="1" operator="lessThanOrEqual">
      <formula>3000</formula>
    </cfRule>
    <cfRule type="cellIs" dxfId="3160" priority="713" stopIfTrue="1" operator="between">
      <formula>3000</formula>
      <formula>9000</formula>
    </cfRule>
    <cfRule type="cellIs" dxfId="3159" priority="714" stopIfTrue="1" operator="greaterThanOrEqual">
      <formula>9000</formula>
    </cfRule>
  </conditionalFormatting>
  <conditionalFormatting sqref="V104:Y104">
    <cfRule type="cellIs" dxfId="3158" priority="913" stopIfTrue="1" operator="lessThanOrEqual">
      <formula>3000</formula>
    </cfRule>
    <cfRule type="cellIs" dxfId="3157" priority="914" stopIfTrue="1" operator="between">
      <formula>3000</formula>
      <formula>9000</formula>
    </cfRule>
    <cfRule type="cellIs" dxfId="3156" priority="915" stopIfTrue="1" operator="greaterThanOrEqual">
      <formula>9000</formula>
    </cfRule>
  </conditionalFormatting>
  <conditionalFormatting sqref="AA98:AD98">
    <cfRule type="cellIs" dxfId="3155" priority="922" stopIfTrue="1" operator="lessThanOrEqual">
      <formula>3000</formula>
    </cfRule>
    <cfRule type="cellIs" dxfId="3154" priority="923" stopIfTrue="1" operator="between">
      <formula>3000</formula>
      <formula>9000</formula>
    </cfRule>
    <cfRule type="cellIs" dxfId="3153" priority="924" stopIfTrue="1" operator="greaterThanOrEqual">
      <formula>9000</formula>
    </cfRule>
  </conditionalFormatting>
  <conditionalFormatting sqref="AF92">
    <cfRule type="cellIs" dxfId="3152" priority="931" stopIfTrue="1" operator="lessThanOrEqual">
      <formula>3000</formula>
    </cfRule>
    <cfRule type="cellIs" dxfId="3151" priority="932" stopIfTrue="1" operator="between">
      <formula>3000</formula>
      <formula>9000</formula>
    </cfRule>
    <cfRule type="cellIs" dxfId="3150" priority="933" stopIfTrue="1" operator="greaterThanOrEqual">
      <formula>9000</formula>
    </cfRule>
  </conditionalFormatting>
  <conditionalFormatting sqref="AG86:AJ86">
    <cfRule type="cellIs" dxfId="3149" priority="940" stopIfTrue="1" operator="lessThanOrEqual">
      <formula>3000</formula>
    </cfRule>
    <cfRule type="cellIs" dxfId="3148" priority="941" stopIfTrue="1" operator="between">
      <formula>3000</formula>
      <formula>9000</formula>
    </cfRule>
    <cfRule type="cellIs" dxfId="3147" priority="942" stopIfTrue="1" operator="greaterThanOrEqual">
      <formula>9000</formula>
    </cfRule>
  </conditionalFormatting>
  <conditionalFormatting sqref="V62:Y62">
    <cfRule type="cellIs" dxfId="3146" priority="997" stopIfTrue="1" operator="lessThanOrEqual">
      <formula>3000</formula>
    </cfRule>
    <cfRule type="cellIs" dxfId="3145" priority="998" stopIfTrue="1" operator="between">
      <formula>3000</formula>
      <formula>9000</formula>
    </cfRule>
    <cfRule type="cellIs" dxfId="3144" priority="999" stopIfTrue="1" operator="greaterThanOrEqual">
      <formula>9000</formula>
    </cfRule>
  </conditionalFormatting>
  <conditionalFormatting sqref="AA56:AD56">
    <cfRule type="cellIs" dxfId="3143" priority="1006" stopIfTrue="1" operator="lessThanOrEqual">
      <formula>3000</formula>
    </cfRule>
    <cfRule type="cellIs" dxfId="3142" priority="1007" stopIfTrue="1" operator="between">
      <formula>3000</formula>
      <formula>9000</formula>
    </cfRule>
    <cfRule type="cellIs" dxfId="3141" priority="1008" stopIfTrue="1" operator="greaterThanOrEqual">
      <formula>9000</formula>
    </cfRule>
  </conditionalFormatting>
  <conditionalFormatting sqref="AG44:AJ44">
    <cfRule type="cellIs" dxfId="3140" priority="1024" stopIfTrue="1" operator="lessThanOrEqual">
      <formula>3000</formula>
    </cfRule>
    <cfRule type="cellIs" dxfId="3139" priority="1025" stopIfTrue="1" operator="between">
      <formula>3000</formula>
      <formula>9000</formula>
    </cfRule>
    <cfRule type="cellIs" dxfId="3138" priority="1026" stopIfTrue="1" operator="greaterThanOrEqual">
      <formula>9000</formula>
    </cfRule>
  </conditionalFormatting>
  <conditionalFormatting sqref="AG26:AJ26">
    <cfRule type="cellIs" dxfId="3137" priority="1216" stopIfTrue="1" operator="lessThanOrEqual">
      <formula>3000</formula>
    </cfRule>
    <cfRule type="cellIs" dxfId="3136" priority="1217" stopIfTrue="1" operator="between">
      <formula>3000</formula>
      <formula>9000</formula>
    </cfRule>
    <cfRule type="cellIs" dxfId="3135" priority="1218" stopIfTrue="1" operator="greaterThanOrEqual">
      <formula>9000</formula>
    </cfRule>
  </conditionalFormatting>
  <conditionalFormatting sqref="V14:Y14">
    <cfRule type="cellIs" dxfId="3134" priority="1357" stopIfTrue="1" operator="lessThanOrEqual">
      <formula>3000</formula>
    </cfRule>
    <cfRule type="cellIs" dxfId="3133" priority="1358" stopIfTrue="1" operator="between">
      <formula>3000</formula>
      <formula>9000</formula>
    </cfRule>
    <cfRule type="cellIs" dxfId="3132" priority="1359" stopIfTrue="1" operator="greaterThanOrEqual">
      <formula>9000</formula>
    </cfRule>
  </conditionalFormatting>
  <conditionalFormatting sqref="AG8:AJ8">
    <cfRule type="cellIs" dxfId="3131" priority="1384" stopIfTrue="1" operator="lessThanOrEqual">
      <formula>3000</formula>
    </cfRule>
    <cfRule type="cellIs" dxfId="3130" priority="1385" stopIfTrue="1" operator="between">
      <formula>3000</formula>
      <formula>9000</formula>
    </cfRule>
    <cfRule type="cellIs" dxfId="3129" priority="1386" stopIfTrue="1" operator="greaterThanOrEqual">
      <formula>9000</formula>
    </cfRule>
  </conditionalFormatting>
  <conditionalFormatting sqref="V86:Y86">
    <cfRule type="cellIs" dxfId="3128" priority="949" stopIfTrue="1" operator="lessThanOrEqual">
      <formula>3000</formula>
    </cfRule>
    <cfRule type="cellIs" dxfId="3127" priority="950" stopIfTrue="1" operator="between">
      <formula>3000</formula>
      <formula>9000</formula>
    </cfRule>
    <cfRule type="cellIs" dxfId="3126" priority="951" stopIfTrue="1" operator="greaterThanOrEqual">
      <formula>9000</formula>
    </cfRule>
  </conditionalFormatting>
  <conditionalFormatting sqref="AA86:AD86">
    <cfRule type="cellIs" dxfId="3125" priority="946" stopIfTrue="1" operator="lessThanOrEqual">
      <formula>3000</formula>
    </cfRule>
    <cfRule type="cellIs" dxfId="3124" priority="947" stopIfTrue="1" operator="between">
      <formula>3000</formula>
      <formula>9000</formula>
    </cfRule>
    <cfRule type="cellIs" dxfId="3123" priority="948" stopIfTrue="1" operator="greaterThanOrEqual">
      <formula>9000</formula>
    </cfRule>
  </conditionalFormatting>
  <conditionalFormatting sqref="AG98:AJ98">
    <cfRule type="cellIs" dxfId="3122" priority="916" stopIfTrue="1" operator="lessThanOrEqual">
      <formula>3000</formula>
    </cfRule>
    <cfRule type="cellIs" dxfId="3121" priority="917" stopIfTrue="1" operator="between">
      <formula>3000</formula>
      <formula>9000</formula>
    </cfRule>
    <cfRule type="cellIs" dxfId="3120" priority="918" stopIfTrue="1" operator="greaterThanOrEqual">
      <formula>9000</formula>
    </cfRule>
  </conditionalFormatting>
  <conditionalFormatting sqref="V146:Y146">
    <cfRule type="cellIs" dxfId="3119" priority="769" stopIfTrue="1" operator="lessThanOrEqual">
      <formula>3000</formula>
    </cfRule>
    <cfRule type="cellIs" dxfId="3118" priority="770" stopIfTrue="1" operator="between">
      <formula>3000</formula>
      <formula>9000</formula>
    </cfRule>
    <cfRule type="cellIs" dxfId="3117" priority="771" stopIfTrue="1" operator="greaterThanOrEqual">
      <formula>9000</formula>
    </cfRule>
  </conditionalFormatting>
  <conditionalFormatting sqref="AA140:AD140">
    <cfRule type="cellIs" dxfId="3116" priority="778" stopIfTrue="1" operator="lessThanOrEqual">
      <formula>3000</formula>
    </cfRule>
    <cfRule type="cellIs" dxfId="3115" priority="779" stopIfTrue="1" operator="between">
      <formula>3000</formula>
      <formula>9000</formula>
    </cfRule>
    <cfRule type="cellIs" dxfId="3114" priority="780" stopIfTrue="1" operator="greaterThanOrEqual">
      <formula>9000</formula>
    </cfRule>
  </conditionalFormatting>
  <conditionalFormatting sqref="AF146">
    <cfRule type="cellIs" dxfId="3113" priority="763" stopIfTrue="1" operator="lessThanOrEqual">
      <formula>3000</formula>
    </cfRule>
    <cfRule type="cellIs" dxfId="3112" priority="764" stopIfTrue="1" operator="between">
      <formula>3000</formula>
      <formula>9000</formula>
    </cfRule>
    <cfRule type="cellIs" dxfId="3111" priority="765" stopIfTrue="1" operator="greaterThanOrEqual">
      <formula>9000</formula>
    </cfRule>
  </conditionalFormatting>
  <conditionalFormatting sqref="AG140:AJ140">
    <cfRule type="cellIs" dxfId="3110" priority="772" stopIfTrue="1" operator="lessThanOrEqual">
      <formula>3000</formula>
    </cfRule>
    <cfRule type="cellIs" dxfId="3109" priority="773" stopIfTrue="1" operator="between">
      <formula>3000</formula>
      <formula>9000</formula>
    </cfRule>
    <cfRule type="cellIs" dxfId="3108" priority="774" stopIfTrue="1" operator="greaterThanOrEqual">
      <formula>9000</formula>
    </cfRule>
  </conditionalFormatting>
  <conditionalFormatting sqref="V224:Y224">
    <cfRule type="cellIs" dxfId="3107" priority="625" stopIfTrue="1" operator="lessThanOrEqual">
      <formula>3000</formula>
    </cfRule>
    <cfRule type="cellIs" dxfId="3106" priority="626" stopIfTrue="1" operator="between">
      <formula>3000</formula>
      <formula>9000</formula>
    </cfRule>
    <cfRule type="cellIs" dxfId="3105" priority="627" stopIfTrue="1" operator="greaterThanOrEqual">
      <formula>9000</formula>
    </cfRule>
  </conditionalFormatting>
  <conditionalFormatting sqref="AA224:AD224">
    <cfRule type="cellIs" dxfId="3104" priority="622" stopIfTrue="1" operator="lessThanOrEqual">
      <formula>3000</formula>
    </cfRule>
    <cfRule type="cellIs" dxfId="3103" priority="623" stopIfTrue="1" operator="between">
      <formula>3000</formula>
      <formula>9000</formula>
    </cfRule>
    <cfRule type="cellIs" dxfId="3102" priority="624" stopIfTrue="1" operator="greaterThanOrEqual">
      <formula>9000</formula>
    </cfRule>
  </conditionalFormatting>
  <conditionalFormatting sqref="AF224">
    <cfRule type="cellIs" dxfId="3101" priority="619" stopIfTrue="1" operator="lessThanOrEqual">
      <formula>3000</formula>
    </cfRule>
    <cfRule type="cellIs" dxfId="3100" priority="620" stopIfTrue="1" operator="between">
      <formula>3000</formula>
      <formula>9000</formula>
    </cfRule>
    <cfRule type="cellIs" dxfId="3099" priority="621" stopIfTrue="1" operator="greaterThanOrEqual">
      <formula>9000</formula>
    </cfRule>
  </conditionalFormatting>
  <conditionalFormatting sqref="AG224:AJ224">
    <cfRule type="cellIs" dxfId="3098" priority="616" stopIfTrue="1" operator="lessThanOrEqual">
      <formula>3000</formula>
    </cfRule>
    <cfRule type="cellIs" dxfId="3097" priority="617" stopIfTrue="1" operator="between">
      <formula>3000</formula>
      <formula>9000</formula>
    </cfRule>
    <cfRule type="cellIs" dxfId="3096" priority="618" stopIfTrue="1" operator="greaterThanOrEqual">
      <formula>9000</formula>
    </cfRule>
  </conditionalFormatting>
  <conditionalFormatting sqref="V254:Y254">
    <cfRule type="cellIs" dxfId="3095" priority="577" stopIfTrue="1" operator="lessThanOrEqual">
      <formula>3000</formula>
    </cfRule>
    <cfRule type="cellIs" dxfId="3094" priority="578" stopIfTrue="1" operator="between">
      <formula>3000</formula>
      <formula>9000</formula>
    </cfRule>
    <cfRule type="cellIs" dxfId="3093" priority="579" stopIfTrue="1" operator="greaterThanOrEqual">
      <formula>9000</formula>
    </cfRule>
  </conditionalFormatting>
  <conditionalFormatting sqref="AA254:AD254">
    <cfRule type="cellIs" dxfId="3092" priority="574" stopIfTrue="1" operator="lessThanOrEqual">
      <formula>3000</formula>
    </cfRule>
    <cfRule type="cellIs" dxfId="3091" priority="575" stopIfTrue="1" operator="between">
      <formula>3000</formula>
      <formula>9000</formula>
    </cfRule>
    <cfRule type="cellIs" dxfId="3090" priority="576" stopIfTrue="1" operator="greaterThanOrEqual">
      <formula>9000</formula>
    </cfRule>
  </conditionalFormatting>
  <conditionalFormatting sqref="AF254">
    <cfRule type="cellIs" dxfId="3089" priority="571" stopIfTrue="1" operator="lessThanOrEqual">
      <formula>3000</formula>
    </cfRule>
    <cfRule type="cellIs" dxfId="3088" priority="572" stopIfTrue="1" operator="between">
      <formula>3000</formula>
      <formula>9000</formula>
    </cfRule>
    <cfRule type="cellIs" dxfId="3087" priority="573" stopIfTrue="1" operator="greaterThanOrEqual">
      <formula>9000</formula>
    </cfRule>
  </conditionalFormatting>
  <conditionalFormatting sqref="AA8:AD8">
    <cfRule type="cellIs" dxfId="3086" priority="1390" stopIfTrue="1" operator="lessThanOrEqual">
      <formula>3000</formula>
    </cfRule>
    <cfRule type="cellIs" dxfId="3085" priority="1391" stopIfTrue="1" operator="between">
      <formula>3000</formula>
      <formula>9000</formula>
    </cfRule>
    <cfRule type="cellIs" dxfId="3084" priority="1392" stopIfTrue="1" operator="greaterThanOrEqual">
      <formula>9000</formula>
    </cfRule>
  </conditionalFormatting>
  <conditionalFormatting sqref="AF8">
    <cfRule type="cellIs" dxfId="3083" priority="1387" stopIfTrue="1" operator="lessThanOrEqual">
      <formula>3000</formula>
    </cfRule>
    <cfRule type="cellIs" dxfId="3082" priority="1388" stopIfTrue="1" operator="between">
      <formula>3000</formula>
      <formula>9000</formula>
    </cfRule>
    <cfRule type="cellIs" dxfId="3081" priority="1389" stopIfTrue="1" operator="greaterThanOrEqual">
      <formula>9000</formula>
    </cfRule>
  </conditionalFormatting>
  <conditionalFormatting sqref="AF14">
    <cfRule type="cellIs" dxfId="3080" priority="1351" stopIfTrue="1" operator="lessThanOrEqual">
      <formula>3000</formula>
    </cfRule>
    <cfRule type="cellIs" dxfId="3079" priority="1352" stopIfTrue="1" operator="between">
      <formula>3000</formula>
      <formula>9000</formula>
    </cfRule>
    <cfRule type="cellIs" dxfId="3078" priority="1353" stopIfTrue="1" operator="greaterThanOrEqual">
      <formula>9000</formula>
    </cfRule>
  </conditionalFormatting>
  <conditionalFormatting sqref="AG14:AJ14">
    <cfRule type="cellIs" dxfId="3077" priority="1348" stopIfTrue="1" operator="lessThanOrEqual">
      <formula>3000</formula>
    </cfRule>
    <cfRule type="cellIs" dxfId="3076" priority="1349" stopIfTrue="1" operator="between">
      <formula>3000</formula>
      <formula>9000</formula>
    </cfRule>
    <cfRule type="cellIs" dxfId="3075" priority="1350" stopIfTrue="1" operator="greaterThanOrEqual">
      <formula>9000</formula>
    </cfRule>
  </conditionalFormatting>
  <conditionalFormatting sqref="V20:Y20">
    <cfRule type="cellIs" dxfId="3074" priority="1237" stopIfTrue="1" operator="lessThanOrEqual">
      <formula>3000</formula>
    </cfRule>
    <cfRule type="cellIs" dxfId="3073" priority="1238" stopIfTrue="1" operator="between">
      <formula>3000</formula>
      <formula>9000</formula>
    </cfRule>
    <cfRule type="cellIs" dxfId="3072" priority="1239" stopIfTrue="1" operator="greaterThanOrEqual">
      <formula>9000</formula>
    </cfRule>
  </conditionalFormatting>
  <conditionalFormatting sqref="AA20:AD20">
    <cfRule type="cellIs" dxfId="3071" priority="1234" stopIfTrue="1" operator="lessThanOrEqual">
      <formula>3000</formula>
    </cfRule>
    <cfRule type="cellIs" dxfId="3070" priority="1235" stopIfTrue="1" operator="between">
      <formula>3000</formula>
      <formula>9000</formula>
    </cfRule>
    <cfRule type="cellIs" dxfId="3069" priority="1236" stopIfTrue="1" operator="greaterThanOrEqual">
      <formula>9000</formula>
    </cfRule>
  </conditionalFormatting>
  <conditionalFormatting sqref="V26:Y26">
    <cfRule type="cellIs" dxfId="3068" priority="1225" stopIfTrue="1" operator="lessThanOrEqual">
      <formula>3000</formula>
    </cfRule>
    <cfRule type="cellIs" dxfId="3067" priority="1226" stopIfTrue="1" operator="between">
      <formula>3000</formula>
      <formula>9000</formula>
    </cfRule>
    <cfRule type="cellIs" dxfId="3066" priority="1227" stopIfTrue="1" operator="greaterThanOrEqual">
      <formula>9000</formula>
    </cfRule>
  </conditionalFormatting>
  <conditionalFormatting sqref="AG20:AJ20">
    <cfRule type="cellIs" dxfId="3065" priority="1228" stopIfTrue="1" operator="lessThanOrEqual">
      <formula>3000</formula>
    </cfRule>
    <cfRule type="cellIs" dxfId="3064" priority="1229" stopIfTrue="1" operator="between">
      <formula>3000</formula>
      <formula>9000</formula>
    </cfRule>
    <cfRule type="cellIs" dxfId="3063" priority="1230" stopIfTrue="1" operator="greaterThanOrEqual">
      <formula>9000</formula>
    </cfRule>
  </conditionalFormatting>
  <conditionalFormatting sqref="AF26">
    <cfRule type="cellIs" dxfId="3062" priority="1219" stopIfTrue="1" operator="lessThanOrEqual">
      <formula>3000</formula>
    </cfRule>
    <cfRule type="cellIs" dxfId="3061" priority="1220" stopIfTrue="1" operator="between">
      <formula>3000</formula>
      <formula>9000</formula>
    </cfRule>
    <cfRule type="cellIs" dxfId="3060" priority="1221" stopIfTrue="1" operator="greaterThanOrEqual">
      <formula>9000</formula>
    </cfRule>
  </conditionalFormatting>
  <conditionalFormatting sqref="V38:Y38">
    <cfRule type="cellIs" dxfId="3059" priority="1045" stopIfTrue="1" operator="lessThanOrEqual">
      <formula>3000</formula>
    </cfRule>
    <cfRule type="cellIs" dxfId="3058" priority="1046" stopIfTrue="1" operator="between">
      <formula>3000</formula>
      <formula>9000</formula>
    </cfRule>
    <cfRule type="cellIs" dxfId="3057" priority="1047" stopIfTrue="1" operator="greaterThanOrEqual">
      <formula>9000</formula>
    </cfRule>
  </conditionalFormatting>
  <conditionalFormatting sqref="AA38:AD38">
    <cfRule type="cellIs" dxfId="3056" priority="1042" stopIfTrue="1" operator="lessThanOrEqual">
      <formula>3000</formula>
    </cfRule>
    <cfRule type="cellIs" dxfId="3055" priority="1043" stopIfTrue="1" operator="between">
      <formula>3000</formula>
      <formula>9000</formula>
    </cfRule>
    <cfRule type="cellIs" dxfId="3054" priority="1044" stopIfTrue="1" operator="greaterThanOrEqual">
      <formula>9000</formula>
    </cfRule>
  </conditionalFormatting>
  <conditionalFormatting sqref="AF38">
    <cfRule type="cellIs" dxfId="3053" priority="1039" stopIfTrue="1" operator="lessThanOrEqual">
      <formula>3000</formula>
    </cfRule>
    <cfRule type="cellIs" dxfId="3052" priority="1040" stopIfTrue="1" operator="between">
      <formula>3000</formula>
      <formula>9000</formula>
    </cfRule>
    <cfRule type="cellIs" dxfId="3051" priority="1041" stopIfTrue="1" operator="greaterThanOrEqual">
      <formula>9000</formula>
    </cfRule>
  </conditionalFormatting>
  <conditionalFormatting sqref="AG50:AJ50">
    <cfRule type="cellIs" dxfId="3050" priority="1012" stopIfTrue="1" operator="lessThanOrEqual">
      <formula>3000</formula>
    </cfRule>
    <cfRule type="cellIs" dxfId="3049" priority="1013" stopIfTrue="1" operator="between">
      <formula>3000</formula>
      <formula>9000</formula>
    </cfRule>
    <cfRule type="cellIs" dxfId="3048" priority="1014" stopIfTrue="1" operator="greaterThanOrEqual">
      <formula>9000</formula>
    </cfRule>
  </conditionalFormatting>
  <conditionalFormatting sqref="V44:Y44">
    <cfRule type="cellIs" dxfId="3047" priority="1033" stopIfTrue="1" operator="lessThanOrEqual">
      <formula>3000</formula>
    </cfRule>
    <cfRule type="cellIs" dxfId="3046" priority="1034" stopIfTrue="1" operator="between">
      <formula>3000</formula>
      <formula>9000</formula>
    </cfRule>
    <cfRule type="cellIs" dxfId="3045" priority="1035" stopIfTrue="1" operator="greaterThanOrEqual">
      <formula>9000</formula>
    </cfRule>
  </conditionalFormatting>
  <conditionalFormatting sqref="AA44:AD44">
    <cfRule type="cellIs" dxfId="3044" priority="1030" stopIfTrue="1" operator="lessThanOrEqual">
      <formula>3000</formula>
    </cfRule>
    <cfRule type="cellIs" dxfId="3043" priority="1031" stopIfTrue="1" operator="between">
      <formula>3000</formula>
      <formula>9000</formula>
    </cfRule>
    <cfRule type="cellIs" dxfId="3042" priority="1032" stopIfTrue="1" operator="greaterThanOrEqual">
      <formula>9000</formula>
    </cfRule>
  </conditionalFormatting>
  <conditionalFormatting sqref="AF50">
    <cfRule type="cellIs" dxfId="3041" priority="1015" stopIfTrue="1" operator="lessThanOrEqual">
      <formula>3000</formula>
    </cfRule>
    <cfRule type="cellIs" dxfId="3040" priority="1016" stopIfTrue="1" operator="between">
      <formula>3000</formula>
      <formula>9000</formula>
    </cfRule>
    <cfRule type="cellIs" dxfId="3039" priority="1017" stopIfTrue="1" operator="greaterThanOrEqual">
      <formula>9000</formula>
    </cfRule>
  </conditionalFormatting>
  <conditionalFormatting sqref="AG56:AJ56">
    <cfRule type="cellIs" dxfId="3038" priority="1000" stopIfTrue="1" operator="lessThanOrEqual">
      <formula>3000</formula>
    </cfRule>
    <cfRule type="cellIs" dxfId="3037" priority="1001" stopIfTrue="1" operator="between">
      <formula>3000</formula>
      <formula>9000</formula>
    </cfRule>
    <cfRule type="cellIs" dxfId="3036" priority="1002" stopIfTrue="1" operator="greaterThanOrEqual">
      <formula>9000</formula>
    </cfRule>
  </conditionalFormatting>
  <conditionalFormatting sqref="V50:Y50">
    <cfRule type="cellIs" dxfId="3035" priority="1021" stopIfTrue="1" operator="lessThanOrEqual">
      <formula>3000</formula>
    </cfRule>
    <cfRule type="cellIs" dxfId="3034" priority="1022" stopIfTrue="1" operator="between">
      <formula>3000</formula>
      <formula>9000</formula>
    </cfRule>
    <cfRule type="cellIs" dxfId="3033" priority="1023" stopIfTrue="1" operator="greaterThanOrEqual">
      <formula>9000</formula>
    </cfRule>
  </conditionalFormatting>
  <conditionalFormatting sqref="AA62:AD62">
    <cfRule type="cellIs" dxfId="3032" priority="994" stopIfTrue="1" operator="lessThanOrEqual">
      <formula>3000</formula>
    </cfRule>
    <cfRule type="cellIs" dxfId="3031" priority="995" stopIfTrue="1" operator="between">
      <formula>3000</formula>
      <formula>9000</formula>
    </cfRule>
    <cfRule type="cellIs" dxfId="3030" priority="996" stopIfTrue="1" operator="greaterThanOrEqual">
      <formula>9000</formula>
    </cfRule>
  </conditionalFormatting>
  <conditionalFormatting sqref="AF56">
    <cfRule type="cellIs" dxfId="3029" priority="1003" stopIfTrue="1" operator="lessThanOrEqual">
      <formula>3000</formula>
    </cfRule>
    <cfRule type="cellIs" dxfId="3028" priority="1004" stopIfTrue="1" operator="between">
      <formula>3000</formula>
      <formula>9000</formula>
    </cfRule>
    <cfRule type="cellIs" dxfId="3027" priority="1005" stopIfTrue="1" operator="greaterThanOrEqual">
      <formula>9000</formula>
    </cfRule>
  </conditionalFormatting>
  <conditionalFormatting sqref="AG62:AJ62">
    <cfRule type="cellIs" dxfId="3026" priority="988" stopIfTrue="1" operator="lessThanOrEqual">
      <formula>3000</formula>
    </cfRule>
    <cfRule type="cellIs" dxfId="3025" priority="989" stopIfTrue="1" operator="between">
      <formula>3000</formula>
      <formula>9000</formula>
    </cfRule>
    <cfRule type="cellIs" dxfId="3024" priority="990" stopIfTrue="1" operator="greaterThanOrEqual">
      <formula>9000</formula>
    </cfRule>
  </conditionalFormatting>
  <conditionalFormatting sqref="V68:Y68">
    <cfRule type="cellIs" dxfId="3023" priority="985" stopIfTrue="1" operator="lessThanOrEqual">
      <formula>3000</formula>
    </cfRule>
    <cfRule type="cellIs" dxfId="3022" priority="986" stopIfTrue="1" operator="between">
      <formula>3000</formula>
      <formula>9000</formula>
    </cfRule>
    <cfRule type="cellIs" dxfId="3021" priority="987" stopIfTrue="1" operator="greaterThanOrEqual">
      <formula>9000</formula>
    </cfRule>
  </conditionalFormatting>
  <conditionalFormatting sqref="AA68:AD68">
    <cfRule type="cellIs" dxfId="3020" priority="982" stopIfTrue="1" operator="lessThanOrEqual">
      <formula>3000</formula>
    </cfRule>
    <cfRule type="cellIs" dxfId="3019" priority="983" stopIfTrue="1" operator="between">
      <formula>3000</formula>
      <formula>9000</formula>
    </cfRule>
    <cfRule type="cellIs" dxfId="3018" priority="984" stopIfTrue="1" operator="greaterThanOrEqual">
      <formula>9000</formula>
    </cfRule>
  </conditionalFormatting>
  <conditionalFormatting sqref="AF62">
    <cfRule type="cellIs" dxfId="3017" priority="991" stopIfTrue="1" operator="lessThanOrEqual">
      <formula>3000</formula>
    </cfRule>
    <cfRule type="cellIs" dxfId="3016" priority="992" stopIfTrue="1" operator="between">
      <formula>3000</formula>
      <formula>9000</formula>
    </cfRule>
    <cfRule type="cellIs" dxfId="3015" priority="993" stopIfTrue="1" operator="greaterThanOrEqual">
      <formula>9000</formula>
    </cfRule>
  </conditionalFormatting>
  <conditionalFormatting sqref="V74:Y74">
    <cfRule type="cellIs" dxfId="3014" priority="973" stopIfTrue="1" operator="lessThanOrEqual">
      <formula>3000</formula>
    </cfRule>
    <cfRule type="cellIs" dxfId="3013" priority="974" stopIfTrue="1" operator="between">
      <formula>3000</formula>
      <formula>9000</formula>
    </cfRule>
    <cfRule type="cellIs" dxfId="3012" priority="975" stopIfTrue="1" operator="greaterThanOrEqual">
      <formula>9000</formula>
    </cfRule>
  </conditionalFormatting>
  <conditionalFormatting sqref="AA74:AD74">
    <cfRule type="cellIs" dxfId="3011" priority="970" stopIfTrue="1" operator="lessThanOrEqual">
      <formula>3000</formula>
    </cfRule>
    <cfRule type="cellIs" dxfId="3010" priority="971" stopIfTrue="1" operator="between">
      <formula>3000</formula>
      <formula>9000</formula>
    </cfRule>
    <cfRule type="cellIs" dxfId="3009" priority="972" stopIfTrue="1" operator="greaterThanOrEqual">
      <formula>9000</formula>
    </cfRule>
  </conditionalFormatting>
  <conditionalFormatting sqref="AF68">
    <cfRule type="cellIs" dxfId="3008" priority="979" stopIfTrue="1" operator="lessThanOrEqual">
      <formula>3000</formula>
    </cfRule>
    <cfRule type="cellIs" dxfId="3007" priority="980" stopIfTrue="1" operator="between">
      <formula>3000</formula>
      <formula>9000</formula>
    </cfRule>
    <cfRule type="cellIs" dxfId="3006" priority="981" stopIfTrue="1" operator="greaterThanOrEqual">
      <formula>9000</formula>
    </cfRule>
  </conditionalFormatting>
  <conditionalFormatting sqref="V80:Y80">
    <cfRule type="cellIs" dxfId="3005" priority="961" stopIfTrue="1" operator="lessThanOrEqual">
      <formula>3000</formula>
    </cfRule>
    <cfRule type="cellIs" dxfId="3004" priority="962" stopIfTrue="1" operator="between">
      <formula>3000</formula>
      <formula>9000</formula>
    </cfRule>
    <cfRule type="cellIs" dxfId="3003" priority="963" stopIfTrue="1" operator="greaterThanOrEqual">
      <formula>9000</formula>
    </cfRule>
  </conditionalFormatting>
  <conditionalFormatting sqref="AG68:AJ68">
    <cfRule type="cellIs" dxfId="3002" priority="976" stopIfTrue="1" operator="lessThanOrEqual">
      <formula>3000</formula>
    </cfRule>
    <cfRule type="cellIs" dxfId="3001" priority="977" stopIfTrue="1" operator="between">
      <formula>3000</formula>
      <formula>9000</formula>
    </cfRule>
    <cfRule type="cellIs" dxfId="3000" priority="978" stopIfTrue="1" operator="greaterThanOrEqual">
      <formula>9000</formula>
    </cfRule>
  </conditionalFormatting>
  <conditionalFormatting sqref="AF80">
    <cfRule type="cellIs" dxfId="2999" priority="955" stopIfTrue="1" operator="lessThanOrEqual">
      <formula>3000</formula>
    </cfRule>
    <cfRule type="cellIs" dxfId="2998" priority="956" stopIfTrue="1" operator="between">
      <formula>3000</formula>
      <formula>9000</formula>
    </cfRule>
    <cfRule type="cellIs" dxfId="2997" priority="957" stopIfTrue="1" operator="greaterThanOrEqual">
      <formula>9000</formula>
    </cfRule>
  </conditionalFormatting>
  <conditionalFormatting sqref="AG74:AJ74">
    <cfRule type="cellIs" dxfId="2996" priority="964" stopIfTrue="1" operator="lessThanOrEqual">
      <formula>3000</formula>
    </cfRule>
    <cfRule type="cellIs" dxfId="2995" priority="965" stopIfTrue="1" operator="between">
      <formula>3000</formula>
      <formula>9000</formula>
    </cfRule>
    <cfRule type="cellIs" dxfId="2994" priority="966" stopIfTrue="1" operator="greaterThanOrEqual">
      <formula>9000</formula>
    </cfRule>
  </conditionalFormatting>
  <conditionalFormatting sqref="AA92:AD92">
    <cfRule type="cellIs" dxfId="2993" priority="934" stopIfTrue="1" operator="lessThanOrEqual">
      <formula>3000</formula>
    </cfRule>
    <cfRule type="cellIs" dxfId="2992" priority="935" stopIfTrue="1" operator="between">
      <formula>3000</formula>
      <formula>9000</formula>
    </cfRule>
    <cfRule type="cellIs" dxfId="2991" priority="936" stopIfTrue="1" operator="greaterThanOrEqual">
      <formula>9000</formula>
    </cfRule>
  </conditionalFormatting>
  <conditionalFormatting sqref="AF86">
    <cfRule type="cellIs" dxfId="2990" priority="943" stopIfTrue="1" operator="lessThanOrEqual">
      <formula>3000</formula>
    </cfRule>
    <cfRule type="cellIs" dxfId="2989" priority="944" stopIfTrue="1" operator="between">
      <formula>3000</formula>
      <formula>9000</formula>
    </cfRule>
    <cfRule type="cellIs" dxfId="2988" priority="945" stopIfTrue="1" operator="greaterThanOrEqual">
      <formula>9000</formula>
    </cfRule>
  </conditionalFormatting>
  <conditionalFormatting sqref="AG80:AJ80">
    <cfRule type="cellIs" dxfId="2987" priority="952" stopIfTrue="1" operator="lessThanOrEqual">
      <formula>3000</formula>
    </cfRule>
    <cfRule type="cellIs" dxfId="2986" priority="953" stopIfTrue="1" operator="between">
      <formula>3000</formula>
      <formula>9000</formula>
    </cfRule>
    <cfRule type="cellIs" dxfId="2985" priority="954" stopIfTrue="1" operator="greaterThanOrEqual">
      <formula>9000</formula>
    </cfRule>
  </conditionalFormatting>
  <conditionalFormatting sqref="V98:Y98">
    <cfRule type="cellIs" dxfId="2984" priority="925" stopIfTrue="1" operator="lessThanOrEqual">
      <formula>3000</formula>
    </cfRule>
    <cfRule type="cellIs" dxfId="2983" priority="926" stopIfTrue="1" operator="between">
      <formula>3000</formula>
      <formula>9000</formula>
    </cfRule>
    <cfRule type="cellIs" dxfId="2982" priority="927" stopIfTrue="1" operator="greaterThanOrEqual">
      <formula>9000</formula>
    </cfRule>
  </conditionalFormatting>
  <conditionalFormatting sqref="AG104:AJ104">
    <cfRule type="cellIs" dxfId="2981" priority="904" stopIfTrue="1" operator="lessThanOrEqual">
      <formula>3000</formula>
    </cfRule>
    <cfRule type="cellIs" dxfId="2980" priority="905" stopIfTrue="1" operator="between">
      <formula>3000</formula>
      <formula>9000</formula>
    </cfRule>
    <cfRule type="cellIs" dxfId="2979" priority="906" stopIfTrue="1" operator="greaterThanOrEqual">
      <formula>9000</formula>
    </cfRule>
  </conditionalFormatting>
  <conditionalFormatting sqref="AF116">
    <cfRule type="cellIs" dxfId="2978" priority="895" stopIfTrue="1" operator="lessThanOrEqual">
      <formula>3000</formula>
    </cfRule>
    <cfRule type="cellIs" dxfId="2977" priority="896" stopIfTrue="1" operator="between">
      <formula>3000</formula>
      <formula>9000</formula>
    </cfRule>
    <cfRule type="cellIs" dxfId="2976" priority="897" stopIfTrue="1" operator="greaterThanOrEqual">
      <formula>9000</formula>
    </cfRule>
  </conditionalFormatting>
  <conditionalFormatting sqref="AG116:AJ116">
    <cfRule type="cellIs" dxfId="2975" priority="892" stopIfTrue="1" operator="lessThanOrEqual">
      <formula>3000</formula>
    </cfRule>
    <cfRule type="cellIs" dxfId="2974" priority="893" stopIfTrue="1" operator="between">
      <formula>3000</formula>
      <formula>9000</formula>
    </cfRule>
    <cfRule type="cellIs" dxfId="2973" priority="894" stopIfTrue="1" operator="greaterThanOrEqual">
      <formula>9000</formula>
    </cfRule>
  </conditionalFormatting>
  <conditionalFormatting sqref="AA122:AD122">
    <cfRule type="cellIs" dxfId="2972" priority="886" stopIfTrue="1" operator="lessThanOrEqual">
      <formula>3000</formula>
    </cfRule>
    <cfRule type="cellIs" dxfId="2971" priority="887" stopIfTrue="1" operator="between">
      <formula>3000</formula>
      <formula>9000</formula>
    </cfRule>
    <cfRule type="cellIs" dxfId="2970" priority="888" stopIfTrue="1" operator="greaterThanOrEqual">
      <formula>9000</formula>
    </cfRule>
  </conditionalFormatting>
  <conditionalFormatting sqref="AF122">
    <cfRule type="cellIs" dxfId="2969" priority="883" stopIfTrue="1" operator="lessThanOrEqual">
      <formula>3000</formula>
    </cfRule>
    <cfRule type="cellIs" dxfId="2968" priority="884" stopIfTrue="1" operator="between">
      <formula>3000</formula>
      <formula>9000</formula>
    </cfRule>
    <cfRule type="cellIs" dxfId="2967" priority="885" stopIfTrue="1" operator="greaterThanOrEqual">
      <formula>9000</formula>
    </cfRule>
  </conditionalFormatting>
  <conditionalFormatting sqref="AA128:AD128">
    <cfRule type="cellIs" dxfId="2966" priority="874" stopIfTrue="1" operator="lessThanOrEqual">
      <formula>3000</formula>
    </cfRule>
    <cfRule type="cellIs" dxfId="2965" priority="875" stopIfTrue="1" operator="between">
      <formula>3000</formula>
      <formula>9000</formula>
    </cfRule>
    <cfRule type="cellIs" dxfId="2964" priority="876" stopIfTrue="1" operator="greaterThanOrEqual">
      <formula>9000</formula>
    </cfRule>
  </conditionalFormatting>
  <conditionalFormatting sqref="AF128">
    <cfRule type="cellIs" dxfId="2963" priority="871" stopIfTrue="1" operator="lessThanOrEqual">
      <formula>3000</formula>
    </cfRule>
    <cfRule type="cellIs" dxfId="2962" priority="872" stopIfTrue="1" operator="between">
      <formula>3000</formula>
      <formula>9000</formula>
    </cfRule>
    <cfRule type="cellIs" dxfId="2961" priority="873" stopIfTrue="1" operator="greaterThanOrEqual">
      <formula>9000</formula>
    </cfRule>
  </conditionalFormatting>
  <conditionalFormatting sqref="AA134:AD134">
    <cfRule type="cellIs" dxfId="2960" priority="790" stopIfTrue="1" operator="lessThanOrEqual">
      <formula>3000</formula>
    </cfRule>
    <cfRule type="cellIs" dxfId="2959" priority="791" stopIfTrue="1" operator="between">
      <formula>3000</formula>
      <formula>9000</formula>
    </cfRule>
    <cfRule type="cellIs" dxfId="2958" priority="792" stopIfTrue="1" operator="greaterThanOrEqual">
      <formula>9000</formula>
    </cfRule>
  </conditionalFormatting>
  <conditionalFormatting sqref="V140:Y140">
    <cfRule type="cellIs" dxfId="2957" priority="781" stopIfTrue="1" operator="lessThanOrEqual">
      <formula>3000</formula>
    </cfRule>
    <cfRule type="cellIs" dxfId="2956" priority="782" stopIfTrue="1" operator="between">
      <formula>3000</formula>
      <formula>9000</formula>
    </cfRule>
    <cfRule type="cellIs" dxfId="2955" priority="783" stopIfTrue="1" operator="greaterThanOrEqual">
      <formula>9000</formula>
    </cfRule>
  </conditionalFormatting>
  <conditionalFormatting sqref="AF134">
    <cfRule type="cellIs" dxfId="2954" priority="787" stopIfTrue="1" operator="lessThanOrEqual">
      <formula>3000</formula>
    </cfRule>
    <cfRule type="cellIs" dxfId="2953" priority="788" stopIfTrue="1" operator="between">
      <formula>3000</formula>
      <formula>9000</formula>
    </cfRule>
    <cfRule type="cellIs" dxfId="2952" priority="789" stopIfTrue="1" operator="greaterThanOrEqual">
      <formula>9000</formula>
    </cfRule>
  </conditionalFormatting>
  <conditionalFormatting sqref="AG134:AJ134">
    <cfRule type="cellIs" dxfId="2951" priority="784" stopIfTrue="1" operator="lessThanOrEqual">
      <formula>3000</formula>
    </cfRule>
    <cfRule type="cellIs" dxfId="2950" priority="785" stopIfTrue="1" operator="between">
      <formula>3000</formula>
      <formula>9000</formula>
    </cfRule>
    <cfRule type="cellIs" dxfId="2949" priority="786" stopIfTrue="1" operator="greaterThanOrEqual">
      <formula>9000</formula>
    </cfRule>
  </conditionalFormatting>
  <conditionalFormatting sqref="AA146:AD146">
    <cfRule type="cellIs" dxfId="2948" priority="766" stopIfTrue="1" operator="lessThanOrEqual">
      <formula>3000</formula>
    </cfRule>
    <cfRule type="cellIs" dxfId="2947" priority="767" stopIfTrue="1" operator="between">
      <formula>3000</formula>
      <formula>9000</formula>
    </cfRule>
    <cfRule type="cellIs" dxfId="2946" priority="768" stopIfTrue="1" operator="greaterThanOrEqual">
      <formula>9000</formula>
    </cfRule>
  </conditionalFormatting>
  <conditionalFormatting sqref="AF140">
    <cfRule type="cellIs" dxfId="2945" priority="775" stopIfTrue="1" operator="lessThanOrEqual">
      <formula>3000</formula>
    </cfRule>
    <cfRule type="cellIs" dxfId="2944" priority="776" stopIfTrue="1" operator="between">
      <formula>3000</formula>
      <formula>9000</formula>
    </cfRule>
    <cfRule type="cellIs" dxfId="2943" priority="777" stopIfTrue="1" operator="greaterThanOrEqual">
      <formula>9000</formula>
    </cfRule>
  </conditionalFormatting>
  <conditionalFormatting sqref="V152:Y152">
    <cfRule type="cellIs" dxfId="2942" priority="757" stopIfTrue="1" operator="lessThanOrEqual">
      <formula>3000</formula>
    </cfRule>
    <cfRule type="cellIs" dxfId="2941" priority="758" stopIfTrue="1" operator="between">
      <formula>3000</formula>
      <formula>9000</formula>
    </cfRule>
    <cfRule type="cellIs" dxfId="2940" priority="759" stopIfTrue="1" operator="greaterThanOrEqual">
      <formula>9000</formula>
    </cfRule>
  </conditionalFormatting>
  <conditionalFormatting sqref="AA152:AD152">
    <cfRule type="cellIs" dxfId="2939" priority="754" stopIfTrue="1" operator="lessThanOrEqual">
      <formula>3000</formula>
    </cfRule>
    <cfRule type="cellIs" dxfId="2938" priority="755" stopIfTrue="1" operator="between">
      <formula>3000</formula>
      <formula>9000</formula>
    </cfRule>
    <cfRule type="cellIs" dxfId="2937" priority="756" stopIfTrue="1" operator="greaterThanOrEqual">
      <formula>9000</formula>
    </cfRule>
  </conditionalFormatting>
  <conditionalFormatting sqref="AG146:AJ146">
    <cfRule type="cellIs" dxfId="2936" priority="760" stopIfTrue="1" operator="lessThanOrEqual">
      <formula>3000</formula>
    </cfRule>
    <cfRule type="cellIs" dxfId="2935" priority="761" stopIfTrue="1" operator="between">
      <formula>3000</formula>
      <formula>9000</formula>
    </cfRule>
    <cfRule type="cellIs" dxfId="2934" priority="762" stopIfTrue="1" operator="greaterThanOrEqual">
      <formula>9000</formula>
    </cfRule>
  </conditionalFormatting>
  <conditionalFormatting sqref="V158:Y158">
    <cfRule type="cellIs" dxfId="2933" priority="745" stopIfTrue="1" operator="lessThanOrEqual">
      <formula>3000</formula>
    </cfRule>
    <cfRule type="cellIs" dxfId="2932" priority="746" stopIfTrue="1" operator="between">
      <formula>3000</formula>
      <formula>9000</formula>
    </cfRule>
    <cfRule type="cellIs" dxfId="2931" priority="747" stopIfTrue="1" operator="greaterThanOrEqual">
      <formula>9000</formula>
    </cfRule>
  </conditionalFormatting>
  <conditionalFormatting sqref="AF152">
    <cfRule type="cellIs" dxfId="2930" priority="751" stopIfTrue="1" operator="lessThanOrEqual">
      <formula>3000</formula>
    </cfRule>
    <cfRule type="cellIs" dxfId="2929" priority="752" stopIfTrue="1" operator="between">
      <formula>3000</formula>
      <formula>9000</formula>
    </cfRule>
    <cfRule type="cellIs" dxfId="2928" priority="753" stopIfTrue="1" operator="greaterThanOrEqual">
      <formula>9000</formula>
    </cfRule>
  </conditionalFormatting>
  <conditionalFormatting sqref="AG152:AJ152">
    <cfRule type="cellIs" dxfId="2927" priority="748" stopIfTrue="1" operator="lessThanOrEqual">
      <formula>3000</formula>
    </cfRule>
    <cfRule type="cellIs" dxfId="2926" priority="749" stopIfTrue="1" operator="between">
      <formula>3000</formula>
      <formula>9000</formula>
    </cfRule>
    <cfRule type="cellIs" dxfId="2925" priority="750" stopIfTrue="1" operator="greaterThanOrEqual">
      <formula>9000</formula>
    </cfRule>
  </conditionalFormatting>
  <conditionalFormatting sqref="AA158:AD158">
    <cfRule type="cellIs" dxfId="2924" priority="742" stopIfTrue="1" operator="lessThanOrEqual">
      <formula>3000</formula>
    </cfRule>
    <cfRule type="cellIs" dxfId="2923" priority="743" stopIfTrue="1" operator="between">
      <formula>3000</formula>
      <formula>9000</formula>
    </cfRule>
    <cfRule type="cellIs" dxfId="2922" priority="744" stopIfTrue="1" operator="greaterThanOrEqual">
      <formula>9000</formula>
    </cfRule>
  </conditionalFormatting>
  <conditionalFormatting sqref="AF158">
    <cfRule type="cellIs" dxfId="2921" priority="739" stopIfTrue="1" operator="lessThanOrEqual">
      <formula>3000</formula>
    </cfRule>
    <cfRule type="cellIs" dxfId="2920" priority="740" stopIfTrue="1" operator="between">
      <formula>3000</formula>
      <formula>9000</formula>
    </cfRule>
    <cfRule type="cellIs" dxfId="2919" priority="741" stopIfTrue="1" operator="greaterThanOrEqual">
      <formula>9000</formula>
    </cfRule>
  </conditionalFormatting>
  <conditionalFormatting sqref="AG158:AJ158">
    <cfRule type="cellIs" dxfId="2918" priority="736" stopIfTrue="1" operator="lessThanOrEqual">
      <formula>3000</formula>
    </cfRule>
    <cfRule type="cellIs" dxfId="2917" priority="737" stopIfTrue="1" operator="between">
      <formula>3000</formula>
      <formula>9000</formula>
    </cfRule>
    <cfRule type="cellIs" dxfId="2916" priority="738" stopIfTrue="1" operator="greaterThanOrEqual">
      <formula>9000</formula>
    </cfRule>
  </conditionalFormatting>
  <conditionalFormatting sqref="V170:Y170">
    <cfRule type="cellIs" dxfId="2915" priority="733" stopIfTrue="1" operator="lessThanOrEqual">
      <formula>3000</formula>
    </cfRule>
    <cfRule type="cellIs" dxfId="2914" priority="734" stopIfTrue="1" operator="between">
      <formula>3000</formula>
      <formula>9000</formula>
    </cfRule>
    <cfRule type="cellIs" dxfId="2913" priority="735" stopIfTrue="1" operator="greaterThanOrEqual">
      <formula>9000</formula>
    </cfRule>
  </conditionalFormatting>
  <conditionalFormatting sqref="AA170:AD170">
    <cfRule type="cellIs" dxfId="2912" priority="730" stopIfTrue="1" operator="lessThanOrEqual">
      <formula>3000</formula>
    </cfRule>
    <cfRule type="cellIs" dxfId="2911" priority="731" stopIfTrue="1" operator="between">
      <formula>3000</formula>
      <formula>9000</formula>
    </cfRule>
    <cfRule type="cellIs" dxfId="2910" priority="732" stopIfTrue="1" operator="greaterThanOrEqual">
      <formula>9000</formula>
    </cfRule>
  </conditionalFormatting>
  <conditionalFormatting sqref="AF170">
    <cfRule type="cellIs" dxfId="2909" priority="727" stopIfTrue="1" operator="lessThanOrEqual">
      <formula>3000</formula>
    </cfRule>
    <cfRule type="cellIs" dxfId="2908" priority="728" stopIfTrue="1" operator="between">
      <formula>3000</formula>
      <formula>9000</formula>
    </cfRule>
    <cfRule type="cellIs" dxfId="2907" priority="729" stopIfTrue="1" operator="greaterThanOrEqual">
      <formula>9000</formula>
    </cfRule>
  </conditionalFormatting>
  <conditionalFormatting sqref="AG170:AJ170">
    <cfRule type="cellIs" dxfId="2906" priority="724" stopIfTrue="1" operator="lessThanOrEqual">
      <formula>3000</formula>
    </cfRule>
    <cfRule type="cellIs" dxfId="2905" priority="725" stopIfTrue="1" operator="between">
      <formula>3000</formula>
      <formula>9000</formula>
    </cfRule>
    <cfRule type="cellIs" dxfId="2904" priority="726" stopIfTrue="1" operator="greaterThanOrEqual">
      <formula>9000</formula>
    </cfRule>
  </conditionalFormatting>
  <conditionalFormatting sqref="V176:Y176">
    <cfRule type="cellIs" dxfId="2903" priority="721" stopIfTrue="1" operator="lessThanOrEqual">
      <formula>3000</formula>
    </cfRule>
    <cfRule type="cellIs" dxfId="2902" priority="722" stopIfTrue="1" operator="between">
      <formula>3000</formula>
      <formula>9000</formula>
    </cfRule>
    <cfRule type="cellIs" dxfId="2901" priority="723" stopIfTrue="1" operator="greaterThanOrEqual">
      <formula>9000</formula>
    </cfRule>
  </conditionalFormatting>
  <conditionalFormatting sqref="AF176">
    <cfRule type="cellIs" dxfId="2900" priority="715" stopIfTrue="1" operator="lessThanOrEqual">
      <formula>3000</formula>
    </cfRule>
    <cfRule type="cellIs" dxfId="2899" priority="716" stopIfTrue="1" operator="between">
      <formula>3000</formula>
      <formula>9000</formula>
    </cfRule>
    <cfRule type="cellIs" dxfId="2898" priority="717" stopIfTrue="1" operator="greaterThanOrEqual">
      <formula>9000</formula>
    </cfRule>
  </conditionalFormatting>
  <conditionalFormatting sqref="AA176:AD176">
    <cfRule type="cellIs" dxfId="2897" priority="718" stopIfTrue="1" operator="lessThanOrEqual">
      <formula>3000</formula>
    </cfRule>
    <cfRule type="cellIs" dxfId="2896" priority="719" stopIfTrue="1" operator="between">
      <formula>3000</formula>
      <formula>9000</formula>
    </cfRule>
    <cfRule type="cellIs" dxfId="2895" priority="720" stopIfTrue="1" operator="greaterThanOrEqual">
      <formula>9000</formula>
    </cfRule>
  </conditionalFormatting>
  <conditionalFormatting sqref="AG182:AJ182">
    <cfRule type="cellIs" dxfId="2894" priority="700" stopIfTrue="1" operator="lessThanOrEqual">
      <formula>3000</formula>
    </cfRule>
    <cfRule type="cellIs" dxfId="2893" priority="701" stopIfTrue="1" operator="between">
      <formula>3000</formula>
      <formula>9000</formula>
    </cfRule>
    <cfRule type="cellIs" dxfId="2892" priority="702" stopIfTrue="1" operator="greaterThanOrEqual">
      <formula>9000</formula>
    </cfRule>
  </conditionalFormatting>
  <conditionalFormatting sqref="V182:Y182">
    <cfRule type="cellIs" dxfId="2891" priority="709" stopIfTrue="1" operator="lessThanOrEqual">
      <formula>3000</formula>
    </cfRule>
    <cfRule type="cellIs" dxfId="2890" priority="710" stopIfTrue="1" operator="between">
      <formula>3000</formula>
      <formula>9000</formula>
    </cfRule>
    <cfRule type="cellIs" dxfId="2889" priority="711" stopIfTrue="1" operator="greaterThanOrEqual">
      <formula>9000</formula>
    </cfRule>
  </conditionalFormatting>
  <conditionalFormatting sqref="AA182:AD182">
    <cfRule type="cellIs" dxfId="2888" priority="706" stopIfTrue="1" operator="lessThanOrEqual">
      <formula>3000</formula>
    </cfRule>
    <cfRule type="cellIs" dxfId="2887" priority="707" stopIfTrue="1" operator="between">
      <formula>3000</formula>
      <formula>9000</formula>
    </cfRule>
    <cfRule type="cellIs" dxfId="2886" priority="708" stopIfTrue="1" operator="greaterThanOrEqual">
      <formula>9000</formula>
    </cfRule>
  </conditionalFormatting>
  <conditionalFormatting sqref="AF194">
    <cfRule type="cellIs" dxfId="2885" priority="691" stopIfTrue="1" operator="lessThanOrEqual">
      <formula>3000</formula>
    </cfRule>
    <cfRule type="cellIs" dxfId="2884" priority="692" stopIfTrue="1" operator="between">
      <formula>3000</formula>
      <formula>9000</formula>
    </cfRule>
    <cfRule type="cellIs" dxfId="2883" priority="693" stopIfTrue="1" operator="greaterThanOrEqual">
      <formula>9000</formula>
    </cfRule>
  </conditionalFormatting>
  <conditionalFormatting sqref="AG194:AJ194">
    <cfRule type="cellIs" dxfId="2882" priority="688" stopIfTrue="1" operator="lessThanOrEqual">
      <formula>3000</formula>
    </cfRule>
    <cfRule type="cellIs" dxfId="2881" priority="689" stopIfTrue="1" operator="between">
      <formula>3000</formula>
      <formula>9000</formula>
    </cfRule>
    <cfRule type="cellIs" dxfId="2880" priority="690" stopIfTrue="1" operator="greaterThanOrEqual">
      <formula>9000</formula>
    </cfRule>
  </conditionalFormatting>
  <conditionalFormatting sqref="V194:Y194">
    <cfRule type="cellIs" dxfId="2879" priority="697" stopIfTrue="1" operator="lessThanOrEqual">
      <formula>3000</formula>
    </cfRule>
    <cfRule type="cellIs" dxfId="2878" priority="698" stopIfTrue="1" operator="between">
      <formula>3000</formula>
      <formula>9000</formula>
    </cfRule>
    <cfRule type="cellIs" dxfId="2877" priority="699" stopIfTrue="1" operator="greaterThanOrEqual">
      <formula>9000</formula>
    </cfRule>
  </conditionalFormatting>
  <conditionalFormatting sqref="AA200:AD200">
    <cfRule type="cellIs" dxfId="2876" priority="682" stopIfTrue="1" operator="lessThanOrEqual">
      <formula>3000</formula>
    </cfRule>
    <cfRule type="cellIs" dxfId="2875" priority="683" stopIfTrue="1" operator="between">
      <formula>3000</formula>
      <formula>9000</formula>
    </cfRule>
    <cfRule type="cellIs" dxfId="2874" priority="684" stopIfTrue="1" operator="greaterThanOrEqual">
      <formula>9000</formula>
    </cfRule>
  </conditionalFormatting>
  <conditionalFormatting sqref="AF200">
    <cfRule type="cellIs" dxfId="2873" priority="679" stopIfTrue="1" operator="lessThanOrEqual">
      <formula>3000</formula>
    </cfRule>
    <cfRule type="cellIs" dxfId="2872" priority="680" stopIfTrue="1" operator="between">
      <formula>3000</formula>
      <formula>9000</formula>
    </cfRule>
    <cfRule type="cellIs" dxfId="2871" priority="681" stopIfTrue="1" operator="greaterThanOrEqual">
      <formula>9000</formula>
    </cfRule>
  </conditionalFormatting>
  <conditionalFormatting sqref="AG200:AJ200">
    <cfRule type="cellIs" dxfId="2870" priority="676" stopIfTrue="1" operator="lessThanOrEqual">
      <formula>3000</formula>
    </cfRule>
    <cfRule type="cellIs" dxfId="2869" priority="677" stopIfTrue="1" operator="between">
      <formula>3000</formula>
      <formula>9000</formula>
    </cfRule>
    <cfRule type="cellIs" dxfId="2868" priority="678" stopIfTrue="1" operator="greaterThanOrEqual">
      <formula>9000</formula>
    </cfRule>
  </conditionalFormatting>
  <conditionalFormatting sqref="V206:Y206">
    <cfRule type="cellIs" dxfId="2867" priority="673" stopIfTrue="1" operator="lessThanOrEqual">
      <formula>3000</formula>
    </cfRule>
    <cfRule type="cellIs" dxfId="2866" priority="674" stopIfTrue="1" operator="between">
      <formula>3000</formula>
      <formula>9000</formula>
    </cfRule>
    <cfRule type="cellIs" dxfId="2865" priority="675" stopIfTrue="1" operator="greaterThanOrEqual">
      <formula>9000</formula>
    </cfRule>
  </conditionalFormatting>
  <conditionalFormatting sqref="AA206:AD206">
    <cfRule type="cellIs" dxfId="2864" priority="670" stopIfTrue="1" operator="lessThanOrEqual">
      <formula>3000</formula>
    </cfRule>
    <cfRule type="cellIs" dxfId="2863" priority="671" stopIfTrue="1" operator="between">
      <formula>3000</formula>
      <formula>9000</formula>
    </cfRule>
    <cfRule type="cellIs" dxfId="2862" priority="672" stopIfTrue="1" operator="greaterThanOrEqual">
      <formula>9000</formula>
    </cfRule>
  </conditionalFormatting>
  <conditionalFormatting sqref="AF206">
    <cfRule type="cellIs" dxfId="2861" priority="667" stopIfTrue="1" operator="lessThanOrEqual">
      <formula>3000</formula>
    </cfRule>
    <cfRule type="cellIs" dxfId="2860" priority="668" stopIfTrue="1" operator="between">
      <formula>3000</formula>
      <formula>9000</formula>
    </cfRule>
    <cfRule type="cellIs" dxfId="2859" priority="669" stopIfTrue="1" operator="greaterThanOrEqual">
      <formula>9000</formula>
    </cfRule>
  </conditionalFormatting>
  <conditionalFormatting sqref="AG206:AJ206">
    <cfRule type="cellIs" dxfId="2858" priority="664" stopIfTrue="1" operator="lessThanOrEqual">
      <formula>3000</formula>
    </cfRule>
    <cfRule type="cellIs" dxfId="2857" priority="665" stopIfTrue="1" operator="between">
      <formula>3000</formula>
      <formula>9000</formula>
    </cfRule>
    <cfRule type="cellIs" dxfId="2856" priority="666" stopIfTrue="1" operator="greaterThanOrEqual">
      <formula>9000</formula>
    </cfRule>
  </conditionalFormatting>
  <conditionalFormatting sqref="V212:Y212">
    <cfRule type="cellIs" dxfId="2855" priority="661" stopIfTrue="1" operator="lessThanOrEqual">
      <formula>3000</formula>
    </cfRule>
    <cfRule type="cellIs" dxfId="2854" priority="662" stopIfTrue="1" operator="between">
      <formula>3000</formula>
      <formula>9000</formula>
    </cfRule>
    <cfRule type="cellIs" dxfId="2853" priority="663" stopIfTrue="1" operator="greaterThanOrEqual">
      <formula>9000</formula>
    </cfRule>
  </conditionalFormatting>
  <conditionalFormatting sqref="AA212:AD212">
    <cfRule type="cellIs" dxfId="2852" priority="658" stopIfTrue="1" operator="lessThanOrEqual">
      <formula>3000</formula>
    </cfRule>
    <cfRule type="cellIs" dxfId="2851" priority="659" stopIfTrue="1" operator="between">
      <formula>3000</formula>
      <formula>9000</formula>
    </cfRule>
    <cfRule type="cellIs" dxfId="2850" priority="660" stopIfTrue="1" operator="greaterThanOrEqual">
      <formula>9000</formula>
    </cfRule>
  </conditionalFormatting>
  <conditionalFormatting sqref="AF212">
    <cfRule type="cellIs" dxfId="2849" priority="655" stopIfTrue="1" operator="lessThanOrEqual">
      <formula>3000</formula>
    </cfRule>
    <cfRule type="cellIs" dxfId="2848" priority="656" stopIfTrue="1" operator="between">
      <formula>3000</formula>
      <formula>9000</formula>
    </cfRule>
    <cfRule type="cellIs" dxfId="2847" priority="657" stopIfTrue="1" operator="greaterThanOrEqual">
      <formula>9000</formula>
    </cfRule>
  </conditionalFormatting>
  <conditionalFormatting sqref="AG212:AJ212">
    <cfRule type="cellIs" dxfId="2846" priority="652" stopIfTrue="1" operator="lessThanOrEqual">
      <formula>3000</formula>
    </cfRule>
    <cfRule type="cellIs" dxfId="2845" priority="653" stopIfTrue="1" operator="between">
      <formula>3000</formula>
      <formula>9000</formula>
    </cfRule>
    <cfRule type="cellIs" dxfId="2844" priority="654" stopIfTrue="1" operator="greaterThanOrEqual">
      <formula>9000</formula>
    </cfRule>
  </conditionalFormatting>
  <conditionalFormatting sqref="V218:Y218">
    <cfRule type="cellIs" dxfId="2843" priority="637" stopIfTrue="1" operator="lessThanOrEqual">
      <formula>3000</formula>
    </cfRule>
    <cfRule type="cellIs" dxfId="2842" priority="638" stopIfTrue="1" operator="between">
      <formula>3000</formula>
      <formula>9000</formula>
    </cfRule>
    <cfRule type="cellIs" dxfId="2841" priority="639" stopIfTrue="1" operator="greaterThanOrEqual">
      <formula>9000</formula>
    </cfRule>
  </conditionalFormatting>
  <conditionalFormatting sqref="AA218:AD218">
    <cfRule type="cellIs" dxfId="2840" priority="634" stopIfTrue="1" operator="lessThanOrEqual">
      <formula>3000</formula>
    </cfRule>
    <cfRule type="cellIs" dxfId="2839" priority="635" stopIfTrue="1" operator="between">
      <formula>3000</formula>
      <formula>9000</formula>
    </cfRule>
    <cfRule type="cellIs" dxfId="2838" priority="636" stopIfTrue="1" operator="greaterThanOrEqual">
      <formula>9000</formula>
    </cfRule>
  </conditionalFormatting>
  <conditionalFormatting sqref="AF218">
    <cfRule type="cellIs" dxfId="2837" priority="631" stopIfTrue="1" operator="lessThanOrEqual">
      <formula>3000</formula>
    </cfRule>
    <cfRule type="cellIs" dxfId="2836" priority="632" stopIfTrue="1" operator="between">
      <formula>3000</formula>
      <formula>9000</formula>
    </cfRule>
    <cfRule type="cellIs" dxfId="2835" priority="633" stopIfTrue="1" operator="greaterThanOrEqual">
      <formula>9000</formula>
    </cfRule>
  </conditionalFormatting>
  <conditionalFormatting sqref="AG218:AJ218">
    <cfRule type="cellIs" dxfId="2834" priority="628" stopIfTrue="1" operator="lessThanOrEqual">
      <formula>3000</formula>
    </cfRule>
    <cfRule type="cellIs" dxfId="2833" priority="629" stopIfTrue="1" operator="between">
      <formula>3000</formula>
      <formula>9000</formula>
    </cfRule>
    <cfRule type="cellIs" dxfId="2832" priority="630" stopIfTrue="1" operator="greaterThanOrEqual">
      <formula>9000</formula>
    </cfRule>
  </conditionalFormatting>
  <conditionalFormatting sqref="V230:Y230">
    <cfRule type="cellIs" dxfId="2831" priority="613" stopIfTrue="1" operator="lessThanOrEqual">
      <formula>3000</formula>
    </cfRule>
    <cfRule type="cellIs" dxfId="2830" priority="614" stopIfTrue="1" operator="between">
      <formula>3000</formula>
      <formula>9000</formula>
    </cfRule>
    <cfRule type="cellIs" dxfId="2829" priority="615" stopIfTrue="1" operator="greaterThanOrEqual">
      <formula>9000</formula>
    </cfRule>
  </conditionalFormatting>
  <conditionalFormatting sqref="AA230:AD230">
    <cfRule type="cellIs" dxfId="2828" priority="610" stopIfTrue="1" operator="lessThanOrEqual">
      <formula>3000</formula>
    </cfRule>
    <cfRule type="cellIs" dxfId="2827" priority="611" stopIfTrue="1" operator="between">
      <formula>3000</formula>
      <formula>9000</formula>
    </cfRule>
    <cfRule type="cellIs" dxfId="2826" priority="612" stopIfTrue="1" operator="greaterThanOrEqual">
      <formula>9000</formula>
    </cfRule>
  </conditionalFormatting>
  <conditionalFormatting sqref="AF230">
    <cfRule type="cellIs" dxfId="2825" priority="607" stopIfTrue="1" operator="lessThanOrEqual">
      <formula>3000</formula>
    </cfRule>
    <cfRule type="cellIs" dxfId="2824" priority="608" stopIfTrue="1" operator="between">
      <formula>3000</formula>
      <formula>9000</formula>
    </cfRule>
    <cfRule type="cellIs" dxfId="2823" priority="609" stopIfTrue="1" operator="greaterThanOrEqual">
      <formula>9000</formula>
    </cfRule>
  </conditionalFormatting>
  <conditionalFormatting sqref="AG230:AJ230">
    <cfRule type="cellIs" dxfId="2822" priority="604" stopIfTrue="1" operator="lessThanOrEqual">
      <formula>3000</formula>
    </cfRule>
    <cfRule type="cellIs" dxfId="2821" priority="605" stopIfTrue="1" operator="between">
      <formula>3000</formula>
      <formula>9000</formula>
    </cfRule>
    <cfRule type="cellIs" dxfId="2820" priority="606" stopIfTrue="1" operator="greaterThanOrEqual">
      <formula>9000</formula>
    </cfRule>
  </conditionalFormatting>
  <conditionalFormatting sqref="V242:Y242">
    <cfRule type="cellIs" dxfId="2819" priority="601" stopIfTrue="1" operator="lessThanOrEqual">
      <formula>3000</formula>
    </cfRule>
    <cfRule type="cellIs" dxfId="2818" priority="602" stopIfTrue="1" operator="between">
      <formula>3000</formula>
      <formula>9000</formula>
    </cfRule>
    <cfRule type="cellIs" dxfId="2817" priority="603" stopIfTrue="1" operator="greaterThanOrEqual">
      <formula>9000</formula>
    </cfRule>
  </conditionalFormatting>
  <conditionalFormatting sqref="AA242:AD242">
    <cfRule type="cellIs" dxfId="2816" priority="598" stopIfTrue="1" operator="lessThanOrEqual">
      <formula>3000</formula>
    </cfRule>
    <cfRule type="cellIs" dxfId="2815" priority="599" stopIfTrue="1" operator="between">
      <formula>3000</formula>
      <formula>9000</formula>
    </cfRule>
    <cfRule type="cellIs" dxfId="2814" priority="600" stopIfTrue="1" operator="greaterThanOrEqual">
      <formula>9000</formula>
    </cfRule>
  </conditionalFormatting>
  <conditionalFormatting sqref="AF242">
    <cfRule type="cellIs" dxfId="2813" priority="595" stopIfTrue="1" operator="lessThanOrEqual">
      <formula>3000</formula>
    </cfRule>
    <cfRule type="cellIs" dxfId="2812" priority="596" stopIfTrue="1" operator="between">
      <formula>3000</formula>
      <formula>9000</formula>
    </cfRule>
    <cfRule type="cellIs" dxfId="2811" priority="597" stopIfTrue="1" operator="greaterThanOrEqual">
      <formula>9000</formula>
    </cfRule>
  </conditionalFormatting>
  <conditionalFormatting sqref="AG242:AJ242">
    <cfRule type="cellIs" dxfId="2810" priority="592" stopIfTrue="1" operator="lessThanOrEqual">
      <formula>3000</formula>
    </cfRule>
    <cfRule type="cellIs" dxfId="2809" priority="593" stopIfTrue="1" operator="between">
      <formula>3000</formula>
      <formula>9000</formula>
    </cfRule>
    <cfRule type="cellIs" dxfId="2808" priority="594" stopIfTrue="1" operator="greaterThanOrEqual">
      <formula>9000</formula>
    </cfRule>
  </conditionalFormatting>
  <conditionalFormatting sqref="V248:Y248">
    <cfRule type="cellIs" dxfId="2807" priority="589" stopIfTrue="1" operator="lessThanOrEqual">
      <formula>3000</formula>
    </cfRule>
    <cfRule type="cellIs" dxfId="2806" priority="590" stopIfTrue="1" operator="between">
      <formula>3000</formula>
      <formula>9000</formula>
    </cfRule>
    <cfRule type="cellIs" dxfId="2805" priority="591" stopIfTrue="1" operator="greaterThanOrEqual">
      <formula>9000</formula>
    </cfRule>
  </conditionalFormatting>
  <conditionalFormatting sqref="AA248:AD248">
    <cfRule type="cellIs" dxfId="2804" priority="586" stopIfTrue="1" operator="lessThanOrEqual">
      <formula>3000</formula>
    </cfRule>
    <cfRule type="cellIs" dxfId="2803" priority="587" stopIfTrue="1" operator="between">
      <formula>3000</formula>
      <formula>9000</formula>
    </cfRule>
    <cfRule type="cellIs" dxfId="2802" priority="588" stopIfTrue="1" operator="greaterThanOrEqual">
      <formula>9000</formula>
    </cfRule>
  </conditionalFormatting>
  <conditionalFormatting sqref="AF248">
    <cfRule type="cellIs" dxfId="2801" priority="583" stopIfTrue="1" operator="lessThanOrEqual">
      <formula>3000</formula>
    </cfRule>
    <cfRule type="cellIs" dxfId="2800" priority="584" stopIfTrue="1" operator="between">
      <formula>3000</formula>
      <formula>9000</formula>
    </cfRule>
    <cfRule type="cellIs" dxfId="2799" priority="585" stopIfTrue="1" operator="greaterThanOrEqual">
      <formula>9000</formula>
    </cfRule>
  </conditionalFormatting>
  <conditionalFormatting sqref="AG248:AJ248">
    <cfRule type="cellIs" dxfId="2798" priority="580" stopIfTrue="1" operator="lessThanOrEqual">
      <formula>3000</formula>
    </cfRule>
    <cfRule type="cellIs" dxfId="2797" priority="581" stopIfTrue="1" operator="between">
      <formula>3000</formula>
      <formula>9000</formula>
    </cfRule>
    <cfRule type="cellIs" dxfId="2796" priority="582" stopIfTrue="1" operator="greaterThanOrEqual">
      <formula>9000</formula>
    </cfRule>
  </conditionalFormatting>
  <conditionalFormatting sqref="AG254:AJ254">
    <cfRule type="cellIs" dxfId="2795" priority="568" stopIfTrue="1" operator="lessThanOrEqual">
      <formula>3000</formula>
    </cfRule>
    <cfRule type="cellIs" dxfId="2794" priority="569" stopIfTrue="1" operator="between">
      <formula>3000</formula>
      <formula>9000</formula>
    </cfRule>
    <cfRule type="cellIs" dxfId="2793" priority="570" stopIfTrue="1" operator="greaterThanOrEqual">
      <formula>9000</formula>
    </cfRule>
  </conditionalFormatting>
  <conditionalFormatting sqref="V260:Y260">
    <cfRule type="cellIs" dxfId="2792" priority="565" stopIfTrue="1" operator="lessThanOrEqual">
      <formula>3000</formula>
    </cfRule>
    <cfRule type="cellIs" dxfId="2791" priority="566" stopIfTrue="1" operator="between">
      <formula>3000</formula>
      <formula>9000</formula>
    </cfRule>
    <cfRule type="cellIs" dxfId="2790" priority="567" stopIfTrue="1" operator="greaterThanOrEqual">
      <formula>9000</formula>
    </cfRule>
  </conditionalFormatting>
  <conditionalFormatting sqref="AA260:AD260">
    <cfRule type="cellIs" dxfId="2789" priority="562" stopIfTrue="1" operator="lessThanOrEqual">
      <formula>3000</formula>
    </cfRule>
    <cfRule type="cellIs" dxfId="2788" priority="563" stopIfTrue="1" operator="between">
      <formula>3000</formula>
      <formula>9000</formula>
    </cfRule>
    <cfRule type="cellIs" dxfId="2787" priority="564" stopIfTrue="1" operator="greaterThanOrEqual">
      <formula>9000</formula>
    </cfRule>
  </conditionalFormatting>
  <conditionalFormatting sqref="AF260">
    <cfRule type="cellIs" dxfId="2786" priority="559" stopIfTrue="1" operator="lessThanOrEqual">
      <formula>3000</formula>
    </cfRule>
    <cfRule type="cellIs" dxfId="2785" priority="560" stopIfTrue="1" operator="between">
      <formula>3000</formula>
      <formula>9000</formula>
    </cfRule>
    <cfRule type="cellIs" dxfId="2784" priority="561" stopIfTrue="1" operator="greaterThanOrEqual">
      <formula>9000</formula>
    </cfRule>
  </conditionalFormatting>
  <conditionalFormatting sqref="V266:Y266">
    <cfRule type="cellIs" dxfId="2783" priority="553" stopIfTrue="1" operator="lessThanOrEqual">
      <formula>3000</formula>
    </cfRule>
    <cfRule type="cellIs" dxfId="2782" priority="554" stopIfTrue="1" operator="between">
      <formula>3000</formula>
      <formula>9000</formula>
    </cfRule>
    <cfRule type="cellIs" dxfId="2781" priority="555" stopIfTrue="1" operator="greaterThanOrEqual">
      <formula>9000</formula>
    </cfRule>
  </conditionalFormatting>
  <conditionalFormatting sqref="AA266:AD266">
    <cfRule type="cellIs" dxfId="2780" priority="550" stopIfTrue="1" operator="lessThanOrEqual">
      <formula>3000</formula>
    </cfRule>
    <cfRule type="cellIs" dxfId="2779" priority="551" stopIfTrue="1" operator="between">
      <formula>3000</formula>
      <formula>9000</formula>
    </cfRule>
    <cfRule type="cellIs" dxfId="2778" priority="552" stopIfTrue="1" operator="greaterThanOrEqual">
      <formula>9000</formula>
    </cfRule>
  </conditionalFormatting>
  <conditionalFormatting sqref="AF266">
    <cfRule type="cellIs" dxfId="2777" priority="547" stopIfTrue="1" operator="lessThanOrEqual">
      <formula>3000</formula>
    </cfRule>
    <cfRule type="cellIs" dxfId="2776" priority="548" stopIfTrue="1" operator="between">
      <formula>3000</formula>
      <formula>9000</formula>
    </cfRule>
    <cfRule type="cellIs" dxfId="2775" priority="549" stopIfTrue="1" operator="greaterThanOrEqual">
      <formula>9000</formula>
    </cfRule>
  </conditionalFormatting>
  <conditionalFormatting sqref="AG260:AJ260">
    <cfRule type="cellIs" dxfId="2774" priority="556" stopIfTrue="1" operator="lessThanOrEqual">
      <formula>3000</formula>
    </cfRule>
    <cfRule type="cellIs" dxfId="2773" priority="557" stopIfTrue="1" operator="between">
      <formula>3000</formula>
      <formula>9000</formula>
    </cfRule>
    <cfRule type="cellIs" dxfId="2772" priority="558" stopIfTrue="1" operator="greaterThanOrEqual">
      <formula>9000</formula>
    </cfRule>
  </conditionalFormatting>
  <conditionalFormatting sqref="V272:Y272">
    <cfRule type="cellIs" dxfId="2771" priority="541" stopIfTrue="1" operator="lessThanOrEqual">
      <formula>3000</formula>
    </cfRule>
    <cfRule type="cellIs" dxfId="2770" priority="542" stopIfTrue="1" operator="between">
      <formula>3000</formula>
      <formula>9000</formula>
    </cfRule>
    <cfRule type="cellIs" dxfId="2769" priority="543" stopIfTrue="1" operator="greaterThanOrEqual">
      <formula>9000</formula>
    </cfRule>
  </conditionalFormatting>
  <conditionalFormatting sqref="AA272:AD272">
    <cfRule type="cellIs" dxfId="2768" priority="538" stopIfTrue="1" operator="lessThanOrEqual">
      <formula>3000</formula>
    </cfRule>
    <cfRule type="cellIs" dxfId="2767" priority="539" stopIfTrue="1" operator="between">
      <formula>3000</formula>
      <formula>9000</formula>
    </cfRule>
    <cfRule type="cellIs" dxfId="2766" priority="540" stopIfTrue="1" operator="greaterThanOrEqual">
      <formula>9000</formula>
    </cfRule>
  </conditionalFormatting>
  <conditionalFormatting sqref="AF272">
    <cfRule type="cellIs" dxfId="2765" priority="535" stopIfTrue="1" operator="lessThanOrEqual">
      <formula>3000</formula>
    </cfRule>
    <cfRule type="cellIs" dxfId="2764" priority="536" stopIfTrue="1" operator="between">
      <formula>3000</formula>
      <formula>9000</formula>
    </cfRule>
    <cfRule type="cellIs" dxfId="2763" priority="537" stopIfTrue="1" operator="greaterThanOrEqual">
      <formula>9000</formula>
    </cfRule>
  </conditionalFormatting>
  <conditionalFormatting sqref="AG266:AJ266">
    <cfRule type="cellIs" dxfId="2762" priority="544" stopIfTrue="1" operator="lessThanOrEqual">
      <formula>3000</formula>
    </cfRule>
    <cfRule type="cellIs" dxfId="2761" priority="545" stopIfTrue="1" operator="between">
      <formula>3000</formula>
      <formula>9000</formula>
    </cfRule>
    <cfRule type="cellIs" dxfId="2760" priority="546" stopIfTrue="1" operator="greaterThanOrEqual">
      <formula>9000</formula>
    </cfRule>
  </conditionalFormatting>
  <conditionalFormatting sqref="V278:Y278">
    <cfRule type="cellIs" dxfId="2759" priority="529" stopIfTrue="1" operator="lessThanOrEqual">
      <formula>3000</formula>
    </cfRule>
    <cfRule type="cellIs" dxfId="2758" priority="530" stopIfTrue="1" operator="between">
      <formula>3000</formula>
      <formula>9000</formula>
    </cfRule>
    <cfRule type="cellIs" dxfId="2757" priority="531" stopIfTrue="1" operator="greaterThanOrEqual">
      <formula>9000</formula>
    </cfRule>
  </conditionalFormatting>
  <conditionalFormatting sqref="AA278:AD278">
    <cfRule type="cellIs" dxfId="2756" priority="526" stopIfTrue="1" operator="lessThanOrEqual">
      <formula>3000</formula>
    </cfRule>
    <cfRule type="cellIs" dxfId="2755" priority="527" stopIfTrue="1" operator="between">
      <formula>3000</formula>
      <formula>9000</formula>
    </cfRule>
    <cfRule type="cellIs" dxfId="2754" priority="528" stopIfTrue="1" operator="greaterThanOrEqual">
      <formula>9000</formula>
    </cfRule>
  </conditionalFormatting>
  <conditionalFormatting sqref="AF278">
    <cfRule type="cellIs" dxfId="2753" priority="523" stopIfTrue="1" operator="lessThanOrEqual">
      <formula>3000</formula>
    </cfRule>
    <cfRule type="cellIs" dxfId="2752" priority="524" stopIfTrue="1" operator="between">
      <formula>3000</formula>
      <formula>9000</formula>
    </cfRule>
    <cfRule type="cellIs" dxfId="2751" priority="525" stopIfTrue="1" operator="greaterThanOrEqual">
      <formula>9000</formula>
    </cfRule>
  </conditionalFormatting>
  <conditionalFormatting sqref="AG272:AJ272">
    <cfRule type="cellIs" dxfId="2750" priority="532" stopIfTrue="1" operator="lessThanOrEqual">
      <formula>3000</formula>
    </cfRule>
    <cfRule type="cellIs" dxfId="2749" priority="533" stopIfTrue="1" operator="between">
      <formula>3000</formula>
      <formula>9000</formula>
    </cfRule>
    <cfRule type="cellIs" dxfId="2748" priority="534" stopIfTrue="1" operator="greaterThanOrEqual">
      <formula>9000</formula>
    </cfRule>
  </conditionalFormatting>
  <conditionalFormatting sqref="AG278:AJ278">
    <cfRule type="cellIs" dxfId="2747" priority="520" stopIfTrue="1" operator="lessThanOrEqual">
      <formula>3000</formula>
    </cfRule>
    <cfRule type="cellIs" dxfId="2746" priority="521" stopIfTrue="1" operator="between">
      <formula>3000</formula>
      <formula>9000</formula>
    </cfRule>
    <cfRule type="cellIs" dxfId="2745" priority="522" stopIfTrue="1" operator="greaterThanOrEqual">
      <formula>9000</formula>
    </cfRule>
  </conditionalFormatting>
  <conditionalFormatting sqref="V284:Y284">
    <cfRule type="cellIs" dxfId="2744" priority="517" stopIfTrue="1" operator="lessThanOrEqual">
      <formula>3000</formula>
    </cfRule>
    <cfRule type="cellIs" dxfId="2743" priority="518" stopIfTrue="1" operator="between">
      <formula>3000</formula>
      <formula>9000</formula>
    </cfRule>
    <cfRule type="cellIs" dxfId="2742" priority="519" stopIfTrue="1" operator="greaterThanOrEqual">
      <formula>9000</formula>
    </cfRule>
  </conditionalFormatting>
  <conditionalFormatting sqref="AA284:AD284">
    <cfRule type="cellIs" dxfId="2741" priority="514" stopIfTrue="1" operator="lessThanOrEqual">
      <formula>3000</formula>
    </cfRule>
    <cfRule type="cellIs" dxfId="2740" priority="515" stopIfTrue="1" operator="between">
      <formula>3000</formula>
      <formula>9000</formula>
    </cfRule>
    <cfRule type="cellIs" dxfId="2739" priority="516" stopIfTrue="1" operator="greaterThanOrEqual">
      <formula>9000</formula>
    </cfRule>
  </conditionalFormatting>
  <conditionalFormatting sqref="AF284">
    <cfRule type="cellIs" dxfId="2738" priority="511" stopIfTrue="1" operator="lessThanOrEqual">
      <formula>3000</formula>
    </cfRule>
    <cfRule type="cellIs" dxfId="2737" priority="512" stopIfTrue="1" operator="between">
      <formula>3000</formula>
      <formula>9000</formula>
    </cfRule>
    <cfRule type="cellIs" dxfId="2736" priority="513" stopIfTrue="1" operator="greaterThanOrEqual">
      <formula>9000</formula>
    </cfRule>
  </conditionalFormatting>
  <conditionalFormatting sqref="AG284:AJ284">
    <cfRule type="cellIs" dxfId="2735" priority="508" stopIfTrue="1" operator="lessThanOrEqual">
      <formula>3000</formula>
    </cfRule>
    <cfRule type="cellIs" dxfId="2734" priority="509" stopIfTrue="1" operator="between">
      <formula>3000</formula>
      <formula>9000</formula>
    </cfRule>
    <cfRule type="cellIs" dxfId="2733" priority="510" stopIfTrue="1" operator="greaterThanOrEqual">
      <formula>9000</formula>
    </cfRule>
  </conditionalFormatting>
  <conditionalFormatting sqref="V290:Y290">
    <cfRule type="cellIs" dxfId="2732" priority="505" stopIfTrue="1" operator="lessThanOrEqual">
      <formula>3000</formula>
    </cfRule>
    <cfRule type="cellIs" dxfId="2731" priority="506" stopIfTrue="1" operator="between">
      <formula>3000</formula>
      <formula>9000</formula>
    </cfRule>
    <cfRule type="cellIs" dxfId="2730" priority="507" stopIfTrue="1" operator="greaterThanOrEqual">
      <formula>9000</formula>
    </cfRule>
  </conditionalFormatting>
  <conditionalFormatting sqref="AA290:AD290">
    <cfRule type="cellIs" dxfId="2729" priority="502" stopIfTrue="1" operator="lessThanOrEqual">
      <formula>3000</formula>
    </cfRule>
    <cfRule type="cellIs" dxfId="2728" priority="503" stopIfTrue="1" operator="between">
      <formula>3000</formula>
      <formula>9000</formula>
    </cfRule>
    <cfRule type="cellIs" dxfId="2727" priority="504" stopIfTrue="1" operator="greaterThanOrEqual">
      <formula>9000</formula>
    </cfRule>
  </conditionalFormatting>
  <conditionalFormatting sqref="AF290">
    <cfRule type="cellIs" dxfId="2726" priority="499" stopIfTrue="1" operator="lessThanOrEqual">
      <formula>3000</formula>
    </cfRule>
    <cfRule type="cellIs" dxfId="2725" priority="500" stopIfTrue="1" operator="between">
      <formula>3000</formula>
      <formula>9000</formula>
    </cfRule>
    <cfRule type="cellIs" dxfId="2724" priority="501" stopIfTrue="1" operator="greaterThanOrEqual">
      <formula>9000</formula>
    </cfRule>
  </conditionalFormatting>
  <conditionalFormatting sqref="AG290:AJ290">
    <cfRule type="cellIs" dxfId="2723" priority="496" stopIfTrue="1" operator="lessThanOrEqual">
      <formula>3000</formula>
    </cfRule>
    <cfRule type="cellIs" dxfId="2722" priority="497" stopIfTrue="1" operator="between">
      <formula>3000</formula>
      <formula>9000</formula>
    </cfRule>
    <cfRule type="cellIs" dxfId="2721" priority="498" stopIfTrue="1" operator="greaterThanOrEqual">
      <formula>9000</formula>
    </cfRule>
  </conditionalFormatting>
  <conditionalFormatting sqref="V296:Y296 V164:Y164">
    <cfRule type="cellIs" dxfId="2720" priority="493" stopIfTrue="1" operator="lessThanOrEqual">
      <formula>3000</formula>
    </cfRule>
    <cfRule type="cellIs" dxfId="2719" priority="494" stopIfTrue="1" operator="between">
      <formula>3000</formula>
      <formula>9000</formula>
    </cfRule>
    <cfRule type="cellIs" dxfId="2718" priority="495" stopIfTrue="1" operator="greaterThanOrEqual">
      <formula>9000</formula>
    </cfRule>
  </conditionalFormatting>
  <conditionalFormatting sqref="AA296:AD296 AA164:AD164">
    <cfRule type="cellIs" dxfId="2717" priority="490" stopIfTrue="1" operator="lessThanOrEqual">
      <formula>3000</formula>
    </cfRule>
    <cfRule type="cellIs" dxfId="2716" priority="491" stopIfTrue="1" operator="between">
      <formula>3000</formula>
      <formula>9000</formula>
    </cfRule>
    <cfRule type="cellIs" dxfId="2715" priority="492" stopIfTrue="1" operator="greaterThanOrEqual">
      <formula>9000</formula>
    </cfRule>
  </conditionalFormatting>
  <conditionalFormatting sqref="AF296 AF164">
    <cfRule type="cellIs" dxfId="2714" priority="487" stopIfTrue="1" operator="lessThanOrEqual">
      <formula>3000</formula>
    </cfRule>
    <cfRule type="cellIs" dxfId="2713" priority="488" stopIfTrue="1" operator="between">
      <formula>3000</formula>
      <formula>9000</formula>
    </cfRule>
    <cfRule type="cellIs" dxfId="2712" priority="489" stopIfTrue="1" operator="greaterThanOrEqual">
      <formula>9000</formula>
    </cfRule>
  </conditionalFormatting>
  <conditionalFormatting sqref="AG296:AJ296 AG164:AJ164">
    <cfRule type="cellIs" dxfId="2711" priority="484" stopIfTrue="1" operator="lessThanOrEqual">
      <formula>3000</formula>
    </cfRule>
    <cfRule type="cellIs" dxfId="2710" priority="485" stopIfTrue="1" operator="between">
      <formula>3000</formula>
      <formula>9000</formula>
    </cfRule>
    <cfRule type="cellIs" dxfId="2709" priority="486" stopIfTrue="1" operator="greaterThanOrEqual">
      <formula>9000</formula>
    </cfRule>
  </conditionalFormatting>
  <conditionalFormatting sqref="V302:Y302">
    <cfRule type="cellIs" dxfId="2708" priority="481" stopIfTrue="1" operator="lessThanOrEqual">
      <formula>3000</formula>
    </cfRule>
    <cfRule type="cellIs" dxfId="2707" priority="482" stopIfTrue="1" operator="between">
      <formula>3000</formula>
      <formula>9000</formula>
    </cfRule>
    <cfRule type="cellIs" dxfId="2706" priority="483" stopIfTrue="1" operator="greaterThanOrEqual">
      <formula>9000</formula>
    </cfRule>
  </conditionalFormatting>
  <conditionalFormatting sqref="AA302:AD302">
    <cfRule type="cellIs" dxfId="2705" priority="478" stopIfTrue="1" operator="lessThanOrEqual">
      <formula>3000</formula>
    </cfRule>
    <cfRule type="cellIs" dxfId="2704" priority="479" stopIfTrue="1" operator="between">
      <formula>3000</formula>
      <formula>9000</formula>
    </cfRule>
    <cfRule type="cellIs" dxfId="2703" priority="480" stopIfTrue="1" operator="greaterThanOrEqual">
      <formula>9000</formula>
    </cfRule>
  </conditionalFormatting>
  <conditionalFormatting sqref="AF302">
    <cfRule type="cellIs" dxfId="2702" priority="475" stopIfTrue="1" operator="lessThanOrEqual">
      <formula>3000</formula>
    </cfRule>
    <cfRule type="cellIs" dxfId="2701" priority="476" stopIfTrue="1" operator="between">
      <formula>3000</formula>
      <formula>9000</formula>
    </cfRule>
    <cfRule type="cellIs" dxfId="2700" priority="477" stopIfTrue="1" operator="greaterThanOrEqual">
      <formula>9000</formula>
    </cfRule>
  </conditionalFormatting>
  <conditionalFormatting sqref="AG302:AJ302">
    <cfRule type="cellIs" dxfId="2699" priority="472" stopIfTrue="1" operator="lessThanOrEqual">
      <formula>3000</formula>
    </cfRule>
    <cfRule type="cellIs" dxfId="2698" priority="473" stopIfTrue="1" operator="between">
      <formula>3000</formula>
      <formula>9000</formula>
    </cfRule>
    <cfRule type="cellIs" dxfId="2697" priority="474" stopIfTrue="1" operator="greaterThanOrEqual">
      <formula>9000</formula>
    </cfRule>
  </conditionalFormatting>
  <conditionalFormatting sqref="AA110:AD110">
    <cfRule type="cellIs" dxfId="2696" priority="466" stopIfTrue="1" operator="lessThanOrEqual">
      <formula>3000</formula>
    </cfRule>
    <cfRule type="cellIs" dxfId="2695" priority="467" stopIfTrue="1" operator="between">
      <formula>3000</formula>
      <formula>9000</formula>
    </cfRule>
    <cfRule type="cellIs" dxfId="2694" priority="468" stopIfTrue="1" operator="greaterThanOrEqual">
      <formula>9000</formula>
    </cfRule>
  </conditionalFormatting>
  <conditionalFormatting sqref="AF110">
    <cfRule type="cellIs" dxfId="2693" priority="463" stopIfTrue="1" operator="lessThanOrEqual">
      <formula>3000</formula>
    </cfRule>
    <cfRule type="cellIs" dxfId="2692" priority="464" stopIfTrue="1" operator="between">
      <formula>3000</formula>
      <formula>9000</formula>
    </cfRule>
    <cfRule type="cellIs" dxfId="2691" priority="465" stopIfTrue="1" operator="greaterThanOrEqual">
      <formula>9000</formula>
    </cfRule>
  </conditionalFormatting>
  <conditionalFormatting sqref="V110:Y110">
    <cfRule type="cellIs" dxfId="2690" priority="469" stopIfTrue="1" operator="lessThanOrEqual">
      <formula>3000</formula>
    </cfRule>
    <cfRule type="cellIs" dxfId="2689" priority="470" stopIfTrue="1" operator="between">
      <formula>3000</formula>
      <formula>9000</formula>
    </cfRule>
    <cfRule type="cellIs" dxfId="2688" priority="471" stopIfTrue="1" operator="greaterThanOrEqual">
      <formula>9000</formula>
    </cfRule>
  </conditionalFormatting>
  <conditionalFormatting sqref="AG110:AJ110">
    <cfRule type="cellIs" dxfId="2687" priority="460" stopIfTrue="1" operator="lessThanOrEqual">
      <formula>3000</formula>
    </cfRule>
    <cfRule type="cellIs" dxfId="2686" priority="461" stopIfTrue="1" operator="between">
      <formula>3000</formula>
      <formula>9000</formula>
    </cfRule>
    <cfRule type="cellIs" dxfId="2685" priority="462" stopIfTrue="1" operator="greaterThanOrEqual">
      <formula>9000</formula>
    </cfRule>
  </conditionalFormatting>
  <conditionalFormatting sqref="AF188">
    <cfRule type="cellIs" dxfId="2684" priority="451" stopIfTrue="1" operator="lessThanOrEqual">
      <formula>3000</formula>
    </cfRule>
    <cfRule type="cellIs" dxfId="2683" priority="452" stopIfTrue="1" operator="between">
      <formula>3000</formula>
      <formula>9000</formula>
    </cfRule>
    <cfRule type="cellIs" dxfId="2682" priority="453" stopIfTrue="1" operator="greaterThanOrEqual">
      <formula>9000</formula>
    </cfRule>
  </conditionalFormatting>
  <conditionalFormatting sqref="AG188:AJ188">
    <cfRule type="cellIs" dxfId="2681" priority="448" stopIfTrue="1" operator="lessThanOrEqual">
      <formula>3000</formula>
    </cfRule>
    <cfRule type="cellIs" dxfId="2680" priority="449" stopIfTrue="1" operator="between">
      <formula>3000</formula>
      <formula>9000</formula>
    </cfRule>
    <cfRule type="cellIs" dxfId="2679" priority="450" stopIfTrue="1" operator="greaterThanOrEqual">
      <formula>9000</formula>
    </cfRule>
  </conditionalFormatting>
  <conditionalFormatting sqref="V188:Y188">
    <cfRule type="cellIs" dxfId="2678" priority="457" stopIfTrue="1" operator="lessThanOrEqual">
      <formula>3000</formula>
    </cfRule>
    <cfRule type="cellIs" dxfId="2677" priority="458" stopIfTrue="1" operator="between">
      <formula>3000</formula>
      <formula>9000</formula>
    </cfRule>
    <cfRule type="cellIs" dxfId="2676" priority="459" stopIfTrue="1" operator="greaterThanOrEqual">
      <formula>9000</formula>
    </cfRule>
  </conditionalFormatting>
  <conditionalFormatting sqref="AA188:AD188">
    <cfRule type="cellIs" dxfId="2675" priority="454" stopIfTrue="1" operator="lessThanOrEqual">
      <formula>3000</formula>
    </cfRule>
    <cfRule type="cellIs" dxfId="2674" priority="455" stopIfTrue="1" operator="between">
      <formula>3000</formula>
      <formula>9000</formula>
    </cfRule>
    <cfRule type="cellIs" dxfId="2673" priority="456" stopIfTrue="1" operator="greaterThanOrEqual">
      <formula>9000</formula>
    </cfRule>
  </conditionalFormatting>
  <conditionalFormatting sqref="V236:Y236">
    <cfRule type="cellIs" dxfId="2672" priority="445" stopIfTrue="1" operator="lessThanOrEqual">
      <formula>3000</formula>
    </cfRule>
    <cfRule type="cellIs" dxfId="2671" priority="446" stopIfTrue="1" operator="between">
      <formula>3000</formula>
      <formula>9000</formula>
    </cfRule>
    <cfRule type="cellIs" dxfId="2670" priority="447" stopIfTrue="1" operator="greaterThanOrEqual">
      <formula>9000</formula>
    </cfRule>
  </conditionalFormatting>
  <conditionalFormatting sqref="AA236:AD236">
    <cfRule type="cellIs" dxfId="2669" priority="442" stopIfTrue="1" operator="lessThanOrEqual">
      <formula>3000</formula>
    </cfRule>
    <cfRule type="cellIs" dxfId="2668" priority="443" stopIfTrue="1" operator="between">
      <formula>3000</formula>
      <formula>9000</formula>
    </cfRule>
    <cfRule type="cellIs" dxfId="2667" priority="444" stopIfTrue="1" operator="greaterThanOrEqual">
      <formula>9000</formula>
    </cfRule>
  </conditionalFormatting>
  <conditionalFormatting sqref="AF236">
    <cfRule type="cellIs" dxfId="2666" priority="439" stopIfTrue="1" operator="lessThanOrEqual">
      <formula>3000</formula>
    </cfRule>
    <cfRule type="cellIs" dxfId="2665" priority="440" stopIfTrue="1" operator="between">
      <formula>3000</formula>
      <formula>9000</formula>
    </cfRule>
    <cfRule type="cellIs" dxfId="2664" priority="441" stopIfTrue="1" operator="greaterThanOrEqual">
      <formula>9000</formula>
    </cfRule>
  </conditionalFormatting>
  <conditionalFormatting sqref="AG236:AJ236">
    <cfRule type="cellIs" dxfId="2663" priority="436" stopIfTrue="1" operator="lessThanOrEqual">
      <formula>3000</formula>
    </cfRule>
    <cfRule type="cellIs" dxfId="2662" priority="437" stopIfTrue="1" operator="between">
      <formula>3000</formula>
      <formula>9000</formula>
    </cfRule>
    <cfRule type="cellIs" dxfId="2661" priority="438" stopIfTrue="1" operator="greaterThanOrEqual">
      <formula>9000</formula>
    </cfRule>
  </conditionalFormatting>
  <conditionalFormatting sqref="V308:Y308">
    <cfRule type="cellIs" dxfId="2660" priority="409" stopIfTrue="1" operator="lessThanOrEqual">
      <formula>3000</formula>
    </cfRule>
    <cfRule type="cellIs" dxfId="2659" priority="410" stopIfTrue="1" operator="between">
      <formula>3000</formula>
      <formula>9000</formula>
    </cfRule>
    <cfRule type="cellIs" dxfId="2658" priority="411" stopIfTrue="1" operator="greaterThanOrEqual">
      <formula>9000</formula>
    </cfRule>
  </conditionalFormatting>
  <conditionalFormatting sqref="AA308:AD308">
    <cfRule type="cellIs" dxfId="2657" priority="406" stopIfTrue="1" operator="lessThanOrEqual">
      <formula>3000</formula>
    </cfRule>
    <cfRule type="cellIs" dxfId="2656" priority="407" stopIfTrue="1" operator="between">
      <formula>3000</formula>
      <formula>9000</formula>
    </cfRule>
    <cfRule type="cellIs" dxfId="2655" priority="408" stopIfTrue="1" operator="greaterThanOrEqual">
      <formula>9000</formula>
    </cfRule>
  </conditionalFormatting>
  <conditionalFormatting sqref="AF308">
    <cfRule type="cellIs" dxfId="2654" priority="403" stopIfTrue="1" operator="lessThanOrEqual">
      <formula>3000</formula>
    </cfRule>
    <cfRule type="cellIs" dxfId="2653" priority="404" stopIfTrue="1" operator="between">
      <formula>3000</formula>
      <formula>9000</formula>
    </cfRule>
    <cfRule type="cellIs" dxfId="2652" priority="405" stopIfTrue="1" operator="greaterThanOrEqual">
      <formula>9000</formula>
    </cfRule>
  </conditionalFormatting>
  <conditionalFormatting sqref="AG308:AJ308">
    <cfRule type="cellIs" dxfId="2651" priority="400" stopIfTrue="1" operator="lessThanOrEqual">
      <formula>3000</formula>
    </cfRule>
    <cfRule type="cellIs" dxfId="2650" priority="401" stopIfTrue="1" operator="between">
      <formula>3000</formula>
      <formula>9000</formula>
    </cfRule>
    <cfRule type="cellIs" dxfId="2649" priority="402" stopIfTrue="1" operator="greaterThanOrEqual">
      <formula>9000</formula>
    </cfRule>
  </conditionalFormatting>
  <conditionalFormatting sqref="V314:Y314">
    <cfRule type="cellIs" dxfId="2648" priority="397" stopIfTrue="1" operator="lessThanOrEqual">
      <formula>3000</formula>
    </cfRule>
    <cfRule type="cellIs" dxfId="2647" priority="398" stopIfTrue="1" operator="between">
      <formula>3000</formula>
      <formula>9000</formula>
    </cfRule>
    <cfRule type="cellIs" dxfId="2646" priority="399" stopIfTrue="1" operator="greaterThanOrEqual">
      <formula>9000</formula>
    </cfRule>
  </conditionalFormatting>
  <conditionalFormatting sqref="AA314:AD314">
    <cfRule type="cellIs" dxfId="2645" priority="394" stopIfTrue="1" operator="lessThanOrEqual">
      <formula>3000</formula>
    </cfRule>
    <cfRule type="cellIs" dxfId="2644" priority="395" stopIfTrue="1" operator="between">
      <formula>3000</formula>
      <formula>9000</formula>
    </cfRule>
    <cfRule type="cellIs" dxfId="2643" priority="396" stopIfTrue="1" operator="greaterThanOrEqual">
      <formula>9000</formula>
    </cfRule>
  </conditionalFormatting>
  <conditionalFormatting sqref="AF314">
    <cfRule type="cellIs" dxfId="2642" priority="391" stopIfTrue="1" operator="lessThanOrEqual">
      <formula>3000</formula>
    </cfRule>
    <cfRule type="cellIs" dxfId="2641" priority="392" stopIfTrue="1" operator="between">
      <formula>3000</formula>
      <formula>9000</formula>
    </cfRule>
    <cfRule type="cellIs" dxfId="2640" priority="393" stopIfTrue="1" operator="greaterThanOrEqual">
      <formula>9000</formula>
    </cfRule>
  </conditionalFormatting>
  <conditionalFormatting sqref="AG314:AJ314">
    <cfRule type="cellIs" dxfId="2639" priority="388" stopIfTrue="1" operator="lessThanOrEqual">
      <formula>3000</formula>
    </cfRule>
    <cfRule type="cellIs" dxfId="2638" priority="389" stopIfTrue="1" operator="between">
      <formula>3000</formula>
      <formula>9000</formula>
    </cfRule>
    <cfRule type="cellIs" dxfId="2637" priority="390" stopIfTrue="1" operator="greaterThanOrEqual">
      <formula>9000</formula>
    </cfRule>
  </conditionalFormatting>
  <conditionalFormatting sqref="V326:Y326">
    <cfRule type="cellIs" dxfId="2636" priority="385" stopIfTrue="1" operator="lessThanOrEqual">
      <formula>3000</formula>
    </cfRule>
    <cfRule type="cellIs" dxfId="2635" priority="386" stopIfTrue="1" operator="between">
      <formula>3000</formula>
      <formula>9000</formula>
    </cfRule>
    <cfRule type="cellIs" dxfId="2634" priority="387" stopIfTrue="1" operator="greaterThanOrEqual">
      <formula>9000</formula>
    </cfRule>
  </conditionalFormatting>
  <conditionalFormatting sqref="AA326:AD326">
    <cfRule type="cellIs" dxfId="2633" priority="382" stopIfTrue="1" operator="lessThanOrEqual">
      <formula>3000</formula>
    </cfRule>
    <cfRule type="cellIs" dxfId="2632" priority="383" stopIfTrue="1" operator="between">
      <formula>3000</formula>
      <formula>9000</formula>
    </cfRule>
    <cfRule type="cellIs" dxfId="2631" priority="384" stopIfTrue="1" operator="greaterThanOrEqual">
      <formula>9000</formula>
    </cfRule>
  </conditionalFormatting>
  <conditionalFormatting sqref="AF326">
    <cfRule type="cellIs" dxfId="2630" priority="379" stopIfTrue="1" operator="lessThanOrEqual">
      <formula>3000</formula>
    </cfRule>
    <cfRule type="cellIs" dxfId="2629" priority="380" stopIfTrue="1" operator="between">
      <formula>3000</formula>
      <formula>9000</formula>
    </cfRule>
    <cfRule type="cellIs" dxfId="2628" priority="381" stopIfTrue="1" operator="greaterThanOrEqual">
      <formula>9000</formula>
    </cfRule>
  </conditionalFormatting>
  <conditionalFormatting sqref="AG326:AJ326">
    <cfRule type="cellIs" dxfId="2627" priority="376" stopIfTrue="1" operator="lessThanOrEqual">
      <formula>3000</formula>
    </cfRule>
    <cfRule type="cellIs" dxfId="2626" priority="377" stopIfTrue="1" operator="between">
      <formula>3000</formula>
      <formula>9000</formula>
    </cfRule>
    <cfRule type="cellIs" dxfId="2625" priority="378" stopIfTrue="1" operator="greaterThanOrEqual">
      <formula>9000</formula>
    </cfRule>
  </conditionalFormatting>
  <conditionalFormatting sqref="V338:Y338">
    <cfRule type="cellIs" dxfId="2624" priority="373" stopIfTrue="1" operator="lessThanOrEqual">
      <formula>3000</formula>
    </cfRule>
    <cfRule type="cellIs" dxfId="2623" priority="374" stopIfTrue="1" operator="between">
      <formula>3000</formula>
      <formula>9000</formula>
    </cfRule>
    <cfRule type="cellIs" dxfId="2622" priority="375" stopIfTrue="1" operator="greaterThanOrEqual">
      <formula>9000</formula>
    </cfRule>
  </conditionalFormatting>
  <conditionalFormatting sqref="AA338:AD338">
    <cfRule type="cellIs" dxfId="2621" priority="370" stopIfTrue="1" operator="lessThanOrEqual">
      <formula>3000</formula>
    </cfRule>
    <cfRule type="cellIs" dxfId="2620" priority="371" stopIfTrue="1" operator="between">
      <formula>3000</formula>
      <formula>9000</formula>
    </cfRule>
    <cfRule type="cellIs" dxfId="2619" priority="372" stopIfTrue="1" operator="greaterThanOrEqual">
      <formula>9000</formula>
    </cfRule>
  </conditionalFormatting>
  <conditionalFormatting sqref="AF338">
    <cfRule type="cellIs" dxfId="2618" priority="367" stopIfTrue="1" operator="lessThanOrEqual">
      <formula>3000</formula>
    </cfRule>
    <cfRule type="cellIs" dxfId="2617" priority="368" stopIfTrue="1" operator="between">
      <formula>3000</formula>
      <formula>9000</formula>
    </cfRule>
    <cfRule type="cellIs" dxfId="2616" priority="369" stopIfTrue="1" operator="greaterThanOrEqual">
      <formula>9000</formula>
    </cfRule>
  </conditionalFormatting>
  <conditionalFormatting sqref="AG338:AJ338">
    <cfRule type="cellIs" dxfId="2615" priority="364" stopIfTrue="1" operator="lessThanOrEqual">
      <formula>3000</formula>
    </cfRule>
    <cfRule type="cellIs" dxfId="2614" priority="365" stopIfTrue="1" operator="between">
      <formula>3000</formula>
      <formula>9000</formula>
    </cfRule>
    <cfRule type="cellIs" dxfId="2613" priority="366" stopIfTrue="1" operator="greaterThanOrEqual">
      <formula>9000</formula>
    </cfRule>
  </conditionalFormatting>
  <conditionalFormatting sqref="V344:Y344">
    <cfRule type="cellIs" dxfId="2612" priority="361" stopIfTrue="1" operator="lessThanOrEqual">
      <formula>3000</formula>
    </cfRule>
    <cfRule type="cellIs" dxfId="2611" priority="362" stopIfTrue="1" operator="between">
      <formula>3000</formula>
      <formula>9000</formula>
    </cfRule>
    <cfRule type="cellIs" dxfId="2610" priority="363" stopIfTrue="1" operator="greaterThanOrEqual">
      <formula>9000</formula>
    </cfRule>
  </conditionalFormatting>
  <conditionalFormatting sqref="AA344:AD344">
    <cfRule type="cellIs" dxfId="2609" priority="358" stopIfTrue="1" operator="lessThanOrEqual">
      <formula>3000</formula>
    </cfRule>
    <cfRule type="cellIs" dxfId="2608" priority="359" stopIfTrue="1" operator="between">
      <formula>3000</formula>
      <formula>9000</formula>
    </cfRule>
    <cfRule type="cellIs" dxfId="2607" priority="360" stopIfTrue="1" operator="greaterThanOrEqual">
      <formula>9000</formula>
    </cfRule>
  </conditionalFormatting>
  <conditionalFormatting sqref="AF344">
    <cfRule type="cellIs" dxfId="2606" priority="355" stopIfTrue="1" operator="lessThanOrEqual">
      <formula>3000</formula>
    </cfRule>
    <cfRule type="cellIs" dxfId="2605" priority="356" stopIfTrue="1" operator="between">
      <formula>3000</formula>
      <formula>9000</formula>
    </cfRule>
    <cfRule type="cellIs" dxfId="2604" priority="357" stopIfTrue="1" operator="greaterThanOrEqual">
      <formula>9000</formula>
    </cfRule>
  </conditionalFormatting>
  <conditionalFormatting sqref="AG344:AJ344">
    <cfRule type="cellIs" dxfId="2603" priority="352" stopIfTrue="1" operator="lessThanOrEqual">
      <formula>3000</formula>
    </cfRule>
    <cfRule type="cellIs" dxfId="2602" priority="353" stopIfTrue="1" operator="between">
      <formula>3000</formula>
      <formula>9000</formula>
    </cfRule>
    <cfRule type="cellIs" dxfId="2601" priority="354" stopIfTrue="1" operator="greaterThanOrEqual">
      <formula>9000</formula>
    </cfRule>
  </conditionalFormatting>
  <conditionalFormatting sqref="E356:H356">
    <cfRule type="cellIs" dxfId="2600" priority="349" stopIfTrue="1" operator="lessThanOrEqual">
      <formula>3000</formula>
    </cfRule>
    <cfRule type="cellIs" dxfId="2599" priority="350" stopIfTrue="1" operator="between">
      <formula>3000</formula>
      <formula>9000</formula>
    </cfRule>
    <cfRule type="cellIs" dxfId="2598" priority="351" stopIfTrue="1" operator="greaterThanOrEqual">
      <formula>9000</formula>
    </cfRule>
  </conditionalFormatting>
  <conditionalFormatting sqref="J356:M356">
    <cfRule type="cellIs" dxfId="2597" priority="346" stopIfTrue="1" operator="lessThanOrEqual">
      <formula>3000</formula>
    </cfRule>
    <cfRule type="cellIs" dxfId="2596" priority="347" stopIfTrue="1" operator="between">
      <formula>3000</formula>
      <formula>9000</formula>
    </cfRule>
    <cfRule type="cellIs" dxfId="2595" priority="348" stopIfTrue="1" operator="greaterThanOrEqual">
      <formula>9000</formula>
    </cfRule>
  </conditionalFormatting>
  <conditionalFormatting sqref="O356">
    <cfRule type="cellIs" dxfId="2594" priority="343" stopIfTrue="1" operator="lessThanOrEqual">
      <formula>3000</formula>
    </cfRule>
    <cfRule type="cellIs" dxfId="2593" priority="344" stopIfTrue="1" operator="between">
      <formula>3000</formula>
      <formula>9000</formula>
    </cfRule>
    <cfRule type="cellIs" dxfId="2592" priority="345" stopIfTrue="1" operator="greaterThanOrEqual">
      <formula>9000</formula>
    </cfRule>
  </conditionalFormatting>
  <conditionalFormatting sqref="P356:S356">
    <cfRule type="cellIs" dxfId="2591" priority="340" stopIfTrue="1" operator="lessThanOrEqual">
      <formula>3000</formula>
    </cfRule>
    <cfRule type="cellIs" dxfId="2590" priority="341" stopIfTrue="1" operator="between">
      <formula>3000</formula>
      <formula>9000</formula>
    </cfRule>
    <cfRule type="cellIs" dxfId="2589" priority="342" stopIfTrue="1" operator="greaterThanOrEqual">
      <formula>9000</formula>
    </cfRule>
  </conditionalFormatting>
  <conditionalFormatting sqref="E362:H362">
    <cfRule type="cellIs" dxfId="2588" priority="337" stopIfTrue="1" operator="lessThanOrEqual">
      <formula>3000</formula>
    </cfRule>
    <cfRule type="cellIs" dxfId="2587" priority="338" stopIfTrue="1" operator="between">
      <formula>3000</formula>
      <formula>9000</formula>
    </cfRule>
    <cfRule type="cellIs" dxfId="2586" priority="339" stopIfTrue="1" operator="greaterThanOrEqual">
      <formula>9000</formula>
    </cfRule>
  </conditionalFormatting>
  <conditionalFormatting sqref="J362:M362">
    <cfRule type="cellIs" dxfId="2585" priority="334" stopIfTrue="1" operator="lessThanOrEqual">
      <formula>3000</formula>
    </cfRule>
    <cfRule type="cellIs" dxfId="2584" priority="335" stopIfTrue="1" operator="between">
      <formula>3000</formula>
      <formula>9000</formula>
    </cfRule>
    <cfRule type="cellIs" dxfId="2583" priority="336" stopIfTrue="1" operator="greaterThanOrEqual">
      <formula>9000</formula>
    </cfRule>
  </conditionalFormatting>
  <conditionalFormatting sqref="O362">
    <cfRule type="cellIs" dxfId="2582" priority="331" stopIfTrue="1" operator="lessThanOrEqual">
      <formula>3000</formula>
    </cfRule>
    <cfRule type="cellIs" dxfId="2581" priority="332" stopIfTrue="1" operator="between">
      <formula>3000</formula>
      <formula>9000</formula>
    </cfRule>
    <cfRule type="cellIs" dxfId="2580" priority="333" stopIfTrue="1" operator="greaterThanOrEqual">
      <formula>9000</formula>
    </cfRule>
  </conditionalFormatting>
  <conditionalFormatting sqref="P362:S362">
    <cfRule type="cellIs" dxfId="2579" priority="328" stopIfTrue="1" operator="lessThanOrEqual">
      <formula>3000</formula>
    </cfRule>
    <cfRule type="cellIs" dxfId="2578" priority="329" stopIfTrue="1" operator="between">
      <formula>3000</formula>
      <formula>9000</formula>
    </cfRule>
    <cfRule type="cellIs" dxfId="2577" priority="330" stopIfTrue="1" operator="greaterThanOrEqual">
      <formula>9000</formula>
    </cfRule>
  </conditionalFormatting>
  <conditionalFormatting sqref="V356:Y356">
    <cfRule type="cellIs" dxfId="2576" priority="325" stopIfTrue="1" operator="lessThanOrEqual">
      <formula>3000</formula>
    </cfRule>
    <cfRule type="cellIs" dxfId="2575" priority="326" stopIfTrue="1" operator="between">
      <formula>3000</formula>
      <formula>9000</formula>
    </cfRule>
    <cfRule type="cellIs" dxfId="2574" priority="327" stopIfTrue="1" operator="greaterThanOrEqual">
      <formula>9000</formula>
    </cfRule>
  </conditionalFormatting>
  <conditionalFormatting sqref="AA356:AD356">
    <cfRule type="cellIs" dxfId="2573" priority="322" stopIfTrue="1" operator="lessThanOrEqual">
      <formula>3000</formula>
    </cfRule>
    <cfRule type="cellIs" dxfId="2572" priority="323" stopIfTrue="1" operator="between">
      <formula>3000</formula>
      <formula>9000</formula>
    </cfRule>
    <cfRule type="cellIs" dxfId="2571" priority="324" stopIfTrue="1" operator="greaterThanOrEqual">
      <formula>9000</formula>
    </cfRule>
  </conditionalFormatting>
  <conditionalFormatting sqref="AF356">
    <cfRule type="cellIs" dxfId="2570" priority="319" stopIfTrue="1" operator="lessThanOrEqual">
      <formula>3000</formula>
    </cfRule>
    <cfRule type="cellIs" dxfId="2569" priority="320" stopIfTrue="1" operator="between">
      <formula>3000</formula>
      <formula>9000</formula>
    </cfRule>
    <cfRule type="cellIs" dxfId="2568" priority="321" stopIfTrue="1" operator="greaterThanOrEqual">
      <formula>9000</formula>
    </cfRule>
  </conditionalFormatting>
  <conditionalFormatting sqref="AG356:AJ356">
    <cfRule type="cellIs" dxfId="2567" priority="316" stopIfTrue="1" operator="lessThanOrEqual">
      <formula>3000</formula>
    </cfRule>
    <cfRule type="cellIs" dxfId="2566" priority="317" stopIfTrue="1" operator="between">
      <formula>3000</formula>
      <formula>9000</formula>
    </cfRule>
    <cfRule type="cellIs" dxfId="2565" priority="318" stopIfTrue="1" operator="greaterThanOrEqual">
      <formula>9000</formula>
    </cfRule>
  </conditionalFormatting>
  <conditionalFormatting sqref="V362:Y362">
    <cfRule type="cellIs" dxfId="2564" priority="313" stopIfTrue="1" operator="lessThanOrEqual">
      <formula>3000</formula>
    </cfRule>
    <cfRule type="cellIs" dxfId="2563" priority="314" stopIfTrue="1" operator="between">
      <formula>3000</formula>
      <formula>9000</formula>
    </cfRule>
    <cfRule type="cellIs" dxfId="2562" priority="315" stopIfTrue="1" operator="greaterThanOrEqual">
      <formula>9000</formula>
    </cfRule>
  </conditionalFormatting>
  <conditionalFormatting sqref="AA362:AD362">
    <cfRule type="cellIs" dxfId="2561" priority="310" stopIfTrue="1" operator="lessThanOrEqual">
      <formula>3000</formula>
    </cfRule>
    <cfRule type="cellIs" dxfId="2560" priority="311" stopIfTrue="1" operator="between">
      <formula>3000</formula>
      <formula>9000</formula>
    </cfRule>
    <cfRule type="cellIs" dxfId="2559" priority="312" stopIfTrue="1" operator="greaterThanOrEqual">
      <formula>9000</formula>
    </cfRule>
  </conditionalFormatting>
  <conditionalFormatting sqref="AF362">
    <cfRule type="cellIs" dxfId="2558" priority="307" stopIfTrue="1" operator="lessThanOrEqual">
      <formula>3000</formula>
    </cfRule>
    <cfRule type="cellIs" dxfId="2557" priority="308" stopIfTrue="1" operator="between">
      <formula>3000</formula>
      <formula>9000</formula>
    </cfRule>
    <cfRule type="cellIs" dxfId="2556" priority="309" stopIfTrue="1" operator="greaterThanOrEqual">
      <formula>9000</formula>
    </cfRule>
  </conditionalFormatting>
  <conditionalFormatting sqref="AG362:AJ362">
    <cfRule type="cellIs" dxfId="2555" priority="304" stopIfTrue="1" operator="lessThanOrEqual">
      <formula>3000</formula>
    </cfRule>
    <cfRule type="cellIs" dxfId="2554" priority="305" stopIfTrue="1" operator="between">
      <formula>3000</formula>
      <formula>9000</formula>
    </cfRule>
    <cfRule type="cellIs" dxfId="2553" priority="306" stopIfTrue="1" operator="greaterThanOrEqual">
      <formula>9000</formula>
    </cfRule>
  </conditionalFormatting>
  <conditionalFormatting sqref="A363:A368">
    <cfRule type="duplicateValues" dxfId="2552" priority="301"/>
    <cfRule type="duplicateValues" dxfId="2551" priority="302"/>
    <cfRule type="duplicateValues" dxfId="2550" priority="303"/>
  </conditionalFormatting>
  <conditionalFormatting sqref="E368:H368">
    <cfRule type="cellIs" dxfId="2549" priority="298" stopIfTrue="1" operator="lessThanOrEqual">
      <formula>3000</formula>
    </cfRule>
    <cfRule type="cellIs" dxfId="2548" priority="299" stopIfTrue="1" operator="between">
      <formula>3000</formula>
      <formula>9000</formula>
    </cfRule>
    <cfRule type="cellIs" dxfId="2547" priority="300" stopIfTrue="1" operator="greaterThanOrEqual">
      <formula>9000</formula>
    </cfRule>
  </conditionalFormatting>
  <conditionalFormatting sqref="J368:M368">
    <cfRule type="cellIs" dxfId="2546" priority="295" stopIfTrue="1" operator="lessThanOrEqual">
      <formula>3000</formula>
    </cfRule>
    <cfRule type="cellIs" dxfId="2545" priority="296" stopIfTrue="1" operator="between">
      <formula>3000</formula>
      <formula>9000</formula>
    </cfRule>
    <cfRule type="cellIs" dxfId="2544" priority="297" stopIfTrue="1" operator="greaterThanOrEqual">
      <formula>9000</formula>
    </cfRule>
  </conditionalFormatting>
  <conditionalFormatting sqref="O368">
    <cfRule type="cellIs" dxfId="2543" priority="292" stopIfTrue="1" operator="lessThanOrEqual">
      <formula>3000</formula>
    </cfRule>
    <cfRule type="cellIs" dxfId="2542" priority="293" stopIfTrue="1" operator="between">
      <formula>3000</formula>
      <formula>9000</formula>
    </cfRule>
    <cfRule type="cellIs" dxfId="2541" priority="294" stopIfTrue="1" operator="greaterThanOrEqual">
      <formula>9000</formula>
    </cfRule>
  </conditionalFormatting>
  <conditionalFormatting sqref="P368:S368">
    <cfRule type="cellIs" dxfId="2540" priority="289" stopIfTrue="1" operator="lessThanOrEqual">
      <formula>3000</formula>
    </cfRule>
    <cfRule type="cellIs" dxfId="2539" priority="290" stopIfTrue="1" operator="between">
      <formula>3000</formula>
      <formula>9000</formula>
    </cfRule>
    <cfRule type="cellIs" dxfId="2538" priority="291" stopIfTrue="1" operator="greaterThanOrEqual">
      <formula>9000</formula>
    </cfRule>
  </conditionalFormatting>
  <conditionalFormatting sqref="V368:Y368">
    <cfRule type="cellIs" dxfId="2537" priority="286" stopIfTrue="1" operator="lessThanOrEqual">
      <formula>3000</formula>
    </cfRule>
    <cfRule type="cellIs" dxfId="2536" priority="287" stopIfTrue="1" operator="between">
      <formula>3000</formula>
      <formula>9000</formula>
    </cfRule>
    <cfRule type="cellIs" dxfId="2535" priority="288" stopIfTrue="1" operator="greaterThanOrEqual">
      <formula>9000</formula>
    </cfRule>
  </conditionalFormatting>
  <conditionalFormatting sqref="AA368:AD368">
    <cfRule type="cellIs" dxfId="2534" priority="283" stopIfTrue="1" operator="lessThanOrEqual">
      <formula>3000</formula>
    </cfRule>
    <cfRule type="cellIs" dxfId="2533" priority="284" stopIfTrue="1" operator="between">
      <formula>3000</formula>
      <formula>9000</formula>
    </cfRule>
    <cfRule type="cellIs" dxfId="2532" priority="285" stopIfTrue="1" operator="greaterThanOrEqual">
      <formula>9000</formula>
    </cfRule>
  </conditionalFormatting>
  <conditionalFormatting sqref="AF368">
    <cfRule type="cellIs" dxfId="2531" priority="280" stopIfTrue="1" operator="lessThanOrEqual">
      <formula>3000</formula>
    </cfRule>
    <cfRule type="cellIs" dxfId="2530" priority="281" stopIfTrue="1" operator="between">
      <formula>3000</formula>
      <formula>9000</formula>
    </cfRule>
    <cfRule type="cellIs" dxfId="2529" priority="282" stopIfTrue="1" operator="greaterThanOrEqual">
      <formula>9000</formula>
    </cfRule>
  </conditionalFormatting>
  <conditionalFormatting sqref="AG368:AJ368">
    <cfRule type="cellIs" dxfId="2528" priority="277" stopIfTrue="1" operator="lessThanOrEqual">
      <formula>3000</formula>
    </cfRule>
    <cfRule type="cellIs" dxfId="2527" priority="278" stopIfTrue="1" operator="between">
      <formula>3000</formula>
      <formula>9000</formula>
    </cfRule>
    <cfRule type="cellIs" dxfId="2526" priority="279" stopIfTrue="1" operator="greaterThanOrEqual">
      <formula>9000</formula>
    </cfRule>
  </conditionalFormatting>
  <conditionalFormatting sqref="A345:A350">
    <cfRule type="duplicateValues" dxfId="2525" priority="274"/>
    <cfRule type="duplicateValues" dxfId="2524" priority="275"/>
    <cfRule type="duplicateValues" dxfId="2523" priority="276"/>
  </conditionalFormatting>
  <conditionalFormatting sqref="E350:H350">
    <cfRule type="cellIs" dxfId="2522" priority="271" stopIfTrue="1" operator="lessThanOrEqual">
      <formula>3000</formula>
    </cfRule>
    <cfRule type="cellIs" dxfId="2521" priority="272" stopIfTrue="1" operator="between">
      <formula>3000</formula>
      <formula>9000</formula>
    </cfRule>
    <cfRule type="cellIs" dxfId="2520" priority="273" stopIfTrue="1" operator="greaterThanOrEqual">
      <formula>9000</formula>
    </cfRule>
  </conditionalFormatting>
  <conditionalFormatting sqref="J350:M350">
    <cfRule type="cellIs" dxfId="2519" priority="268" stopIfTrue="1" operator="lessThanOrEqual">
      <formula>3000</formula>
    </cfRule>
    <cfRule type="cellIs" dxfId="2518" priority="269" stopIfTrue="1" operator="between">
      <formula>3000</formula>
      <formula>9000</formula>
    </cfRule>
    <cfRule type="cellIs" dxfId="2517" priority="270" stopIfTrue="1" operator="greaterThanOrEqual">
      <formula>9000</formula>
    </cfRule>
  </conditionalFormatting>
  <conditionalFormatting sqref="O350">
    <cfRule type="cellIs" dxfId="2516" priority="265" stopIfTrue="1" operator="lessThanOrEqual">
      <formula>3000</formula>
    </cfRule>
    <cfRule type="cellIs" dxfId="2515" priority="266" stopIfTrue="1" operator="between">
      <formula>3000</formula>
      <formula>9000</formula>
    </cfRule>
    <cfRule type="cellIs" dxfId="2514" priority="267" stopIfTrue="1" operator="greaterThanOrEqual">
      <formula>9000</formula>
    </cfRule>
  </conditionalFormatting>
  <conditionalFormatting sqref="P350:S350">
    <cfRule type="cellIs" dxfId="2513" priority="262" stopIfTrue="1" operator="lessThanOrEqual">
      <formula>3000</formula>
    </cfRule>
    <cfRule type="cellIs" dxfId="2512" priority="263" stopIfTrue="1" operator="between">
      <formula>3000</formula>
      <formula>9000</formula>
    </cfRule>
    <cfRule type="cellIs" dxfId="2511" priority="264" stopIfTrue="1" operator="greaterThanOrEqual">
      <formula>9000</formula>
    </cfRule>
  </conditionalFormatting>
  <conditionalFormatting sqref="V350:Y350">
    <cfRule type="cellIs" dxfId="2510" priority="259" stopIfTrue="1" operator="lessThanOrEqual">
      <formula>3000</formula>
    </cfRule>
    <cfRule type="cellIs" dxfId="2509" priority="260" stopIfTrue="1" operator="between">
      <formula>3000</formula>
      <formula>9000</formula>
    </cfRule>
    <cfRule type="cellIs" dxfId="2508" priority="261" stopIfTrue="1" operator="greaterThanOrEqual">
      <formula>9000</formula>
    </cfRule>
  </conditionalFormatting>
  <conditionalFormatting sqref="AA350:AD350">
    <cfRule type="cellIs" dxfId="2507" priority="256" stopIfTrue="1" operator="lessThanOrEqual">
      <formula>3000</formula>
    </cfRule>
    <cfRule type="cellIs" dxfId="2506" priority="257" stopIfTrue="1" operator="between">
      <formula>3000</formula>
      <formula>9000</formula>
    </cfRule>
    <cfRule type="cellIs" dxfId="2505" priority="258" stopIfTrue="1" operator="greaterThanOrEqual">
      <formula>9000</formula>
    </cfRule>
  </conditionalFormatting>
  <conditionalFormatting sqref="AF350">
    <cfRule type="cellIs" dxfId="2504" priority="253" stopIfTrue="1" operator="lessThanOrEqual">
      <formula>3000</formula>
    </cfRule>
    <cfRule type="cellIs" dxfId="2503" priority="254" stopIfTrue="1" operator="between">
      <formula>3000</formula>
      <formula>9000</formula>
    </cfRule>
    <cfRule type="cellIs" dxfId="2502" priority="255" stopIfTrue="1" operator="greaterThanOrEqual">
      <formula>9000</formula>
    </cfRule>
  </conditionalFormatting>
  <conditionalFormatting sqref="AG350:AJ350">
    <cfRule type="cellIs" dxfId="2501" priority="250" stopIfTrue="1" operator="lessThanOrEqual">
      <formula>3000</formula>
    </cfRule>
    <cfRule type="cellIs" dxfId="2500" priority="251" stopIfTrue="1" operator="between">
      <formula>3000</formula>
      <formula>9000</formula>
    </cfRule>
    <cfRule type="cellIs" dxfId="2499" priority="252" stopIfTrue="1" operator="greaterThanOrEqual">
      <formula>9000</formula>
    </cfRule>
  </conditionalFormatting>
  <conditionalFormatting sqref="A327:A332">
    <cfRule type="duplicateValues" dxfId="2498" priority="247"/>
    <cfRule type="duplicateValues" dxfId="2497" priority="248"/>
    <cfRule type="duplicateValues" dxfId="2496" priority="249"/>
  </conditionalFormatting>
  <conditionalFormatting sqref="E332:H332">
    <cfRule type="cellIs" dxfId="2495" priority="244" stopIfTrue="1" operator="lessThanOrEqual">
      <formula>3000</formula>
    </cfRule>
    <cfRule type="cellIs" dxfId="2494" priority="245" stopIfTrue="1" operator="between">
      <formula>3000</formula>
      <formula>9000</formula>
    </cfRule>
    <cfRule type="cellIs" dxfId="2493" priority="246" stopIfTrue="1" operator="greaterThanOrEqual">
      <formula>9000</formula>
    </cfRule>
  </conditionalFormatting>
  <conditionalFormatting sqref="J332:M332">
    <cfRule type="cellIs" dxfId="2492" priority="241" stopIfTrue="1" operator="lessThanOrEqual">
      <formula>3000</formula>
    </cfRule>
    <cfRule type="cellIs" dxfId="2491" priority="242" stopIfTrue="1" operator="between">
      <formula>3000</formula>
      <formula>9000</formula>
    </cfRule>
    <cfRule type="cellIs" dxfId="2490" priority="243" stopIfTrue="1" operator="greaterThanOrEqual">
      <formula>9000</formula>
    </cfRule>
  </conditionalFormatting>
  <conditionalFormatting sqref="O332">
    <cfRule type="cellIs" dxfId="2489" priority="238" stopIfTrue="1" operator="lessThanOrEqual">
      <formula>3000</formula>
    </cfRule>
    <cfRule type="cellIs" dxfId="2488" priority="239" stopIfTrue="1" operator="between">
      <formula>3000</formula>
      <formula>9000</formula>
    </cfRule>
    <cfRule type="cellIs" dxfId="2487" priority="240" stopIfTrue="1" operator="greaterThanOrEqual">
      <formula>9000</formula>
    </cfRule>
  </conditionalFormatting>
  <conditionalFormatting sqref="P332:S332">
    <cfRule type="cellIs" dxfId="2486" priority="235" stopIfTrue="1" operator="lessThanOrEqual">
      <formula>3000</formula>
    </cfRule>
    <cfRule type="cellIs" dxfId="2485" priority="236" stopIfTrue="1" operator="between">
      <formula>3000</formula>
      <formula>9000</formula>
    </cfRule>
    <cfRule type="cellIs" dxfId="2484" priority="237" stopIfTrue="1" operator="greaterThanOrEqual">
      <formula>9000</formula>
    </cfRule>
  </conditionalFormatting>
  <conditionalFormatting sqref="V332:Y332">
    <cfRule type="cellIs" dxfId="2483" priority="232" stopIfTrue="1" operator="lessThanOrEqual">
      <formula>3000</formula>
    </cfRule>
    <cfRule type="cellIs" dxfId="2482" priority="233" stopIfTrue="1" operator="between">
      <formula>3000</formula>
      <formula>9000</formula>
    </cfRule>
    <cfRule type="cellIs" dxfId="2481" priority="234" stopIfTrue="1" operator="greaterThanOrEqual">
      <formula>9000</formula>
    </cfRule>
  </conditionalFormatting>
  <conditionalFormatting sqref="AA332:AD332">
    <cfRule type="cellIs" dxfId="2480" priority="229" stopIfTrue="1" operator="lessThanOrEqual">
      <formula>3000</formula>
    </cfRule>
    <cfRule type="cellIs" dxfId="2479" priority="230" stopIfTrue="1" operator="between">
      <formula>3000</formula>
      <formula>9000</formula>
    </cfRule>
    <cfRule type="cellIs" dxfId="2478" priority="231" stopIfTrue="1" operator="greaterThanOrEqual">
      <formula>9000</formula>
    </cfRule>
  </conditionalFormatting>
  <conditionalFormatting sqref="AF332">
    <cfRule type="cellIs" dxfId="2477" priority="226" stopIfTrue="1" operator="lessThanOrEqual">
      <formula>3000</formula>
    </cfRule>
    <cfRule type="cellIs" dxfId="2476" priority="227" stopIfTrue="1" operator="between">
      <formula>3000</formula>
      <formula>9000</formula>
    </cfRule>
    <cfRule type="cellIs" dxfId="2475" priority="228" stopIfTrue="1" operator="greaterThanOrEqual">
      <formula>9000</formula>
    </cfRule>
  </conditionalFormatting>
  <conditionalFormatting sqref="AG332:AJ332">
    <cfRule type="cellIs" dxfId="2474" priority="223" stopIfTrue="1" operator="lessThanOrEqual">
      <formula>3000</formula>
    </cfRule>
    <cfRule type="cellIs" dxfId="2473" priority="224" stopIfTrue="1" operator="between">
      <formula>3000</formula>
      <formula>9000</formula>
    </cfRule>
    <cfRule type="cellIs" dxfId="2472" priority="225" stopIfTrue="1" operator="greaterThanOrEqual">
      <formula>9000</formula>
    </cfRule>
  </conditionalFormatting>
  <conditionalFormatting sqref="A369:A374">
    <cfRule type="duplicateValues" dxfId="2471" priority="220"/>
    <cfRule type="duplicateValues" dxfId="2470" priority="221"/>
    <cfRule type="duplicateValues" dxfId="2469" priority="222"/>
  </conditionalFormatting>
  <conditionalFormatting sqref="E374:H374">
    <cfRule type="cellIs" dxfId="2468" priority="217" stopIfTrue="1" operator="lessThanOrEqual">
      <formula>3000</formula>
    </cfRule>
    <cfRule type="cellIs" dxfId="2467" priority="218" stopIfTrue="1" operator="between">
      <formula>3000</formula>
      <formula>9000</formula>
    </cfRule>
    <cfRule type="cellIs" dxfId="2466" priority="219" stopIfTrue="1" operator="greaterThanOrEqual">
      <formula>9000</formula>
    </cfRule>
  </conditionalFormatting>
  <conditionalFormatting sqref="J374:M374">
    <cfRule type="cellIs" dxfId="2465" priority="214" stopIfTrue="1" operator="lessThanOrEqual">
      <formula>3000</formula>
    </cfRule>
    <cfRule type="cellIs" dxfId="2464" priority="215" stopIfTrue="1" operator="between">
      <formula>3000</formula>
      <formula>9000</formula>
    </cfRule>
    <cfRule type="cellIs" dxfId="2463" priority="216" stopIfTrue="1" operator="greaterThanOrEqual">
      <formula>9000</formula>
    </cfRule>
  </conditionalFormatting>
  <conditionalFormatting sqref="O374">
    <cfRule type="cellIs" dxfId="2462" priority="211" stopIfTrue="1" operator="lessThanOrEqual">
      <formula>3000</formula>
    </cfRule>
    <cfRule type="cellIs" dxfId="2461" priority="212" stopIfTrue="1" operator="between">
      <formula>3000</formula>
      <formula>9000</formula>
    </cfRule>
    <cfRule type="cellIs" dxfId="2460" priority="213" stopIfTrue="1" operator="greaterThanOrEqual">
      <formula>9000</formula>
    </cfRule>
  </conditionalFormatting>
  <conditionalFormatting sqref="P374:S374">
    <cfRule type="cellIs" dxfId="2459" priority="208" stopIfTrue="1" operator="lessThanOrEqual">
      <formula>3000</formula>
    </cfRule>
    <cfRule type="cellIs" dxfId="2458" priority="209" stopIfTrue="1" operator="between">
      <formula>3000</formula>
      <formula>9000</formula>
    </cfRule>
    <cfRule type="cellIs" dxfId="2457" priority="210" stopIfTrue="1" operator="greaterThanOrEqual">
      <formula>9000</formula>
    </cfRule>
  </conditionalFormatting>
  <conditionalFormatting sqref="V374:Y374">
    <cfRule type="cellIs" dxfId="2456" priority="205" stopIfTrue="1" operator="lessThanOrEqual">
      <formula>3000</formula>
    </cfRule>
    <cfRule type="cellIs" dxfId="2455" priority="206" stopIfTrue="1" operator="between">
      <formula>3000</formula>
      <formula>9000</formula>
    </cfRule>
    <cfRule type="cellIs" dxfId="2454" priority="207" stopIfTrue="1" operator="greaterThanOrEqual">
      <formula>9000</formula>
    </cfRule>
  </conditionalFormatting>
  <conditionalFormatting sqref="AA374:AD374">
    <cfRule type="cellIs" dxfId="2453" priority="202" stopIfTrue="1" operator="lessThanOrEqual">
      <formula>3000</formula>
    </cfRule>
    <cfRule type="cellIs" dxfId="2452" priority="203" stopIfTrue="1" operator="between">
      <formula>3000</formula>
      <formula>9000</formula>
    </cfRule>
    <cfRule type="cellIs" dxfId="2451" priority="204" stopIfTrue="1" operator="greaterThanOrEqual">
      <formula>9000</formula>
    </cfRule>
  </conditionalFormatting>
  <conditionalFormatting sqref="AF374">
    <cfRule type="cellIs" dxfId="2450" priority="199" stopIfTrue="1" operator="lessThanOrEqual">
      <formula>3000</formula>
    </cfRule>
    <cfRule type="cellIs" dxfId="2449" priority="200" stopIfTrue="1" operator="between">
      <formula>3000</formula>
      <formula>9000</formula>
    </cfRule>
    <cfRule type="cellIs" dxfId="2448" priority="201" stopIfTrue="1" operator="greaterThanOrEqual">
      <formula>9000</formula>
    </cfRule>
  </conditionalFormatting>
  <conditionalFormatting sqref="AG374:AJ374">
    <cfRule type="cellIs" dxfId="2447" priority="196" stopIfTrue="1" operator="lessThanOrEqual">
      <formula>3000</formula>
    </cfRule>
    <cfRule type="cellIs" dxfId="2446" priority="197" stopIfTrue="1" operator="between">
      <formula>3000</formula>
      <formula>9000</formula>
    </cfRule>
    <cfRule type="cellIs" dxfId="2445" priority="198" stopIfTrue="1" operator="greaterThanOrEqual">
      <formula>9000</formula>
    </cfRule>
  </conditionalFormatting>
  <conditionalFormatting sqref="A315:A320">
    <cfRule type="duplicateValues" dxfId="2444" priority="73"/>
    <cfRule type="duplicateValues" dxfId="2443" priority="74"/>
    <cfRule type="duplicateValues" dxfId="2442" priority="75"/>
  </conditionalFormatting>
  <conditionalFormatting sqref="E320:H320">
    <cfRule type="cellIs" dxfId="2441" priority="70" stopIfTrue="1" operator="lessThanOrEqual">
      <formula>3000</formula>
    </cfRule>
    <cfRule type="cellIs" dxfId="2440" priority="71" stopIfTrue="1" operator="between">
      <formula>3000</formula>
      <formula>9000</formula>
    </cfRule>
    <cfRule type="cellIs" dxfId="2439" priority="72" stopIfTrue="1" operator="greaterThanOrEqual">
      <formula>9000</formula>
    </cfRule>
  </conditionalFormatting>
  <conditionalFormatting sqref="J320:M320">
    <cfRule type="cellIs" dxfId="2438" priority="67" stopIfTrue="1" operator="lessThanOrEqual">
      <formula>3000</formula>
    </cfRule>
    <cfRule type="cellIs" dxfId="2437" priority="68" stopIfTrue="1" operator="between">
      <formula>3000</formula>
      <formula>9000</formula>
    </cfRule>
    <cfRule type="cellIs" dxfId="2436" priority="69" stopIfTrue="1" operator="greaterThanOrEqual">
      <formula>9000</formula>
    </cfRule>
  </conditionalFormatting>
  <conditionalFormatting sqref="O320">
    <cfRule type="cellIs" dxfId="2435" priority="64" stopIfTrue="1" operator="lessThanOrEqual">
      <formula>3000</formula>
    </cfRule>
    <cfRule type="cellIs" dxfId="2434" priority="65" stopIfTrue="1" operator="between">
      <formula>3000</formula>
      <formula>9000</formula>
    </cfRule>
    <cfRule type="cellIs" dxfId="2433" priority="66" stopIfTrue="1" operator="greaterThanOrEqual">
      <formula>9000</formula>
    </cfRule>
  </conditionalFormatting>
  <conditionalFormatting sqref="P320:S320">
    <cfRule type="cellIs" dxfId="2432" priority="61" stopIfTrue="1" operator="lessThanOrEqual">
      <formula>3000</formula>
    </cfRule>
    <cfRule type="cellIs" dxfId="2431" priority="62" stopIfTrue="1" operator="between">
      <formula>3000</formula>
      <formula>9000</formula>
    </cfRule>
    <cfRule type="cellIs" dxfId="2430" priority="63" stopIfTrue="1" operator="greaterThanOrEqual">
      <formula>9000</formula>
    </cfRule>
  </conditionalFormatting>
  <conditionalFormatting sqref="V320:Y320">
    <cfRule type="cellIs" dxfId="2429" priority="58" stopIfTrue="1" operator="lessThanOrEqual">
      <formula>3000</formula>
    </cfRule>
    <cfRule type="cellIs" dxfId="2428" priority="59" stopIfTrue="1" operator="between">
      <formula>3000</formula>
      <formula>9000</formula>
    </cfRule>
    <cfRule type="cellIs" dxfId="2427" priority="60" stopIfTrue="1" operator="greaterThanOrEqual">
      <formula>9000</formula>
    </cfRule>
  </conditionalFormatting>
  <conditionalFormatting sqref="AA320:AD320">
    <cfRule type="cellIs" dxfId="2426" priority="55" stopIfTrue="1" operator="lessThanOrEqual">
      <formula>3000</formula>
    </cfRule>
    <cfRule type="cellIs" dxfId="2425" priority="56" stopIfTrue="1" operator="between">
      <formula>3000</formula>
      <formula>9000</formula>
    </cfRule>
    <cfRule type="cellIs" dxfId="2424" priority="57" stopIfTrue="1" operator="greaterThanOrEqual">
      <formula>9000</formula>
    </cfRule>
  </conditionalFormatting>
  <conditionalFormatting sqref="AF320">
    <cfRule type="cellIs" dxfId="2423" priority="52" stopIfTrue="1" operator="lessThanOrEqual">
      <formula>3000</formula>
    </cfRule>
    <cfRule type="cellIs" dxfId="2422" priority="53" stopIfTrue="1" operator="between">
      <formula>3000</formula>
      <formula>9000</formula>
    </cfRule>
    <cfRule type="cellIs" dxfId="2421" priority="54" stopIfTrue="1" operator="greaterThanOrEqual">
      <formula>9000</formula>
    </cfRule>
  </conditionalFormatting>
  <conditionalFormatting sqref="AG320:AJ320">
    <cfRule type="cellIs" dxfId="2420" priority="49" stopIfTrue="1" operator="lessThanOrEqual">
      <formula>3000</formula>
    </cfRule>
    <cfRule type="cellIs" dxfId="2419" priority="50" stopIfTrue="1" operator="between">
      <formula>3000</formula>
      <formula>9000</formula>
    </cfRule>
    <cfRule type="cellIs" dxfId="2418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20"/>
  <sheetViews>
    <sheetView zoomScale="107" zoomScaleNormal="60" workbookViewId="0">
      <pane xSplit="1" topLeftCell="B1" activePane="topRight" state="frozen"/>
      <selection pane="topRight" activeCell="D5" sqref="D5"/>
    </sheetView>
  </sheetViews>
  <sheetFormatPr baseColWidth="10" defaultColWidth="9" defaultRowHeight="16"/>
  <cols>
    <col min="1" max="1" width="36.33203125" style="5" customWidth="1"/>
    <col min="2" max="2" width="12.6640625" style="35" bestFit="1" customWidth="1"/>
    <col min="3" max="3" width="13" style="35" customWidth="1"/>
    <col min="4" max="4" width="12.83203125" style="35" customWidth="1"/>
    <col min="5" max="20" width="11.33203125" style="35" customWidth="1"/>
    <col min="21" max="21" width="11.33203125" style="36" customWidth="1"/>
    <col min="22" max="36" width="11.33203125" style="35" customWidth="1"/>
    <col min="37" max="37" width="12.33203125" style="35" bestFit="1" customWidth="1"/>
    <col min="38" max="38" width="12.33203125" style="36" bestFit="1" customWidth="1"/>
    <col min="39" max="39" width="5.33203125" style="35" bestFit="1" customWidth="1"/>
    <col min="40" max="41" width="14.33203125" style="6" bestFit="1" customWidth="1"/>
    <col min="42" max="245" width="9" style="35"/>
    <col min="246" max="246" width="20.33203125" style="35" customWidth="1"/>
    <col min="247" max="247" width="8.33203125" style="35" customWidth="1"/>
    <col min="248" max="248" width="10" style="35" customWidth="1"/>
    <col min="249" max="249" width="8.33203125" style="35" customWidth="1"/>
    <col min="250" max="252" width="9.33203125" style="35" bestFit="1" customWidth="1"/>
    <col min="253" max="253" width="8.33203125" style="35" bestFit="1" customWidth="1"/>
    <col min="254" max="254" width="8.33203125" style="35" customWidth="1"/>
    <col min="255" max="257" width="9.33203125" style="35" bestFit="1" customWidth="1"/>
    <col min="258" max="258" width="8.33203125" style="35" bestFit="1" customWidth="1"/>
    <col min="259" max="259" width="8.33203125" style="35" customWidth="1"/>
    <col min="260" max="262" width="9.33203125" style="35" bestFit="1" customWidth="1"/>
    <col min="263" max="263" width="8.33203125" style="35" bestFit="1" customWidth="1"/>
    <col min="264" max="265" width="8.33203125" style="35" customWidth="1"/>
    <col min="266" max="266" width="9" style="35" bestFit="1" customWidth="1"/>
    <col min="267" max="501" width="9" style="35"/>
    <col min="502" max="502" width="20.33203125" style="35" customWidth="1"/>
    <col min="503" max="503" width="8.33203125" style="35" customWidth="1"/>
    <col min="504" max="504" width="10" style="35" customWidth="1"/>
    <col min="505" max="505" width="8.33203125" style="35" customWidth="1"/>
    <col min="506" max="508" width="9.33203125" style="35" bestFit="1" customWidth="1"/>
    <col min="509" max="509" width="8.33203125" style="35" bestFit="1" customWidth="1"/>
    <col min="510" max="510" width="8.33203125" style="35" customWidth="1"/>
    <col min="511" max="513" width="9.33203125" style="35" bestFit="1" customWidth="1"/>
    <col min="514" max="514" width="8.33203125" style="35" bestFit="1" customWidth="1"/>
    <col min="515" max="515" width="8.33203125" style="35" customWidth="1"/>
    <col min="516" max="518" width="9.33203125" style="35" bestFit="1" customWidth="1"/>
    <col min="519" max="519" width="8.33203125" style="35" bestFit="1" customWidth="1"/>
    <col min="520" max="521" width="8.33203125" style="35" customWidth="1"/>
    <col min="522" max="522" width="9" style="35" bestFit="1" customWidth="1"/>
    <col min="523" max="757" width="9" style="35"/>
    <col min="758" max="758" width="20.33203125" style="35" customWidth="1"/>
    <col min="759" max="759" width="8.33203125" style="35" customWidth="1"/>
    <col min="760" max="760" width="10" style="35" customWidth="1"/>
    <col min="761" max="761" width="8.33203125" style="35" customWidth="1"/>
    <col min="762" max="764" width="9.33203125" style="35" bestFit="1" customWidth="1"/>
    <col min="765" max="765" width="8.33203125" style="35" bestFit="1" customWidth="1"/>
    <col min="766" max="766" width="8.33203125" style="35" customWidth="1"/>
    <col min="767" max="769" width="9.33203125" style="35" bestFit="1" customWidth="1"/>
    <col min="770" max="770" width="8.33203125" style="35" bestFit="1" customWidth="1"/>
    <col min="771" max="771" width="8.33203125" style="35" customWidth="1"/>
    <col min="772" max="774" width="9.33203125" style="35" bestFit="1" customWidth="1"/>
    <col min="775" max="775" width="8.33203125" style="35" bestFit="1" customWidth="1"/>
    <col min="776" max="777" width="8.33203125" style="35" customWidth="1"/>
    <col min="778" max="778" width="9" style="35" bestFit="1" customWidth="1"/>
    <col min="779" max="1013" width="9" style="35"/>
    <col min="1014" max="1014" width="20.33203125" style="35" customWidth="1"/>
    <col min="1015" max="1015" width="8.33203125" style="35" customWidth="1"/>
    <col min="1016" max="1016" width="10" style="35" customWidth="1"/>
    <col min="1017" max="1017" width="8.33203125" style="35" customWidth="1"/>
    <col min="1018" max="1020" width="9.33203125" style="35" bestFit="1" customWidth="1"/>
    <col min="1021" max="1021" width="8.33203125" style="35" bestFit="1" customWidth="1"/>
    <col min="1022" max="1022" width="8.33203125" style="35" customWidth="1"/>
    <col min="1023" max="1025" width="9.33203125" style="35" bestFit="1" customWidth="1"/>
    <col min="1026" max="1026" width="8.33203125" style="35" bestFit="1" customWidth="1"/>
    <col min="1027" max="1027" width="8.33203125" style="35" customWidth="1"/>
    <col min="1028" max="1030" width="9.33203125" style="35" bestFit="1" customWidth="1"/>
    <col min="1031" max="1031" width="8.33203125" style="35" bestFit="1" customWidth="1"/>
    <col min="1032" max="1033" width="8.33203125" style="35" customWidth="1"/>
    <col min="1034" max="1034" width="9" style="35" bestFit="1" customWidth="1"/>
    <col min="1035" max="1269" width="9" style="35"/>
    <col min="1270" max="1270" width="20.33203125" style="35" customWidth="1"/>
    <col min="1271" max="1271" width="8.33203125" style="35" customWidth="1"/>
    <col min="1272" max="1272" width="10" style="35" customWidth="1"/>
    <col min="1273" max="1273" width="8.33203125" style="35" customWidth="1"/>
    <col min="1274" max="1276" width="9.33203125" style="35" bestFit="1" customWidth="1"/>
    <col min="1277" max="1277" width="8.33203125" style="35" bestFit="1" customWidth="1"/>
    <col min="1278" max="1278" width="8.33203125" style="35" customWidth="1"/>
    <col min="1279" max="1281" width="9.33203125" style="35" bestFit="1" customWidth="1"/>
    <col min="1282" max="1282" width="8.33203125" style="35" bestFit="1" customWidth="1"/>
    <col min="1283" max="1283" width="8.33203125" style="35" customWidth="1"/>
    <col min="1284" max="1286" width="9.33203125" style="35" bestFit="1" customWidth="1"/>
    <col min="1287" max="1287" width="8.33203125" style="35" bestFit="1" customWidth="1"/>
    <col min="1288" max="1289" width="8.33203125" style="35" customWidth="1"/>
    <col min="1290" max="1290" width="9" style="35" bestFit="1" customWidth="1"/>
    <col min="1291" max="1525" width="9" style="35"/>
    <col min="1526" max="1526" width="20.33203125" style="35" customWidth="1"/>
    <col min="1527" max="1527" width="8.33203125" style="35" customWidth="1"/>
    <col min="1528" max="1528" width="10" style="35" customWidth="1"/>
    <col min="1529" max="1529" width="8.33203125" style="35" customWidth="1"/>
    <col min="1530" max="1532" width="9.33203125" style="35" bestFit="1" customWidth="1"/>
    <col min="1533" max="1533" width="8.33203125" style="35" bestFit="1" customWidth="1"/>
    <col min="1534" max="1534" width="8.33203125" style="35" customWidth="1"/>
    <col min="1535" max="1537" width="9.33203125" style="35" bestFit="1" customWidth="1"/>
    <col min="1538" max="1538" width="8.33203125" style="35" bestFit="1" customWidth="1"/>
    <col min="1539" max="1539" width="8.33203125" style="35" customWidth="1"/>
    <col min="1540" max="1542" width="9.33203125" style="35" bestFit="1" customWidth="1"/>
    <col min="1543" max="1543" width="8.33203125" style="35" bestFit="1" customWidth="1"/>
    <col min="1544" max="1545" width="8.33203125" style="35" customWidth="1"/>
    <col min="1546" max="1546" width="9" style="35" bestFit="1" customWidth="1"/>
    <col min="1547" max="1781" width="9" style="35"/>
    <col min="1782" max="1782" width="20.33203125" style="35" customWidth="1"/>
    <col min="1783" max="1783" width="8.33203125" style="35" customWidth="1"/>
    <col min="1784" max="1784" width="10" style="35" customWidth="1"/>
    <col min="1785" max="1785" width="8.33203125" style="35" customWidth="1"/>
    <col min="1786" max="1788" width="9.33203125" style="35" bestFit="1" customWidth="1"/>
    <col min="1789" max="1789" width="8.33203125" style="35" bestFit="1" customWidth="1"/>
    <col min="1790" max="1790" width="8.33203125" style="35" customWidth="1"/>
    <col min="1791" max="1793" width="9.33203125" style="35" bestFit="1" customWidth="1"/>
    <col min="1794" max="1794" width="8.33203125" style="35" bestFit="1" customWidth="1"/>
    <col min="1795" max="1795" width="8.33203125" style="35" customWidth="1"/>
    <col min="1796" max="1798" width="9.33203125" style="35" bestFit="1" customWidth="1"/>
    <col min="1799" max="1799" width="8.33203125" style="35" bestFit="1" customWidth="1"/>
    <col min="1800" max="1801" width="8.33203125" style="35" customWidth="1"/>
    <col min="1802" max="1802" width="9" style="35" bestFit="1" customWidth="1"/>
    <col min="1803" max="2037" width="9" style="35"/>
    <col min="2038" max="2038" width="20.33203125" style="35" customWidth="1"/>
    <col min="2039" max="2039" width="8.33203125" style="35" customWidth="1"/>
    <col min="2040" max="2040" width="10" style="35" customWidth="1"/>
    <col min="2041" max="2041" width="8.33203125" style="35" customWidth="1"/>
    <col min="2042" max="2044" width="9.33203125" style="35" bestFit="1" customWidth="1"/>
    <col min="2045" max="2045" width="8.33203125" style="35" bestFit="1" customWidth="1"/>
    <col min="2046" max="2046" width="8.33203125" style="35" customWidth="1"/>
    <col min="2047" max="2049" width="9.33203125" style="35" bestFit="1" customWidth="1"/>
    <col min="2050" max="2050" width="8.33203125" style="35" bestFit="1" customWidth="1"/>
    <col min="2051" max="2051" width="8.33203125" style="35" customWidth="1"/>
    <col min="2052" max="2054" width="9.33203125" style="35" bestFit="1" customWidth="1"/>
    <col min="2055" max="2055" width="8.33203125" style="35" bestFit="1" customWidth="1"/>
    <col min="2056" max="2057" width="8.33203125" style="35" customWidth="1"/>
    <col min="2058" max="2058" width="9" style="35" bestFit="1" customWidth="1"/>
    <col min="2059" max="2293" width="9" style="35"/>
    <col min="2294" max="2294" width="20.33203125" style="35" customWidth="1"/>
    <col min="2295" max="2295" width="8.33203125" style="35" customWidth="1"/>
    <col min="2296" max="2296" width="10" style="35" customWidth="1"/>
    <col min="2297" max="2297" width="8.33203125" style="35" customWidth="1"/>
    <col min="2298" max="2300" width="9.33203125" style="35" bestFit="1" customWidth="1"/>
    <col min="2301" max="2301" width="8.33203125" style="35" bestFit="1" customWidth="1"/>
    <col min="2302" max="2302" width="8.33203125" style="35" customWidth="1"/>
    <col min="2303" max="2305" width="9.33203125" style="35" bestFit="1" customWidth="1"/>
    <col min="2306" max="2306" width="8.33203125" style="35" bestFit="1" customWidth="1"/>
    <col min="2307" max="2307" width="8.33203125" style="35" customWidth="1"/>
    <col min="2308" max="2310" width="9.33203125" style="35" bestFit="1" customWidth="1"/>
    <col min="2311" max="2311" width="8.33203125" style="35" bestFit="1" customWidth="1"/>
    <col min="2312" max="2313" width="8.33203125" style="35" customWidth="1"/>
    <col min="2314" max="2314" width="9" style="35" bestFit="1" customWidth="1"/>
    <col min="2315" max="2549" width="9" style="35"/>
    <col min="2550" max="2550" width="20.33203125" style="35" customWidth="1"/>
    <col min="2551" max="2551" width="8.33203125" style="35" customWidth="1"/>
    <col min="2552" max="2552" width="10" style="35" customWidth="1"/>
    <col min="2553" max="2553" width="8.33203125" style="35" customWidth="1"/>
    <col min="2554" max="2556" width="9.33203125" style="35" bestFit="1" customWidth="1"/>
    <col min="2557" max="2557" width="8.33203125" style="35" bestFit="1" customWidth="1"/>
    <col min="2558" max="2558" width="8.33203125" style="35" customWidth="1"/>
    <col min="2559" max="2561" width="9.33203125" style="35" bestFit="1" customWidth="1"/>
    <col min="2562" max="2562" width="8.33203125" style="35" bestFit="1" customWidth="1"/>
    <col min="2563" max="2563" width="8.33203125" style="35" customWidth="1"/>
    <col min="2564" max="2566" width="9.33203125" style="35" bestFit="1" customWidth="1"/>
    <col min="2567" max="2567" width="8.33203125" style="35" bestFit="1" customWidth="1"/>
    <col min="2568" max="2569" width="8.33203125" style="35" customWidth="1"/>
    <col min="2570" max="2570" width="9" style="35" bestFit="1" customWidth="1"/>
    <col min="2571" max="2805" width="9" style="35"/>
    <col min="2806" max="2806" width="20.33203125" style="35" customWidth="1"/>
    <col min="2807" max="2807" width="8.33203125" style="35" customWidth="1"/>
    <col min="2808" max="2808" width="10" style="35" customWidth="1"/>
    <col min="2809" max="2809" width="8.33203125" style="35" customWidth="1"/>
    <col min="2810" max="2812" width="9.33203125" style="35" bestFit="1" customWidth="1"/>
    <col min="2813" max="2813" width="8.33203125" style="35" bestFit="1" customWidth="1"/>
    <col min="2814" max="2814" width="8.33203125" style="35" customWidth="1"/>
    <col min="2815" max="2817" width="9.33203125" style="35" bestFit="1" customWidth="1"/>
    <col min="2818" max="2818" width="8.33203125" style="35" bestFit="1" customWidth="1"/>
    <col min="2819" max="2819" width="8.33203125" style="35" customWidth="1"/>
    <col min="2820" max="2822" width="9.33203125" style="35" bestFit="1" customWidth="1"/>
    <col min="2823" max="2823" width="8.33203125" style="35" bestFit="1" customWidth="1"/>
    <col min="2824" max="2825" width="8.33203125" style="35" customWidth="1"/>
    <col min="2826" max="2826" width="9" style="35" bestFit="1" customWidth="1"/>
    <col min="2827" max="3061" width="9" style="35"/>
    <col min="3062" max="3062" width="20.33203125" style="35" customWidth="1"/>
    <col min="3063" max="3063" width="8.33203125" style="35" customWidth="1"/>
    <col min="3064" max="3064" width="10" style="35" customWidth="1"/>
    <col min="3065" max="3065" width="8.33203125" style="35" customWidth="1"/>
    <col min="3066" max="3068" width="9.33203125" style="35" bestFit="1" customWidth="1"/>
    <col min="3069" max="3069" width="8.33203125" style="35" bestFit="1" customWidth="1"/>
    <col min="3070" max="3070" width="8.33203125" style="35" customWidth="1"/>
    <col min="3071" max="3073" width="9.33203125" style="35" bestFit="1" customWidth="1"/>
    <col min="3074" max="3074" width="8.33203125" style="35" bestFit="1" customWidth="1"/>
    <col min="3075" max="3075" width="8.33203125" style="35" customWidth="1"/>
    <col min="3076" max="3078" width="9.33203125" style="35" bestFit="1" customWidth="1"/>
    <col min="3079" max="3079" width="8.33203125" style="35" bestFit="1" customWidth="1"/>
    <col min="3080" max="3081" width="8.33203125" style="35" customWidth="1"/>
    <col min="3082" max="3082" width="9" style="35" bestFit="1" customWidth="1"/>
    <col min="3083" max="3317" width="9" style="35"/>
    <col min="3318" max="3318" width="20.33203125" style="35" customWidth="1"/>
    <col min="3319" max="3319" width="8.33203125" style="35" customWidth="1"/>
    <col min="3320" max="3320" width="10" style="35" customWidth="1"/>
    <col min="3321" max="3321" width="8.33203125" style="35" customWidth="1"/>
    <col min="3322" max="3324" width="9.33203125" style="35" bestFit="1" customWidth="1"/>
    <col min="3325" max="3325" width="8.33203125" style="35" bestFit="1" customWidth="1"/>
    <col min="3326" max="3326" width="8.33203125" style="35" customWidth="1"/>
    <col min="3327" max="3329" width="9.33203125" style="35" bestFit="1" customWidth="1"/>
    <col min="3330" max="3330" width="8.33203125" style="35" bestFit="1" customWidth="1"/>
    <col min="3331" max="3331" width="8.33203125" style="35" customWidth="1"/>
    <col min="3332" max="3334" width="9.33203125" style="35" bestFit="1" customWidth="1"/>
    <col min="3335" max="3335" width="8.33203125" style="35" bestFit="1" customWidth="1"/>
    <col min="3336" max="3337" width="8.33203125" style="35" customWidth="1"/>
    <col min="3338" max="3338" width="9" style="35" bestFit="1" customWidth="1"/>
    <col min="3339" max="3573" width="9" style="35"/>
    <col min="3574" max="3574" width="20.33203125" style="35" customWidth="1"/>
    <col min="3575" max="3575" width="8.33203125" style="35" customWidth="1"/>
    <col min="3576" max="3576" width="10" style="35" customWidth="1"/>
    <col min="3577" max="3577" width="8.33203125" style="35" customWidth="1"/>
    <col min="3578" max="3580" width="9.33203125" style="35" bestFit="1" customWidth="1"/>
    <col min="3581" max="3581" width="8.33203125" style="35" bestFit="1" customWidth="1"/>
    <col min="3582" max="3582" width="8.33203125" style="35" customWidth="1"/>
    <col min="3583" max="3585" width="9.33203125" style="35" bestFit="1" customWidth="1"/>
    <col min="3586" max="3586" width="8.33203125" style="35" bestFit="1" customWidth="1"/>
    <col min="3587" max="3587" width="8.33203125" style="35" customWidth="1"/>
    <col min="3588" max="3590" width="9.33203125" style="35" bestFit="1" customWidth="1"/>
    <col min="3591" max="3591" width="8.33203125" style="35" bestFit="1" customWidth="1"/>
    <col min="3592" max="3593" width="8.33203125" style="35" customWidth="1"/>
    <col min="3594" max="3594" width="9" style="35" bestFit="1" customWidth="1"/>
    <col min="3595" max="3829" width="9" style="35"/>
    <col min="3830" max="3830" width="20.33203125" style="35" customWidth="1"/>
    <col min="3831" max="3831" width="8.33203125" style="35" customWidth="1"/>
    <col min="3832" max="3832" width="10" style="35" customWidth="1"/>
    <col min="3833" max="3833" width="8.33203125" style="35" customWidth="1"/>
    <col min="3834" max="3836" width="9.33203125" style="35" bestFit="1" customWidth="1"/>
    <col min="3837" max="3837" width="8.33203125" style="35" bestFit="1" customWidth="1"/>
    <col min="3838" max="3838" width="8.33203125" style="35" customWidth="1"/>
    <col min="3839" max="3841" width="9.33203125" style="35" bestFit="1" customWidth="1"/>
    <col min="3842" max="3842" width="8.33203125" style="35" bestFit="1" customWidth="1"/>
    <col min="3843" max="3843" width="8.33203125" style="35" customWidth="1"/>
    <col min="3844" max="3846" width="9.33203125" style="35" bestFit="1" customWidth="1"/>
    <col min="3847" max="3847" width="8.33203125" style="35" bestFit="1" customWidth="1"/>
    <col min="3848" max="3849" width="8.33203125" style="35" customWidth="1"/>
    <col min="3850" max="3850" width="9" style="35" bestFit="1" customWidth="1"/>
    <col min="3851" max="4085" width="9" style="35"/>
    <col min="4086" max="4086" width="20.33203125" style="35" customWidth="1"/>
    <col min="4087" max="4087" width="8.33203125" style="35" customWidth="1"/>
    <col min="4088" max="4088" width="10" style="35" customWidth="1"/>
    <col min="4089" max="4089" width="8.33203125" style="35" customWidth="1"/>
    <col min="4090" max="4092" width="9.33203125" style="35" bestFit="1" customWidth="1"/>
    <col min="4093" max="4093" width="8.33203125" style="35" bestFit="1" customWidth="1"/>
    <col min="4094" max="4094" width="8.33203125" style="35" customWidth="1"/>
    <col min="4095" max="4097" width="9.33203125" style="35" bestFit="1" customWidth="1"/>
    <col min="4098" max="4098" width="8.33203125" style="35" bestFit="1" customWidth="1"/>
    <col min="4099" max="4099" width="8.33203125" style="35" customWidth="1"/>
    <col min="4100" max="4102" width="9.33203125" style="35" bestFit="1" customWidth="1"/>
    <col min="4103" max="4103" width="8.33203125" style="35" bestFit="1" customWidth="1"/>
    <col min="4104" max="4105" width="8.33203125" style="35" customWidth="1"/>
    <col min="4106" max="4106" width="9" style="35" bestFit="1" customWidth="1"/>
    <col min="4107" max="4341" width="9" style="35"/>
    <col min="4342" max="4342" width="20.33203125" style="35" customWidth="1"/>
    <col min="4343" max="4343" width="8.33203125" style="35" customWidth="1"/>
    <col min="4344" max="4344" width="10" style="35" customWidth="1"/>
    <col min="4345" max="4345" width="8.33203125" style="35" customWidth="1"/>
    <col min="4346" max="4348" width="9.33203125" style="35" bestFit="1" customWidth="1"/>
    <col min="4349" max="4349" width="8.33203125" style="35" bestFit="1" customWidth="1"/>
    <col min="4350" max="4350" width="8.33203125" style="35" customWidth="1"/>
    <col min="4351" max="4353" width="9.33203125" style="35" bestFit="1" customWidth="1"/>
    <col min="4354" max="4354" width="8.33203125" style="35" bestFit="1" customWidth="1"/>
    <col min="4355" max="4355" width="8.33203125" style="35" customWidth="1"/>
    <col min="4356" max="4358" width="9.33203125" style="35" bestFit="1" customWidth="1"/>
    <col min="4359" max="4359" width="8.33203125" style="35" bestFit="1" customWidth="1"/>
    <col min="4360" max="4361" width="8.33203125" style="35" customWidth="1"/>
    <col min="4362" max="4362" width="9" style="35" bestFit="1" customWidth="1"/>
    <col min="4363" max="4597" width="9" style="35"/>
    <col min="4598" max="4598" width="20.33203125" style="35" customWidth="1"/>
    <col min="4599" max="4599" width="8.33203125" style="35" customWidth="1"/>
    <col min="4600" max="4600" width="10" style="35" customWidth="1"/>
    <col min="4601" max="4601" width="8.33203125" style="35" customWidth="1"/>
    <col min="4602" max="4604" width="9.33203125" style="35" bestFit="1" customWidth="1"/>
    <col min="4605" max="4605" width="8.33203125" style="35" bestFit="1" customWidth="1"/>
    <col min="4606" max="4606" width="8.33203125" style="35" customWidth="1"/>
    <col min="4607" max="4609" width="9.33203125" style="35" bestFit="1" customWidth="1"/>
    <col min="4610" max="4610" width="8.33203125" style="35" bestFit="1" customWidth="1"/>
    <col min="4611" max="4611" width="8.33203125" style="35" customWidth="1"/>
    <col min="4612" max="4614" width="9.33203125" style="35" bestFit="1" customWidth="1"/>
    <col min="4615" max="4615" width="8.33203125" style="35" bestFit="1" customWidth="1"/>
    <col min="4616" max="4617" width="8.33203125" style="35" customWidth="1"/>
    <col min="4618" max="4618" width="9" style="35" bestFit="1" customWidth="1"/>
    <col min="4619" max="4853" width="9" style="35"/>
    <col min="4854" max="4854" width="20.33203125" style="35" customWidth="1"/>
    <col min="4855" max="4855" width="8.33203125" style="35" customWidth="1"/>
    <col min="4856" max="4856" width="10" style="35" customWidth="1"/>
    <col min="4857" max="4857" width="8.33203125" style="35" customWidth="1"/>
    <col min="4858" max="4860" width="9.33203125" style="35" bestFit="1" customWidth="1"/>
    <col min="4861" max="4861" width="8.33203125" style="35" bestFit="1" customWidth="1"/>
    <col min="4862" max="4862" width="8.33203125" style="35" customWidth="1"/>
    <col min="4863" max="4865" width="9.33203125" style="35" bestFit="1" customWidth="1"/>
    <col min="4866" max="4866" width="8.33203125" style="35" bestFit="1" customWidth="1"/>
    <col min="4867" max="4867" width="8.33203125" style="35" customWidth="1"/>
    <col min="4868" max="4870" width="9.33203125" style="35" bestFit="1" customWidth="1"/>
    <col min="4871" max="4871" width="8.33203125" style="35" bestFit="1" customWidth="1"/>
    <col min="4872" max="4873" width="8.33203125" style="35" customWidth="1"/>
    <col min="4874" max="4874" width="9" style="35" bestFit="1" customWidth="1"/>
    <col min="4875" max="5109" width="9" style="35"/>
    <col min="5110" max="5110" width="20.33203125" style="35" customWidth="1"/>
    <col min="5111" max="5111" width="8.33203125" style="35" customWidth="1"/>
    <col min="5112" max="5112" width="10" style="35" customWidth="1"/>
    <col min="5113" max="5113" width="8.33203125" style="35" customWidth="1"/>
    <col min="5114" max="5116" width="9.33203125" style="35" bestFit="1" customWidth="1"/>
    <col min="5117" max="5117" width="8.33203125" style="35" bestFit="1" customWidth="1"/>
    <col min="5118" max="5118" width="8.33203125" style="35" customWidth="1"/>
    <col min="5119" max="5121" width="9.33203125" style="35" bestFit="1" customWidth="1"/>
    <col min="5122" max="5122" width="8.33203125" style="35" bestFit="1" customWidth="1"/>
    <col min="5123" max="5123" width="8.33203125" style="35" customWidth="1"/>
    <col min="5124" max="5126" width="9.33203125" style="35" bestFit="1" customWidth="1"/>
    <col min="5127" max="5127" width="8.33203125" style="35" bestFit="1" customWidth="1"/>
    <col min="5128" max="5129" width="8.33203125" style="35" customWidth="1"/>
    <col min="5130" max="5130" width="9" style="35" bestFit="1" customWidth="1"/>
    <col min="5131" max="5365" width="9" style="35"/>
    <col min="5366" max="5366" width="20.33203125" style="35" customWidth="1"/>
    <col min="5367" max="5367" width="8.33203125" style="35" customWidth="1"/>
    <col min="5368" max="5368" width="10" style="35" customWidth="1"/>
    <col min="5369" max="5369" width="8.33203125" style="35" customWidth="1"/>
    <col min="5370" max="5372" width="9.33203125" style="35" bestFit="1" customWidth="1"/>
    <col min="5373" max="5373" width="8.33203125" style="35" bestFit="1" customWidth="1"/>
    <col min="5374" max="5374" width="8.33203125" style="35" customWidth="1"/>
    <col min="5375" max="5377" width="9.33203125" style="35" bestFit="1" customWidth="1"/>
    <col min="5378" max="5378" width="8.33203125" style="35" bestFit="1" customWidth="1"/>
    <col min="5379" max="5379" width="8.33203125" style="35" customWidth="1"/>
    <col min="5380" max="5382" width="9.33203125" style="35" bestFit="1" customWidth="1"/>
    <col min="5383" max="5383" width="8.33203125" style="35" bestFit="1" customWidth="1"/>
    <col min="5384" max="5385" width="8.33203125" style="35" customWidth="1"/>
    <col min="5386" max="5386" width="9" style="35" bestFit="1" customWidth="1"/>
    <col min="5387" max="5621" width="9" style="35"/>
    <col min="5622" max="5622" width="20.33203125" style="35" customWidth="1"/>
    <col min="5623" max="5623" width="8.33203125" style="35" customWidth="1"/>
    <col min="5624" max="5624" width="10" style="35" customWidth="1"/>
    <col min="5625" max="5625" width="8.33203125" style="35" customWidth="1"/>
    <col min="5626" max="5628" width="9.33203125" style="35" bestFit="1" customWidth="1"/>
    <col min="5629" max="5629" width="8.33203125" style="35" bestFit="1" customWidth="1"/>
    <col min="5630" max="5630" width="8.33203125" style="35" customWidth="1"/>
    <col min="5631" max="5633" width="9.33203125" style="35" bestFit="1" customWidth="1"/>
    <col min="5634" max="5634" width="8.33203125" style="35" bestFit="1" customWidth="1"/>
    <col min="5635" max="5635" width="8.33203125" style="35" customWidth="1"/>
    <col min="5636" max="5638" width="9.33203125" style="35" bestFit="1" customWidth="1"/>
    <col min="5639" max="5639" width="8.33203125" style="35" bestFit="1" customWidth="1"/>
    <col min="5640" max="5641" width="8.33203125" style="35" customWidth="1"/>
    <col min="5642" max="5642" width="9" style="35" bestFit="1" customWidth="1"/>
    <col min="5643" max="5877" width="9" style="35"/>
    <col min="5878" max="5878" width="20.33203125" style="35" customWidth="1"/>
    <col min="5879" max="5879" width="8.33203125" style="35" customWidth="1"/>
    <col min="5880" max="5880" width="10" style="35" customWidth="1"/>
    <col min="5881" max="5881" width="8.33203125" style="35" customWidth="1"/>
    <col min="5882" max="5884" width="9.33203125" style="35" bestFit="1" customWidth="1"/>
    <col min="5885" max="5885" width="8.33203125" style="35" bestFit="1" customWidth="1"/>
    <col min="5886" max="5886" width="8.33203125" style="35" customWidth="1"/>
    <col min="5887" max="5889" width="9.33203125" style="35" bestFit="1" customWidth="1"/>
    <col min="5890" max="5890" width="8.33203125" style="35" bestFit="1" customWidth="1"/>
    <col min="5891" max="5891" width="8.33203125" style="35" customWidth="1"/>
    <col min="5892" max="5894" width="9.33203125" style="35" bestFit="1" customWidth="1"/>
    <col min="5895" max="5895" width="8.33203125" style="35" bestFit="1" customWidth="1"/>
    <col min="5896" max="5897" width="8.33203125" style="35" customWidth="1"/>
    <col min="5898" max="5898" width="9" style="35" bestFit="1" customWidth="1"/>
    <col min="5899" max="6133" width="9" style="35"/>
    <col min="6134" max="6134" width="20.33203125" style="35" customWidth="1"/>
    <col min="6135" max="6135" width="8.33203125" style="35" customWidth="1"/>
    <col min="6136" max="6136" width="10" style="35" customWidth="1"/>
    <col min="6137" max="6137" width="8.33203125" style="35" customWidth="1"/>
    <col min="6138" max="6140" width="9.33203125" style="35" bestFit="1" customWidth="1"/>
    <col min="6141" max="6141" width="8.33203125" style="35" bestFit="1" customWidth="1"/>
    <col min="6142" max="6142" width="8.33203125" style="35" customWidth="1"/>
    <col min="6143" max="6145" width="9.33203125" style="35" bestFit="1" customWidth="1"/>
    <col min="6146" max="6146" width="8.33203125" style="35" bestFit="1" customWidth="1"/>
    <col min="6147" max="6147" width="8.33203125" style="35" customWidth="1"/>
    <col min="6148" max="6150" width="9.33203125" style="35" bestFit="1" customWidth="1"/>
    <col min="6151" max="6151" width="8.33203125" style="35" bestFit="1" customWidth="1"/>
    <col min="6152" max="6153" width="8.33203125" style="35" customWidth="1"/>
    <col min="6154" max="6154" width="9" style="35" bestFit="1" customWidth="1"/>
    <col min="6155" max="6389" width="9" style="35"/>
    <col min="6390" max="6390" width="20.33203125" style="35" customWidth="1"/>
    <col min="6391" max="6391" width="8.33203125" style="35" customWidth="1"/>
    <col min="6392" max="6392" width="10" style="35" customWidth="1"/>
    <col min="6393" max="6393" width="8.33203125" style="35" customWidth="1"/>
    <col min="6394" max="6396" width="9.33203125" style="35" bestFit="1" customWidth="1"/>
    <col min="6397" max="6397" width="8.33203125" style="35" bestFit="1" customWidth="1"/>
    <col min="6398" max="6398" width="8.33203125" style="35" customWidth="1"/>
    <col min="6399" max="6401" width="9.33203125" style="35" bestFit="1" customWidth="1"/>
    <col min="6402" max="6402" width="8.33203125" style="35" bestFit="1" customWidth="1"/>
    <col min="6403" max="6403" width="8.33203125" style="35" customWidth="1"/>
    <col min="6404" max="6406" width="9.33203125" style="35" bestFit="1" customWidth="1"/>
    <col min="6407" max="6407" width="8.33203125" style="35" bestFit="1" customWidth="1"/>
    <col min="6408" max="6409" width="8.33203125" style="35" customWidth="1"/>
    <col min="6410" max="6410" width="9" style="35" bestFit="1" customWidth="1"/>
    <col min="6411" max="6645" width="9" style="35"/>
    <col min="6646" max="6646" width="20.33203125" style="35" customWidth="1"/>
    <col min="6647" max="6647" width="8.33203125" style="35" customWidth="1"/>
    <col min="6648" max="6648" width="10" style="35" customWidth="1"/>
    <col min="6649" max="6649" width="8.33203125" style="35" customWidth="1"/>
    <col min="6650" max="6652" width="9.33203125" style="35" bestFit="1" customWidth="1"/>
    <col min="6653" max="6653" width="8.33203125" style="35" bestFit="1" customWidth="1"/>
    <col min="6654" max="6654" width="8.33203125" style="35" customWidth="1"/>
    <col min="6655" max="6657" width="9.33203125" style="35" bestFit="1" customWidth="1"/>
    <col min="6658" max="6658" width="8.33203125" style="35" bestFit="1" customWidth="1"/>
    <col min="6659" max="6659" width="8.33203125" style="35" customWidth="1"/>
    <col min="6660" max="6662" width="9.33203125" style="35" bestFit="1" customWidth="1"/>
    <col min="6663" max="6663" width="8.33203125" style="35" bestFit="1" customWidth="1"/>
    <col min="6664" max="6665" width="8.33203125" style="35" customWidth="1"/>
    <col min="6666" max="6666" width="9" style="35" bestFit="1" customWidth="1"/>
    <col min="6667" max="6901" width="9" style="35"/>
    <col min="6902" max="6902" width="20.33203125" style="35" customWidth="1"/>
    <col min="6903" max="6903" width="8.33203125" style="35" customWidth="1"/>
    <col min="6904" max="6904" width="10" style="35" customWidth="1"/>
    <col min="6905" max="6905" width="8.33203125" style="35" customWidth="1"/>
    <col min="6906" max="6908" width="9.33203125" style="35" bestFit="1" customWidth="1"/>
    <col min="6909" max="6909" width="8.33203125" style="35" bestFit="1" customWidth="1"/>
    <col min="6910" max="6910" width="8.33203125" style="35" customWidth="1"/>
    <col min="6911" max="6913" width="9.33203125" style="35" bestFit="1" customWidth="1"/>
    <col min="6914" max="6914" width="8.33203125" style="35" bestFit="1" customWidth="1"/>
    <col min="6915" max="6915" width="8.33203125" style="35" customWidth="1"/>
    <col min="6916" max="6918" width="9.33203125" style="35" bestFit="1" customWidth="1"/>
    <col min="6919" max="6919" width="8.33203125" style="35" bestFit="1" customWidth="1"/>
    <col min="6920" max="6921" width="8.33203125" style="35" customWidth="1"/>
    <col min="6922" max="6922" width="9" style="35" bestFit="1" customWidth="1"/>
    <col min="6923" max="7157" width="9" style="35"/>
    <col min="7158" max="7158" width="20.33203125" style="35" customWidth="1"/>
    <col min="7159" max="7159" width="8.33203125" style="35" customWidth="1"/>
    <col min="7160" max="7160" width="10" style="35" customWidth="1"/>
    <col min="7161" max="7161" width="8.33203125" style="35" customWidth="1"/>
    <col min="7162" max="7164" width="9.33203125" style="35" bestFit="1" customWidth="1"/>
    <col min="7165" max="7165" width="8.33203125" style="35" bestFit="1" customWidth="1"/>
    <col min="7166" max="7166" width="8.33203125" style="35" customWidth="1"/>
    <col min="7167" max="7169" width="9.33203125" style="35" bestFit="1" customWidth="1"/>
    <col min="7170" max="7170" width="8.33203125" style="35" bestFit="1" customWidth="1"/>
    <col min="7171" max="7171" width="8.33203125" style="35" customWidth="1"/>
    <col min="7172" max="7174" width="9.33203125" style="35" bestFit="1" customWidth="1"/>
    <col min="7175" max="7175" width="8.33203125" style="35" bestFit="1" customWidth="1"/>
    <col min="7176" max="7177" width="8.33203125" style="35" customWidth="1"/>
    <col min="7178" max="7178" width="9" style="35" bestFit="1" customWidth="1"/>
    <col min="7179" max="7413" width="9" style="35"/>
    <col min="7414" max="7414" width="20.33203125" style="35" customWidth="1"/>
    <col min="7415" max="7415" width="8.33203125" style="35" customWidth="1"/>
    <col min="7416" max="7416" width="10" style="35" customWidth="1"/>
    <col min="7417" max="7417" width="8.33203125" style="35" customWidth="1"/>
    <col min="7418" max="7420" width="9.33203125" style="35" bestFit="1" customWidth="1"/>
    <col min="7421" max="7421" width="8.33203125" style="35" bestFit="1" customWidth="1"/>
    <col min="7422" max="7422" width="8.33203125" style="35" customWidth="1"/>
    <col min="7423" max="7425" width="9.33203125" style="35" bestFit="1" customWidth="1"/>
    <col min="7426" max="7426" width="8.33203125" style="35" bestFit="1" customWidth="1"/>
    <col min="7427" max="7427" width="8.33203125" style="35" customWidth="1"/>
    <col min="7428" max="7430" width="9.33203125" style="35" bestFit="1" customWidth="1"/>
    <col min="7431" max="7431" width="8.33203125" style="35" bestFit="1" customWidth="1"/>
    <col min="7432" max="7433" width="8.33203125" style="35" customWidth="1"/>
    <col min="7434" max="7434" width="9" style="35" bestFit="1" customWidth="1"/>
    <col min="7435" max="7669" width="9" style="35"/>
    <col min="7670" max="7670" width="20.33203125" style="35" customWidth="1"/>
    <col min="7671" max="7671" width="8.33203125" style="35" customWidth="1"/>
    <col min="7672" max="7672" width="10" style="35" customWidth="1"/>
    <col min="7673" max="7673" width="8.33203125" style="35" customWidth="1"/>
    <col min="7674" max="7676" width="9.33203125" style="35" bestFit="1" customWidth="1"/>
    <col min="7677" max="7677" width="8.33203125" style="35" bestFit="1" customWidth="1"/>
    <col min="7678" max="7678" width="8.33203125" style="35" customWidth="1"/>
    <col min="7679" max="7681" width="9.33203125" style="35" bestFit="1" customWidth="1"/>
    <col min="7682" max="7682" width="8.33203125" style="35" bestFit="1" customWidth="1"/>
    <col min="7683" max="7683" width="8.33203125" style="35" customWidth="1"/>
    <col min="7684" max="7686" width="9.33203125" style="35" bestFit="1" customWidth="1"/>
    <col min="7687" max="7687" width="8.33203125" style="35" bestFit="1" customWidth="1"/>
    <col min="7688" max="7689" width="8.33203125" style="35" customWidth="1"/>
    <col min="7690" max="7690" width="9" style="35" bestFit="1" customWidth="1"/>
    <col min="7691" max="7925" width="9" style="35"/>
    <col min="7926" max="7926" width="20.33203125" style="35" customWidth="1"/>
    <col min="7927" max="7927" width="8.33203125" style="35" customWidth="1"/>
    <col min="7928" max="7928" width="10" style="35" customWidth="1"/>
    <col min="7929" max="7929" width="8.33203125" style="35" customWidth="1"/>
    <col min="7930" max="7932" width="9.33203125" style="35" bestFit="1" customWidth="1"/>
    <col min="7933" max="7933" width="8.33203125" style="35" bestFit="1" customWidth="1"/>
    <col min="7934" max="7934" width="8.33203125" style="35" customWidth="1"/>
    <col min="7935" max="7937" width="9.33203125" style="35" bestFit="1" customWidth="1"/>
    <col min="7938" max="7938" width="8.33203125" style="35" bestFit="1" customWidth="1"/>
    <col min="7939" max="7939" width="8.33203125" style="35" customWidth="1"/>
    <col min="7940" max="7942" width="9.33203125" style="35" bestFit="1" customWidth="1"/>
    <col min="7943" max="7943" width="8.33203125" style="35" bestFit="1" customWidth="1"/>
    <col min="7944" max="7945" width="8.33203125" style="35" customWidth="1"/>
    <col min="7946" max="7946" width="9" style="35" bestFit="1" customWidth="1"/>
    <col min="7947" max="8181" width="9" style="35"/>
    <col min="8182" max="8182" width="20.33203125" style="35" customWidth="1"/>
    <col min="8183" max="8183" width="8.33203125" style="35" customWidth="1"/>
    <col min="8184" max="8184" width="10" style="35" customWidth="1"/>
    <col min="8185" max="8185" width="8.33203125" style="35" customWidth="1"/>
    <col min="8186" max="8188" width="9.33203125" style="35" bestFit="1" customWidth="1"/>
    <col min="8189" max="8189" width="8.33203125" style="35" bestFit="1" customWidth="1"/>
    <col min="8190" max="8190" width="8.33203125" style="35" customWidth="1"/>
    <col min="8191" max="8193" width="9.33203125" style="35" bestFit="1" customWidth="1"/>
    <col min="8194" max="8194" width="8.33203125" style="35" bestFit="1" customWidth="1"/>
    <col min="8195" max="8195" width="8.33203125" style="35" customWidth="1"/>
    <col min="8196" max="8198" width="9.33203125" style="35" bestFit="1" customWidth="1"/>
    <col min="8199" max="8199" width="8.33203125" style="35" bestFit="1" customWidth="1"/>
    <col min="8200" max="8201" width="8.33203125" style="35" customWidth="1"/>
    <col min="8202" max="8202" width="9" style="35" bestFit="1" customWidth="1"/>
    <col min="8203" max="8437" width="9" style="35"/>
    <col min="8438" max="8438" width="20.33203125" style="35" customWidth="1"/>
    <col min="8439" max="8439" width="8.33203125" style="35" customWidth="1"/>
    <col min="8440" max="8440" width="10" style="35" customWidth="1"/>
    <col min="8441" max="8441" width="8.33203125" style="35" customWidth="1"/>
    <col min="8442" max="8444" width="9.33203125" style="35" bestFit="1" customWidth="1"/>
    <col min="8445" max="8445" width="8.33203125" style="35" bestFit="1" customWidth="1"/>
    <col min="8446" max="8446" width="8.33203125" style="35" customWidth="1"/>
    <col min="8447" max="8449" width="9.33203125" style="35" bestFit="1" customWidth="1"/>
    <col min="8450" max="8450" width="8.33203125" style="35" bestFit="1" customWidth="1"/>
    <col min="8451" max="8451" width="8.33203125" style="35" customWidth="1"/>
    <col min="8452" max="8454" width="9.33203125" style="35" bestFit="1" customWidth="1"/>
    <col min="8455" max="8455" width="8.33203125" style="35" bestFit="1" customWidth="1"/>
    <col min="8456" max="8457" width="8.33203125" style="35" customWidth="1"/>
    <col min="8458" max="8458" width="9" style="35" bestFit="1" customWidth="1"/>
    <col min="8459" max="8693" width="9" style="35"/>
    <col min="8694" max="8694" width="20.33203125" style="35" customWidth="1"/>
    <col min="8695" max="8695" width="8.33203125" style="35" customWidth="1"/>
    <col min="8696" max="8696" width="10" style="35" customWidth="1"/>
    <col min="8697" max="8697" width="8.33203125" style="35" customWidth="1"/>
    <col min="8698" max="8700" width="9.33203125" style="35" bestFit="1" customWidth="1"/>
    <col min="8701" max="8701" width="8.33203125" style="35" bestFit="1" customWidth="1"/>
    <col min="8702" max="8702" width="8.33203125" style="35" customWidth="1"/>
    <col min="8703" max="8705" width="9.33203125" style="35" bestFit="1" customWidth="1"/>
    <col min="8706" max="8706" width="8.33203125" style="35" bestFit="1" customWidth="1"/>
    <col min="8707" max="8707" width="8.33203125" style="35" customWidth="1"/>
    <col min="8708" max="8710" width="9.33203125" style="35" bestFit="1" customWidth="1"/>
    <col min="8711" max="8711" width="8.33203125" style="35" bestFit="1" customWidth="1"/>
    <col min="8712" max="8713" width="8.33203125" style="35" customWidth="1"/>
    <col min="8714" max="8714" width="9" style="35" bestFit="1" customWidth="1"/>
    <col min="8715" max="8949" width="9" style="35"/>
    <col min="8950" max="8950" width="20.33203125" style="35" customWidth="1"/>
    <col min="8951" max="8951" width="8.33203125" style="35" customWidth="1"/>
    <col min="8952" max="8952" width="10" style="35" customWidth="1"/>
    <col min="8953" max="8953" width="8.33203125" style="35" customWidth="1"/>
    <col min="8954" max="8956" width="9.33203125" style="35" bestFit="1" customWidth="1"/>
    <col min="8957" max="8957" width="8.33203125" style="35" bestFit="1" customWidth="1"/>
    <col min="8958" max="8958" width="8.33203125" style="35" customWidth="1"/>
    <col min="8959" max="8961" width="9.33203125" style="35" bestFit="1" customWidth="1"/>
    <col min="8962" max="8962" width="8.33203125" style="35" bestFit="1" customWidth="1"/>
    <col min="8963" max="8963" width="8.33203125" style="35" customWidth="1"/>
    <col min="8964" max="8966" width="9.33203125" style="35" bestFit="1" customWidth="1"/>
    <col min="8967" max="8967" width="8.33203125" style="35" bestFit="1" customWidth="1"/>
    <col min="8968" max="8969" width="8.33203125" style="35" customWidth="1"/>
    <col min="8970" max="8970" width="9" style="35" bestFit="1" customWidth="1"/>
    <col min="8971" max="9205" width="9" style="35"/>
    <col min="9206" max="9206" width="20.33203125" style="35" customWidth="1"/>
    <col min="9207" max="9207" width="8.33203125" style="35" customWidth="1"/>
    <col min="9208" max="9208" width="10" style="35" customWidth="1"/>
    <col min="9209" max="9209" width="8.33203125" style="35" customWidth="1"/>
    <col min="9210" max="9212" width="9.33203125" style="35" bestFit="1" customWidth="1"/>
    <col min="9213" max="9213" width="8.33203125" style="35" bestFit="1" customWidth="1"/>
    <col min="9214" max="9214" width="8.33203125" style="35" customWidth="1"/>
    <col min="9215" max="9217" width="9.33203125" style="35" bestFit="1" customWidth="1"/>
    <col min="9218" max="9218" width="8.33203125" style="35" bestFit="1" customWidth="1"/>
    <col min="9219" max="9219" width="8.33203125" style="35" customWidth="1"/>
    <col min="9220" max="9222" width="9.33203125" style="35" bestFit="1" customWidth="1"/>
    <col min="9223" max="9223" width="8.33203125" style="35" bestFit="1" customWidth="1"/>
    <col min="9224" max="9225" width="8.33203125" style="35" customWidth="1"/>
    <col min="9226" max="9226" width="9" style="35" bestFit="1" customWidth="1"/>
    <col min="9227" max="9461" width="9" style="35"/>
    <col min="9462" max="9462" width="20.33203125" style="35" customWidth="1"/>
    <col min="9463" max="9463" width="8.33203125" style="35" customWidth="1"/>
    <col min="9464" max="9464" width="10" style="35" customWidth="1"/>
    <col min="9465" max="9465" width="8.33203125" style="35" customWidth="1"/>
    <col min="9466" max="9468" width="9.33203125" style="35" bestFit="1" customWidth="1"/>
    <col min="9469" max="9469" width="8.33203125" style="35" bestFit="1" customWidth="1"/>
    <col min="9470" max="9470" width="8.33203125" style="35" customWidth="1"/>
    <col min="9471" max="9473" width="9.33203125" style="35" bestFit="1" customWidth="1"/>
    <col min="9474" max="9474" width="8.33203125" style="35" bestFit="1" customWidth="1"/>
    <col min="9475" max="9475" width="8.33203125" style="35" customWidth="1"/>
    <col min="9476" max="9478" width="9.33203125" style="35" bestFit="1" customWidth="1"/>
    <col min="9479" max="9479" width="8.33203125" style="35" bestFit="1" customWidth="1"/>
    <col min="9480" max="9481" width="8.33203125" style="35" customWidth="1"/>
    <col min="9482" max="9482" width="9" style="35" bestFit="1" customWidth="1"/>
    <col min="9483" max="9717" width="9" style="35"/>
    <col min="9718" max="9718" width="20.33203125" style="35" customWidth="1"/>
    <col min="9719" max="9719" width="8.33203125" style="35" customWidth="1"/>
    <col min="9720" max="9720" width="10" style="35" customWidth="1"/>
    <col min="9721" max="9721" width="8.33203125" style="35" customWidth="1"/>
    <col min="9722" max="9724" width="9.33203125" style="35" bestFit="1" customWidth="1"/>
    <col min="9725" max="9725" width="8.33203125" style="35" bestFit="1" customWidth="1"/>
    <col min="9726" max="9726" width="8.33203125" style="35" customWidth="1"/>
    <col min="9727" max="9729" width="9.33203125" style="35" bestFit="1" customWidth="1"/>
    <col min="9730" max="9730" width="8.33203125" style="35" bestFit="1" customWidth="1"/>
    <col min="9731" max="9731" width="8.33203125" style="35" customWidth="1"/>
    <col min="9732" max="9734" width="9.33203125" style="35" bestFit="1" customWidth="1"/>
    <col min="9735" max="9735" width="8.33203125" style="35" bestFit="1" customWidth="1"/>
    <col min="9736" max="9737" width="8.33203125" style="35" customWidth="1"/>
    <col min="9738" max="9738" width="9" style="35" bestFit="1" customWidth="1"/>
    <col min="9739" max="9973" width="9" style="35"/>
    <col min="9974" max="9974" width="20.33203125" style="35" customWidth="1"/>
    <col min="9975" max="9975" width="8.33203125" style="35" customWidth="1"/>
    <col min="9976" max="9976" width="10" style="35" customWidth="1"/>
    <col min="9977" max="9977" width="8.33203125" style="35" customWidth="1"/>
    <col min="9978" max="9980" width="9.33203125" style="35" bestFit="1" customWidth="1"/>
    <col min="9981" max="9981" width="8.33203125" style="35" bestFit="1" customWidth="1"/>
    <col min="9982" max="9982" width="8.33203125" style="35" customWidth="1"/>
    <col min="9983" max="9985" width="9.33203125" style="35" bestFit="1" customWidth="1"/>
    <col min="9986" max="9986" width="8.33203125" style="35" bestFit="1" customWidth="1"/>
    <col min="9987" max="9987" width="8.33203125" style="35" customWidth="1"/>
    <col min="9988" max="9990" width="9.33203125" style="35" bestFit="1" customWidth="1"/>
    <col min="9991" max="9991" width="8.33203125" style="35" bestFit="1" customWidth="1"/>
    <col min="9992" max="9993" width="8.33203125" style="35" customWidth="1"/>
    <col min="9994" max="9994" width="9" style="35" bestFit="1" customWidth="1"/>
    <col min="9995" max="10229" width="9" style="35"/>
    <col min="10230" max="10230" width="20.33203125" style="35" customWidth="1"/>
    <col min="10231" max="10231" width="8.33203125" style="35" customWidth="1"/>
    <col min="10232" max="10232" width="10" style="35" customWidth="1"/>
    <col min="10233" max="10233" width="8.33203125" style="35" customWidth="1"/>
    <col min="10234" max="10236" width="9.33203125" style="35" bestFit="1" customWidth="1"/>
    <col min="10237" max="10237" width="8.33203125" style="35" bestFit="1" customWidth="1"/>
    <col min="10238" max="10238" width="8.33203125" style="35" customWidth="1"/>
    <col min="10239" max="10241" width="9.33203125" style="35" bestFit="1" customWidth="1"/>
    <col min="10242" max="10242" width="8.33203125" style="35" bestFit="1" customWidth="1"/>
    <col min="10243" max="10243" width="8.33203125" style="35" customWidth="1"/>
    <col min="10244" max="10246" width="9.33203125" style="35" bestFit="1" customWidth="1"/>
    <col min="10247" max="10247" width="8.33203125" style="35" bestFit="1" customWidth="1"/>
    <col min="10248" max="10249" width="8.33203125" style="35" customWidth="1"/>
    <col min="10250" max="10250" width="9" style="35" bestFit="1" customWidth="1"/>
    <col min="10251" max="10485" width="9" style="35"/>
    <col min="10486" max="10486" width="20.33203125" style="35" customWidth="1"/>
    <col min="10487" max="10487" width="8.33203125" style="35" customWidth="1"/>
    <col min="10488" max="10488" width="10" style="35" customWidth="1"/>
    <col min="10489" max="10489" width="8.33203125" style="35" customWidth="1"/>
    <col min="10490" max="10492" width="9.33203125" style="35" bestFit="1" customWidth="1"/>
    <col min="10493" max="10493" width="8.33203125" style="35" bestFit="1" customWidth="1"/>
    <col min="10494" max="10494" width="8.33203125" style="35" customWidth="1"/>
    <col min="10495" max="10497" width="9.33203125" style="35" bestFit="1" customWidth="1"/>
    <col min="10498" max="10498" width="8.33203125" style="35" bestFit="1" customWidth="1"/>
    <col min="10499" max="10499" width="8.33203125" style="35" customWidth="1"/>
    <col min="10500" max="10502" width="9.33203125" style="35" bestFit="1" customWidth="1"/>
    <col min="10503" max="10503" width="8.33203125" style="35" bestFit="1" customWidth="1"/>
    <col min="10504" max="10505" width="8.33203125" style="35" customWidth="1"/>
    <col min="10506" max="10506" width="9" style="35" bestFit="1" customWidth="1"/>
    <col min="10507" max="10741" width="9" style="35"/>
    <col min="10742" max="10742" width="20.33203125" style="35" customWidth="1"/>
    <col min="10743" max="10743" width="8.33203125" style="35" customWidth="1"/>
    <col min="10744" max="10744" width="10" style="35" customWidth="1"/>
    <col min="10745" max="10745" width="8.33203125" style="35" customWidth="1"/>
    <col min="10746" max="10748" width="9.33203125" style="35" bestFit="1" customWidth="1"/>
    <col min="10749" max="10749" width="8.33203125" style="35" bestFit="1" customWidth="1"/>
    <col min="10750" max="10750" width="8.33203125" style="35" customWidth="1"/>
    <col min="10751" max="10753" width="9.33203125" style="35" bestFit="1" customWidth="1"/>
    <col min="10754" max="10754" width="8.33203125" style="35" bestFit="1" customWidth="1"/>
    <col min="10755" max="10755" width="8.33203125" style="35" customWidth="1"/>
    <col min="10756" max="10758" width="9.33203125" style="35" bestFit="1" customWidth="1"/>
    <col min="10759" max="10759" width="8.33203125" style="35" bestFit="1" customWidth="1"/>
    <col min="10760" max="10761" width="8.33203125" style="35" customWidth="1"/>
    <col min="10762" max="10762" width="9" style="35" bestFit="1" customWidth="1"/>
    <col min="10763" max="10997" width="9" style="35"/>
    <col min="10998" max="10998" width="20.33203125" style="35" customWidth="1"/>
    <col min="10999" max="10999" width="8.33203125" style="35" customWidth="1"/>
    <col min="11000" max="11000" width="10" style="35" customWidth="1"/>
    <col min="11001" max="11001" width="8.33203125" style="35" customWidth="1"/>
    <col min="11002" max="11004" width="9.33203125" style="35" bestFit="1" customWidth="1"/>
    <col min="11005" max="11005" width="8.33203125" style="35" bestFit="1" customWidth="1"/>
    <col min="11006" max="11006" width="8.33203125" style="35" customWidth="1"/>
    <col min="11007" max="11009" width="9.33203125" style="35" bestFit="1" customWidth="1"/>
    <col min="11010" max="11010" width="8.33203125" style="35" bestFit="1" customWidth="1"/>
    <col min="11011" max="11011" width="8.33203125" style="35" customWidth="1"/>
    <col min="11012" max="11014" width="9.33203125" style="35" bestFit="1" customWidth="1"/>
    <col min="11015" max="11015" width="8.33203125" style="35" bestFit="1" customWidth="1"/>
    <col min="11016" max="11017" width="8.33203125" style="35" customWidth="1"/>
    <col min="11018" max="11018" width="9" style="35" bestFit="1" customWidth="1"/>
    <col min="11019" max="11253" width="9" style="35"/>
    <col min="11254" max="11254" width="20.33203125" style="35" customWidth="1"/>
    <col min="11255" max="11255" width="8.33203125" style="35" customWidth="1"/>
    <col min="11256" max="11256" width="10" style="35" customWidth="1"/>
    <col min="11257" max="11257" width="8.33203125" style="35" customWidth="1"/>
    <col min="11258" max="11260" width="9.33203125" style="35" bestFit="1" customWidth="1"/>
    <col min="11261" max="11261" width="8.33203125" style="35" bestFit="1" customWidth="1"/>
    <col min="11262" max="11262" width="8.33203125" style="35" customWidth="1"/>
    <col min="11263" max="11265" width="9.33203125" style="35" bestFit="1" customWidth="1"/>
    <col min="11266" max="11266" width="8.33203125" style="35" bestFit="1" customWidth="1"/>
    <col min="11267" max="11267" width="8.33203125" style="35" customWidth="1"/>
    <col min="11268" max="11270" width="9.33203125" style="35" bestFit="1" customWidth="1"/>
    <col min="11271" max="11271" width="8.33203125" style="35" bestFit="1" customWidth="1"/>
    <col min="11272" max="11273" width="8.33203125" style="35" customWidth="1"/>
    <col min="11274" max="11274" width="9" style="35" bestFit="1" customWidth="1"/>
    <col min="11275" max="11509" width="9" style="35"/>
    <col min="11510" max="11510" width="20.33203125" style="35" customWidth="1"/>
    <col min="11511" max="11511" width="8.33203125" style="35" customWidth="1"/>
    <col min="11512" max="11512" width="10" style="35" customWidth="1"/>
    <col min="11513" max="11513" width="8.33203125" style="35" customWidth="1"/>
    <col min="11514" max="11516" width="9.33203125" style="35" bestFit="1" customWidth="1"/>
    <col min="11517" max="11517" width="8.33203125" style="35" bestFit="1" customWidth="1"/>
    <col min="11518" max="11518" width="8.33203125" style="35" customWidth="1"/>
    <col min="11519" max="11521" width="9.33203125" style="35" bestFit="1" customWidth="1"/>
    <col min="11522" max="11522" width="8.33203125" style="35" bestFit="1" customWidth="1"/>
    <col min="11523" max="11523" width="8.33203125" style="35" customWidth="1"/>
    <col min="11524" max="11526" width="9.33203125" style="35" bestFit="1" customWidth="1"/>
    <col min="11527" max="11527" width="8.33203125" style="35" bestFit="1" customWidth="1"/>
    <col min="11528" max="11529" width="8.33203125" style="35" customWidth="1"/>
    <col min="11530" max="11530" width="9" style="35" bestFit="1" customWidth="1"/>
    <col min="11531" max="11765" width="9" style="35"/>
    <col min="11766" max="11766" width="20.33203125" style="35" customWidth="1"/>
    <col min="11767" max="11767" width="8.33203125" style="35" customWidth="1"/>
    <col min="11768" max="11768" width="10" style="35" customWidth="1"/>
    <col min="11769" max="11769" width="8.33203125" style="35" customWidth="1"/>
    <col min="11770" max="11772" width="9.33203125" style="35" bestFit="1" customWidth="1"/>
    <col min="11773" max="11773" width="8.33203125" style="35" bestFit="1" customWidth="1"/>
    <col min="11774" max="11774" width="8.33203125" style="35" customWidth="1"/>
    <col min="11775" max="11777" width="9.33203125" style="35" bestFit="1" customWidth="1"/>
    <col min="11778" max="11778" width="8.33203125" style="35" bestFit="1" customWidth="1"/>
    <col min="11779" max="11779" width="8.33203125" style="35" customWidth="1"/>
    <col min="11780" max="11782" width="9.33203125" style="35" bestFit="1" customWidth="1"/>
    <col min="11783" max="11783" width="8.33203125" style="35" bestFit="1" customWidth="1"/>
    <col min="11784" max="11785" width="8.33203125" style="35" customWidth="1"/>
    <col min="11786" max="11786" width="9" style="35" bestFit="1" customWidth="1"/>
    <col min="11787" max="12021" width="9" style="35"/>
    <col min="12022" max="12022" width="20.33203125" style="35" customWidth="1"/>
    <col min="12023" max="12023" width="8.33203125" style="35" customWidth="1"/>
    <col min="12024" max="12024" width="10" style="35" customWidth="1"/>
    <col min="12025" max="12025" width="8.33203125" style="35" customWidth="1"/>
    <col min="12026" max="12028" width="9.33203125" style="35" bestFit="1" customWidth="1"/>
    <col min="12029" max="12029" width="8.33203125" style="35" bestFit="1" customWidth="1"/>
    <col min="12030" max="12030" width="8.33203125" style="35" customWidth="1"/>
    <col min="12031" max="12033" width="9.33203125" style="35" bestFit="1" customWidth="1"/>
    <col min="12034" max="12034" width="8.33203125" style="35" bestFit="1" customWidth="1"/>
    <col min="12035" max="12035" width="8.33203125" style="35" customWidth="1"/>
    <col min="12036" max="12038" width="9.33203125" style="35" bestFit="1" customWidth="1"/>
    <col min="12039" max="12039" width="8.33203125" style="35" bestFit="1" customWidth="1"/>
    <col min="12040" max="12041" width="8.33203125" style="35" customWidth="1"/>
    <col min="12042" max="12042" width="9" style="35" bestFit="1" customWidth="1"/>
    <col min="12043" max="12277" width="9" style="35"/>
    <col min="12278" max="12278" width="20.33203125" style="35" customWidth="1"/>
    <col min="12279" max="12279" width="8.33203125" style="35" customWidth="1"/>
    <col min="12280" max="12280" width="10" style="35" customWidth="1"/>
    <col min="12281" max="12281" width="8.33203125" style="35" customWidth="1"/>
    <col min="12282" max="12284" width="9.33203125" style="35" bestFit="1" customWidth="1"/>
    <col min="12285" max="12285" width="8.33203125" style="35" bestFit="1" customWidth="1"/>
    <col min="12286" max="12286" width="8.33203125" style="35" customWidth="1"/>
    <col min="12287" max="12289" width="9.33203125" style="35" bestFit="1" customWidth="1"/>
    <col min="12290" max="12290" width="8.33203125" style="35" bestFit="1" customWidth="1"/>
    <col min="12291" max="12291" width="8.33203125" style="35" customWidth="1"/>
    <col min="12292" max="12294" width="9.33203125" style="35" bestFit="1" customWidth="1"/>
    <col min="12295" max="12295" width="8.33203125" style="35" bestFit="1" customWidth="1"/>
    <col min="12296" max="12297" width="8.33203125" style="35" customWidth="1"/>
    <col min="12298" max="12298" width="9" style="35" bestFit="1" customWidth="1"/>
    <col min="12299" max="12533" width="9" style="35"/>
    <col min="12534" max="12534" width="20.33203125" style="35" customWidth="1"/>
    <col min="12535" max="12535" width="8.33203125" style="35" customWidth="1"/>
    <col min="12536" max="12536" width="10" style="35" customWidth="1"/>
    <col min="12537" max="12537" width="8.33203125" style="35" customWidth="1"/>
    <col min="12538" max="12540" width="9.33203125" style="35" bestFit="1" customWidth="1"/>
    <col min="12541" max="12541" width="8.33203125" style="35" bestFit="1" customWidth="1"/>
    <col min="12542" max="12542" width="8.33203125" style="35" customWidth="1"/>
    <col min="12543" max="12545" width="9.33203125" style="35" bestFit="1" customWidth="1"/>
    <col min="12546" max="12546" width="8.33203125" style="35" bestFit="1" customWidth="1"/>
    <col min="12547" max="12547" width="8.33203125" style="35" customWidth="1"/>
    <col min="12548" max="12550" width="9.33203125" style="35" bestFit="1" customWidth="1"/>
    <col min="12551" max="12551" width="8.33203125" style="35" bestFit="1" customWidth="1"/>
    <col min="12552" max="12553" width="8.33203125" style="35" customWidth="1"/>
    <col min="12554" max="12554" width="9" style="35" bestFit="1" customWidth="1"/>
    <col min="12555" max="12789" width="9" style="35"/>
    <col min="12790" max="12790" width="20.33203125" style="35" customWidth="1"/>
    <col min="12791" max="12791" width="8.33203125" style="35" customWidth="1"/>
    <col min="12792" max="12792" width="10" style="35" customWidth="1"/>
    <col min="12793" max="12793" width="8.33203125" style="35" customWidth="1"/>
    <col min="12794" max="12796" width="9.33203125" style="35" bestFit="1" customWidth="1"/>
    <col min="12797" max="12797" width="8.33203125" style="35" bestFit="1" customWidth="1"/>
    <col min="12798" max="12798" width="8.33203125" style="35" customWidth="1"/>
    <col min="12799" max="12801" width="9.33203125" style="35" bestFit="1" customWidth="1"/>
    <col min="12802" max="12802" width="8.33203125" style="35" bestFit="1" customWidth="1"/>
    <col min="12803" max="12803" width="8.33203125" style="35" customWidth="1"/>
    <col min="12804" max="12806" width="9.33203125" style="35" bestFit="1" customWidth="1"/>
    <col min="12807" max="12807" width="8.33203125" style="35" bestFit="1" customWidth="1"/>
    <col min="12808" max="12809" width="8.33203125" style="35" customWidth="1"/>
    <col min="12810" max="12810" width="9" style="35" bestFit="1" customWidth="1"/>
    <col min="12811" max="13045" width="9" style="35"/>
    <col min="13046" max="13046" width="20.33203125" style="35" customWidth="1"/>
    <col min="13047" max="13047" width="8.33203125" style="35" customWidth="1"/>
    <col min="13048" max="13048" width="10" style="35" customWidth="1"/>
    <col min="13049" max="13049" width="8.33203125" style="35" customWidth="1"/>
    <col min="13050" max="13052" width="9.33203125" style="35" bestFit="1" customWidth="1"/>
    <col min="13053" max="13053" width="8.33203125" style="35" bestFit="1" customWidth="1"/>
    <col min="13054" max="13054" width="8.33203125" style="35" customWidth="1"/>
    <col min="13055" max="13057" width="9.33203125" style="35" bestFit="1" customWidth="1"/>
    <col min="13058" max="13058" width="8.33203125" style="35" bestFit="1" customWidth="1"/>
    <col min="13059" max="13059" width="8.33203125" style="35" customWidth="1"/>
    <col min="13060" max="13062" width="9.33203125" style="35" bestFit="1" customWidth="1"/>
    <col min="13063" max="13063" width="8.33203125" style="35" bestFit="1" customWidth="1"/>
    <col min="13064" max="13065" width="8.33203125" style="35" customWidth="1"/>
    <col min="13066" max="13066" width="9" style="35" bestFit="1" customWidth="1"/>
    <col min="13067" max="13301" width="9" style="35"/>
    <col min="13302" max="13302" width="20.33203125" style="35" customWidth="1"/>
    <col min="13303" max="13303" width="8.33203125" style="35" customWidth="1"/>
    <col min="13304" max="13304" width="10" style="35" customWidth="1"/>
    <col min="13305" max="13305" width="8.33203125" style="35" customWidth="1"/>
    <col min="13306" max="13308" width="9.33203125" style="35" bestFit="1" customWidth="1"/>
    <col min="13309" max="13309" width="8.33203125" style="35" bestFit="1" customWidth="1"/>
    <col min="13310" max="13310" width="8.33203125" style="35" customWidth="1"/>
    <col min="13311" max="13313" width="9.33203125" style="35" bestFit="1" customWidth="1"/>
    <col min="13314" max="13314" width="8.33203125" style="35" bestFit="1" customWidth="1"/>
    <col min="13315" max="13315" width="8.33203125" style="35" customWidth="1"/>
    <col min="13316" max="13318" width="9.33203125" style="35" bestFit="1" customWidth="1"/>
    <col min="13319" max="13319" width="8.33203125" style="35" bestFit="1" customWidth="1"/>
    <col min="13320" max="13321" width="8.33203125" style="35" customWidth="1"/>
    <col min="13322" max="13322" width="9" style="35" bestFit="1" customWidth="1"/>
    <col min="13323" max="13557" width="9" style="35"/>
    <col min="13558" max="13558" width="20.33203125" style="35" customWidth="1"/>
    <col min="13559" max="13559" width="8.33203125" style="35" customWidth="1"/>
    <col min="13560" max="13560" width="10" style="35" customWidth="1"/>
    <col min="13561" max="13561" width="8.33203125" style="35" customWidth="1"/>
    <col min="13562" max="13564" width="9.33203125" style="35" bestFit="1" customWidth="1"/>
    <col min="13565" max="13565" width="8.33203125" style="35" bestFit="1" customWidth="1"/>
    <col min="13566" max="13566" width="8.33203125" style="35" customWidth="1"/>
    <col min="13567" max="13569" width="9.33203125" style="35" bestFit="1" customWidth="1"/>
    <col min="13570" max="13570" width="8.33203125" style="35" bestFit="1" customWidth="1"/>
    <col min="13571" max="13571" width="8.33203125" style="35" customWidth="1"/>
    <col min="13572" max="13574" width="9.33203125" style="35" bestFit="1" customWidth="1"/>
    <col min="13575" max="13575" width="8.33203125" style="35" bestFit="1" customWidth="1"/>
    <col min="13576" max="13577" width="8.33203125" style="35" customWidth="1"/>
    <col min="13578" max="13578" width="9" style="35" bestFit="1" customWidth="1"/>
    <col min="13579" max="13813" width="9" style="35"/>
    <col min="13814" max="13814" width="20.33203125" style="35" customWidth="1"/>
    <col min="13815" max="13815" width="8.33203125" style="35" customWidth="1"/>
    <col min="13816" max="13816" width="10" style="35" customWidth="1"/>
    <col min="13817" max="13817" width="8.33203125" style="35" customWidth="1"/>
    <col min="13818" max="13820" width="9.33203125" style="35" bestFit="1" customWidth="1"/>
    <col min="13821" max="13821" width="8.33203125" style="35" bestFit="1" customWidth="1"/>
    <col min="13822" max="13822" width="8.33203125" style="35" customWidth="1"/>
    <col min="13823" max="13825" width="9.33203125" style="35" bestFit="1" customWidth="1"/>
    <col min="13826" max="13826" width="8.33203125" style="35" bestFit="1" customWidth="1"/>
    <col min="13827" max="13827" width="8.33203125" style="35" customWidth="1"/>
    <col min="13828" max="13830" width="9.33203125" style="35" bestFit="1" customWidth="1"/>
    <col min="13831" max="13831" width="8.33203125" style="35" bestFit="1" customWidth="1"/>
    <col min="13832" max="13833" width="8.33203125" style="35" customWidth="1"/>
    <col min="13834" max="13834" width="9" style="35" bestFit="1" customWidth="1"/>
    <col min="13835" max="14069" width="9" style="35"/>
    <col min="14070" max="14070" width="20.33203125" style="35" customWidth="1"/>
    <col min="14071" max="14071" width="8.33203125" style="35" customWidth="1"/>
    <col min="14072" max="14072" width="10" style="35" customWidth="1"/>
    <col min="14073" max="14073" width="8.33203125" style="35" customWidth="1"/>
    <col min="14074" max="14076" width="9.33203125" style="35" bestFit="1" customWidth="1"/>
    <col min="14077" max="14077" width="8.33203125" style="35" bestFit="1" customWidth="1"/>
    <col min="14078" max="14078" width="8.33203125" style="35" customWidth="1"/>
    <col min="14079" max="14081" width="9.33203125" style="35" bestFit="1" customWidth="1"/>
    <col min="14082" max="14082" width="8.33203125" style="35" bestFit="1" customWidth="1"/>
    <col min="14083" max="14083" width="8.33203125" style="35" customWidth="1"/>
    <col min="14084" max="14086" width="9.33203125" style="35" bestFit="1" customWidth="1"/>
    <col min="14087" max="14087" width="8.33203125" style="35" bestFit="1" customWidth="1"/>
    <col min="14088" max="14089" width="8.33203125" style="35" customWidth="1"/>
    <col min="14090" max="14090" width="9" style="35" bestFit="1" customWidth="1"/>
    <col min="14091" max="14325" width="9" style="35"/>
    <col min="14326" max="14326" width="20.33203125" style="35" customWidth="1"/>
    <col min="14327" max="14327" width="8.33203125" style="35" customWidth="1"/>
    <col min="14328" max="14328" width="10" style="35" customWidth="1"/>
    <col min="14329" max="14329" width="8.33203125" style="35" customWidth="1"/>
    <col min="14330" max="14332" width="9.33203125" style="35" bestFit="1" customWidth="1"/>
    <col min="14333" max="14333" width="8.33203125" style="35" bestFit="1" customWidth="1"/>
    <col min="14334" max="14334" width="8.33203125" style="35" customWidth="1"/>
    <col min="14335" max="14337" width="9.33203125" style="35" bestFit="1" customWidth="1"/>
    <col min="14338" max="14338" width="8.33203125" style="35" bestFit="1" customWidth="1"/>
    <col min="14339" max="14339" width="8.33203125" style="35" customWidth="1"/>
    <col min="14340" max="14342" width="9.33203125" style="35" bestFit="1" customWidth="1"/>
    <col min="14343" max="14343" width="8.33203125" style="35" bestFit="1" customWidth="1"/>
    <col min="14344" max="14345" width="8.33203125" style="35" customWidth="1"/>
    <col min="14346" max="14346" width="9" style="35" bestFit="1" customWidth="1"/>
    <col min="14347" max="14581" width="9" style="35"/>
    <col min="14582" max="14582" width="20.33203125" style="35" customWidth="1"/>
    <col min="14583" max="14583" width="8.33203125" style="35" customWidth="1"/>
    <col min="14584" max="14584" width="10" style="35" customWidth="1"/>
    <col min="14585" max="14585" width="8.33203125" style="35" customWidth="1"/>
    <col min="14586" max="14588" width="9.33203125" style="35" bestFit="1" customWidth="1"/>
    <col min="14589" max="14589" width="8.33203125" style="35" bestFit="1" customWidth="1"/>
    <col min="14590" max="14590" width="8.33203125" style="35" customWidth="1"/>
    <col min="14591" max="14593" width="9.33203125" style="35" bestFit="1" customWidth="1"/>
    <col min="14594" max="14594" width="8.33203125" style="35" bestFit="1" customWidth="1"/>
    <col min="14595" max="14595" width="8.33203125" style="35" customWidth="1"/>
    <col min="14596" max="14598" width="9.33203125" style="35" bestFit="1" customWidth="1"/>
    <col min="14599" max="14599" width="8.33203125" style="35" bestFit="1" customWidth="1"/>
    <col min="14600" max="14601" width="8.33203125" style="35" customWidth="1"/>
    <col min="14602" max="14602" width="9" style="35" bestFit="1" customWidth="1"/>
    <col min="14603" max="14837" width="9" style="35"/>
    <col min="14838" max="14838" width="20.33203125" style="35" customWidth="1"/>
    <col min="14839" max="14839" width="8.33203125" style="35" customWidth="1"/>
    <col min="14840" max="14840" width="10" style="35" customWidth="1"/>
    <col min="14841" max="14841" width="8.33203125" style="35" customWidth="1"/>
    <col min="14842" max="14844" width="9.33203125" style="35" bestFit="1" customWidth="1"/>
    <col min="14845" max="14845" width="8.33203125" style="35" bestFit="1" customWidth="1"/>
    <col min="14846" max="14846" width="8.33203125" style="35" customWidth="1"/>
    <col min="14847" max="14849" width="9.33203125" style="35" bestFit="1" customWidth="1"/>
    <col min="14850" max="14850" width="8.33203125" style="35" bestFit="1" customWidth="1"/>
    <col min="14851" max="14851" width="8.33203125" style="35" customWidth="1"/>
    <col min="14852" max="14854" width="9.33203125" style="35" bestFit="1" customWidth="1"/>
    <col min="14855" max="14855" width="8.33203125" style="35" bestFit="1" customWidth="1"/>
    <col min="14856" max="14857" width="8.33203125" style="35" customWidth="1"/>
    <col min="14858" max="14858" width="9" style="35" bestFit="1" customWidth="1"/>
    <col min="14859" max="15093" width="9" style="35"/>
    <col min="15094" max="15094" width="20.33203125" style="35" customWidth="1"/>
    <col min="15095" max="15095" width="8.33203125" style="35" customWidth="1"/>
    <col min="15096" max="15096" width="10" style="35" customWidth="1"/>
    <col min="15097" max="15097" width="8.33203125" style="35" customWidth="1"/>
    <col min="15098" max="15100" width="9.33203125" style="35" bestFit="1" customWidth="1"/>
    <col min="15101" max="15101" width="8.33203125" style="35" bestFit="1" customWidth="1"/>
    <col min="15102" max="15102" width="8.33203125" style="35" customWidth="1"/>
    <col min="15103" max="15105" width="9.33203125" style="35" bestFit="1" customWidth="1"/>
    <col min="15106" max="15106" width="8.33203125" style="35" bestFit="1" customWidth="1"/>
    <col min="15107" max="15107" width="8.33203125" style="35" customWidth="1"/>
    <col min="15108" max="15110" width="9.33203125" style="35" bestFit="1" customWidth="1"/>
    <col min="15111" max="15111" width="8.33203125" style="35" bestFit="1" customWidth="1"/>
    <col min="15112" max="15113" width="8.33203125" style="35" customWidth="1"/>
    <col min="15114" max="15114" width="9" style="35" bestFit="1" customWidth="1"/>
    <col min="15115" max="15349" width="9" style="35"/>
    <col min="15350" max="15350" width="20.33203125" style="35" customWidth="1"/>
    <col min="15351" max="15351" width="8.33203125" style="35" customWidth="1"/>
    <col min="15352" max="15352" width="10" style="35" customWidth="1"/>
    <col min="15353" max="15353" width="8.33203125" style="35" customWidth="1"/>
    <col min="15354" max="15356" width="9.33203125" style="35" bestFit="1" customWidth="1"/>
    <col min="15357" max="15357" width="8.33203125" style="35" bestFit="1" customWidth="1"/>
    <col min="15358" max="15358" width="8.33203125" style="35" customWidth="1"/>
    <col min="15359" max="15361" width="9.33203125" style="35" bestFit="1" customWidth="1"/>
    <col min="15362" max="15362" width="8.33203125" style="35" bestFit="1" customWidth="1"/>
    <col min="15363" max="15363" width="8.33203125" style="35" customWidth="1"/>
    <col min="15364" max="15366" width="9.33203125" style="35" bestFit="1" customWidth="1"/>
    <col min="15367" max="15367" width="8.33203125" style="35" bestFit="1" customWidth="1"/>
    <col min="15368" max="15369" width="8.33203125" style="35" customWidth="1"/>
    <col min="15370" max="15370" width="9" style="35" bestFit="1" customWidth="1"/>
    <col min="15371" max="15605" width="9" style="35"/>
    <col min="15606" max="15606" width="20.33203125" style="35" customWidth="1"/>
    <col min="15607" max="15607" width="8.33203125" style="35" customWidth="1"/>
    <col min="15608" max="15608" width="10" style="35" customWidth="1"/>
    <col min="15609" max="15609" width="8.33203125" style="35" customWidth="1"/>
    <col min="15610" max="15612" width="9.33203125" style="35" bestFit="1" customWidth="1"/>
    <col min="15613" max="15613" width="8.33203125" style="35" bestFit="1" customWidth="1"/>
    <col min="15614" max="15614" width="8.33203125" style="35" customWidth="1"/>
    <col min="15615" max="15617" width="9.33203125" style="35" bestFit="1" customWidth="1"/>
    <col min="15618" max="15618" width="8.33203125" style="35" bestFit="1" customWidth="1"/>
    <col min="15619" max="15619" width="8.33203125" style="35" customWidth="1"/>
    <col min="15620" max="15622" width="9.33203125" style="35" bestFit="1" customWidth="1"/>
    <col min="15623" max="15623" width="8.33203125" style="35" bestFit="1" customWidth="1"/>
    <col min="15624" max="15625" width="8.33203125" style="35" customWidth="1"/>
    <col min="15626" max="15626" width="9" style="35" bestFit="1" customWidth="1"/>
    <col min="15627" max="15861" width="9" style="35"/>
    <col min="15862" max="15862" width="20.33203125" style="35" customWidth="1"/>
    <col min="15863" max="15863" width="8.33203125" style="35" customWidth="1"/>
    <col min="15864" max="15864" width="10" style="35" customWidth="1"/>
    <col min="15865" max="15865" width="8.33203125" style="35" customWidth="1"/>
    <col min="15866" max="15868" width="9.33203125" style="35" bestFit="1" customWidth="1"/>
    <col min="15869" max="15869" width="8.33203125" style="35" bestFit="1" customWidth="1"/>
    <col min="15870" max="15870" width="8.33203125" style="35" customWidth="1"/>
    <col min="15871" max="15873" width="9.33203125" style="35" bestFit="1" customWidth="1"/>
    <col min="15874" max="15874" width="8.33203125" style="35" bestFit="1" customWidth="1"/>
    <col min="15875" max="15875" width="8.33203125" style="35" customWidth="1"/>
    <col min="15876" max="15878" width="9.33203125" style="35" bestFit="1" customWidth="1"/>
    <col min="15879" max="15879" width="8.33203125" style="35" bestFit="1" customWidth="1"/>
    <col min="15880" max="15881" width="8.33203125" style="35" customWidth="1"/>
    <col min="15882" max="15882" width="9" style="35" bestFit="1" customWidth="1"/>
    <col min="15883" max="16117" width="9" style="35"/>
    <col min="16118" max="16118" width="20.33203125" style="35" customWidth="1"/>
    <col min="16119" max="16119" width="8.33203125" style="35" customWidth="1"/>
    <col min="16120" max="16120" width="10" style="35" customWidth="1"/>
    <col min="16121" max="16121" width="8.33203125" style="35" customWidth="1"/>
    <col min="16122" max="16124" width="9.33203125" style="35" bestFit="1" customWidth="1"/>
    <col min="16125" max="16125" width="8.33203125" style="35" bestFit="1" customWidth="1"/>
    <col min="16126" max="16126" width="8.33203125" style="35" customWidth="1"/>
    <col min="16127" max="16129" width="9.33203125" style="35" bestFit="1" customWidth="1"/>
    <col min="16130" max="16130" width="8.33203125" style="35" bestFit="1" customWidth="1"/>
    <col min="16131" max="16131" width="8.33203125" style="35" customWidth="1"/>
    <col min="16132" max="16134" width="9.33203125" style="35" bestFit="1" customWidth="1"/>
    <col min="16135" max="16135" width="8.33203125" style="35" bestFit="1" customWidth="1"/>
    <col min="16136" max="16137" width="8.33203125" style="35" customWidth="1"/>
    <col min="16138" max="16138" width="9" style="35" bestFit="1" customWidth="1"/>
    <col min="16139" max="16384" width="9" style="35"/>
  </cols>
  <sheetData>
    <row r="1" spans="1:41" s="32" customFormat="1" ht="14.25" customHeight="1" thickBot="1">
      <c r="A1" s="159" t="s">
        <v>0</v>
      </c>
      <c r="B1" s="160"/>
      <c r="C1" s="24" t="s">
        <v>1</v>
      </c>
      <c r="D1" s="7" t="s">
        <v>43</v>
      </c>
      <c r="E1" s="137" t="s">
        <v>32</v>
      </c>
      <c r="F1" s="137"/>
      <c r="G1" s="137"/>
      <c r="H1" s="137"/>
      <c r="I1" s="31" t="s">
        <v>32</v>
      </c>
      <c r="J1" s="138" t="s">
        <v>25</v>
      </c>
      <c r="K1" s="138"/>
      <c r="L1" s="138"/>
      <c r="M1" s="138"/>
      <c r="N1" s="25" t="s">
        <v>25</v>
      </c>
      <c r="O1" s="138" t="s">
        <v>26</v>
      </c>
      <c r="P1" s="138"/>
      <c r="Q1" s="138"/>
      <c r="R1" s="138"/>
      <c r="S1" s="138"/>
      <c r="T1" s="25" t="s">
        <v>26</v>
      </c>
      <c r="U1" s="26" t="s">
        <v>27</v>
      </c>
      <c r="V1" s="137" t="s">
        <v>39</v>
      </c>
      <c r="W1" s="137"/>
      <c r="X1" s="137"/>
      <c r="Y1" s="137"/>
      <c r="Z1" s="31" t="s">
        <v>39</v>
      </c>
      <c r="AA1" s="138" t="s">
        <v>40</v>
      </c>
      <c r="AB1" s="138"/>
      <c r="AC1" s="138"/>
      <c r="AD1" s="138"/>
      <c r="AE1" s="25" t="s">
        <v>40</v>
      </c>
      <c r="AF1" s="138" t="s">
        <v>41</v>
      </c>
      <c r="AG1" s="138"/>
      <c r="AH1" s="138"/>
      <c r="AI1" s="138"/>
      <c r="AJ1" s="138"/>
      <c r="AK1" s="25" t="s">
        <v>41</v>
      </c>
      <c r="AL1" s="26" t="s">
        <v>42</v>
      </c>
      <c r="AN1" s="27" t="s">
        <v>27</v>
      </c>
      <c r="AO1" s="27" t="s">
        <v>42</v>
      </c>
    </row>
    <row r="2" spans="1:41" s="32" customFormat="1" ht="17" customHeight="1" thickBot="1">
      <c r="A2" s="109" t="s">
        <v>2</v>
      </c>
      <c r="B2" s="110" t="s">
        <v>126</v>
      </c>
      <c r="C2" s="24" t="s">
        <v>3</v>
      </c>
      <c r="D2" s="7" t="s">
        <v>4</v>
      </c>
      <c r="E2" s="28" t="s">
        <v>33</v>
      </c>
      <c r="F2" s="46">
        <v>44927</v>
      </c>
      <c r="G2" s="46">
        <v>44935</v>
      </c>
      <c r="H2" s="46">
        <v>44942</v>
      </c>
      <c r="I2" s="29" t="s">
        <v>34</v>
      </c>
      <c r="J2" s="46">
        <v>44949</v>
      </c>
      <c r="K2" s="46">
        <v>44956</v>
      </c>
      <c r="L2" s="46">
        <v>44963</v>
      </c>
      <c r="M2" s="46">
        <v>44970</v>
      </c>
      <c r="N2" s="25" t="s">
        <v>0</v>
      </c>
      <c r="O2" s="46">
        <v>44977</v>
      </c>
      <c r="P2" s="46">
        <v>44984</v>
      </c>
      <c r="Q2" s="46">
        <v>44991</v>
      </c>
      <c r="R2" s="46">
        <v>44998</v>
      </c>
      <c r="S2" s="46">
        <v>45005</v>
      </c>
      <c r="T2" s="25" t="s">
        <v>0</v>
      </c>
      <c r="U2" s="26" t="s">
        <v>0</v>
      </c>
      <c r="V2" s="46">
        <v>45012</v>
      </c>
      <c r="W2" s="46">
        <v>45019</v>
      </c>
      <c r="X2" s="46">
        <v>45026</v>
      </c>
      <c r="Y2" s="46">
        <v>45033</v>
      </c>
      <c r="Z2" s="47" t="s">
        <v>34</v>
      </c>
      <c r="AA2" s="46">
        <v>45040</v>
      </c>
      <c r="AB2" s="46">
        <v>45047</v>
      </c>
      <c r="AC2" s="46">
        <v>45054</v>
      </c>
      <c r="AD2" s="46">
        <v>45061</v>
      </c>
      <c r="AE2" s="46" t="s">
        <v>0</v>
      </c>
      <c r="AF2" s="46">
        <v>45068</v>
      </c>
      <c r="AG2" s="46">
        <v>45075</v>
      </c>
      <c r="AH2" s="46">
        <v>45082</v>
      </c>
      <c r="AI2" s="46">
        <v>45089</v>
      </c>
      <c r="AJ2" s="46">
        <v>45096</v>
      </c>
      <c r="AK2" s="25" t="s">
        <v>0</v>
      </c>
      <c r="AL2" s="26" t="s">
        <v>0</v>
      </c>
      <c r="AN2" s="30"/>
      <c r="AO2" s="30"/>
    </row>
    <row r="3" spans="1:41" s="18" customFormat="1">
      <c r="A3" s="153" t="s">
        <v>45</v>
      </c>
      <c r="B3" s="14" t="s">
        <v>5</v>
      </c>
      <c r="C3" s="15"/>
      <c r="D3" s="15"/>
      <c r="E3" s="16">
        <v>0</v>
      </c>
      <c r="F3" s="16">
        <v>0</v>
      </c>
      <c r="G3" s="16">
        <v>-171</v>
      </c>
      <c r="H3" s="16">
        <v>0</v>
      </c>
      <c r="I3" s="15">
        <f>SUM(E3:H3)</f>
        <v>-171</v>
      </c>
      <c r="J3" s="16">
        <v>0</v>
      </c>
      <c r="K3" s="16">
        <v>0</v>
      </c>
      <c r="L3" s="16">
        <v>0</v>
      </c>
      <c r="M3" s="16">
        <v>0</v>
      </c>
      <c r="N3" s="15">
        <f>SUM(J3:M3)</f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5">
        <f>SUM(O3:S3)</f>
        <v>0</v>
      </c>
      <c r="U3" s="17">
        <f>T3+N3+I3+D7</f>
        <v>-171</v>
      </c>
      <c r="V3" s="16">
        <v>0</v>
      </c>
      <c r="W3" s="16">
        <v>0</v>
      </c>
      <c r="X3" s="16">
        <v>0</v>
      </c>
      <c r="Y3" s="16">
        <v>0</v>
      </c>
      <c r="Z3" s="15">
        <f>SUM(V3:Y3)</f>
        <v>0</v>
      </c>
      <c r="AA3" s="16">
        <v>0</v>
      </c>
      <c r="AB3" s="16">
        <v>0</v>
      </c>
      <c r="AC3" s="16">
        <v>0</v>
      </c>
      <c r="AD3" s="16">
        <v>0</v>
      </c>
      <c r="AE3" s="15">
        <f>SUM(AA3:AD3)</f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5">
        <f>SUM(AF3:AJ3)</f>
        <v>0</v>
      </c>
      <c r="AL3" s="17">
        <f>AK3+AE3+Z3</f>
        <v>0</v>
      </c>
      <c r="AM3" s="18">
        <v>32</v>
      </c>
      <c r="AN3" s="56">
        <v>-5472</v>
      </c>
    </row>
    <row r="4" spans="1:41" s="18" customFormat="1">
      <c r="A4" s="154"/>
      <c r="B4" s="19" t="s">
        <v>6</v>
      </c>
      <c r="C4" s="15"/>
      <c r="D4" s="15"/>
      <c r="E4" s="16">
        <v>0</v>
      </c>
      <c r="F4" s="16">
        <v>0</v>
      </c>
      <c r="G4" s="16">
        <v>0</v>
      </c>
      <c r="H4" s="16">
        <v>0</v>
      </c>
      <c r="I4" s="15">
        <f>SUM(E4:H4)</f>
        <v>0</v>
      </c>
      <c r="J4" s="16">
        <v>0</v>
      </c>
      <c r="K4" s="16">
        <v>0</v>
      </c>
      <c r="L4" s="16">
        <v>0</v>
      </c>
      <c r="M4" s="16">
        <v>0</v>
      </c>
      <c r="N4" s="15">
        <f>SUM(J4:M4)</f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5">
        <f>SUM(O4:S4)</f>
        <v>0</v>
      </c>
      <c r="U4" s="17">
        <f>T4+N4+I4</f>
        <v>0</v>
      </c>
      <c r="V4" s="16">
        <v>0</v>
      </c>
      <c r="W4" s="16">
        <v>0</v>
      </c>
      <c r="X4" s="16">
        <v>0</v>
      </c>
      <c r="Y4" s="16">
        <v>0</v>
      </c>
      <c r="Z4" s="15">
        <f>SUM(V4:Y4)</f>
        <v>0</v>
      </c>
      <c r="AA4" s="16">
        <v>0</v>
      </c>
      <c r="AB4" s="16">
        <v>0</v>
      </c>
      <c r="AC4" s="16">
        <v>0</v>
      </c>
      <c r="AD4" s="16">
        <v>0</v>
      </c>
      <c r="AE4" s="15">
        <f>SUM(AA4:AD4)</f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5">
        <f>SUM(AF4:AJ4)</f>
        <v>0</v>
      </c>
      <c r="AL4" s="17">
        <f>AK4+AE4+Z4</f>
        <v>0</v>
      </c>
      <c r="AN4" s="56">
        <v>0</v>
      </c>
    </row>
    <row r="5" spans="1:41" s="18" customFormat="1">
      <c r="A5" s="154"/>
      <c r="B5" s="19" t="s">
        <v>10</v>
      </c>
      <c r="C5" s="15">
        <v>0</v>
      </c>
      <c r="D5" s="15"/>
      <c r="E5" s="16"/>
      <c r="F5" s="16"/>
      <c r="G5" s="16"/>
      <c r="H5" s="16">
        <f>C5</f>
        <v>0</v>
      </c>
      <c r="I5" s="15">
        <f>E5+F5+G5+H5</f>
        <v>0</v>
      </c>
      <c r="J5" s="16"/>
      <c r="K5" s="16"/>
      <c r="L5" s="16"/>
      <c r="M5" s="16"/>
      <c r="N5" s="15">
        <f>J5+K5+L5+M5</f>
        <v>0</v>
      </c>
      <c r="O5" s="16"/>
      <c r="P5" s="16"/>
      <c r="Q5" s="16"/>
      <c r="R5" s="16"/>
      <c r="S5" s="16"/>
      <c r="T5" s="15">
        <f>SUM(O5:S5)</f>
        <v>0</v>
      </c>
      <c r="U5" s="17">
        <f>I5+N5+T5</f>
        <v>0</v>
      </c>
      <c r="V5" s="16"/>
      <c r="W5" s="16"/>
      <c r="X5" s="16"/>
      <c r="Y5" s="16"/>
      <c r="Z5" s="15">
        <f>V5+W5+X5+Y5</f>
        <v>0</v>
      </c>
      <c r="AA5" s="16"/>
      <c r="AB5" s="16"/>
      <c r="AC5" s="16"/>
      <c r="AD5" s="16"/>
      <c r="AE5" s="15">
        <f>AA5+AB5+AC5+AD5</f>
        <v>0</v>
      </c>
      <c r="AF5" s="16"/>
      <c r="AG5" s="16"/>
      <c r="AH5" s="16"/>
      <c r="AI5" s="16"/>
      <c r="AJ5" s="16"/>
      <c r="AK5" s="15">
        <f>SUM(AF5:AJ5)</f>
        <v>0</v>
      </c>
      <c r="AL5" s="17">
        <f>Z5+AE5+AK5</f>
        <v>0</v>
      </c>
      <c r="AN5" s="56">
        <v>0</v>
      </c>
    </row>
    <row r="6" spans="1:41" s="18" customFormat="1">
      <c r="A6" s="154"/>
      <c r="B6" s="19" t="s">
        <v>44</v>
      </c>
      <c r="C6" s="15"/>
      <c r="D6" s="15"/>
      <c r="E6" s="16">
        <f>E5+E4</f>
        <v>0</v>
      </c>
      <c r="F6" s="16">
        <f>F5+F4</f>
        <v>0</v>
      </c>
      <c r="G6" s="16">
        <f>G5+G4</f>
        <v>0</v>
      </c>
      <c r="H6" s="16">
        <f>H5+H4</f>
        <v>0</v>
      </c>
      <c r="I6" s="15">
        <f>SUM(E6:H6)+D7</f>
        <v>0</v>
      </c>
      <c r="J6" s="16">
        <f>J5+J4</f>
        <v>0</v>
      </c>
      <c r="K6" s="16">
        <f>K5+K4</f>
        <v>0</v>
      </c>
      <c r="L6" s="16">
        <f>L5+L4</f>
        <v>0</v>
      </c>
      <c r="M6" s="16">
        <f>M5+M4</f>
        <v>0</v>
      </c>
      <c r="N6" s="15">
        <f>SUM(J6:M6)</f>
        <v>0</v>
      </c>
      <c r="O6" s="16">
        <f>O5+O4</f>
        <v>0</v>
      </c>
      <c r="P6" s="16">
        <f>P5+P4</f>
        <v>0</v>
      </c>
      <c r="Q6" s="16">
        <f>Q5+Q4</f>
        <v>0</v>
      </c>
      <c r="R6" s="16">
        <f>R5+R4</f>
        <v>0</v>
      </c>
      <c r="S6" s="16">
        <f>S5+S4</f>
        <v>0</v>
      </c>
      <c r="T6" s="15">
        <f>SUM(O6:S6)</f>
        <v>0</v>
      </c>
      <c r="U6" s="17">
        <f>T6+N6+I6+D7</f>
        <v>0</v>
      </c>
      <c r="V6" s="16">
        <f>V5+V4</f>
        <v>0</v>
      </c>
      <c r="W6" s="16">
        <f>W5+W4</f>
        <v>0</v>
      </c>
      <c r="X6" s="16">
        <f>X5+X4</f>
        <v>0</v>
      </c>
      <c r="Y6" s="16">
        <f>Y5+Y4</f>
        <v>0</v>
      </c>
      <c r="Z6" s="15">
        <f>SUM(V6:Y6)+U7</f>
        <v>171</v>
      </c>
      <c r="AA6" s="16">
        <f>AA5+AA4</f>
        <v>0</v>
      </c>
      <c r="AB6" s="16">
        <f>AB5+AB4</f>
        <v>0</v>
      </c>
      <c r="AC6" s="16">
        <f>AC5+AC4</f>
        <v>0</v>
      </c>
      <c r="AD6" s="16">
        <f>AD5+AD4</f>
        <v>0</v>
      </c>
      <c r="AE6" s="15">
        <f>SUM(AA6:AD6)</f>
        <v>0</v>
      </c>
      <c r="AF6" s="16">
        <f>AF5+AF4</f>
        <v>0</v>
      </c>
      <c r="AG6" s="16">
        <f>AG5+AG4</f>
        <v>0</v>
      </c>
      <c r="AH6" s="16">
        <f>AH5+AH4</f>
        <v>0</v>
      </c>
      <c r="AI6" s="16">
        <f>AI5+AI4</f>
        <v>0</v>
      </c>
      <c r="AJ6" s="16">
        <f>AJ5+AJ4</f>
        <v>0</v>
      </c>
      <c r="AK6" s="15">
        <f>SUM(AF6:AJ6)</f>
        <v>0</v>
      </c>
      <c r="AL6" s="17">
        <f>AK6+AE6+Z6</f>
        <v>171</v>
      </c>
      <c r="AN6" s="56">
        <v>0</v>
      </c>
    </row>
    <row r="7" spans="1:41" s="18" customFormat="1">
      <c r="A7" s="155"/>
      <c r="B7" s="20" t="s">
        <v>8</v>
      </c>
      <c r="C7" s="21">
        <v>171</v>
      </c>
      <c r="D7" s="22"/>
      <c r="E7" s="10">
        <f>E6-E3</f>
        <v>0</v>
      </c>
      <c r="F7" s="10">
        <f>E7+F6-F3</f>
        <v>0</v>
      </c>
      <c r="G7" s="10">
        <f t="shared" ref="G7:H7" si="0">F7+G6-G3</f>
        <v>171</v>
      </c>
      <c r="H7" s="10">
        <f t="shared" si="0"/>
        <v>171</v>
      </c>
      <c r="I7" s="9">
        <f>I6-I3</f>
        <v>171</v>
      </c>
      <c r="J7" s="10">
        <f>I7+J6-J3</f>
        <v>171</v>
      </c>
      <c r="K7" s="10">
        <f>J7+K6-K3</f>
        <v>171</v>
      </c>
      <c r="L7" s="10">
        <f>K7+L6-L3</f>
        <v>171</v>
      </c>
      <c r="M7" s="10">
        <f>L7+M6-M3</f>
        <v>171</v>
      </c>
      <c r="N7" s="9">
        <f>I7+N6-N3</f>
        <v>171</v>
      </c>
      <c r="O7" s="10">
        <f>N7+O6-O3</f>
        <v>171</v>
      </c>
      <c r="P7" s="10">
        <f>O7+P6-P3</f>
        <v>171</v>
      </c>
      <c r="Q7" s="10">
        <f>P7+Q6-Q3</f>
        <v>171</v>
      </c>
      <c r="R7" s="10">
        <f>Q7+R6-R3</f>
        <v>171</v>
      </c>
      <c r="S7" s="10">
        <f>R7+S6-S3</f>
        <v>171</v>
      </c>
      <c r="T7" s="9">
        <f>N7+T6-T3</f>
        <v>171</v>
      </c>
      <c r="U7" s="11">
        <f>U6-U3</f>
        <v>171</v>
      </c>
      <c r="V7" s="10">
        <f>V6-V3</f>
        <v>0</v>
      </c>
      <c r="W7" s="10">
        <f>V7+W6-W3</f>
        <v>0</v>
      </c>
      <c r="X7" s="10">
        <f t="shared" ref="X7:Y7" si="1">W7+X6-X3</f>
        <v>0</v>
      </c>
      <c r="Y7" s="10">
        <f t="shared" si="1"/>
        <v>0</v>
      </c>
      <c r="Z7" s="9">
        <f>Z6-Z3</f>
        <v>171</v>
      </c>
      <c r="AA7" s="10">
        <f>Z7+AA6-AA3</f>
        <v>171</v>
      </c>
      <c r="AB7" s="10">
        <f>AA7+AB6-AB3</f>
        <v>171</v>
      </c>
      <c r="AC7" s="10">
        <f>AB7+AC6-AC3</f>
        <v>171</v>
      </c>
      <c r="AD7" s="10">
        <f>AC7+AD6-AD3</f>
        <v>171</v>
      </c>
      <c r="AE7" s="9">
        <f>Z7+AE6-AE3</f>
        <v>171</v>
      </c>
      <c r="AF7" s="10">
        <f>AE7+AF6-AF3</f>
        <v>171</v>
      </c>
      <c r="AG7" s="10">
        <f>AF7+AG6-AG3</f>
        <v>171</v>
      </c>
      <c r="AH7" s="10">
        <f>AG7+AH6-AH3</f>
        <v>171</v>
      </c>
      <c r="AI7" s="10">
        <f>AH7+AI6-AI3</f>
        <v>171</v>
      </c>
      <c r="AJ7" s="10">
        <f>AI7+AJ6-AJ3</f>
        <v>171</v>
      </c>
      <c r="AK7" s="9">
        <f>AE7+AK6-AK3</f>
        <v>171</v>
      </c>
      <c r="AL7" s="11">
        <f>AL6-AL3+U7</f>
        <v>342</v>
      </c>
      <c r="AN7" s="56">
        <v>0</v>
      </c>
    </row>
    <row r="8" spans="1:41" s="18" customFormat="1" ht="17" thickBot="1">
      <c r="A8" s="23"/>
      <c r="B8" s="19" t="s">
        <v>9</v>
      </c>
      <c r="C8" s="15"/>
      <c r="D8" s="15"/>
      <c r="E8" s="57" t="e">
        <v>#DIV/0!</v>
      </c>
      <c r="F8" s="57" t="e">
        <v>#DIV/0!</v>
      </c>
      <c r="G8" s="57" t="e">
        <v>#DIV/0!</v>
      </c>
      <c r="H8" s="57" t="e">
        <v>#DIV/0!</v>
      </c>
      <c r="I8" s="12"/>
      <c r="J8" s="57" t="e">
        <v>#DIV/0!</v>
      </c>
      <c r="K8" s="57" t="e">
        <v>#DIV/0!</v>
      </c>
      <c r="L8" s="57" t="e">
        <v>#DIV/0!</v>
      </c>
      <c r="M8" s="57" t="e">
        <v>#DIV/0!</v>
      </c>
      <c r="N8" s="12"/>
      <c r="O8" s="57">
        <v>0</v>
      </c>
      <c r="P8" s="57">
        <v>0</v>
      </c>
      <c r="Q8" s="57">
        <v>0</v>
      </c>
      <c r="R8" s="57">
        <v>0</v>
      </c>
      <c r="S8" s="57">
        <v>0</v>
      </c>
      <c r="T8" s="12"/>
      <c r="U8" s="13"/>
      <c r="V8" s="57" t="e">
        <v>#DIV/0!</v>
      </c>
      <c r="W8" s="57" t="e">
        <v>#DIV/0!</v>
      </c>
      <c r="X8" s="57" t="e">
        <v>#DIV/0!</v>
      </c>
      <c r="Y8" s="57" t="e">
        <v>#DIV/0!</v>
      </c>
      <c r="Z8" s="12"/>
      <c r="AA8" s="57" t="e">
        <v>#DIV/0!</v>
      </c>
      <c r="AB8" s="57" t="e">
        <v>#DIV/0!</v>
      </c>
      <c r="AC8" s="57" t="e">
        <v>#DIV/0!</v>
      </c>
      <c r="AD8" s="57" t="e">
        <v>#DIV/0!</v>
      </c>
      <c r="AE8" s="12"/>
      <c r="AF8" s="57">
        <v>0</v>
      </c>
      <c r="AG8" s="57">
        <v>0</v>
      </c>
      <c r="AH8" s="57">
        <v>0</v>
      </c>
      <c r="AI8" s="57">
        <v>0</v>
      </c>
      <c r="AJ8" s="57">
        <v>0</v>
      </c>
      <c r="AK8" s="12"/>
      <c r="AL8" s="13"/>
      <c r="AN8" s="56">
        <v>0</v>
      </c>
    </row>
    <row r="9" spans="1:41" s="18" customFormat="1" ht="16.25" customHeight="1" thickBot="1">
      <c r="A9" s="156" t="s">
        <v>11</v>
      </c>
      <c r="B9" s="58" t="s">
        <v>5</v>
      </c>
      <c r="C9" s="9"/>
      <c r="D9" s="39"/>
      <c r="E9" s="59">
        <v>0</v>
      </c>
      <c r="F9" s="60">
        <v>15000</v>
      </c>
      <c r="G9" s="60">
        <v>14446</v>
      </c>
      <c r="H9" s="61">
        <v>2624</v>
      </c>
      <c r="I9" s="10">
        <f>SUM(E9:H9)</f>
        <v>32070</v>
      </c>
      <c r="J9" s="59">
        <v>42283</v>
      </c>
      <c r="K9" s="60">
        <v>9450</v>
      </c>
      <c r="L9" s="60">
        <v>15182</v>
      </c>
      <c r="M9" s="61">
        <v>11906</v>
      </c>
      <c r="N9" s="10">
        <f>SUM(J9:M9)</f>
        <v>78821</v>
      </c>
      <c r="O9" s="59">
        <v>35296</v>
      </c>
      <c r="P9" s="60">
        <v>38986</v>
      </c>
      <c r="Q9" s="60">
        <v>2117</v>
      </c>
      <c r="R9" s="60">
        <v>36381</v>
      </c>
      <c r="S9" s="61">
        <v>34064</v>
      </c>
      <c r="T9" s="62">
        <f>SUM(O9:S9)</f>
        <v>146844</v>
      </c>
      <c r="U9" s="63">
        <f>T9+N9+I9+D13</f>
        <v>318482</v>
      </c>
      <c r="V9" s="59">
        <v>0</v>
      </c>
      <c r="W9" s="60">
        <v>700</v>
      </c>
      <c r="X9" s="60">
        <v>0</v>
      </c>
      <c r="Y9" s="61">
        <v>0</v>
      </c>
      <c r="Z9" s="10">
        <f>SUM(V9:Y9)</f>
        <v>700</v>
      </c>
      <c r="AA9" s="59">
        <v>16000</v>
      </c>
      <c r="AB9" s="60">
        <v>0</v>
      </c>
      <c r="AC9" s="60">
        <v>0</v>
      </c>
      <c r="AD9" s="61">
        <v>3735</v>
      </c>
      <c r="AE9" s="10">
        <f>SUM(AA9:AD9)</f>
        <v>19735</v>
      </c>
      <c r="AF9" s="59">
        <v>0</v>
      </c>
      <c r="AG9" s="60">
        <v>0</v>
      </c>
      <c r="AH9" s="60">
        <v>0</v>
      </c>
      <c r="AI9" s="60">
        <v>0</v>
      </c>
      <c r="AJ9" s="61">
        <v>0</v>
      </c>
      <c r="AK9" s="62">
        <f>SUM(AF9:AJ9)</f>
        <v>0</v>
      </c>
      <c r="AL9" s="11">
        <f>AK9+AE9+Z9</f>
        <v>20435</v>
      </c>
      <c r="AM9" s="4">
        <v>32</v>
      </c>
      <c r="AN9" s="56">
        <v>10191424</v>
      </c>
      <c r="AO9" s="56">
        <v>653920</v>
      </c>
    </row>
    <row r="10" spans="1:41" s="64" customFormat="1" ht="16.25" customHeight="1" thickBot="1">
      <c r="A10" s="157"/>
      <c r="B10" s="58" t="s">
        <v>6</v>
      </c>
      <c r="C10" s="9"/>
      <c r="D10" s="39"/>
      <c r="E10" s="39">
        <v>0</v>
      </c>
      <c r="F10" s="10">
        <v>15000</v>
      </c>
      <c r="G10" s="10">
        <v>36000</v>
      </c>
      <c r="H10" s="62">
        <v>0</v>
      </c>
      <c r="I10" s="15">
        <f>SUM(E10:H10)</f>
        <v>51000</v>
      </c>
      <c r="J10" s="39">
        <v>60000</v>
      </c>
      <c r="K10" s="10">
        <v>0</v>
      </c>
      <c r="L10" s="10">
        <v>25000</v>
      </c>
      <c r="M10" s="62">
        <v>25000</v>
      </c>
      <c r="N10" s="15">
        <f>SUM(J10:M10)</f>
        <v>110000</v>
      </c>
      <c r="O10" s="39">
        <v>0</v>
      </c>
      <c r="P10" s="10">
        <v>30000</v>
      </c>
      <c r="Q10" s="10">
        <v>30000</v>
      </c>
      <c r="R10" s="10">
        <v>30000</v>
      </c>
      <c r="S10" s="62">
        <v>50000</v>
      </c>
      <c r="T10" s="15">
        <f>SUM(O10:S10)</f>
        <v>140000</v>
      </c>
      <c r="U10" s="63">
        <f>T10+N10+I10+D13</f>
        <v>361747</v>
      </c>
      <c r="V10" s="39">
        <v>30000</v>
      </c>
      <c r="W10" s="10">
        <v>0</v>
      </c>
      <c r="X10" s="10">
        <v>0</v>
      </c>
      <c r="Y10" s="62">
        <v>0</v>
      </c>
      <c r="Z10" s="15">
        <f>SUM(V10:Y10)</f>
        <v>30000</v>
      </c>
      <c r="AA10" s="39">
        <v>0</v>
      </c>
      <c r="AB10" s="10">
        <v>0</v>
      </c>
      <c r="AC10" s="10">
        <v>0</v>
      </c>
      <c r="AD10" s="62">
        <v>0</v>
      </c>
      <c r="AE10" s="15">
        <f>SUM(AA10:AD10)</f>
        <v>0</v>
      </c>
      <c r="AF10" s="39">
        <v>0</v>
      </c>
      <c r="AG10" s="10">
        <v>0</v>
      </c>
      <c r="AH10" s="10">
        <v>0</v>
      </c>
      <c r="AI10" s="10">
        <v>0</v>
      </c>
      <c r="AJ10" s="62">
        <v>0</v>
      </c>
      <c r="AK10" s="15">
        <f>SUM(AF10:AJ10)</f>
        <v>0</v>
      </c>
      <c r="AL10" s="11"/>
      <c r="AM10" s="4"/>
      <c r="AN10" s="56">
        <v>0</v>
      </c>
      <c r="AO10" s="56">
        <v>0</v>
      </c>
    </row>
    <row r="11" spans="1:41" s="18" customFormat="1" ht="15" customHeight="1">
      <c r="A11" s="157"/>
      <c r="B11" s="19" t="s">
        <v>10</v>
      </c>
      <c r="C11" s="9">
        <v>11625</v>
      </c>
      <c r="D11" s="39"/>
      <c r="E11" s="39"/>
      <c r="F11" s="10"/>
      <c r="G11" s="10"/>
      <c r="H11" s="62">
        <f>C11</f>
        <v>11625</v>
      </c>
      <c r="I11" s="15">
        <f>E11+F11+G11+H11</f>
        <v>11625</v>
      </c>
      <c r="J11" s="39"/>
      <c r="K11" s="10"/>
      <c r="L11" s="10"/>
      <c r="M11" s="62"/>
      <c r="N11" s="15">
        <f>J11+K11+L11+M11</f>
        <v>0</v>
      </c>
      <c r="O11" s="39"/>
      <c r="P11" s="10"/>
      <c r="Q11" s="10"/>
      <c r="R11" s="10"/>
      <c r="S11" s="62"/>
      <c r="T11" s="15">
        <f>SUM(O11:S11)</f>
        <v>0</v>
      </c>
      <c r="U11" s="63"/>
      <c r="V11" s="39"/>
      <c r="W11" s="10"/>
      <c r="X11" s="10"/>
      <c r="Y11" s="62"/>
      <c r="Z11" s="15">
        <f>V11+W11+X11+Y11</f>
        <v>0</v>
      </c>
      <c r="AA11" s="39"/>
      <c r="AB11" s="10"/>
      <c r="AC11" s="10"/>
      <c r="AD11" s="62"/>
      <c r="AE11" s="15">
        <f>AA11+AB11+AC11+AD11</f>
        <v>0</v>
      </c>
      <c r="AF11" s="39"/>
      <c r="AG11" s="10"/>
      <c r="AH11" s="10"/>
      <c r="AI11" s="10"/>
      <c r="AJ11" s="62"/>
      <c r="AK11" s="15">
        <f>SUM(AF11:AJ11)</f>
        <v>0</v>
      </c>
      <c r="AL11" s="17">
        <f>Z11+AE11+AK11</f>
        <v>0</v>
      </c>
      <c r="AM11" s="4"/>
      <c r="AN11" s="56">
        <v>0</v>
      </c>
      <c r="AO11" s="56">
        <v>0</v>
      </c>
    </row>
    <row r="12" spans="1:41" s="18" customFormat="1" ht="15.75" customHeight="1">
      <c r="A12" s="157"/>
      <c r="B12" s="19" t="s">
        <v>7</v>
      </c>
      <c r="C12" s="9"/>
      <c r="D12" s="39"/>
      <c r="E12" s="39">
        <f>E11+E10</f>
        <v>0</v>
      </c>
      <c r="F12" s="10">
        <f>F11+F10</f>
        <v>15000</v>
      </c>
      <c r="G12" s="10">
        <f t="shared" ref="G12" si="2">G11+G10</f>
        <v>36000</v>
      </c>
      <c r="H12" s="62">
        <f>H11+H10</f>
        <v>11625</v>
      </c>
      <c r="I12" s="10">
        <f>SUM(E12:H12)</f>
        <v>62625</v>
      </c>
      <c r="J12" s="39">
        <f>J11+J10</f>
        <v>60000</v>
      </c>
      <c r="K12" s="10">
        <f>K11+K10</f>
        <v>0</v>
      </c>
      <c r="L12" s="10">
        <f>L11+L10</f>
        <v>25000</v>
      </c>
      <c r="M12" s="62">
        <f>M11+M10</f>
        <v>25000</v>
      </c>
      <c r="N12" s="10">
        <f>SUM(J12:M12)</f>
        <v>110000</v>
      </c>
      <c r="O12" s="39">
        <f>O11+O10</f>
        <v>0</v>
      </c>
      <c r="P12" s="10">
        <f>P11+P10</f>
        <v>30000</v>
      </c>
      <c r="Q12" s="10">
        <f>Q11+Q10</f>
        <v>30000</v>
      </c>
      <c r="R12" s="10">
        <f>R11+R10</f>
        <v>30000</v>
      </c>
      <c r="S12" s="62">
        <f>S11+S10</f>
        <v>50000</v>
      </c>
      <c r="T12" s="62">
        <f>SUM(O12:S12)</f>
        <v>140000</v>
      </c>
      <c r="U12" s="63">
        <f>T12+N12+I12+D13</f>
        <v>373372</v>
      </c>
      <c r="V12" s="39">
        <f>V11+V10</f>
        <v>30000</v>
      </c>
      <c r="W12" s="10">
        <f>W11+W10</f>
        <v>0</v>
      </c>
      <c r="X12" s="10">
        <f t="shared" ref="X12" si="3">X11+X10</f>
        <v>0</v>
      </c>
      <c r="Y12" s="62">
        <f>Y11+Y10</f>
        <v>0</v>
      </c>
      <c r="Z12" s="10">
        <f>SUM(V12:Y12)</f>
        <v>30000</v>
      </c>
      <c r="AA12" s="39">
        <f>AA11+AA10</f>
        <v>0</v>
      </c>
      <c r="AB12" s="10">
        <f>AB11+AB10</f>
        <v>0</v>
      </c>
      <c r="AC12" s="10">
        <f>AC11+AC10</f>
        <v>0</v>
      </c>
      <c r="AD12" s="62">
        <f>AD11+AD10</f>
        <v>0</v>
      </c>
      <c r="AE12" s="10">
        <f>SUM(AA12:AD12)</f>
        <v>0</v>
      </c>
      <c r="AF12" s="39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62">
        <f>AJ11+AJ10</f>
        <v>0</v>
      </c>
      <c r="AK12" s="62">
        <f>SUM(AF12:AJ12)</f>
        <v>0</v>
      </c>
      <c r="AL12" s="11">
        <f>AK12+AE12+Z12</f>
        <v>30000</v>
      </c>
      <c r="AM12" s="4"/>
      <c r="AN12" s="56">
        <v>0</v>
      </c>
      <c r="AO12" s="56">
        <v>0</v>
      </c>
    </row>
    <row r="13" spans="1:41" s="18" customFormat="1" ht="15.75" customHeight="1" thickBot="1">
      <c r="A13" s="158"/>
      <c r="B13" s="19" t="s">
        <v>8</v>
      </c>
      <c r="C13" s="65">
        <v>74963</v>
      </c>
      <c r="D13" s="66">
        <v>60747</v>
      </c>
      <c r="E13" s="67">
        <f>E12-E9</f>
        <v>0</v>
      </c>
      <c r="F13" s="68">
        <f>E13+F12-F9</f>
        <v>0</v>
      </c>
      <c r="G13" s="68">
        <f>F13+G12-G9</f>
        <v>21554</v>
      </c>
      <c r="H13" s="69">
        <f>G13+H12-H9</f>
        <v>30555</v>
      </c>
      <c r="I13" s="10">
        <f>I12-I9</f>
        <v>30555</v>
      </c>
      <c r="J13" s="67">
        <f>I13+J12-J9</f>
        <v>48272</v>
      </c>
      <c r="K13" s="68">
        <f>J13+K12-K9</f>
        <v>38822</v>
      </c>
      <c r="L13" s="68">
        <f>K13+L12-L9</f>
        <v>48640</v>
      </c>
      <c r="M13" s="69">
        <f>L13+M12-M9</f>
        <v>61734</v>
      </c>
      <c r="N13" s="10">
        <f>I13+N12-N9</f>
        <v>61734</v>
      </c>
      <c r="O13" s="67">
        <f>N13+O12-O9</f>
        <v>26438</v>
      </c>
      <c r="P13" s="68">
        <f>O13+P12-P9</f>
        <v>17452</v>
      </c>
      <c r="Q13" s="68">
        <f>P13+Q12-Q9</f>
        <v>45335</v>
      </c>
      <c r="R13" s="68">
        <f t="shared" ref="R13" si="4">Q13+R12-R9</f>
        <v>38954</v>
      </c>
      <c r="S13" s="69">
        <f>R13+S12-S9</f>
        <v>54890</v>
      </c>
      <c r="T13" s="62">
        <f>N13+T12-T9</f>
        <v>54890</v>
      </c>
      <c r="U13" s="63">
        <f>U12-U9</f>
        <v>54890</v>
      </c>
      <c r="V13" s="67">
        <f>U13+V12-V9</f>
        <v>84890</v>
      </c>
      <c r="W13" s="68">
        <f>V13+W12-W9</f>
        <v>84190</v>
      </c>
      <c r="X13" s="68">
        <f t="shared" ref="X13:Y13" si="5">W13+X12-X9</f>
        <v>84190</v>
      </c>
      <c r="Y13" s="68">
        <f t="shared" si="5"/>
        <v>84190</v>
      </c>
      <c r="Z13" s="10">
        <f>T13+Z12-Z9</f>
        <v>84190</v>
      </c>
      <c r="AA13" s="67">
        <f>Z13+AA12-AA9</f>
        <v>68190</v>
      </c>
      <c r="AB13" s="68">
        <f>AA13+AB12-AB9</f>
        <v>68190</v>
      </c>
      <c r="AC13" s="68">
        <f>AB13+AC12-AC9</f>
        <v>68190</v>
      </c>
      <c r="AD13" s="69">
        <f>AC13+AD12-AD9</f>
        <v>64455</v>
      </c>
      <c r="AE13" s="10">
        <f>Z13+AE12-AE9</f>
        <v>64455</v>
      </c>
      <c r="AF13" s="67">
        <f>AE13+AF12-AF9</f>
        <v>64455</v>
      </c>
      <c r="AG13" s="68">
        <f>AF13+AG12-AG9</f>
        <v>64455</v>
      </c>
      <c r="AH13" s="68">
        <f>AG13+AH12-AH9</f>
        <v>64455</v>
      </c>
      <c r="AI13" s="68">
        <f t="shared" ref="AI13:AJ13" si="6">AH13+AI12-AI9</f>
        <v>64455</v>
      </c>
      <c r="AJ13" s="69">
        <f t="shared" si="6"/>
        <v>64455</v>
      </c>
      <c r="AK13" s="62">
        <f>AE13+AK12-AK9</f>
        <v>64455</v>
      </c>
      <c r="AL13" s="11">
        <f>T13+AL12-AL9</f>
        <v>64455</v>
      </c>
      <c r="AM13" s="4"/>
      <c r="AN13" s="56">
        <v>0</v>
      </c>
      <c r="AO13" s="56">
        <v>0</v>
      </c>
    </row>
    <row r="14" spans="1:41" s="18" customFormat="1" ht="16.25" customHeight="1" thickBot="1">
      <c r="A14" s="70"/>
      <c r="B14" s="19" t="s">
        <v>9</v>
      </c>
      <c r="C14" s="9"/>
      <c r="D14" s="9"/>
      <c r="E14" s="71" t="e">
        <f>E13/(SUM(F9+H9+#REF!+G9)/20)*1000</f>
        <v>#REF!</v>
      </c>
      <c r="F14" s="71" t="e">
        <f>F13/(SUM(G9+#REF!+J9+H9)/20)*1000</f>
        <v>#REF!</v>
      </c>
      <c r="G14" s="71" t="e">
        <f>G13/(SUM(H9+K9+J9+#REF!)/20)*1000</f>
        <v>#REF!</v>
      </c>
      <c r="H14" s="71" t="e">
        <f>H13/(SUM(#REF!+J9+K9+L9)/20)*1000</f>
        <v>#REF!</v>
      </c>
      <c r="I14" s="12"/>
      <c r="J14" s="71">
        <f>J13/(SUM(K9+L9+M9+O9)/20)*1000</f>
        <v>13439.875267978952</v>
      </c>
      <c r="K14" s="71">
        <f>K13/(SUM(L9+M9+O9+P9)/20)*1000</f>
        <v>7659.4653250468582</v>
      </c>
      <c r="L14" s="71">
        <f>L13/(SUM(M9+O9+P9+Q9)/20)*1000</f>
        <v>11016.36373931261</v>
      </c>
      <c r="M14" s="71">
        <f>M13/(SUM(O9+P9+Q9+R9)/20)*1000</f>
        <v>10947.685759886504</v>
      </c>
      <c r="N14" s="12"/>
      <c r="O14" s="71">
        <f>O13/(SUM(P9+Q9+R9+S9)/20)*1000</f>
        <v>4740.2015275935028</v>
      </c>
      <c r="P14" s="71" t="e">
        <f>P13/(SUM(Q9+R9+#REF!+S9)/20)*1000</f>
        <v>#REF!</v>
      </c>
      <c r="Q14" s="71" t="e">
        <f>Q13/(SUM(R9+S9+#REF!+#REF!)/20)*1000</f>
        <v>#REF!</v>
      </c>
      <c r="R14" s="71" t="e">
        <f>R13/(SUM(S9+#REF!+#REF!+#REF!)/20)*1000</f>
        <v>#REF!</v>
      </c>
      <c r="S14" s="71" t="e">
        <f>S13/(SUM(#REF!+#REF!+#REF!+#REF!)/20)*1000</f>
        <v>#REF!</v>
      </c>
      <c r="T14" s="12"/>
      <c r="U14" s="13"/>
      <c r="V14" s="71" t="e">
        <f>V13/(SUM(W9+Y9+#REF!+X9)/20)*1000</f>
        <v>#REF!</v>
      </c>
      <c r="W14" s="71" t="e">
        <f>W13/(SUM(X9+#REF!+AA9+Y9)/20)*1000</f>
        <v>#REF!</v>
      </c>
      <c r="X14" s="71" t="e">
        <f>X13/(SUM(Y9+AB9+AA9+#REF!)/20)*1000</f>
        <v>#REF!</v>
      </c>
      <c r="Y14" s="71" t="e">
        <f>Y13/(SUM(#REF!+AA9+AB9+AC9)/20)*1000</f>
        <v>#REF!</v>
      </c>
      <c r="Z14" s="12"/>
      <c r="AA14" s="71">
        <f>AA13/(SUM(AB9+AC9+AD9+AF9)/20)*1000</f>
        <v>365140.56224899599</v>
      </c>
      <c r="AB14" s="71">
        <f>AB13/(SUM(AC9+AD9+AF9+AG9)/20)*1000</f>
        <v>365140.56224899599</v>
      </c>
      <c r="AC14" s="71">
        <f>AC13/(SUM(AD9+AF9+AG9+AH9)/20)*1000</f>
        <v>365140.56224899599</v>
      </c>
      <c r="AD14" s="71" t="e">
        <f>AD13/(SUM(AF9+AG9+AH9+AI9)/20)*1000</f>
        <v>#DIV/0!</v>
      </c>
      <c r="AE14" s="12"/>
      <c r="AF14" s="71" t="e">
        <f>AF13/(SUM(AG9+AH9+AI9+AJ9)/20)*1000</f>
        <v>#DIV/0!</v>
      </c>
      <c r="AG14" s="71" t="e">
        <f>AG13/(SUM(AH9+AI9+#REF!+AJ9)/20)*1000</f>
        <v>#REF!</v>
      </c>
      <c r="AH14" s="71" t="e">
        <f>AH13/(SUM(AI9+AJ9+#REF!+#REF!)/20)*1000</f>
        <v>#REF!</v>
      </c>
      <c r="AI14" s="71" t="e">
        <f>AI13/(SUM(AJ9+#REF!+#REF!+#REF!)/20)*1000</f>
        <v>#REF!</v>
      </c>
      <c r="AJ14" s="71" t="e">
        <f>AJ13/(SUM(#REF!+#REF!+#REF!+#REF!)/20)*1000</f>
        <v>#REF!</v>
      </c>
      <c r="AK14" s="12"/>
      <c r="AL14" s="13"/>
      <c r="AM14" s="4"/>
      <c r="AN14" s="56">
        <v>0</v>
      </c>
      <c r="AO14" s="56">
        <v>0</v>
      </c>
    </row>
    <row r="15" spans="1:41" s="18" customFormat="1" ht="13.25" customHeight="1">
      <c r="A15" s="161" t="s">
        <v>46</v>
      </c>
      <c r="B15" s="19" t="s">
        <v>5</v>
      </c>
      <c r="C15" s="15"/>
      <c r="D15" s="15"/>
      <c r="E15" s="16">
        <v>0</v>
      </c>
      <c r="F15" s="16">
        <v>0</v>
      </c>
      <c r="G15" s="16">
        <v>-387</v>
      </c>
      <c r="H15" s="16">
        <v>0</v>
      </c>
      <c r="I15" s="15">
        <f>SUM(E15:H15)</f>
        <v>-387</v>
      </c>
      <c r="J15" s="16">
        <v>0</v>
      </c>
      <c r="K15" s="16">
        <v>0</v>
      </c>
      <c r="L15" s="16">
        <v>0</v>
      </c>
      <c r="M15" s="16">
        <v>0</v>
      </c>
      <c r="N15" s="15">
        <f>SUM(J15:M15)</f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5">
        <f t="shared" ref="T15" si="7">SUM(O15:S15)</f>
        <v>0</v>
      </c>
      <c r="U15" s="17">
        <f>T15+N15+I15+D19</f>
        <v>-387</v>
      </c>
      <c r="V15" s="16">
        <v>0</v>
      </c>
      <c r="W15" s="16">
        <v>0</v>
      </c>
      <c r="X15" s="16">
        <v>0</v>
      </c>
      <c r="Y15" s="16">
        <v>0</v>
      </c>
      <c r="Z15" s="15">
        <f>SUM(V15:Y15)</f>
        <v>0</v>
      </c>
      <c r="AA15" s="16">
        <v>0</v>
      </c>
      <c r="AB15" s="16">
        <v>0</v>
      </c>
      <c r="AC15" s="16">
        <v>0</v>
      </c>
      <c r="AD15" s="16">
        <v>0</v>
      </c>
      <c r="AE15" s="15">
        <f>SUM(AA15:AD15)</f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5">
        <f>SUM(AF15:AJ15)</f>
        <v>0</v>
      </c>
      <c r="AL15" s="17">
        <f>AK15+AE15+Z15</f>
        <v>0</v>
      </c>
      <c r="AM15" s="18">
        <v>64</v>
      </c>
      <c r="AN15" s="56">
        <v>-24768</v>
      </c>
    </row>
    <row r="16" spans="1:41" s="18" customFormat="1" ht="13.25" customHeight="1">
      <c r="A16" s="154"/>
      <c r="B16" s="19" t="s">
        <v>6</v>
      </c>
      <c r="C16" s="15"/>
      <c r="D16" s="15"/>
      <c r="E16" s="16">
        <v>0</v>
      </c>
      <c r="F16" s="16">
        <v>0</v>
      </c>
      <c r="G16" s="16">
        <v>0</v>
      </c>
      <c r="H16" s="16">
        <v>0</v>
      </c>
      <c r="I16" s="15">
        <f>SUM(E16:H16)</f>
        <v>0</v>
      </c>
      <c r="J16" s="16">
        <v>0</v>
      </c>
      <c r="K16" s="16">
        <v>0</v>
      </c>
      <c r="L16" s="16">
        <v>0</v>
      </c>
      <c r="M16" s="16">
        <v>0</v>
      </c>
      <c r="N16" s="15">
        <f>SUM(J16:M16)</f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5">
        <f>SUM(O16:S16)</f>
        <v>0</v>
      </c>
      <c r="U16" s="17">
        <f>T16+N16+I16</f>
        <v>0</v>
      </c>
      <c r="V16" s="16">
        <v>0</v>
      </c>
      <c r="W16" s="16">
        <v>0</v>
      </c>
      <c r="X16" s="16">
        <v>0</v>
      </c>
      <c r="Y16" s="16">
        <v>0</v>
      </c>
      <c r="Z16" s="15">
        <f>SUM(V16:Y16)</f>
        <v>0</v>
      </c>
      <c r="AA16" s="16">
        <v>0</v>
      </c>
      <c r="AB16" s="16">
        <v>0</v>
      </c>
      <c r="AC16" s="16">
        <v>0</v>
      </c>
      <c r="AD16" s="16">
        <v>0</v>
      </c>
      <c r="AE16" s="15">
        <f>SUM(AA16:AD16)</f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5">
        <f>SUM(AF16:AJ16)</f>
        <v>0</v>
      </c>
      <c r="AL16" s="17">
        <f>AK16+AE16+Z16</f>
        <v>0</v>
      </c>
      <c r="AN16" s="56">
        <v>0</v>
      </c>
    </row>
    <row r="17" spans="1:41" s="18" customFormat="1">
      <c r="A17" s="154"/>
      <c r="B17" s="19" t="s">
        <v>10</v>
      </c>
      <c r="C17" s="15">
        <v>0</v>
      </c>
      <c r="D17" s="15"/>
      <c r="E17" s="16"/>
      <c r="F17" s="16"/>
      <c r="G17" s="16"/>
      <c r="H17" s="16">
        <f>C17</f>
        <v>0</v>
      </c>
      <c r="I17" s="15">
        <f>E17+F17+G17+H17</f>
        <v>0</v>
      </c>
      <c r="J17" s="16"/>
      <c r="K17" s="16"/>
      <c r="L17" s="16"/>
      <c r="M17" s="16"/>
      <c r="N17" s="15">
        <f>J17+K17+L17+M17</f>
        <v>0</v>
      </c>
      <c r="O17" s="16"/>
      <c r="P17" s="16"/>
      <c r="Q17" s="16"/>
      <c r="R17" s="16"/>
      <c r="S17" s="16"/>
      <c r="T17" s="15">
        <f>SUM(O17:S17)</f>
        <v>0</v>
      </c>
      <c r="U17" s="17">
        <f>I17+N17+T17</f>
        <v>0</v>
      </c>
      <c r="V17" s="16"/>
      <c r="W17" s="16"/>
      <c r="X17" s="16"/>
      <c r="Y17" s="16"/>
      <c r="Z17" s="15">
        <f>V17+W17+X17+Y17</f>
        <v>0</v>
      </c>
      <c r="AA17" s="16"/>
      <c r="AB17" s="16"/>
      <c r="AC17" s="16"/>
      <c r="AD17" s="16"/>
      <c r="AE17" s="15">
        <f>AA17+AB17+AC17+AD17</f>
        <v>0</v>
      </c>
      <c r="AF17" s="16"/>
      <c r="AG17" s="16"/>
      <c r="AH17" s="16"/>
      <c r="AI17" s="16"/>
      <c r="AJ17" s="16"/>
      <c r="AK17" s="15">
        <f>SUM(AF17:AJ17)</f>
        <v>0</v>
      </c>
      <c r="AL17" s="17">
        <f>Z17+AE17+AK17</f>
        <v>0</v>
      </c>
      <c r="AN17" s="56">
        <v>0</v>
      </c>
    </row>
    <row r="18" spans="1:41" s="18" customFormat="1" ht="13.75" customHeight="1">
      <c r="A18" s="154"/>
      <c r="B18" s="19" t="s">
        <v>44</v>
      </c>
      <c r="C18" s="15"/>
      <c r="D18" s="15"/>
      <c r="E18" s="16">
        <f>E17+E16</f>
        <v>0</v>
      </c>
      <c r="F18" s="16">
        <f>F17+F16</f>
        <v>0</v>
      </c>
      <c r="G18" s="16">
        <f>G17+G16</f>
        <v>0</v>
      </c>
      <c r="H18" s="16">
        <f>H17+H16</f>
        <v>0</v>
      </c>
      <c r="I18" s="15">
        <f>SUM(E18:H18)</f>
        <v>0</v>
      </c>
      <c r="J18" s="16">
        <f>J17+J16</f>
        <v>0</v>
      </c>
      <c r="K18" s="16">
        <f>K17+K16</f>
        <v>0</v>
      </c>
      <c r="L18" s="16">
        <f>L17+L16</f>
        <v>0</v>
      </c>
      <c r="M18" s="16">
        <f>M17+M16</f>
        <v>0</v>
      </c>
      <c r="N18" s="15">
        <f>SUM(J18:M18)</f>
        <v>0</v>
      </c>
      <c r="O18" s="16">
        <f>O17+O16</f>
        <v>0</v>
      </c>
      <c r="P18" s="16">
        <f>P17+P16</f>
        <v>0</v>
      </c>
      <c r="Q18" s="16">
        <f>Q17+Q16</f>
        <v>0</v>
      </c>
      <c r="R18" s="16">
        <f>R17+R16</f>
        <v>0</v>
      </c>
      <c r="S18" s="16">
        <f>S17+S16</f>
        <v>0</v>
      </c>
      <c r="T18" s="15">
        <f>SUM(O18:S18)</f>
        <v>0</v>
      </c>
      <c r="U18" s="17">
        <f>T18+N18+I18+D19</f>
        <v>0</v>
      </c>
      <c r="V18" s="16">
        <f>V17+V16</f>
        <v>0</v>
      </c>
      <c r="W18" s="16">
        <f>W17+W16</f>
        <v>0</v>
      </c>
      <c r="X18" s="16">
        <f>X17+X16</f>
        <v>0</v>
      </c>
      <c r="Y18" s="16">
        <f>Y17+Y16</f>
        <v>0</v>
      </c>
      <c r="Z18" s="15">
        <f>SUM(V18:Y18)</f>
        <v>0</v>
      </c>
      <c r="AA18" s="16">
        <f>AA17+AA16</f>
        <v>0</v>
      </c>
      <c r="AB18" s="16">
        <f>AB17+AB16</f>
        <v>0</v>
      </c>
      <c r="AC18" s="16">
        <f>AC17+AC16</f>
        <v>0</v>
      </c>
      <c r="AD18" s="16">
        <f>AD17+AD16</f>
        <v>0</v>
      </c>
      <c r="AE18" s="15">
        <f>SUM(AA18:AD18)</f>
        <v>0</v>
      </c>
      <c r="AF18" s="16">
        <f>AF17+AF16</f>
        <v>0</v>
      </c>
      <c r="AG18" s="16">
        <f>AG17+AG16</f>
        <v>0</v>
      </c>
      <c r="AH18" s="16">
        <f>AH17+AH16</f>
        <v>0</v>
      </c>
      <c r="AI18" s="16">
        <f>AI17+AI16</f>
        <v>0</v>
      </c>
      <c r="AJ18" s="16">
        <f>AJ17+AJ16</f>
        <v>0</v>
      </c>
      <c r="AK18" s="15">
        <f>SUM(AF18:AJ18)</f>
        <v>0</v>
      </c>
      <c r="AL18" s="17">
        <f>AK18+AE18+Z18</f>
        <v>0</v>
      </c>
      <c r="AN18" s="56">
        <v>0</v>
      </c>
    </row>
    <row r="19" spans="1:41" s="18" customFormat="1" ht="13.75" customHeight="1">
      <c r="A19" s="155"/>
      <c r="B19" s="19" t="s">
        <v>8</v>
      </c>
      <c r="C19" s="21">
        <v>387</v>
      </c>
      <c r="D19" s="22"/>
      <c r="E19" s="10">
        <f>E18-E15</f>
        <v>0</v>
      </c>
      <c r="F19" s="10">
        <f>E19+F18-F15</f>
        <v>0</v>
      </c>
      <c r="G19" s="10">
        <f>F19+G18-G15</f>
        <v>387</v>
      </c>
      <c r="H19" s="10">
        <f>G19+H18-H15</f>
        <v>387</v>
      </c>
      <c r="I19" s="9">
        <f>I18-I15</f>
        <v>387</v>
      </c>
      <c r="J19" s="10">
        <f>I19+J18-J15</f>
        <v>387</v>
      </c>
      <c r="K19" s="10">
        <f>J19+K18-K15</f>
        <v>387</v>
      </c>
      <c r="L19" s="10">
        <f>K19+L18-L15</f>
        <v>387</v>
      </c>
      <c r="M19" s="10">
        <f>L19+M18-M15</f>
        <v>387</v>
      </c>
      <c r="N19" s="9">
        <f>I19+N18-N15</f>
        <v>387</v>
      </c>
      <c r="O19" s="10">
        <f>N19+O18-O15</f>
        <v>387</v>
      </c>
      <c r="P19" s="10">
        <f>O19+P18-P15</f>
        <v>387</v>
      </c>
      <c r="Q19" s="10">
        <f>P19+Q18-Q15</f>
        <v>387</v>
      </c>
      <c r="R19" s="10">
        <f>Q19+R18-R15</f>
        <v>387</v>
      </c>
      <c r="S19" s="10">
        <f>R19+S18-S15</f>
        <v>387</v>
      </c>
      <c r="T19" s="9">
        <f>N19+T18-T15</f>
        <v>387</v>
      </c>
      <c r="U19" s="11">
        <f>U18-U15</f>
        <v>387</v>
      </c>
      <c r="V19" s="10">
        <f>V18-V15</f>
        <v>0</v>
      </c>
      <c r="W19" s="10">
        <f>V19+W18-W15</f>
        <v>0</v>
      </c>
      <c r="X19" s="10">
        <f t="shared" ref="X19:Y19" si="8">W19+X18-X15</f>
        <v>0</v>
      </c>
      <c r="Y19" s="10">
        <f t="shared" si="8"/>
        <v>0</v>
      </c>
      <c r="Z19" s="9">
        <f>Z18-Z15</f>
        <v>0</v>
      </c>
      <c r="AA19" s="10">
        <f>Z19+AA18-AA15</f>
        <v>0</v>
      </c>
      <c r="AB19" s="10">
        <f>AA19+AB18-AB15</f>
        <v>0</v>
      </c>
      <c r="AC19" s="10">
        <f>AB19+AC18-AC15</f>
        <v>0</v>
      </c>
      <c r="AD19" s="10">
        <f>AC19+AD18-AD15</f>
        <v>0</v>
      </c>
      <c r="AE19" s="9">
        <f>Z19+AE18-AE15</f>
        <v>0</v>
      </c>
      <c r="AF19" s="10">
        <f>AE19+AF18-AF15</f>
        <v>0</v>
      </c>
      <c r="AG19" s="10">
        <f>AF19+AG18-AG15</f>
        <v>0</v>
      </c>
      <c r="AH19" s="10">
        <f>AG19+AH18-AH15</f>
        <v>0</v>
      </c>
      <c r="AI19" s="10">
        <f>AH19+AI18-AI15</f>
        <v>0</v>
      </c>
      <c r="AJ19" s="10">
        <f>AI19+AJ18-AJ15</f>
        <v>0</v>
      </c>
      <c r="AK19" s="9">
        <f>AE19+AK18-AK15</f>
        <v>0</v>
      </c>
      <c r="AL19" s="11">
        <f>AL18-AL15+U19</f>
        <v>387</v>
      </c>
      <c r="AN19" s="56">
        <v>0</v>
      </c>
    </row>
    <row r="20" spans="1:41" s="18" customFormat="1" ht="13.75" customHeight="1" thickBot="1">
      <c r="A20" s="23"/>
      <c r="B20" s="19" t="s">
        <v>9</v>
      </c>
      <c r="C20" s="15"/>
      <c r="D20" s="15"/>
      <c r="E20" s="57" t="e">
        <v>#DIV/0!</v>
      </c>
      <c r="F20" s="57" t="e">
        <v>#DIV/0!</v>
      </c>
      <c r="G20" s="57" t="e">
        <v>#DIV/0!</v>
      </c>
      <c r="H20" s="57" t="e">
        <v>#DIV/0!</v>
      </c>
      <c r="I20" s="12"/>
      <c r="J20" s="57" t="e">
        <v>#DIV/0!</v>
      </c>
      <c r="K20" s="57" t="e">
        <v>#DIV/0!</v>
      </c>
      <c r="L20" s="57" t="e">
        <v>#DIV/0!</v>
      </c>
      <c r="M20" s="57" t="e">
        <v>#DIV/0!</v>
      </c>
      <c r="N20" s="12"/>
      <c r="O20" s="57">
        <v>0</v>
      </c>
      <c r="P20" s="57">
        <v>0</v>
      </c>
      <c r="Q20" s="57">
        <v>0</v>
      </c>
      <c r="R20" s="57">
        <v>0</v>
      </c>
      <c r="S20" s="57">
        <v>0</v>
      </c>
      <c r="T20" s="12"/>
      <c r="U20" s="13"/>
      <c r="V20" s="57" t="e">
        <v>#DIV/0!</v>
      </c>
      <c r="W20" s="57" t="e">
        <v>#DIV/0!</v>
      </c>
      <c r="X20" s="57" t="e">
        <v>#DIV/0!</v>
      </c>
      <c r="Y20" s="57" t="e">
        <v>#DIV/0!</v>
      </c>
      <c r="Z20" s="12"/>
      <c r="AA20" s="57" t="e">
        <v>#DIV/0!</v>
      </c>
      <c r="AB20" s="57" t="e">
        <v>#DIV/0!</v>
      </c>
      <c r="AC20" s="57" t="e">
        <v>#DIV/0!</v>
      </c>
      <c r="AD20" s="57" t="e">
        <v>#DIV/0!</v>
      </c>
      <c r="AE20" s="12"/>
      <c r="AF20" s="57">
        <v>0</v>
      </c>
      <c r="AG20" s="57">
        <v>0</v>
      </c>
      <c r="AH20" s="57">
        <v>0</v>
      </c>
      <c r="AI20" s="57">
        <v>0</v>
      </c>
      <c r="AJ20" s="57">
        <v>0</v>
      </c>
      <c r="AK20" s="12"/>
      <c r="AL20" s="13"/>
      <c r="AN20" s="56">
        <v>0</v>
      </c>
    </row>
    <row r="21" spans="1:41" s="18" customFormat="1" ht="15.75" customHeight="1">
      <c r="A21" s="156" t="s">
        <v>12</v>
      </c>
      <c r="B21" s="19" t="s">
        <v>5</v>
      </c>
      <c r="C21" s="9"/>
      <c r="D21" s="39"/>
      <c r="E21" s="59">
        <v>0</v>
      </c>
      <c r="F21" s="60">
        <v>0</v>
      </c>
      <c r="G21" s="60">
        <v>-8858</v>
      </c>
      <c r="H21" s="61">
        <v>189</v>
      </c>
      <c r="I21" s="10">
        <f>SUM(E21:H21)</f>
        <v>-8669</v>
      </c>
      <c r="J21" s="59">
        <v>9409</v>
      </c>
      <c r="K21" s="60">
        <v>1115</v>
      </c>
      <c r="L21" s="60">
        <v>1536</v>
      </c>
      <c r="M21" s="61">
        <v>2374</v>
      </c>
      <c r="N21" s="10">
        <f>SUM(J21:M21)</f>
        <v>14434</v>
      </c>
      <c r="O21" s="59">
        <v>15594</v>
      </c>
      <c r="P21" s="60">
        <v>3778</v>
      </c>
      <c r="Q21" s="60">
        <v>5613</v>
      </c>
      <c r="R21" s="60">
        <v>6029</v>
      </c>
      <c r="S21" s="61">
        <v>11436</v>
      </c>
      <c r="T21" s="62">
        <f>SUM(O21:S21)</f>
        <v>42450</v>
      </c>
      <c r="U21" s="63">
        <f>T21+N21+I21+D25</f>
        <v>154968</v>
      </c>
      <c r="V21" s="59">
        <v>0</v>
      </c>
      <c r="W21" s="60">
        <v>0</v>
      </c>
      <c r="X21" s="60">
        <v>0</v>
      </c>
      <c r="Y21" s="61">
        <v>0</v>
      </c>
      <c r="Z21" s="10">
        <f>SUM(V21:Y21)</f>
        <v>0</v>
      </c>
      <c r="AA21" s="59">
        <v>0</v>
      </c>
      <c r="AB21" s="60">
        <v>0</v>
      </c>
      <c r="AC21" s="60">
        <v>0</v>
      </c>
      <c r="AD21" s="61">
        <v>0</v>
      </c>
      <c r="AE21" s="10">
        <f>SUM(AA21:AD21)</f>
        <v>0</v>
      </c>
      <c r="AF21" s="59">
        <v>0</v>
      </c>
      <c r="AG21" s="60">
        <v>0</v>
      </c>
      <c r="AH21" s="60">
        <v>0</v>
      </c>
      <c r="AI21" s="60">
        <v>0</v>
      </c>
      <c r="AJ21" s="61">
        <v>0</v>
      </c>
      <c r="AK21" s="62">
        <f>SUM(AF21:AJ21)</f>
        <v>0</v>
      </c>
      <c r="AL21" s="11">
        <f>AK21+AE21+Z21</f>
        <v>0</v>
      </c>
      <c r="AM21" s="4">
        <v>64</v>
      </c>
      <c r="AN21" s="56">
        <v>9917952</v>
      </c>
      <c r="AO21" s="56">
        <v>0</v>
      </c>
    </row>
    <row r="22" spans="1:41" s="64" customFormat="1" ht="15.75" customHeight="1">
      <c r="A22" s="157"/>
      <c r="B22" s="19" t="s">
        <v>6</v>
      </c>
      <c r="C22" s="9"/>
      <c r="D22" s="39"/>
      <c r="E22" s="39">
        <v>0</v>
      </c>
      <c r="F22" s="10">
        <v>0</v>
      </c>
      <c r="G22" s="10">
        <v>0</v>
      </c>
      <c r="H22" s="62">
        <v>0</v>
      </c>
      <c r="I22" s="15">
        <f>SUM(E22:H22)</f>
        <v>0</v>
      </c>
      <c r="J22" s="39">
        <v>0</v>
      </c>
      <c r="K22" s="10">
        <v>3000</v>
      </c>
      <c r="L22" s="10">
        <v>0</v>
      </c>
      <c r="M22" s="62">
        <v>25000</v>
      </c>
      <c r="N22" s="15">
        <f>SUM(J22:M22)</f>
        <v>28000</v>
      </c>
      <c r="O22" s="39">
        <v>0</v>
      </c>
      <c r="P22" s="10">
        <v>10000</v>
      </c>
      <c r="Q22" s="10">
        <v>10000</v>
      </c>
      <c r="R22" s="10">
        <v>10000</v>
      </c>
      <c r="S22" s="62">
        <v>25000</v>
      </c>
      <c r="T22" s="15">
        <f>SUM(O22:S22)</f>
        <v>55000</v>
      </c>
      <c r="U22" s="63"/>
      <c r="V22" s="39">
        <v>0</v>
      </c>
      <c r="W22" s="10">
        <v>0</v>
      </c>
      <c r="X22" s="10">
        <v>0</v>
      </c>
      <c r="Y22" s="62">
        <v>0</v>
      </c>
      <c r="Z22" s="15">
        <f>SUM(V22:Y22)</f>
        <v>0</v>
      </c>
      <c r="AA22" s="39">
        <v>0</v>
      </c>
      <c r="AB22" s="10">
        <v>0</v>
      </c>
      <c r="AC22" s="10">
        <v>0</v>
      </c>
      <c r="AD22" s="62">
        <v>0</v>
      </c>
      <c r="AE22" s="15">
        <f>SUM(AA22:AD22)</f>
        <v>0</v>
      </c>
      <c r="AF22" s="39">
        <v>0</v>
      </c>
      <c r="AG22" s="10">
        <v>0</v>
      </c>
      <c r="AH22" s="10">
        <v>0</v>
      </c>
      <c r="AI22" s="10">
        <v>0</v>
      </c>
      <c r="AJ22" s="62">
        <v>0</v>
      </c>
      <c r="AK22" s="15">
        <f>SUM(AF22:AJ22)</f>
        <v>0</v>
      </c>
      <c r="AL22" s="11"/>
      <c r="AM22" s="4"/>
      <c r="AN22" s="56">
        <v>0</v>
      </c>
      <c r="AO22" s="56">
        <v>0</v>
      </c>
    </row>
    <row r="23" spans="1:41" s="18" customFormat="1" ht="11.5" customHeight="1">
      <c r="A23" s="157"/>
      <c r="B23" s="19" t="s">
        <v>10</v>
      </c>
      <c r="C23" s="9">
        <v>30375</v>
      </c>
      <c r="D23" s="39"/>
      <c r="E23" s="39"/>
      <c r="F23" s="10"/>
      <c r="G23" s="10"/>
      <c r="H23" s="62">
        <f>C23</f>
        <v>30375</v>
      </c>
      <c r="I23" s="15">
        <f>E23+F23+G23+H23</f>
        <v>30375</v>
      </c>
      <c r="J23" s="39"/>
      <c r="K23" s="10"/>
      <c r="L23" s="10"/>
      <c r="M23" s="62"/>
      <c r="N23" s="15">
        <f>J23+K23+L23+M23</f>
        <v>0</v>
      </c>
      <c r="O23" s="39"/>
      <c r="P23" s="10"/>
      <c r="Q23" s="10"/>
      <c r="R23" s="10"/>
      <c r="S23" s="62"/>
      <c r="T23" s="15">
        <f>SUM(O23:S23)</f>
        <v>0</v>
      </c>
      <c r="U23" s="63"/>
      <c r="V23" s="39"/>
      <c r="W23" s="10"/>
      <c r="X23" s="10"/>
      <c r="Y23" s="62"/>
      <c r="Z23" s="15">
        <f>V23+W23+X23+Y23</f>
        <v>0</v>
      </c>
      <c r="AA23" s="39"/>
      <c r="AB23" s="10"/>
      <c r="AC23" s="10"/>
      <c r="AD23" s="62"/>
      <c r="AE23" s="15">
        <f>AA23+AB23+AC23+AD23</f>
        <v>0</v>
      </c>
      <c r="AF23" s="39"/>
      <c r="AG23" s="10"/>
      <c r="AH23" s="10"/>
      <c r="AI23" s="10"/>
      <c r="AJ23" s="62"/>
      <c r="AK23" s="15">
        <f>SUM(AF23:AJ23)</f>
        <v>0</v>
      </c>
      <c r="AL23" s="17">
        <f>Z23+AE23+AK23</f>
        <v>0</v>
      </c>
      <c r="AM23" s="4"/>
      <c r="AN23" s="56">
        <v>0</v>
      </c>
      <c r="AO23" s="56">
        <v>0</v>
      </c>
    </row>
    <row r="24" spans="1:41" s="18" customFormat="1" ht="15.75" customHeight="1">
      <c r="A24" s="157"/>
      <c r="B24" s="19" t="s">
        <v>7</v>
      </c>
      <c r="C24" s="9"/>
      <c r="D24" s="39"/>
      <c r="E24" s="39">
        <f>E23+E22</f>
        <v>0</v>
      </c>
      <c r="F24" s="10">
        <f>F23+F22</f>
        <v>0</v>
      </c>
      <c r="G24" s="10">
        <f t="shared" ref="G24" si="9">G23+G22</f>
        <v>0</v>
      </c>
      <c r="H24" s="62">
        <f>H23+H22</f>
        <v>30375</v>
      </c>
      <c r="I24" s="10">
        <f>SUM(E24:H24)</f>
        <v>30375</v>
      </c>
      <c r="J24" s="39">
        <f>J23+J22</f>
        <v>0</v>
      </c>
      <c r="K24" s="10">
        <f>K23+K22</f>
        <v>3000</v>
      </c>
      <c r="L24" s="10">
        <f>L23+L22</f>
        <v>0</v>
      </c>
      <c r="M24" s="62">
        <f>M23+M22</f>
        <v>25000</v>
      </c>
      <c r="N24" s="10">
        <f>SUM(J24:M24)</f>
        <v>28000</v>
      </c>
      <c r="O24" s="39">
        <f>O23+O22</f>
        <v>0</v>
      </c>
      <c r="P24" s="10">
        <f>P23+P22</f>
        <v>10000</v>
      </c>
      <c r="Q24" s="10">
        <f>Q23+Q22</f>
        <v>10000</v>
      </c>
      <c r="R24" s="10">
        <f>R23+R22</f>
        <v>10000</v>
      </c>
      <c r="S24" s="62">
        <f>S23+S22</f>
        <v>25000</v>
      </c>
      <c r="T24" s="62">
        <f>SUM(O24:S24)</f>
        <v>55000</v>
      </c>
      <c r="U24" s="63">
        <f>T24+N24+I24+D25</f>
        <v>220128</v>
      </c>
      <c r="V24" s="39">
        <f>V23+V22</f>
        <v>0</v>
      </c>
      <c r="W24" s="10">
        <f>W23+W22</f>
        <v>0</v>
      </c>
      <c r="X24" s="10">
        <f t="shared" ref="X24" si="10">X23+X22</f>
        <v>0</v>
      </c>
      <c r="Y24" s="62">
        <f>Y23+Y22</f>
        <v>0</v>
      </c>
      <c r="Z24" s="10">
        <f>SUM(V24:Y24)</f>
        <v>0</v>
      </c>
      <c r="AA24" s="39">
        <f>AA23+AA22</f>
        <v>0</v>
      </c>
      <c r="AB24" s="10">
        <f>AB23+AB22</f>
        <v>0</v>
      </c>
      <c r="AC24" s="10">
        <f>AC23+AC22</f>
        <v>0</v>
      </c>
      <c r="AD24" s="62">
        <f>AD23+AD22</f>
        <v>0</v>
      </c>
      <c r="AE24" s="10">
        <f>SUM(AA24:AD24)</f>
        <v>0</v>
      </c>
      <c r="AF24" s="39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62">
        <f>AJ23+AJ22</f>
        <v>0</v>
      </c>
      <c r="AK24" s="62">
        <f>SUM(AF24:AJ24)</f>
        <v>0</v>
      </c>
      <c r="AL24" s="11">
        <f>AK24+AE24+Z24</f>
        <v>0</v>
      </c>
      <c r="AM24" s="4"/>
      <c r="AN24" s="56">
        <v>0</v>
      </c>
      <c r="AO24" s="56">
        <v>0</v>
      </c>
    </row>
    <row r="25" spans="1:41" s="18" customFormat="1" ht="15.75" customHeight="1" thickBot="1">
      <c r="A25" s="158"/>
      <c r="B25" s="19" t="s">
        <v>8</v>
      </c>
      <c r="C25" s="65">
        <v>117861</v>
      </c>
      <c r="D25" s="66">
        <v>106753</v>
      </c>
      <c r="E25" s="67">
        <f>E24-E21</f>
        <v>0</v>
      </c>
      <c r="F25" s="68">
        <f>E25+F24-F21</f>
        <v>0</v>
      </c>
      <c r="G25" s="68">
        <f>F25+G24-G21</f>
        <v>8858</v>
      </c>
      <c r="H25" s="69">
        <f>G25+H24-H21</f>
        <v>39044</v>
      </c>
      <c r="I25" s="10">
        <f>I24-I21</f>
        <v>39044</v>
      </c>
      <c r="J25" s="67">
        <f>I25+J24-J21</f>
        <v>29635</v>
      </c>
      <c r="K25" s="68">
        <f>J25+K24-K21</f>
        <v>31520</v>
      </c>
      <c r="L25" s="68">
        <f>K25+L24-L21</f>
        <v>29984</v>
      </c>
      <c r="M25" s="69">
        <f>L25+M24-M21</f>
        <v>52610</v>
      </c>
      <c r="N25" s="10">
        <f>I25+N24-N21</f>
        <v>52610</v>
      </c>
      <c r="O25" s="67">
        <f>N25+O24-O21</f>
        <v>37016</v>
      </c>
      <c r="P25" s="68">
        <f>O25+P24-P21</f>
        <v>43238</v>
      </c>
      <c r="Q25" s="68">
        <f>P25+Q24-Q21</f>
        <v>47625</v>
      </c>
      <c r="R25" s="68">
        <f t="shared" ref="R25:S25" si="11">Q25+R24-R21</f>
        <v>51596</v>
      </c>
      <c r="S25" s="69">
        <f t="shared" si="11"/>
        <v>65160</v>
      </c>
      <c r="T25" s="62">
        <f>N25+T24-T21</f>
        <v>65160</v>
      </c>
      <c r="U25" s="63">
        <f>U24-U21</f>
        <v>65160</v>
      </c>
      <c r="V25" s="67">
        <f>U25+V24-V21</f>
        <v>65160</v>
      </c>
      <c r="W25" s="68">
        <f>V25+W24-W21</f>
        <v>65160</v>
      </c>
      <c r="X25" s="68">
        <f t="shared" ref="X25" si="12">W25+X24-X21</f>
        <v>65160</v>
      </c>
      <c r="Y25" s="68">
        <f>X25+Y24-Y21</f>
        <v>65160</v>
      </c>
      <c r="Z25" s="10">
        <f>T25+Z24-Z21</f>
        <v>65160</v>
      </c>
      <c r="AA25" s="67">
        <f>Z25+AA24-AA21</f>
        <v>65160</v>
      </c>
      <c r="AB25" s="68">
        <f>AA25+AB24-AB21</f>
        <v>65160</v>
      </c>
      <c r="AC25" s="68">
        <f>AB25+AC24-AC21</f>
        <v>65160</v>
      </c>
      <c r="AD25" s="69">
        <f>AC25+AD24-AD21</f>
        <v>65160</v>
      </c>
      <c r="AE25" s="10">
        <f>Z25+AE24-AE21</f>
        <v>65160</v>
      </c>
      <c r="AF25" s="67">
        <f>AE25+AF24-AF21</f>
        <v>65160</v>
      </c>
      <c r="AG25" s="68">
        <f>AF25+AG24-AG21</f>
        <v>65160</v>
      </c>
      <c r="AH25" s="68">
        <f>AG25+AH24-AH21</f>
        <v>65160</v>
      </c>
      <c r="AI25" s="68">
        <f>AH25+AI24-AI21</f>
        <v>65160</v>
      </c>
      <c r="AJ25" s="69">
        <f>AI25+AJ24-AJ21</f>
        <v>65160</v>
      </c>
      <c r="AK25" s="62">
        <f>AE25+AK24-AK21</f>
        <v>65160</v>
      </c>
      <c r="AL25" s="11">
        <f>T25+AL24-AL21</f>
        <v>65160</v>
      </c>
      <c r="AM25" s="4"/>
      <c r="AN25" s="56">
        <v>0</v>
      </c>
      <c r="AO25" s="56">
        <v>0</v>
      </c>
    </row>
    <row r="26" spans="1:41" s="18" customFormat="1" ht="16.25" customHeight="1" thickBot="1">
      <c r="A26" s="58"/>
      <c r="B26" s="19" t="s">
        <v>9</v>
      </c>
      <c r="C26" s="9"/>
      <c r="D26" s="9"/>
      <c r="E26" s="57" t="e">
        <f>E25/(SUM(F21+H21+#REF!+G21)/20)*1000</f>
        <v>#REF!</v>
      </c>
      <c r="F26" s="57" t="e">
        <f>F25/(SUM(G21+#REF!+J21+H21)/20)*1000</f>
        <v>#REF!</v>
      </c>
      <c r="G26" s="57" t="e">
        <f>G25/(SUM(H21+K21+J21+#REF!)/20)*1000</f>
        <v>#REF!</v>
      </c>
      <c r="H26" s="57" t="e">
        <f>H25/(SUM(#REF!+J21+K21+L21)/20)*1000</f>
        <v>#REF!</v>
      </c>
      <c r="I26" s="12"/>
      <c r="J26" s="57">
        <f>J25/(SUM(K21+L21+M21+O21)/20)*1000</f>
        <v>28745.331975362529</v>
      </c>
      <c r="K26" s="57">
        <f>K25/(SUM(L21+M21+O21+P21)/20)*1000</f>
        <v>27076.711622712828</v>
      </c>
      <c r="L26" s="57">
        <f>L25/(SUM(M21+O21+P21+Q21)/20)*1000</f>
        <v>21918.929785445376</v>
      </c>
      <c r="M26" s="57">
        <f>M25/(SUM(O21+P21+Q21+R21)/20)*1000</f>
        <v>33926.613787321854</v>
      </c>
      <c r="N26" s="12"/>
      <c r="O26" s="57">
        <f>O25/(SUM(P21+Q21+R21+S21)/20)*1000</f>
        <v>27566.279416145371</v>
      </c>
      <c r="P26" s="57" t="e">
        <f>P25/(SUM(Q21+R21+#REF!+S21)/20)*1000</f>
        <v>#REF!</v>
      </c>
      <c r="Q26" s="57" t="e">
        <f>Q25/(SUM(R21+S21+#REF!+#REF!)/20)*1000</f>
        <v>#REF!</v>
      </c>
      <c r="R26" s="57" t="e">
        <f>R25/(SUM(S21+#REF!+#REF!+#REF!)/20)*1000</f>
        <v>#REF!</v>
      </c>
      <c r="S26" s="57" t="e">
        <f>S25/(SUM(#REF!+#REF!+#REF!+#REF!)/20)*1000</f>
        <v>#REF!</v>
      </c>
      <c r="T26" s="12"/>
      <c r="U26" s="13"/>
      <c r="V26" s="57" t="e">
        <f>V25/(SUM(W21+Y21+#REF!+X21)/20)*1000</f>
        <v>#REF!</v>
      </c>
      <c r="W26" s="57" t="e">
        <f>W25/(SUM(X21+#REF!+AA21+Y21)/20)*1000</f>
        <v>#REF!</v>
      </c>
      <c r="X26" s="57" t="e">
        <f>X25/(SUM(Y21+AB21+AA21+#REF!)/20)*1000</f>
        <v>#REF!</v>
      </c>
      <c r="Y26" s="57" t="e">
        <f>Y25/(SUM(#REF!+AA21+AB21+AC21)/20)*1000</f>
        <v>#REF!</v>
      </c>
      <c r="Z26" s="12"/>
      <c r="AA26" s="57" t="e">
        <f>AA25/(SUM(AB21+AC21+AD21+AF21)/20)*1000</f>
        <v>#DIV/0!</v>
      </c>
      <c r="AB26" s="57" t="e">
        <f>AB25/(SUM(AC21+AD21+AF21+AG21)/20)*1000</f>
        <v>#DIV/0!</v>
      </c>
      <c r="AC26" s="57" t="e">
        <f>AC25/(SUM(AD21+AF21+AG21+AH21)/20)*1000</f>
        <v>#DIV/0!</v>
      </c>
      <c r="AD26" s="57" t="e">
        <f>AD25/(SUM(AF21+AG21+AH21+AI21)/20)*1000</f>
        <v>#DIV/0!</v>
      </c>
      <c r="AE26" s="12"/>
      <c r="AF26" s="57" t="e">
        <f>AF25/(SUM(AG21+AH21+AI21+AJ21)/20)*1000</f>
        <v>#DIV/0!</v>
      </c>
      <c r="AG26" s="57" t="e">
        <f>AG25/(SUM(AH21+AI21+#REF!+AJ21)/20)*1000</f>
        <v>#REF!</v>
      </c>
      <c r="AH26" s="57" t="e">
        <f>AH25/(SUM(AI21+AJ21+#REF!+#REF!)/20)*1000</f>
        <v>#REF!</v>
      </c>
      <c r="AI26" s="57" t="e">
        <f>AI25/(SUM(AJ21+#REF!+#REF!+#REF!)/20)*1000</f>
        <v>#REF!</v>
      </c>
      <c r="AJ26" s="57" t="e">
        <f>AJ25/(SUM(#REF!+#REF!+#REF!+#REF!)/20)*1000</f>
        <v>#REF!</v>
      </c>
      <c r="AK26" s="12"/>
      <c r="AL26" s="13"/>
      <c r="AM26" s="4"/>
      <c r="AN26" s="56">
        <v>0</v>
      </c>
      <c r="AO26" s="56">
        <v>0</v>
      </c>
    </row>
    <row r="27" spans="1:41" s="18" customFormat="1" ht="15.75" customHeight="1" thickBot="1">
      <c r="A27" s="156" t="s">
        <v>15</v>
      </c>
      <c r="B27" s="19" t="s">
        <v>5</v>
      </c>
      <c r="C27" s="9"/>
      <c r="D27" s="9"/>
      <c r="E27" s="60">
        <v>0</v>
      </c>
      <c r="F27" s="10">
        <v>1178</v>
      </c>
      <c r="G27" s="60">
        <v>16806</v>
      </c>
      <c r="H27" s="60">
        <v>324</v>
      </c>
      <c r="I27" s="9">
        <f>SUM(E27:H27)</f>
        <v>18308</v>
      </c>
      <c r="J27" s="60">
        <v>11540</v>
      </c>
      <c r="K27" s="10">
        <v>454</v>
      </c>
      <c r="L27" s="60">
        <v>1266</v>
      </c>
      <c r="M27" s="10">
        <v>180</v>
      </c>
      <c r="N27" s="9">
        <f>SUM(J27:M27)</f>
        <v>13440</v>
      </c>
      <c r="O27" s="10">
        <v>20793</v>
      </c>
      <c r="P27" s="10">
        <v>6968</v>
      </c>
      <c r="Q27" s="60">
        <v>1301</v>
      </c>
      <c r="R27" s="60">
        <v>7913</v>
      </c>
      <c r="S27" s="60">
        <v>3625</v>
      </c>
      <c r="T27" s="9">
        <f>SUM(O27:S27)</f>
        <v>40600</v>
      </c>
      <c r="U27" s="11">
        <f>T27+N27+I27+D31</f>
        <v>75007</v>
      </c>
      <c r="V27" s="60">
        <v>0</v>
      </c>
      <c r="W27" s="60">
        <v>15</v>
      </c>
      <c r="X27" s="60">
        <v>0</v>
      </c>
      <c r="Y27" s="60">
        <v>0</v>
      </c>
      <c r="Z27" s="9">
        <f>SUM(V27:Y27)</f>
        <v>15</v>
      </c>
      <c r="AA27" s="60">
        <v>0</v>
      </c>
      <c r="AB27" s="10">
        <v>58</v>
      </c>
      <c r="AC27" s="60">
        <v>0</v>
      </c>
      <c r="AD27" s="10">
        <v>26</v>
      </c>
      <c r="AE27" s="9">
        <f>SUM(AA27:AD27)</f>
        <v>84</v>
      </c>
      <c r="AF27" s="10">
        <v>0</v>
      </c>
      <c r="AG27" s="10">
        <v>0</v>
      </c>
      <c r="AH27" s="60">
        <v>0</v>
      </c>
      <c r="AI27" s="60">
        <v>0</v>
      </c>
      <c r="AJ27" s="60">
        <v>0</v>
      </c>
      <c r="AK27" s="9">
        <f>SUM(AF27:AJ27)</f>
        <v>0</v>
      </c>
      <c r="AL27" s="11">
        <f>AK27+AE27+Z27</f>
        <v>99</v>
      </c>
      <c r="AM27" s="4">
        <v>64</v>
      </c>
      <c r="AN27" s="56">
        <v>4800448</v>
      </c>
      <c r="AO27" s="56">
        <v>6336</v>
      </c>
    </row>
    <row r="28" spans="1:41" s="18" customFormat="1" ht="15.75" customHeight="1">
      <c r="A28" s="157"/>
      <c r="B28" s="19" t="s">
        <v>6</v>
      </c>
      <c r="C28" s="9"/>
      <c r="D28" s="9"/>
      <c r="E28" s="10">
        <v>0</v>
      </c>
      <c r="F28" s="10">
        <v>1178</v>
      </c>
      <c r="G28" s="10">
        <v>0</v>
      </c>
      <c r="H28" s="60">
        <v>0</v>
      </c>
      <c r="I28" s="15">
        <f>SUM(E28:H28)</f>
        <v>1178</v>
      </c>
      <c r="J28" s="10">
        <v>0</v>
      </c>
      <c r="K28" s="10">
        <v>0</v>
      </c>
      <c r="L28" s="10">
        <v>0</v>
      </c>
      <c r="M28" s="10">
        <v>15000</v>
      </c>
      <c r="N28" s="15">
        <f>SUM(J28:M28)</f>
        <v>15000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5">
        <f>SUM(O28:S28)</f>
        <v>0</v>
      </c>
      <c r="U28" s="11"/>
      <c r="V28" s="10">
        <v>0</v>
      </c>
      <c r="W28" s="10">
        <v>0</v>
      </c>
      <c r="X28" s="10">
        <v>0</v>
      </c>
      <c r="Y28" s="60">
        <v>0</v>
      </c>
      <c r="Z28" s="15">
        <f>SUM(V28:Y28)</f>
        <v>0</v>
      </c>
      <c r="AA28" s="10">
        <v>0</v>
      </c>
      <c r="AB28" s="10">
        <v>0</v>
      </c>
      <c r="AC28" s="10">
        <v>0</v>
      </c>
      <c r="AD28" s="10">
        <v>0</v>
      </c>
      <c r="AE28" s="15">
        <f>SUM(AA28:AD28)</f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5">
        <f>SUM(AF28:AJ28)</f>
        <v>0</v>
      </c>
      <c r="AL28" s="11"/>
      <c r="AM28" s="4"/>
      <c r="AN28" s="56">
        <v>0</v>
      </c>
      <c r="AO28" s="56">
        <v>0</v>
      </c>
    </row>
    <row r="29" spans="1:41" s="18" customFormat="1" ht="15" customHeight="1">
      <c r="A29" s="157"/>
      <c r="B29" s="19" t="s">
        <v>10</v>
      </c>
      <c r="C29" s="9">
        <v>8822</v>
      </c>
      <c r="D29" s="9"/>
      <c r="E29" s="9"/>
      <c r="F29" s="9"/>
      <c r="G29" s="9"/>
      <c r="H29" s="9">
        <f>C29</f>
        <v>8822</v>
      </c>
      <c r="I29" s="15">
        <f>E29+F29+G29+H29</f>
        <v>8822</v>
      </c>
      <c r="J29" s="9"/>
      <c r="K29" s="9"/>
      <c r="L29" s="9"/>
      <c r="M29" s="9"/>
      <c r="N29" s="15">
        <f>J29+K29+L29+M29</f>
        <v>0</v>
      </c>
      <c r="O29" s="9"/>
      <c r="P29" s="9"/>
      <c r="Q29" s="9"/>
      <c r="R29" s="9"/>
      <c r="S29" s="9"/>
      <c r="T29" s="15">
        <f>SUM(O29:S29)</f>
        <v>0</v>
      </c>
      <c r="U29" s="11"/>
      <c r="V29" s="9"/>
      <c r="W29" s="9"/>
      <c r="X29" s="9"/>
      <c r="Y29" s="9"/>
      <c r="Z29" s="15">
        <f>V29+W29+X29+Y29</f>
        <v>0</v>
      </c>
      <c r="AA29" s="9"/>
      <c r="AB29" s="9"/>
      <c r="AC29" s="9"/>
      <c r="AD29" s="9"/>
      <c r="AE29" s="15">
        <f>AA29+AB29+AC29+AD29</f>
        <v>0</v>
      </c>
      <c r="AF29" s="9"/>
      <c r="AG29" s="9"/>
      <c r="AH29" s="9"/>
      <c r="AI29" s="9"/>
      <c r="AJ29" s="9"/>
      <c r="AK29" s="15">
        <f>SUM(AF29:AJ29)</f>
        <v>0</v>
      </c>
      <c r="AL29" s="17">
        <f>Z29+AE29+AK29</f>
        <v>0</v>
      </c>
      <c r="AM29" s="4"/>
      <c r="AN29" s="56">
        <v>0</v>
      </c>
      <c r="AO29" s="56">
        <v>0</v>
      </c>
    </row>
    <row r="30" spans="1:41" s="18" customFormat="1" ht="15.75" customHeight="1">
      <c r="A30" s="157"/>
      <c r="B30" s="19" t="s">
        <v>7</v>
      </c>
      <c r="C30" s="9"/>
      <c r="D30" s="9"/>
      <c r="E30" s="10">
        <f>E29+E28</f>
        <v>0</v>
      </c>
      <c r="F30" s="10">
        <f>F29+F28</f>
        <v>1178</v>
      </c>
      <c r="G30" s="10">
        <f t="shared" ref="G30" si="13">G29+G28</f>
        <v>0</v>
      </c>
      <c r="H30" s="10">
        <f>H29+H28</f>
        <v>8822</v>
      </c>
      <c r="I30" s="9">
        <f>SUM(E30:H30)</f>
        <v>10000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15000</v>
      </c>
      <c r="N30" s="9">
        <f>SUM(J30:M30)</f>
        <v>15000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27659</v>
      </c>
      <c r="V30" s="10">
        <f>V29+V28</f>
        <v>0</v>
      </c>
      <c r="W30" s="10">
        <f>W29+W28</f>
        <v>0</v>
      </c>
      <c r="X30" s="10">
        <f t="shared" ref="X30" si="14"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4"/>
      <c r="AN30" s="56">
        <v>0</v>
      </c>
      <c r="AO30" s="56">
        <v>0</v>
      </c>
    </row>
    <row r="31" spans="1:41" s="18" customFormat="1" ht="15.75" customHeight="1" thickBot="1">
      <c r="A31" s="158"/>
      <c r="B31" s="19" t="s">
        <v>8</v>
      </c>
      <c r="C31" s="65">
        <v>9599</v>
      </c>
      <c r="D31" s="22">
        <v>2659</v>
      </c>
      <c r="E31" s="10">
        <f>E30-E27</f>
        <v>0</v>
      </c>
      <c r="F31" s="10">
        <f>E31+F30-F27</f>
        <v>0</v>
      </c>
      <c r="G31" s="10">
        <f>F31+G30-G27</f>
        <v>-16806</v>
      </c>
      <c r="H31" s="10">
        <f>G31+H30-H27</f>
        <v>-8308</v>
      </c>
      <c r="I31" s="9">
        <f>I30-I27</f>
        <v>-8308</v>
      </c>
      <c r="J31" s="10">
        <f>I31+J30-J27</f>
        <v>-19848</v>
      </c>
      <c r="K31" s="10">
        <f>J31+K30-K27</f>
        <v>-20302</v>
      </c>
      <c r="L31" s="10">
        <f>K31+L30-L27</f>
        <v>-21568</v>
      </c>
      <c r="M31" s="10">
        <f>L31+M30-M27</f>
        <v>-6748</v>
      </c>
      <c r="N31" s="9">
        <f>I31+N30-N27</f>
        <v>-6748</v>
      </c>
      <c r="O31" s="10">
        <f>N31+O30-O27</f>
        <v>-27541</v>
      </c>
      <c r="P31" s="10">
        <f>O31+P30-P27</f>
        <v>-34509</v>
      </c>
      <c r="Q31" s="10">
        <f>P31+Q30-Q27</f>
        <v>-35810</v>
      </c>
      <c r="R31" s="10">
        <f t="shared" ref="R31:S31" si="15">Q31+R30-R27</f>
        <v>-43723</v>
      </c>
      <c r="S31" s="10">
        <f t="shared" si="15"/>
        <v>-47348</v>
      </c>
      <c r="T31" s="9">
        <f>N31+T30-T27</f>
        <v>-47348</v>
      </c>
      <c r="U31" s="11">
        <f>U30-U27</f>
        <v>-47348</v>
      </c>
      <c r="V31" s="10">
        <f>U31+V30-V27</f>
        <v>-47348</v>
      </c>
      <c r="W31" s="10">
        <f>V31+W30-W27</f>
        <v>-47363</v>
      </c>
      <c r="X31" s="10">
        <f t="shared" ref="X31:Y31" si="16">W31+X30-X27</f>
        <v>-47363</v>
      </c>
      <c r="Y31" s="10">
        <f t="shared" si="16"/>
        <v>-47363</v>
      </c>
      <c r="Z31" s="9">
        <f>T31+Z30-Z27</f>
        <v>-47363</v>
      </c>
      <c r="AA31" s="10">
        <f>Z31+AA30-AA27</f>
        <v>-47363</v>
      </c>
      <c r="AB31" s="10">
        <f>AA31+AB30-AB27</f>
        <v>-47421</v>
      </c>
      <c r="AC31" s="10">
        <f>AB31+AC30-AC27</f>
        <v>-47421</v>
      </c>
      <c r="AD31" s="10">
        <f>AC31+AD30-AD27</f>
        <v>-47447</v>
      </c>
      <c r="AE31" s="9">
        <f>Z31+AE30-AE27</f>
        <v>-47447</v>
      </c>
      <c r="AF31" s="10">
        <f>AE31+AF30-AF27</f>
        <v>-47447</v>
      </c>
      <c r="AG31" s="10">
        <f>AF31+AG30-AG27</f>
        <v>-47447</v>
      </c>
      <c r="AH31" s="10">
        <f>AG31+AH30-AH27</f>
        <v>-47447</v>
      </c>
      <c r="AI31" s="10">
        <f t="shared" ref="AI31:AJ31" si="17">AH31+AI30-AI27</f>
        <v>-47447</v>
      </c>
      <c r="AJ31" s="10">
        <f t="shared" si="17"/>
        <v>-47447</v>
      </c>
      <c r="AK31" s="9">
        <f>AE31+AK30-AK27</f>
        <v>-47447</v>
      </c>
      <c r="AL31" s="11">
        <f>T31+AL30-AL27</f>
        <v>-47447</v>
      </c>
      <c r="AM31" s="4"/>
      <c r="AN31" s="56">
        <v>0</v>
      </c>
      <c r="AO31" s="56">
        <v>0</v>
      </c>
    </row>
    <row r="32" spans="1:41" s="18" customFormat="1" ht="16.25" customHeight="1" thickBot="1">
      <c r="A32" s="58"/>
      <c r="B32" s="19" t="s">
        <v>9</v>
      </c>
      <c r="C32" s="9"/>
      <c r="D32" s="9"/>
      <c r="E32" s="57" t="e">
        <f>E31/(SUM(F27+H27+#REF!+G27)/20)*1000</f>
        <v>#REF!</v>
      </c>
      <c r="F32" s="57" t="e">
        <f>F31/(SUM(G27+#REF!+J27+H27)/20)*1000</f>
        <v>#REF!</v>
      </c>
      <c r="G32" s="57" t="e">
        <f>G31/(SUM(H27+K27+J27+#REF!)/20)*1000</f>
        <v>#REF!</v>
      </c>
      <c r="H32" s="57" t="e">
        <f>H31/(SUM(#REF!+J27+K27+L27)/20)*1000</f>
        <v>#REF!</v>
      </c>
      <c r="I32" s="12"/>
      <c r="J32" s="57">
        <f>J31/(SUM(K27+L27+M27+O27)/20)*1000</f>
        <v>-17492.618869254835</v>
      </c>
      <c r="K32" s="57">
        <f>K31/(SUM(L27+M27+O27+P27)/20)*1000</f>
        <v>-13902.146745643169</v>
      </c>
      <c r="L32" s="57" t="s">
        <v>47</v>
      </c>
      <c r="M32" s="57">
        <f>M31/(SUM(O27+P27+Q27+R27)/20)*1000</f>
        <v>-3650.0338066260988</v>
      </c>
      <c r="N32" s="12"/>
      <c r="O32" s="57">
        <f>O31/(SUM(P27+Q27+R27+S27)/20)*1000</f>
        <v>-27809.360327157065</v>
      </c>
      <c r="P32" s="57" t="e">
        <f>P31/(SUM(Q27+R27+#REF!+S27)/20)*1000</f>
        <v>#REF!</v>
      </c>
      <c r="Q32" s="57" t="e">
        <f>Q31/(SUM(R27+S27+#REF!+#REF!)/20)*1000</f>
        <v>#REF!</v>
      </c>
      <c r="R32" s="57" t="e">
        <f>R31/(SUM(S27+#REF!+#REF!+#REF!)/20)*1000</f>
        <v>#REF!</v>
      </c>
      <c r="S32" s="57" t="e">
        <f>S31/(SUM(#REF!+#REF!+#REF!+#REF!)/20)*1000</f>
        <v>#REF!</v>
      </c>
      <c r="T32" s="12"/>
      <c r="U32" s="13"/>
      <c r="V32" s="57" t="e">
        <f>V31/(SUM(W27+Y27+#REF!+X27)/20)*1000</f>
        <v>#REF!</v>
      </c>
      <c r="W32" s="57" t="e">
        <f>W31/(SUM(X27+#REF!+AA27+Y27)/20)*1000</f>
        <v>#REF!</v>
      </c>
      <c r="X32" s="57" t="e">
        <f>X31/(SUM(Y27+AB27+AA27+#REF!)/20)*1000</f>
        <v>#REF!</v>
      </c>
      <c r="Y32" s="57" t="e">
        <f>Y31/(SUM(#REF!+AA27+AB27+AC27)/20)*1000</f>
        <v>#REF!</v>
      </c>
      <c r="Z32" s="12"/>
      <c r="AA32" s="57">
        <f>AA31/(SUM(AB27+AC27+AD27+AF27)/20)*1000</f>
        <v>-11276904.761904761</v>
      </c>
      <c r="AB32" s="57">
        <f>AB31/(SUM(AC27+AD27+AF27+AG27)/20)*1000</f>
        <v>-36477692.307692304</v>
      </c>
      <c r="AC32" s="57">
        <f>AC31/(SUM(AD27+AF27+AG27+AH27)/20)*1000</f>
        <v>-36477692.307692304</v>
      </c>
      <c r="AD32" s="57" t="e">
        <f>AD31/(SUM(AF27+AG27+AH27+AI27)/20)*1000</f>
        <v>#DIV/0!</v>
      </c>
      <c r="AE32" s="12"/>
      <c r="AF32" s="57" t="e">
        <f>AF31/(SUM(AG27+AH27+AI27+AJ27)/20)*1000</f>
        <v>#DIV/0!</v>
      </c>
      <c r="AG32" s="57" t="e">
        <f>AG31/(SUM(AH27+AI27+#REF!+AJ27)/20)*1000</f>
        <v>#REF!</v>
      </c>
      <c r="AH32" s="57" t="e">
        <f>AH31/(SUM(AI27+AJ27+#REF!+#REF!)/20)*1000</f>
        <v>#REF!</v>
      </c>
      <c r="AI32" s="57" t="e">
        <f>AI31/(SUM(AJ27+#REF!+#REF!+#REF!)/20)*1000</f>
        <v>#REF!</v>
      </c>
      <c r="AJ32" s="57" t="e">
        <f>AJ31/(SUM(#REF!+#REF!+#REF!+#REF!)/20)*1000</f>
        <v>#REF!</v>
      </c>
      <c r="AK32" s="12"/>
      <c r="AL32" s="13"/>
      <c r="AM32" s="4"/>
      <c r="AN32" s="56">
        <v>0</v>
      </c>
      <c r="AO32" s="56">
        <v>0</v>
      </c>
    </row>
    <row r="33" spans="1:41" s="18" customFormat="1" ht="15.75" customHeight="1" thickBot="1">
      <c r="A33" s="156" t="s">
        <v>17</v>
      </c>
      <c r="B33" s="19" t="s">
        <v>5</v>
      </c>
      <c r="C33" s="9"/>
      <c r="D33" s="9"/>
      <c r="E33" s="60">
        <v>30025</v>
      </c>
      <c r="F33" s="60">
        <v>36750</v>
      </c>
      <c r="G33" s="60">
        <v>-32711</v>
      </c>
      <c r="H33" s="60">
        <v>5065</v>
      </c>
      <c r="I33" s="9">
        <f>SUM(E33:H33)</f>
        <v>39129</v>
      </c>
      <c r="J33" s="60">
        <v>38451</v>
      </c>
      <c r="K33" s="10">
        <v>52957</v>
      </c>
      <c r="L33" s="60">
        <v>20676</v>
      </c>
      <c r="M33" s="10">
        <v>22977</v>
      </c>
      <c r="N33" s="9">
        <f>SUM(J33:M33)</f>
        <v>135061</v>
      </c>
      <c r="O33" s="10">
        <v>37557</v>
      </c>
      <c r="P33" s="10">
        <v>45371</v>
      </c>
      <c r="Q33" s="60">
        <v>15152</v>
      </c>
      <c r="R33" s="60">
        <v>59083</v>
      </c>
      <c r="S33" s="60">
        <v>22923</v>
      </c>
      <c r="T33" s="9">
        <f>SUM(O33:S33)</f>
        <v>180086</v>
      </c>
      <c r="U33" s="11">
        <f>T33+N33+I33+D37</f>
        <v>435330</v>
      </c>
      <c r="V33" s="60">
        <v>401</v>
      </c>
      <c r="W33" s="60">
        <v>2214</v>
      </c>
      <c r="X33" s="60">
        <v>0</v>
      </c>
      <c r="Y33" s="60">
        <v>0</v>
      </c>
      <c r="Z33" s="9">
        <f>SUM(V33:Y33)</f>
        <v>2615</v>
      </c>
      <c r="AA33" s="60">
        <v>0</v>
      </c>
      <c r="AB33" s="10">
        <v>1941</v>
      </c>
      <c r="AC33" s="60">
        <v>0</v>
      </c>
      <c r="AD33" s="10">
        <v>873</v>
      </c>
      <c r="AE33" s="9">
        <f>SUM(AA33:AD33)</f>
        <v>2814</v>
      </c>
      <c r="AF33" s="10">
        <v>0</v>
      </c>
      <c r="AG33" s="10">
        <v>0</v>
      </c>
      <c r="AH33" s="60">
        <v>0</v>
      </c>
      <c r="AI33" s="60">
        <v>0</v>
      </c>
      <c r="AJ33" s="60">
        <v>0</v>
      </c>
      <c r="AK33" s="9">
        <f>SUM(AF33:AJ33)</f>
        <v>0</v>
      </c>
      <c r="AL33" s="11">
        <f>AK33+AE33+Z33</f>
        <v>5429</v>
      </c>
      <c r="AM33" s="4">
        <v>64</v>
      </c>
      <c r="AN33" s="56">
        <v>27861120</v>
      </c>
      <c r="AO33" s="56">
        <v>347456</v>
      </c>
    </row>
    <row r="34" spans="1:41" s="18" customFormat="1" ht="15.75" customHeight="1">
      <c r="A34" s="157"/>
      <c r="B34" s="19" t="s">
        <v>6</v>
      </c>
      <c r="C34" s="9"/>
      <c r="D34" s="9"/>
      <c r="E34" s="10">
        <v>30025</v>
      </c>
      <c r="F34" s="10">
        <v>36750</v>
      </c>
      <c r="G34" s="10">
        <v>10000</v>
      </c>
      <c r="H34" s="60">
        <v>0</v>
      </c>
      <c r="I34" s="15">
        <f>SUM(E34:H34)</f>
        <v>76775</v>
      </c>
      <c r="J34" s="10">
        <v>0</v>
      </c>
      <c r="K34" s="10">
        <v>99100</v>
      </c>
      <c r="L34" s="10">
        <v>0</v>
      </c>
      <c r="M34" s="10">
        <v>100000</v>
      </c>
      <c r="N34" s="15">
        <f>SUM(J34:M34)</f>
        <v>199100</v>
      </c>
      <c r="O34" s="10">
        <v>50000</v>
      </c>
      <c r="P34" s="10">
        <v>0</v>
      </c>
      <c r="Q34" s="10">
        <v>50000</v>
      </c>
      <c r="R34" s="10">
        <v>50000</v>
      </c>
      <c r="S34" s="10">
        <v>50000</v>
      </c>
      <c r="T34" s="15">
        <f>SUM(O34:S34)</f>
        <v>200000</v>
      </c>
      <c r="U34" s="11"/>
      <c r="V34" s="10">
        <v>100000</v>
      </c>
      <c r="W34" s="10">
        <v>0</v>
      </c>
      <c r="X34" s="10">
        <v>0</v>
      </c>
      <c r="Y34" s="60">
        <v>0</v>
      </c>
      <c r="Z34" s="15">
        <f>SUM(V34:Y34)</f>
        <v>100000</v>
      </c>
      <c r="AA34" s="10">
        <v>0</v>
      </c>
      <c r="AB34" s="10">
        <v>0</v>
      </c>
      <c r="AC34" s="10">
        <v>0</v>
      </c>
      <c r="AD34" s="10">
        <v>0</v>
      </c>
      <c r="AE34" s="15">
        <f>SUM(AA34:AD34)</f>
        <v>0</v>
      </c>
      <c r="AF34" s="10">
        <v>0</v>
      </c>
      <c r="AG34" s="10">
        <v>0</v>
      </c>
      <c r="AH34" s="10">
        <v>0</v>
      </c>
      <c r="AI34" s="10">
        <v>0</v>
      </c>
      <c r="AJ34" s="10">
        <v>0</v>
      </c>
      <c r="AK34" s="15">
        <f>SUM(AF34:AJ34)</f>
        <v>0</v>
      </c>
      <c r="AL34" s="11"/>
      <c r="AM34" s="4"/>
      <c r="AN34" s="56">
        <v>0</v>
      </c>
      <c r="AO34" s="56">
        <v>0</v>
      </c>
    </row>
    <row r="35" spans="1:41" s="18" customFormat="1" ht="15" customHeight="1">
      <c r="A35" s="157"/>
      <c r="B35" s="19" t="s">
        <v>10</v>
      </c>
      <c r="C35" s="9">
        <v>11250</v>
      </c>
      <c r="D35" s="9"/>
      <c r="E35" s="9"/>
      <c r="F35" s="9"/>
      <c r="G35" s="9"/>
      <c r="H35" s="9">
        <f>C35</f>
        <v>11250</v>
      </c>
      <c r="I35" s="15">
        <f>E35+F35+G35+H35</f>
        <v>11250</v>
      </c>
      <c r="J35" s="9"/>
      <c r="K35" s="9"/>
      <c r="L35" s="9"/>
      <c r="M35" s="9"/>
      <c r="N35" s="15">
        <f>J35+K35+L35+M35</f>
        <v>0</v>
      </c>
      <c r="O35" s="9"/>
      <c r="P35" s="9"/>
      <c r="Q35" s="9"/>
      <c r="R35" s="9"/>
      <c r="S35" s="9"/>
      <c r="T35" s="15">
        <f>SUM(O35:S35)</f>
        <v>0</v>
      </c>
      <c r="U35" s="11"/>
      <c r="V35" s="9"/>
      <c r="W35" s="9"/>
      <c r="X35" s="9"/>
      <c r="Y35" s="9"/>
      <c r="Z35" s="15">
        <f>V35+W35+X35+Y35</f>
        <v>0</v>
      </c>
      <c r="AA35" s="9"/>
      <c r="AB35" s="9"/>
      <c r="AC35" s="9"/>
      <c r="AD35" s="9"/>
      <c r="AE35" s="15">
        <f>AA35+AB35+AC35+AD35</f>
        <v>0</v>
      </c>
      <c r="AF35" s="9"/>
      <c r="AG35" s="9"/>
      <c r="AH35" s="9"/>
      <c r="AI35" s="9"/>
      <c r="AJ35" s="9"/>
      <c r="AK35" s="15">
        <f>SUM(AF35:AJ35)</f>
        <v>0</v>
      </c>
      <c r="AL35" s="17">
        <f>Z35+AE35+AK35</f>
        <v>0</v>
      </c>
      <c r="AM35" s="4"/>
      <c r="AN35" s="56">
        <v>0</v>
      </c>
      <c r="AO35" s="56">
        <v>0</v>
      </c>
    </row>
    <row r="36" spans="1:41" s="18" customFormat="1" ht="15.75" customHeight="1">
      <c r="A36" s="157"/>
      <c r="B36" s="19" t="s">
        <v>7</v>
      </c>
      <c r="C36" s="9"/>
      <c r="D36" s="9"/>
      <c r="E36" s="10">
        <f>E35+E34</f>
        <v>30025</v>
      </c>
      <c r="F36" s="10">
        <f>F35+F34</f>
        <v>36750</v>
      </c>
      <c r="G36" s="10">
        <f t="shared" ref="G36" si="18">G35+G34</f>
        <v>10000</v>
      </c>
      <c r="H36" s="10">
        <f>H35+H34</f>
        <v>11250</v>
      </c>
      <c r="I36" s="9">
        <f>SUM(E36:H36)</f>
        <v>88025</v>
      </c>
      <c r="J36" s="10">
        <f>J35+J34</f>
        <v>0</v>
      </c>
      <c r="K36" s="10">
        <f>K35+K34</f>
        <v>99100</v>
      </c>
      <c r="L36" s="10">
        <f>L35+L34</f>
        <v>0</v>
      </c>
      <c r="M36" s="10">
        <f>M35+M34</f>
        <v>100000</v>
      </c>
      <c r="N36" s="9">
        <f>SUM(J36:M36)</f>
        <v>199100</v>
      </c>
      <c r="O36" s="10">
        <f>O35+O34</f>
        <v>50000</v>
      </c>
      <c r="P36" s="10">
        <f>P35+P34</f>
        <v>0</v>
      </c>
      <c r="Q36" s="10">
        <f>Q35+Q34</f>
        <v>50000</v>
      </c>
      <c r="R36" s="10">
        <f>R35+R34</f>
        <v>50000</v>
      </c>
      <c r="S36" s="10">
        <f>S35+S34</f>
        <v>50000</v>
      </c>
      <c r="T36" s="9">
        <f>SUM(O36:S36)</f>
        <v>200000</v>
      </c>
      <c r="U36" s="11">
        <f>T36+N36+I36+D37</f>
        <v>568179</v>
      </c>
      <c r="V36" s="10">
        <f>V35+V34</f>
        <v>100000</v>
      </c>
      <c r="W36" s="10">
        <f>W35+W34</f>
        <v>0</v>
      </c>
      <c r="X36" s="10">
        <f t="shared" ref="X36" si="19">X35+X34</f>
        <v>0</v>
      </c>
      <c r="Y36" s="10">
        <f>Y35+Y34</f>
        <v>0</v>
      </c>
      <c r="Z36" s="9">
        <f>SUM(V36:Y36)</f>
        <v>100000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100000</v>
      </c>
      <c r="AM36" s="4"/>
      <c r="AN36" s="56">
        <v>0</v>
      </c>
      <c r="AO36" s="56">
        <v>0</v>
      </c>
    </row>
    <row r="37" spans="1:41" s="18" customFormat="1" ht="15.75" customHeight="1" thickBot="1">
      <c r="A37" s="158"/>
      <c r="B37" s="19" t="s">
        <v>8</v>
      </c>
      <c r="C37" s="9">
        <v>100168</v>
      </c>
      <c r="D37" s="22">
        <v>81054</v>
      </c>
      <c r="E37" s="10">
        <f>E36-E33</f>
        <v>0</v>
      </c>
      <c r="F37" s="10">
        <f>E37+F36-F33</f>
        <v>0</v>
      </c>
      <c r="G37" s="10">
        <f>F37+G36-G33</f>
        <v>42711</v>
      </c>
      <c r="H37" s="10">
        <f>G37+H36-H33</f>
        <v>48896</v>
      </c>
      <c r="I37" s="9">
        <f>I36-I33</f>
        <v>48896</v>
      </c>
      <c r="J37" s="10">
        <f>I37+J36-J33</f>
        <v>10445</v>
      </c>
      <c r="K37" s="10">
        <f>J37+K36-K33</f>
        <v>56588</v>
      </c>
      <c r="L37" s="10">
        <f>K37+L36-L33</f>
        <v>35912</v>
      </c>
      <c r="M37" s="10">
        <f>L37+M36-M33</f>
        <v>112935</v>
      </c>
      <c r="N37" s="9">
        <f>I37+N36-N33</f>
        <v>112935</v>
      </c>
      <c r="O37" s="10">
        <f>N37+O36-O33</f>
        <v>125378</v>
      </c>
      <c r="P37" s="10">
        <f>O37+P36-P33</f>
        <v>80007</v>
      </c>
      <c r="Q37" s="10">
        <f>P37+Q36-Q33</f>
        <v>114855</v>
      </c>
      <c r="R37" s="10">
        <f t="shared" ref="R37:S37" si="20">Q37+R36-R33</f>
        <v>105772</v>
      </c>
      <c r="S37" s="10">
        <f t="shared" si="20"/>
        <v>132849</v>
      </c>
      <c r="T37" s="9">
        <f>N37+T36-T33</f>
        <v>132849</v>
      </c>
      <c r="U37" s="11">
        <f>U36-U33</f>
        <v>132849</v>
      </c>
      <c r="V37" s="10">
        <f>U37+V36-V33</f>
        <v>232448</v>
      </c>
      <c r="W37" s="10">
        <f>V37+W36-W33</f>
        <v>230234</v>
      </c>
      <c r="X37" s="10">
        <f t="shared" ref="X37:Y37" si="21">W37+X36-X33</f>
        <v>230234</v>
      </c>
      <c r="Y37" s="10">
        <f t="shared" si="21"/>
        <v>230234</v>
      </c>
      <c r="Z37" s="9">
        <f>T37+Z36-Z33</f>
        <v>230234</v>
      </c>
      <c r="AA37" s="10">
        <f>Z37+AA36-AA33</f>
        <v>230234</v>
      </c>
      <c r="AB37" s="10">
        <f>AA37+AB36-AB33</f>
        <v>228293</v>
      </c>
      <c r="AC37" s="10">
        <f>AB37+AC36-AC33</f>
        <v>228293</v>
      </c>
      <c r="AD37" s="10">
        <f>AC37+AD36-AD33</f>
        <v>227420</v>
      </c>
      <c r="AE37" s="9">
        <f>Z37+AE36-AE33</f>
        <v>227420</v>
      </c>
      <c r="AF37" s="10">
        <f>AE37+AF36-AF33</f>
        <v>227420</v>
      </c>
      <c r="AG37" s="10">
        <f>AF37+AG36-AG33</f>
        <v>227420</v>
      </c>
      <c r="AH37" s="10">
        <f>AG37+AH36-AH33</f>
        <v>227420</v>
      </c>
      <c r="AI37" s="10">
        <f t="shared" ref="AI37:AJ37" si="22">AH37+AI36-AI33</f>
        <v>227420</v>
      </c>
      <c r="AJ37" s="10">
        <f t="shared" si="22"/>
        <v>227420</v>
      </c>
      <c r="AK37" s="9">
        <f>AE37+AK36-AK33</f>
        <v>227420</v>
      </c>
      <c r="AL37" s="11">
        <f>T37+AL36-AL33</f>
        <v>227420</v>
      </c>
      <c r="AM37" s="4"/>
      <c r="AN37" s="56">
        <v>0</v>
      </c>
      <c r="AO37" s="56">
        <v>0</v>
      </c>
    </row>
    <row r="38" spans="1:41" s="18" customFormat="1" ht="13.25" customHeight="1">
      <c r="A38" s="23"/>
      <c r="B38" s="19" t="s">
        <v>9</v>
      </c>
      <c r="C38" s="15"/>
      <c r="D38" s="15"/>
      <c r="E38" s="57">
        <v>0</v>
      </c>
      <c r="F38" s="57">
        <v>0</v>
      </c>
      <c r="G38" s="57">
        <v>0</v>
      </c>
      <c r="H38" s="57">
        <v>-9431.7167509669744</v>
      </c>
      <c r="I38" s="12"/>
      <c r="J38" s="57">
        <v>-46480.755590398323</v>
      </c>
      <c r="K38" s="57">
        <v>-34683.167395552249</v>
      </c>
      <c r="L38" s="57">
        <v>-36323.576470588239</v>
      </c>
      <c r="M38" s="57">
        <v>-18351.468394046362</v>
      </c>
      <c r="N38" s="12"/>
      <c r="O38" s="57">
        <v>-25977.342361497282</v>
      </c>
      <c r="P38" s="57">
        <v>-6328.4006776551632</v>
      </c>
      <c r="Q38" s="57">
        <v>-5415.4467090273974</v>
      </c>
      <c r="R38" s="57">
        <v>-6412.528585429598</v>
      </c>
      <c r="S38" s="57">
        <v>654.55529238810834</v>
      </c>
      <c r="T38" s="12"/>
      <c r="U38" s="13"/>
      <c r="V38" s="57">
        <v>0</v>
      </c>
      <c r="W38" s="57">
        <v>0</v>
      </c>
      <c r="X38" s="57">
        <v>0</v>
      </c>
      <c r="Y38" s="57">
        <v>-9431.7167509669744</v>
      </c>
      <c r="Z38" s="12"/>
      <c r="AA38" s="57">
        <v>-46480.755590398323</v>
      </c>
      <c r="AB38" s="57">
        <v>-34683.167395552249</v>
      </c>
      <c r="AC38" s="57">
        <v>-36323.576470588239</v>
      </c>
      <c r="AD38" s="57">
        <v>-18351.468394046362</v>
      </c>
      <c r="AE38" s="12"/>
      <c r="AF38" s="57">
        <v>-25977.342361497282</v>
      </c>
      <c r="AG38" s="57">
        <v>-6328.4006776551632</v>
      </c>
      <c r="AH38" s="57">
        <v>-5415.4467090273974</v>
      </c>
      <c r="AI38" s="57">
        <v>-6412.528585429598</v>
      </c>
      <c r="AJ38" s="57">
        <v>654.55529238810834</v>
      </c>
      <c r="AK38" s="12"/>
      <c r="AL38" s="13"/>
    </row>
    <row r="39" spans="1:41" s="18" customFormat="1" ht="13.25" customHeight="1">
      <c r="A39" s="153" t="s">
        <v>48</v>
      </c>
      <c r="B39" s="19" t="s">
        <v>5</v>
      </c>
      <c r="C39" s="15"/>
      <c r="D39" s="15"/>
      <c r="E39" s="16">
        <v>0</v>
      </c>
      <c r="F39" s="16">
        <v>0</v>
      </c>
      <c r="G39" s="16">
        <v>-181</v>
      </c>
      <c r="H39" s="16">
        <v>0</v>
      </c>
      <c r="I39" s="15">
        <f>SUM(E39:H39)</f>
        <v>-181</v>
      </c>
      <c r="J39" s="16">
        <v>0</v>
      </c>
      <c r="K39" s="16">
        <v>0</v>
      </c>
      <c r="L39" s="16">
        <v>0</v>
      </c>
      <c r="M39" s="16">
        <v>0</v>
      </c>
      <c r="N39" s="15">
        <f>SUM(J39:M39)</f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5">
        <f t="shared" ref="T39" si="23">SUM(O39:S39)</f>
        <v>0</v>
      </c>
      <c r="U39" s="17">
        <f>T39+N39+I39+D43</f>
        <v>-181</v>
      </c>
      <c r="V39" s="16">
        <v>0</v>
      </c>
      <c r="W39" s="16">
        <v>0</v>
      </c>
      <c r="X39" s="16">
        <v>0</v>
      </c>
      <c r="Y39" s="16">
        <v>0</v>
      </c>
      <c r="Z39" s="15">
        <f>SUM(V39:Y39)</f>
        <v>0</v>
      </c>
      <c r="AA39" s="16">
        <v>0</v>
      </c>
      <c r="AB39" s="16">
        <v>0</v>
      </c>
      <c r="AC39" s="16">
        <v>0</v>
      </c>
      <c r="AD39" s="16">
        <v>0</v>
      </c>
      <c r="AE39" s="15">
        <f>SUM(AA39:AD39)</f>
        <v>0</v>
      </c>
      <c r="AF39" s="16">
        <v>0</v>
      </c>
      <c r="AG39" s="16">
        <v>0</v>
      </c>
      <c r="AH39" s="16">
        <v>0</v>
      </c>
      <c r="AI39" s="16">
        <v>0</v>
      </c>
      <c r="AJ39" s="16">
        <v>0</v>
      </c>
      <c r="AK39" s="15">
        <f>SUM(AF39:AJ39)</f>
        <v>0</v>
      </c>
      <c r="AL39" s="17">
        <f>AK39+AE39+Z39</f>
        <v>0</v>
      </c>
      <c r="AM39" s="18">
        <v>128</v>
      </c>
      <c r="AN39" s="56">
        <v>-23168</v>
      </c>
    </row>
    <row r="40" spans="1:41" s="18" customFormat="1" ht="13.25" customHeight="1">
      <c r="A40" s="154"/>
      <c r="B40" s="19" t="s">
        <v>6</v>
      </c>
      <c r="C40" s="15"/>
      <c r="D40" s="15"/>
      <c r="E40" s="16">
        <v>0</v>
      </c>
      <c r="F40" s="16">
        <v>0</v>
      </c>
      <c r="G40" s="16">
        <v>0</v>
      </c>
      <c r="H40" s="16">
        <v>0</v>
      </c>
      <c r="I40" s="15">
        <f>SUM(E40:H40)</f>
        <v>0</v>
      </c>
      <c r="J40" s="16">
        <v>0</v>
      </c>
      <c r="K40" s="16">
        <v>0</v>
      </c>
      <c r="L40" s="16">
        <v>0</v>
      </c>
      <c r="M40" s="16">
        <v>0</v>
      </c>
      <c r="N40" s="15">
        <f>SUM(J40:M40)</f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5">
        <f>SUM(O40:S40)</f>
        <v>0</v>
      </c>
      <c r="U40" s="17">
        <f>T40+N40+I40</f>
        <v>0</v>
      </c>
      <c r="V40" s="16">
        <v>0</v>
      </c>
      <c r="W40" s="16">
        <v>0</v>
      </c>
      <c r="X40" s="16">
        <v>0</v>
      </c>
      <c r="Y40" s="16">
        <v>0</v>
      </c>
      <c r="Z40" s="15">
        <f>SUM(V40:Y40)</f>
        <v>0</v>
      </c>
      <c r="AA40" s="16">
        <v>0</v>
      </c>
      <c r="AB40" s="16">
        <v>0</v>
      </c>
      <c r="AC40" s="16">
        <v>0</v>
      </c>
      <c r="AD40" s="16">
        <v>0</v>
      </c>
      <c r="AE40" s="15">
        <f>SUM(AA40:AD40)</f>
        <v>0</v>
      </c>
      <c r="AF40" s="16">
        <v>0</v>
      </c>
      <c r="AG40" s="16">
        <v>0</v>
      </c>
      <c r="AH40" s="16">
        <v>0</v>
      </c>
      <c r="AI40" s="16">
        <v>0</v>
      </c>
      <c r="AJ40" s="16">
        <v>0</v>
      </c>
      <c r="AK40" s="15">
        <f>SUM(AF40:AJ40)</f>
        <v>0</v>
      </c>
      <c r="AL40" s="17">
        <f>AK40+AE40+Z40</f>
        <v>0</v>
      </c>
      <c r="AN40" s="56">
        <v>0</v>
      </c>
    </row>
    <row r="41" spans="1:41" s="18" customFormat="1">
      <c r="A41" s="154"/>
      <c r="B41" s="19" t="s">
        <v>10</v>
      </c>
      <c r="C41" s="15">
        <v>0</v>
      </c>
      <c r="D41" s="15"/>
      <c r="E41" s="16"/>
      <c r="F41" s="16"/>
      <c r="G41" s="16"/>
      <c r="H41" s="16">
        <f>C41</f>
        <v>0</v>
      </c>
      <c r="I41" s="15">
        <f>E41+F41+G41+H41</f>
        <v>0</v>
      </c>
      <c r="J41" s="16"/>
      <c r="K41" s="16"/>
      <c r="L41" s="16"/>
      <c r="M41" s="16"/>
      <c r="N41" s="15">
        <f>J41+K41+L41+M41</f>
        <v>0</v>
      </c>
      <c r="O41" s="16"/>
      <c r="P41" s="16"/>
      <c r="Q41" s="16"/>
      <c r="R41" s="16"/>
      <c r="S41" s="16"/>
      <c r="T41" s="15">
        <f>SUM(O41:S41)</f>
        <v>0</v>
      </c>
      <c r="U41" s="17">
        <f>I41+N41+T41</f>
        <v>0</v>
      </c>
      <c r="V41" s="16"/>
      <c r="W41" s="16"/>
      <c r="X41" s="16"/>
      <c r="Y41" s="16"/>
      <c r="Z41" s="15">
        <f>V41+W41+X41+Y41</f>
        <v>0</v>
      </c>
      <c r="AA41" s="16"/>
      <c r="AB41" s="16"/>
      <c r="AC41" s="16"/>
      <c r="AD41" s="16"/>
      <c r="AE41" s="15">
        <f>AA41+AB41+AC41+AD41</f>
        <v>0</v>
      </c>
      <c r="AF41" s="16"/>
      <c r="AG41" s="16"/>
      <c r="AH41" s="16"/>
      <c r="AI41" s="16"/>
      <c r="AJ41" s="16"/>
      <c r="AK41" s="15">
        <f>SUM(AF41:AJ41)</f>
        <v>0</v>
      </c>
      <c r="AL41" s="17">
        <f>Z41+AE41+AK41</f>
        <v>0</v>
      </c>
      <c r="AN41" s="56">
        <v>0</v>
      </c>
    </row>
    <row r="42" spans="1:41" s="18" customFormat="1" ht="13.75" customHeight="1">
      <c r="A42" s="154"/>
      <c r="B42" s="19" t="s">
        <v>44</v>
      </c>
      <c r="C42" s="15"/>
      <c r="D42" s="15"/>
      <c r="E42" s="16">
        <f>E41+E40</f>
        <v>0</v>
      </c>
      <c r="F42" s="16">
        <f>F41+F40</f>
        <v>0</v>
      </c>
      <c r="G42" s="16">
        <f>G41+G40</f>
        <v>0</v>
      </c>
      <c r="H42" s="16">
        <f>H41+H40</f>
        <v>0</v>
      </c>
      <c r="I42" s="15">
        <f>SUM(E42:H42)</f>
        <v>0</v>
      </c>
      <c r="J42" s="16">
        <f>J41+J40</f>
        <v>0</v>
      </c>
      <c r="K42" s="16">
        <f>K41+K40</f>
        <v>0</v>
      </c>
      <c r="L42" s="16">
        <f>L41+L40</f>
        <v>0</v>
      </c>
      <c r="M42" s="16">
        <f>M41+M40</f>
        <v>0</v>
      </c>
      <c r="N42" s="15">
        <f>SUM(J42:M42)</f>
        <v>0</v>
      </c>
      <c r="O42" s="16">
        <f>O41+O40</f>
        <v>0</v>
      </c>
      <c r="P42" s="16">
        <f>P41+P40</f>
        <v>0</v>
      </c>
      <c r="Q42" s="16">
        <f>Q41+Q40</f>
        <v>0</v>
      </c>
      <c r="R42" s="16">
        <f>R41+R40</f>
        <v>0</v>
      </c>
      <c r="S42" s="16">
        <f>S41+S40</f>
        <v>0</v>
      </c>
      <c r="T42" s="15">
        <f>SUM(O42:S42)</f>
        <v>0</v>
      </c>
      <c r="U42" s="17">
        <f>T42+N42+I42+D43</f>
        <v>0</v>
      </c>
      <c r="V42" s="16">
        <f>V41+V40</f>
        <v>0</v>
      </c>
      <c r="W42" s="16">
        <f>W41+W40</f>
        <v>0</v>
      </c>
      <c r="X42" s="16">
        <f>X41+X40</f>
        <v>0</v>
      </c>
      <c r="Y42" s="16">
        <f>Y41+Y40</f>
        <v>0</v>
      </c>
      <c r="Z42" s="15">
        <f>SUM(V42:Y42)</f>
        <v>0</v>
      </c>
      <c r="AA42" s="16">
        <f>AA41+AA40</f>
        <v>0</v>
      </c>
      <c r="AB42" s="16">
        <f>AB41+AB40</f>
        <v>0</v>
      </c>
      <c r="AC42" s="16">
        <f>AC41+AC40</f>
        <v>0</v>
      </c>
      <c r="AD42" s="16">
        <f>AD41+AD40</f>
        <v>0</v>
      </c>
      <c r="AE42" s="15">
        <f>SUM(AA42:AD42)</f>
        <v>0</v>
      </c>
      <c r="AF42" s="16">
        <f>AF41+AF40</f>
        <v>0</v>
      </c>
      <c r="AG42" s="16">
        <f>AG41+AG40</f>
        <v>0</v>
      </c>
      <c r="AH42" s="16">
        <f>AH41+AH40</f>
        <v>0</v>
      </c>
      <c r="AI42" s="16">
        <f>AI41+AI40</f>
        <v>0</v>
      </c>
      <c r="AJ42" s="16">
        <f>AJ41+AJ40</f>
        <v>0</v>
      </c>
      <c r="AK42" s="15">
        <f>SUM(AF42:AJ42)</f>
        <v>0</v>
      </c>
      <c r="AL42" s="17">
        <f>AK42+AE42+Z42</f>
        <v>0</v>
      </c>
      <c r="AN42" s="56">
        <v>0</v>
      </c>
    </row>
    <row r="43" spans="1:41" s="18" customFormat="1" ht="13.75" customHeight="1">
      <c r="A43" s="155"/>
      <c r="B43" s="19" t="s">
        <v>8</v>
      </c>
      <c r="C43" s="21">
        <v>181</v>
      </c>
      <c r="D43" s="22"/>
      <c r="E43" s="10">
        <f>E42-E39</f>
        <v>0</v>
      </c>
      <c r="F43" s="10">
        <f>E43+F42-F39</f>
        <v>0</v>
      </c>
      <c r="G43" s="10">
        <f>F43+G42-G39</f>
        <v>181</v>
      </c>
      <c r="H43" s="10">
        <f>G43+H42-H39</f>
        <v>181</v>
      </c>
      <c r="I43" s="9">
        <f>I42-I39</f>
        <v>181</v>
      </c>
      <c r="J43" s="10">
        <f>I43+J42-J39</f>
        <v>181</v>
      </c>
      <c r="K43" s="10">
        <f>J43+K42-K39</f>
        <v>181</v>
      </c>
      <c r="L43" s="10">
        <f>K43+L42-L39</f>
        <v>181</v>
      </c>
      <c r="M43" s="10">
        <f>L43+M42-M39</f>
        <v>181</v>
      </c>
      <c r="N43" s="9">
        <f>I43+N42-N39</f>
        <v>181</v>
      </c>
      <c r="O43" s="10">
        <f>N43+O42-O39</f>
        <v>181</v>
      </c>
      <c r="P43" s="10">
        <f>O43+P42-P39</f>
        <v>181</v>
      </c>
      <c r="Q43" s="10">
        <f>P43+Q42-Q39</f>
        <v>181</v>
      </c>
      <c r="R43" s="10">
        <f>Q43+R42-R39</f>
        <v>181</v>
      </c>
      <c r="S43" s="10">
        <f>R43+S42-S39</f>
        <v>181</v>
      </c>
      <c r="T43" s="9">
        <f>N43+T42-T39</f>
        <v>181</v>
      </c>
      <c r="U43" s="11">
        <f>U42-U39</f>
        <v>181</v>
      </c>
      <c r="V43" s="10">
        <f>V42-V39</f>
        <v>0</v>
      </c>
      <c r="W43" s="10">
        <f>V43+W42-W39</f>
        <v>0</v>
      </c>
      <c r="X43" s="10">
        <f>W43+X42-X39</f>
        <v>0</v>
      </c>
      <c r="Y43" s="10">
        <f>X43+Y42-Y39</f>
        <v>0</v>
      </c>
      <c r="Z43" s="9">
        <f>Z42-Z39</f>
        <v>0</v>
      </c>
      <c r="AA43" s="10">
        <f>Z43+AA42-AA39</f>
        <v>0</v>
      </c>
      <c r="AB43" s="10">
        <f>AA43+AB42-AB39</f>
        <v>0</v>
      </c>
      <c r="AC43" s="10">
        <f>AB43+AC42-AC39</f>
        <v>0</v>
      </c>
      <c r="AD43" s="10">
        <f>AC43+AD42-AD39</f>
        <v>0</v>
      </c>
      <c r="AE43" s="9">
        <f>Z43+AE42-AE39</f>
        <v>0</v>
      </c>
      <c r="AF43" s="10">
        <f>AE43+AF42-AF39</f>
        <v>0</v>
      </c>
      <c r="AG43" s="10">
        <f>AF43+AG42-AG39</f>
        <v>0</v>
      </c>
      <c r="AH43" s="10">
        <f>AG43+AH42-AH39</f>
        <v>0</v>
      </c>
      <c r="AI43" s="10">
        <f>AH43+AI42-AI39</f>
        <v>0</v>
      </c>
      <c r="AJ43" s="10">
        <f>AI43+AJ42-AJ39</f>
        <v>0</v>
      </c>
      <c r="AK43" s="9">
        <f>AE43+AK42-AK39</f>
        <v>0</v>
      </c>
      <c r="AL43" s="11">
        <f>AL42-AL39+U43</f>
        <v>181</v>
      </c>
      <c r="AN43" s="56">
        <v>0</v>
      </c>
    </row>
    <row r="44" spans="1:41" s="18" customFormat="1" ht="13.75" customHeight="1" thickBot="1">
      <c r="A44" s="23"/>
      <c r="B44" s="19" t="s">
        <v>9</v>
      </c>
      <c r="C44" s="15"/>
      <c r="D44" s="15"/>
      <c r="E44" s="57" t="e">
        <v>#DIV/0!</v>
      </c>
      <c r="F44" s="57" t="e">
        <v>#DIV/0!</v>
      </c>
      <c r="G44" s="57" t="e">
        <v>#DIV/0!</v>
      </c>
      <c r="H44" s="57" t="e">
        <v>#DIV/0!</v>
      </c>
      <c r="I44" s="12"/>
      <c r="J44" s="57" t="e">
        <v>#DIV/0!</v>
      </c>
      <c r="K44" s="57" t="e">
        <v>#DIV/0!</v>
      </c>
      <c r="L44" s="57" t="e">
        <v>#DIV/0!</v>
      </c>
      <c r="M44" s="57" t="e">
        <v>#DIV/0!</v>
      </c>
      <c r="N44" s="12"/>
      <c r="O44" s="57">
        <v>0</v>
      </c>
      <c r="P44" s="57">
        <v>0</v>
      </c>
      <c r="Q44" s="57">
        <v>0</v>
      </c>
      <c r="R44" s="57">
        <v>0</v>
      </c>
      <c r="S44" s="57">
        <v>0</v>
      </c>
      <c r="T44" s="12"/>
      <c r="U44" s="13"/>
      <c r="V44" s="57" t="e">
        <v>#DIV/0!</v>
      </c>
      <c r="W44" s="57" t="e">
        <v>#DIV/0!</v>
      </c>
      <c r="X44" s="57" t="e">
        <v>#DIV/0!</v>
      </c>
      <c r="Y44" s="57" t="e">
        <v>#DIV/0!</v>
      </c>
      <c r="Z44" s="12"/>
      <c r="AA44" s="57" t="e">
        <v>#DIV/0!</v>
      </c>
      <c r="AB44" s="57" t="e">
        <v>#DIV/0!</v>
      </c>
      <c r="AC44" s="57" t="e">
        <v>#DIV/0!</v>
      </c>
      <c r="AD44" s="57" t="e">
        <v>#DIV/0!</v>
      </c>
      <c r="AE44" s="12"/>
      <c r="AF44" s="57">
        <v>0</v>
      </c>
      <c r="AG44" s="57">
        <v>0</v>
      </c>
      <c r="AH44" s="57">
        <v>0</v>
      </c>
      <c r="AI44" s="57">
        <v>0</v>
      </c>
      <c r="AJ44" s="57">
        <v>0</v>
      </c>
      <c r="AK44" s="12"/>
      <c r="AL44" s="13"/>
      <c r="AN44" s="56">
        <v>0</v>
      </c>
    </row>
    <row r="45" spans="1:41" s="18" customFormat="1" ht="15.75" customHeight="1" thickBot="1">
      <c r="A45" s="156" t="s">
        <v>13</v>
      </c>
      <c r="B45" s="19" t="s">
        <v>5</v>
      </c>
      <c r="C45" s="9"/>
      <c r="D45" s="9"/>
      <c r="E45" s="10">
        <v>0</v>
      </c>
      <c r="F45" s="60">
        <v>0</v>
      </c>
      <c r="G45" s="60">
        <v>-139</v>
      </c>
      <c r="H45" s="60">
        <v>0</v>
      </c>
      <c r="I45" s="9">
        <f>SUM(E45:H45)</f>
        <v>-139</v>
      </c>
      <c r="J45" s="60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60">
        <v>0</v>
      </c>
      <c r="Q45" s="60">
        <v>0</v>
      </c>
      <c r="R45" s="60">
        <v>0</v>
      </c>
      <c r="S45" s="60">
        <v>0</v>
      </c>
      <c r="T45" s="9">
        <f>SUM(O45:S45)</f>
        <v>0</v>
      </c>
      <c r="U45" s="11">
        <f>T45+N45+I45+D49</f>
        <v>314</v>
      </c>
      <c r="V45" s="10">
        <v>0</v>
      </c>
      <c r="W45" s="60">
        <v>0</v>
      </c>
      <c r="X45" s="60">
        <v>0</v>
      </c>
      <c r="Y45" s="60">
        <v>0</v>
      </c>
      <c r="Z45" s="9">
        <f>SUM(V45:Y45)</f>
        <v>0</v>
      </c>
      <c r="AA45" s="60">
        <v>0</v>
      </c>
      <c r="AB45" s="10">
        <v>0</v>
      </c>
      <c r="AC45" s="10">
        <v>0</v>
      </c>
      <c r="AD45" s="10">
        <v>0</v>
      </c>
      <c r="AE45" s="9">
        <f>SUM(AA45:AD45)</f>
        <v>0</v>
      </c>
      <c r="AF45" s="10">
        <v>0</v>
      </c>
      <c r="AG45" s="60">
        <v>0</v>
      </c>
      <c r="AH45" s="60">
        <v>0</v>
      </c>
      <c r="AI45" s="60">
        <v>0</v>
      </c>
      <c r="AJ45" s="60">
        <v>0</v>
      </c>
      <c r="AK45" s="9">
        <f>SUM(AF45:AJ45)</f>
        <v>0</v>
      </c>
      <c r="AL45" s="11">
        <f>AK45+AE45+Z45</f>
        <v>0</v>
      </c>
      <c r="AM45" s="4">
        <v>128</v>
      </c>
      <c r="AN45" s="56">
        <v>40192</v>
      </c>
      <c r="AO45" s="56">
        <v>0</v>
      </c>
    </row>
    <row r="46" spans="1:41" s="18" customFormat="1" ht="15.75" customHeight="1">
      <c r="A46" s="157"/>
      <c r="B46" s="19" t="s">
        <v>6</v>
      </c>
      <c r="C46" s="9"/>
      <c r="D46" s="9"/>
      <c r="E46" s="10">
        <v>0</v>
      </c>
      <c r="F46" s="60">
        <v>0</v>
      </c>
      <c r="G46" s="10">
        <v>0</v>
      </c>
      <c r="H46" s="60">
        <v>0</v>
      </c>
      <c r="I46" s="15">
        <f>SUM(E46:H46)</f>
        <v>0</v>
      </c>
      <c r="J46" s="10">
        <v>0</v>
      </c>
      <c r="K46" s="10">
        <v>0</v>
      </c>
      <c r="L46" s="10">
        <v>0</v>
      </c>
      <c r="M46" s="10">
        <v>0</v>
      </c>
      <c r="N46" s="15">
        <f>SUM(J46:M46)</f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5">
        <f>SUM(O46:S46)</f>
        <v>0</v>
      </c>
      <c r="U46" s="11"/>
      <c r="V46" s="10">
        <v>0</v>
      </c>
      <c r="W46" s="60">
        <v>0</v>
      </c>
      <c r="X46" s="10">
        <v>0</v>
      </c>
      <c r="Y46" s="60">
        <v>0</v>
      </c>
      <c r="Z46" s="15">
        <f>SUM(V46:Y46)</f>
        <v>0</v>
      </c>
      <c r="AA46" s="10">
        <v>0</v>
      </c>
      <c r="AB46" s="10">
        <v>0</v>
      </c>
      <c r="AC46" s="10">
        <v>0</v>
      </c>
      <c r="AD46" s="10">
        <v>0</v>
      </c>
      <c r="AE46" s="15">
        <f>SUM(AA46:AD46)</f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5">
        <f>SUM(AF46:AJ46)</f>
        <v>0</v>
      </c>
      <c r="AL46" s="11"/>
      <c r="AM46" s="4"/>
      <c r="AN46" s="56">
        <v>0</v>
      </c>
      <c r="AO46" s="56">
        <v>0</v>
      </c>
    </row>
    <row r="47" spans="1:41" s="18" customFormat="1" ht="15" customHeight="1">
      <c r="A47" s="157"/>
      <c r="B47" s="19" t="s">
        <v>10</v>
      </c>
      <c r="C47" s="9">
        <v>0</v>
      </c>
      <c r="D47" s="9"/>
      <c r="E47" s="9"/>
      <c r="F47" s="9"/>
      <c r="G47" s="9"/>
      <c r="H47" s="9">
        <f>C47</f>
        <v>0</v>
      </c>
      <c r="I47" s="15">
        <f>E47+F47+G47+H47</f>
        <v>0</v>
      </c>
      <c r="J47" s="9"/>
      <c r="K47" s="9"/>
      <c r="L47" s="9"/>
      <c r="M47" s="9"/>
      <c r="N47" s="15">
        <f>J47+K47+L47+M47</f>
        <v>0</v>
      </c>
      <c r="O47" s="9"/>
      <c r="P47" s="9"/>
      <c r="Q47" s="9"/>
      <c r="R47" s="9"/>
      <c r="S47" s="9"/>
      <c r="T47" s="15">
        <f>SUM(O47:S47)</f>
        <v>0</v>
      </c>
      <c r="U47" s="11"/>
      <c r="V47" s="9"/>
      <c r="W47" s="9"/>
      <c r="X47" s="9"/>
      <c r="Y47" s="9"/>
      <c r="Z47" s="15">
        <f>V47+W47+X47+Y47</f>
        <v>0</v>
      </c>
      <c r="AA47" s="9"/>
      <c r="AB47" s="9"/>
      <c r="AC47" s="9"/>
      <c r="AD47" s="9"/>
      <c r="AE47" s="15">
        <f>AA47+AB47+AC47+AD47</f>
        <v>0</v>
      </c>
      <c r="AF47" s="9"/>
      <c r="AG47" s="9"/>
      <c r="AH47" s="9"/>
      <c r="AI47" s="9"/>
      <c r="AJ47" s="9"/>
      <c r="AK47" s="15">
        <f>SUM(AF47:AJ47)</f>
        <v>0</v>
      </c>
      <c r="AL47" s="17">
        <f>Z47+AE47+AK47</f>
        <v>0</v>
      </c>
      <c r="AM47" s="4"/>
      <c r="AN47" s="56">
        <v>0</v>
      </c>
      <c r="AO47" s="56">
        <v>0</v>
      </c>
    </row>
    <row r="48" spans="1:41" s="18" customFormat="1" ht="15.75" customHeight="1">
      <c r="A48" s="157"/>
      <c r="B48" s="19" t="s">
        <v>7</v>
      </c>
      <c r="C48" s="9"/>
      <c r="D48" s="9"/>
      <c r="E48" s="10">
        <f>E47+E46</f>
        <v>0</v>
      </c>
      <c r="F48" s="10">
        <f>F47+F46</f>
        <v>0</v>
      </c>
      <c r="G48" s="10">
        <f t="shared" ref="G48" si="24"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453</v>
      </c>
      <c r="V48" s="10">
        <f>V47+V46</f>
        <v>0</v>
      </c>
      <c r="W48" s="10">
        <f>W47+W46</f>
        <v>0</v>
      </c>
      <c r="X48" s="10">
        <f t="shared" ref="X48" si="25"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4"/>
      <c r="AN48" s="56">
        <v>0</v>
      </c>
      <c r="AO48" s="56">
        <v>0</v>
      </c>
    </row>
    <row r="49" spans="1:41" s="18" customFormat="1" ht="15.75" customHeight="1" thickBot="1">
      <c r="A49" s="158"/>
      <c r="B49" s="19" t="s">
        <v>8</v>
      </c>
      <c r="C49" s="65">
        <v>139</v>
      </c>
      <c r="D49" s="22">
        <v>453</v>
      </c>
      <c r="E49" s="10">
        <f>E48-E45</f>
        <v>0</v>
      </c>
      <c r="F49" s="10">
        <f>E49+F48-F45</f>
        <v>0</v>
      </c>
      <c r="G49" s="10">
        <f>F49+G48-G45</f>
        <v>139</v>
      </c>
      <c r="H49" s="10">
        <f>G49+H48-H45</f>
        <v>139</v>
      </c>
      <c r="I49" s="9">
        <f>I48-I45</f>
        <v>139</v>
      </c>
      <c r="J49" s="10">
        <f>I49+J48-J45</f>
        <v>139</v>
      </c>
      <c r="K49" s="10">
        <f>J49+K48-K45</f>
        <v>139</v>
      </c>
      <c r="L49" s="10">
        <f>K49+L48-L45</f>
        <v>139</v>
      </c>
      <c r="M49" s="10">
        <f>L49+M48-M45</f>
        <v>139</v>
      </c>
      <c r="N49" s="9">
        <f>I49+N48-N45</f>
        <v>139</v>
      </c>
      <c r="O49" s="10">
        <f>N49+O48-O45</f>
        <v>139</v>
      </c>
      <c r="P49" s="10">
        <f>O49+P48-P45</f>
        <v>139</v>
      </c>
      <c r="Q49" s="10">
        <f>P49+Q48-Q45</f>
        <v>139</v>
      </c>
      <c r="R49" s="10">
        <f t="shared" ref="R49:S49" si="26">Q49+R48-R45</f>
        <v>139</v>
      </c>
      <c r="S49" s="10">
        <f t="shared" si="26"/>
        <v>139</v>
      </c>
      <c r="T49" s="9">
        <f>N49+T48-T45</f>
        <v>139</v>
      </c>
      <c r="U49" s="11">
        <f>U48-U45</f>
        <v>139</v>
      </c>
      <c r="V49" s="10">
        <f>U49+V48-V45</f>
        <v>139</v>
      </c>
      <c r="W49" s="10">
        <f>V49+W48-W45</f>
        <v>139</v>
      </c>
      <c r="X49" s="10">
        <f t="shared" ref="X49:Y49" si="27">W49+X48-X45</f>
        <v>139</v>
      </c>
      <c r="Y49" s="10">
        <f t="shared" si="27"/>
        <v>139</v>
      </c>
      <c r="Z49" s="9">
        <f>T49+Z48-Z45</f>
        <v>139</v>
      </c>
      <c r="AA49" s="10">
        <f>Z49+AA48-AA45</f>
        <v>139</v>
      </c>
      <c r="AB49" s="10">
        <f>AA49+AB48-AB45</f>
        <v>139</v>
      </c>
      <c r="AC49" s="10">
        <f>AB49+AC48-AC45</f>
        <v>139</v>
      </c>
      <c r="AD49" s="10">
        <f>AC49+AD48-AD45</f>
        <v>139</v>
      </c>
      <c r="AE49" s="9">
        <f>Z49+AE48-AE45</f>
        <v>139</v>
      </c>
      <c r="AF49" s="10">
        <f>AE49+AF48-AF45</f>
        <v>139</v>
      </c>
      <c r="AG49" s="10">
        <f>AF49+AG48-AG45</f>
        <v>139</v>
      </c>
      <c r="AH49" s="10">
        <f>AG49+AH48-AH45</f>
        <v>139</v>
      </c>
      <c r="AI49" s="10">
        <f t="shared" ref="AI49:AJ49" si="28">AH49+AI48-AI45</f>
        <v>139</v>
      </c>
      <c r="AJ49" s="10">
        <f t="shared" si="28"/>
        <v>139</v>
      </c>
      <c r="AK49" s="9">
        <f>AE49+AK48-AK45</f>
        <v>139</v>
      </c>
      <c r="AL49" s="11">
        <f>T49+AL48-AL45</f>
        <v>139</v>
      </c>
      <c r="AM49" s="4"/>
      <c r="AN49" s="56">
        <v>0</v>
      </c>
      <c r="AO49" s="56">
        <v>0</v>
      </c>
    </row>
    <row r="50" spans="1:41" s="18" customFormat="1" ht="16.25" customHeight="1" thickBot="1">
      <c r="A50" s="58"/>
      <c r="B50" s="19" t="s">
        <v>9</v>
      </c>
      <c r="C50" s="9"/>
      <c r="D50" s="9"/>
      <c r="E50" s="57" t="e">
        <f>E49/(SUM(F45+H45+#REF!+G45)/20)*1000</f>
        <v>#REF!</v>
      </c>
      <c r="F50" s="57" t="e">
        <f>F49/(SUM(G45+#REF!+J45+H45)/20)*1000</f>
        <v>#REF!</v>
      </c>
      <c r="G50" s="57" t="e">
        <f>G49/(SUM(H45+K45+J45+#REF!)/20)*1000</f>
        <v>#REF!</v>
      </c>
      <c r="H50" s="57" t="e">
        <f>H49/(SUM(#REF!+J45+K45+L45)/20)*1000</f>
        <v>#REF!</v>
      </c>
      <c r="I50" s="12"/>
      <c r="J50" s="57" t="e">
        <f>J49/(SUM(K45+L45+M45+O45)/20)*1000</f>
        <v>#DIV/0!</v>
      </c>
      <c r="K50" s="57" t="e">
        <f>K49/(SUM(L45+M45+O45+P45)/20)*1000</f>
        <v>#DIV/0!</v>
      </c>
      <c r="L50" s="57" t="e">
        <f>L49/(SUM(M45+O45+P45+Q45)/20)*1000</f>
        <v>#DIV/0!</v>
      </c>
      <c r="M50" s="57" t="e">
        <f>M49/(SUM(O45+P45+Q45+R45)/20)*1000</f>
        <v>#DIV/0!</v>
      </c>
      <c r="N50" s="12"/>
      <c r="O50" s="57" t="e">
        <f>O49/(SUM(P45+Q45+R45+S45)/20)*1000</f>
        <v>#DIV/0!</v>
      </c>
      <c r="P50" s="57" t="e">
        <f>P49/(SUM(Q45+R45+#REF!+S45)/20)*1000</f>
        <v>#REF!</v>
      </c>
      <c r="Q50" s="57" t="e">
        <f>Q49/(SUM(R45+S45+#REF!+#REF!)/20)*1000</f>
        <v>#REF!</v>
      </c>
      <c r="R50" s="57" t="e">
        <f>R49/(SUM(S45+#REF!+#REF!+#REF!)/20)*1000</f>
        <v>#REF!</v>
      </c>
      <c r="S50" s="57" t="e">
        <f>S49/(SUM(#REF!+#REF!+#REF!+#REF!)/20)*1000</f>
        <v>#REF!</v>
      </c>
      <c r="T50" s="12"/>
      <c r="U50" s="13"/>
      <c r="V50" s="57" t="e">
        <f>V49/(SUM(W45+Y45+#REF!+X45)/20)*1000</f>
        <v>#REF!</v>
      </c>
      <c r="W50" s="57" t="e">
        <f>W49/(SUM(X45+#REF!+AA45+Y45)/20)*1000</f>
        <v>#REF!</v>
      </c>
      <c r="X50" s="57" t="e">
        <f>X49/(SUM(Y45+AB45+AA45+#REF!)/20)*1000</f>
        <v>#REF!</v>
      </c>
      <c r="Y50" s="57" t="e">
        <f>Y49/(SUM(#REF!+AA45+AB45+AC45)/20)*1000</f>
        <v>#REF!</v>
      </c>
      <c r="Z50" s="12"/>
      <c r="AA50" s="57" t="e">
        <f>AA49/(SUM(AB45+AC45+AD45+AF45)/20)*1000</f>
        <v>#DIV/0!</v>
      </c>
      <c r="AB50" s="57" t="e">
        <f>AB49/(SUM(AC45+AD45+AF45+AG45)/20)*1000</f>
        <v>#DIV/0!</v>
      </c>
      <c r="AC50" s="57" t="e">
        <f>AC49/(SUM(AD45+AF45+AG45+AH45)/20)*1000</f>
        <v>#DIV/0!</v>
      </c>
      <c r="AD50" s="57" t="e">
        <f>AD49/(SUM(AF45+AG45+AH45+AI45)/20)*1000</f>
        <v>#DIV/0!</v>
      </c>
      <c r="AE50" s="12"/>
      <c r="AF50" s="57" t="e">
        <f>AF49/(SUM(AG45+AH45+AI45+AJ45)/20)*1000</f>
        <v>#DIV/0!</v>
      </c>
      <c r="AG50" s="57" t="e">
        <f>AG49/(SUM(AH45+AI45+#REF!+AJ45)/20)*1000</f>
        <v>#REF!</v>
      </c>
      <c r="AH50" s="57" t="e">
        <f>AH49/(SUM(AI45+AJ45+#REF!+#REF!)/20)*1000</f>
        <v>#REF!</v>
      </c>
      <c r="AI50" s="57" t="e">
        <f>AI49/(SUM(AJ45+#REF!+#REF!+#REF!)/20)*1000</f>
        <v>#REF!</v>
      </c>
      <c r="AJ50" s="57" t="e">
        <f>AJ49/(SUM(#REF!+#REF!+#REF!+#REF!)/20)*1000</f>
        <v>#REF!</v>
      </c>
      <c r="AK50" s="12"/>
      <c r="AL50" s="13"/>
      <c r="AM50" s="4"/>
      <c r="AN50" s="56">
        <v>0</v>
      </c>
      <c r="AO50" s="56">
        <v>0</v>
      </c>
    </row>
    <row r="51" spans="1:41" s="18" customFormat="1" ht="15.75" customHeight="1" thickBot="1">
      <c r="A51" s="156" t="s">
        <v>16</v>
      </c>
      <c r="B51" s="19" t="s">
        <v>5</v>
      </c>
      <c r="C51" s="9"/>
      <c r="D51" s="9"/>
      <c r="E51" s="10">
        <v>0</v>
      </c>
      <c r="F51" s="60">
        <v>0</v>
      </c>
      <c r="G51" s="60">
        <v>783</v>
      </c>
      <c r="H51" s="60">
        <v>0</v>
      </c>
      <c r="I51" s="9">
        <f>SUM(E51:H51)</f>
        <v>783</v>
      </c>
      <c r="J51" s="60">
        <v>959</v>
      </c>
      <c r="K51" s="10">
        <v>0</v>
      </c>
      <c r="L51" s="60">
        <v>0</v>
      </c>
      <c r="M51" s="10">
        <v>0</v>
      </c>
      <c r="N51" s="9">
        <f>SUM(J51:M51)</f>
        <v>959</v>
      </c>
      <c r="O51" s="10">
        <v>4306</v>
      </c>
      <c r="P51" s="60">
        <v>0</v>
      </c>
      <c r="Q51" s="60">
        <v>0</v>
      </c>
      <c r="R51" s="60">
        <v>0</v>
      </c>
      <c r="S51" s="60">
        <v>0</v>
      </c>
      <c r="T51" s="9">
        <f>SUM(O51:S51)</f>
        <v>4306</v>
      </c>
      <c r="U51" s="11">
        <f>T51+N51+I51+D55</f>
        <v>7013</v>
      </c>
      <c r="V51" s="10">
        <v>0</v>
      </c>
      <c r="W51" s="60">
        <v>0</v>
      </c>
      <c r="X51" s="60">
        <v>0</v>
      </c>
      <c r="Y51" s="60">
        <v>0</v>
      </c>
      <c r="Z51" s="9">
        <f>SUM(V51:Y51)</f>
        <v>0</v>
      </c>
      <c r="AA51" s="60">
        <v>0</v>
      </c>
      <c r="AB51" s="10">
        <v>0</v>
      </c>
      <c r="AC51" s="60">
        <v>0</v>
      </c>
      <c r="AD51" s="10">
        <v>0</v>
      </c>
      <c r="AE51" s="9">
        <f>SUM(AA51:AD51)</f>
        <v>0</v>
      </c>
      <c r="AF51" s="10">
        <v>0</v>
      </c>
      <c r="AG51" s="60">
        <v>0</v>
      </c>
      <c r="AH51" s="60">
        <v>0</v>
      </c>
      <c r="AI51" s="60">
        <v>0</v>
      </c>
      <c r="AJ51" s="60">
        <v>0</v>
      </c>
      <c r="AK51" s="9">
        <f>SUM(AF51:AJ51)</f>
        <v>0</v>
      </c>
      <c r="AL51" s="11">
        <f>AK51+AE51+Z51</f>
        <v>0</v>
      </c>
      <c r="AM51" s="4">
        <v>128</v>
      </c>
      <c r="AN51" s="56">
        <v>897664</v>
      </c>
      <c r="AO51" s="56">
        <v>0</v>
      </c>
    </row>
    <row r="52" spans="1:41" s="18" customFormat="1" ht="15.75" customHeight="1">
      <c r="A52" s="157"/>
      <c r="B52" s="19" t="s">
        <v>6</v>
      </c>
      <c r="C52" s="9"/>
      <c r="D52" s="9"/>
      <c r="E52" s="10">
        <v>0</v>
      </c>
      <c r="F52" s="60">
        <v>0</v>
      </c>
      <c r="G52" s="10">
        <v>0</v>
      </c>
      <c r="H52" s="60">
        <v>0</v>
      </c>
      <c r="I52" s="15">
        <f>SUM(E52:H52)</f>
        <v>0</v>
      </c>
      <c r="J52" s="10">
        <v>0</v>
      </c>
      <c r="K52" s="10">
        <v>0</v>
      </c>
      <c r="L52" s="60">
        <v>0</v>
      </c>
      <c r="M52" s="10">
        <v>0</v>
      </c>
      <c r="N52" s="15">
        <f>SUM(J52:M52)</f>
        <v>0</v>
      </c>
      <c r="O52" s="10">
        <v>0</v>
      </c>
      <c r="P52" s="60">
        <v>0</v>
      </c>
      <c r="Q52" s="10">
        <v>0</v>
      </c>
      <c r="R52" s="60">
        <v>0</v>
      </c>
      <c r="S52" s="10">
        <v>0</v>
      </c>
      <c r="T52" s="15">
        <f>SUM(O52:S52)</f>
        <v>0</v>
      </c>
      <c r="U52" s="11"/>
      <c r="V52" s="10">
        <v>0</v>
      </c>
      <c r="W52" s="60">
        <v>0</v>
      </c>
      <c r="X52" s="10">
        <v>0</v>
      </c>
      <c r="Y52" s="60">
        <v>0</v>
      </c>
      <c r="Z52" s="15">
        <f>SUM(V52:Y52)</f>
        <v>0</v>
      </c>
      <c r="AA52" s="10">
        <v>0</v>
      </c>
      <c r="AB52" s="10">
        <v>0</v>
      </c>
      <c r="AC52" s="60">
        <v>0</v>
      </c>
      <c r="AD52" s="10">
        <v>0</v>
      </c>
      <c r="AE52" s="15">
        <f>SUM(AA52:AD52)</f>
        <v>0</v>
      </c>
      <c r="AF52" s="10">
        <v>0</v>
      </c>
      <c r="AG52" s="60">
        <v>0</v>
      </c>
      <c r="AH52" s="10">
        <v>0</v>
      </c>
      <c r="AI52" s="60">
        <v>0</v>
      </c>
      <c r="AJ52" s="10">
        <v>0</v>
      </c>
      <c r="AK52" s="15">
        <f>SUM(AF52:AJ52)</f>
        <v>0</v>
      </c>
      <c r="AL52" s="11"/>
      <c r="AM52" s="4"/>
      <c r="AN52" s="56">
        <v>0</v>
      </c>
      <c r="AO52" s="56">
        <v>0</v>
      </c>
    </row>
    <row r="53" spans="1:41" s="18" customFormat="1" ht="15" customHeight="1">
      <c r="A53" s="157"/>
      <c r="B53" s="19" t="s">
        <v>10</v>
      </c>
      <c r="C53" s="9">
        <v>0</v>
      </c>
      <c r="D53" s="9"/>
      <c r="E53" s="9"/>
      <c r="F53" s="9"/>
      <c r="G53" s="9"/>
      <c r="H53" s="9">
        <f>C53</f>
        <v>0</v>
      </c>
      <c r="I53" s="15">
        <f>E53+F53+G53+H53</f>
        <v>0</v>
      </c>
      <c r="J53" s="9"/>
      <c r="K53" s="9"/>
      <c r="L53" s="9"/>
      <c r="M53" s="9"/>
      <c r="N53" s="15">
        <f>J53+K53+L53+M53</f>
        <v>0</v>
      </c>
      <c r="O53" s="9"/>
      <c r="P53" s="9"/>
      <c r="Q53" s="9"/>
      <c r="R53" s="9"/>
      <c r="S53" s="9"/>
      <c r="T53" s="15">
        <f>SUM(O53:S53)</f>
        <v>0</v>
      </c>
      <c r="U53" s="11"/>
      <c r="V53" s="9"/>
      <c r="W53" s="9"/>
      <c r="X53" s="9"/>
      <c r="Y53" s="9"/>
      <c r="Z53" s="15">
        <f>V53+W53+X53+Y53</f>
        <v>0</v>
      </c>
      <c r="AA53" s="9"/>
      <c r="AB53" s="9"/>
      <c r="AC53" s="9"/>
      <c r="AD53" s="9"/>
      <c r="AE53" s="15">
        <f>AA53+AB53+AC53+AD53</f>
        <v>0</v>
      </c>
      <c r="AF53" s="9"/>
      <c r="AG53" s="9"/>
      <c r="AH53" s="9"/>
      <c r="AI53" s="9"/>
      <c r="AJ53" s="9"/>
      <c r="AK53" s="15">
        <f>SUM(AF53:AJ53)</f>
        <v>0</v>
      </c>
      <c r="AL53" s="17">
        <f>Z53+AE53+AK53</f>
        <v>0</v>
      </c>
      <c r="AM53" s="4"/>
      <c r="AN53" s="56">
        <v>0</v>
      </c>
      <c r="AO53" s="56">
        <v>0</v>
      </c>
    </row>
    <row r="54" spans="1:41" s="18" customFormat="1" ht="15.75" customHeight="1">
      <c r="A54" s="157"/>
      <c r="B54" s="19" t="s">
        <v>7</v>
      </c>
      <c r="C54" s="9"/>
      <c r="D54" s="9"/>
      <c r="E54" s="10">
        <f>E53+E52</f>
        <v>0</v>
      </c>
      <c r="F54" s="10">
        <f>F53+F52</f>
        <v>0</v>
      </c>
      <c r="G54" s="10">
        <f t="shared" ref="G54" si="29">G53+G52</f>
        <v>0</v>
      </c>
      <c r="H54" s="10">
        <f>H53+H52</f>
        <v>0</v>
      </c>
      <c r="I54" s="9">
        <f>SUM(E54:H54)</f>
        <v>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965</v>
      </c>
      <c r="V54" s="10">
        <f>V53+V52</f>
        <v>0</v>
      </c>
      <c r="W54" s="10">
        <f>W53+W52</f>
        <v>0</v>
      </c>
      <c r="X54" s="10">
        <f t="shared" ref="X54" si="30"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4"/>
      <c r="AN54" s="56">
        <v>0</v>
      </c>
      <c r="AO54" s="56">
        <v>0</v>
      </c>
    </row>
    <row r="55" spans="1:41" s="18" customFormat="1" ht="15.75" customHeight="1" thickBot="1">
      <c r="A55" s="158"/>
      <c r="B55" s="19" t="s">
        <v>8</v>
      </c>
      <c r="C55" s="65">
        <v>20</v>
      </c>
      <c r="D55" s="22">
        <v>965</v>
      </c>
      <c r="E55" s="10">
        <f>E54-E51</f>
        <v>0</v>
      </c>
      <c r="F55" s="10">
        <f>E55+F54-F51</f>
        <v>0</v>
      </c>
      <c r="G55" s="10">
        <f>F55+G54-G51</f>
        <v>-783</v>
      </c>
      <c r="H55" s="10">
        <f>G55+H54-H51</f>
        <v>-783</v>
      </c>
      <c r="I55" s="9">
        <f>I54-I51</f>
        <v>-783</v>
      </c>
      <c r="J55" s="10">
        <f>I55+J54-J51</f>
        <v>-1742</v>
      </c>
      <c r="K55" s="10">
        <f>J55+K54-K51</f>
        <v>-1742</v>
      </c>
      <c r="L55" s="10">
        <f>K55+L54-L51</f>
        <v>-1742</v>
      </c>
      <c r="M55" s="10">
        <f>L55+M54-M51</f>
        <v>-1742</v>
      </c>
      <c r="N55" s="9">
        <f>I55+N54-N51</f>
        <v>-1742</v>
      </c>
      <c r="O55" s="10">
        <f>N55+O54-O51</f>
        <v>-6048</v>
      </c>
      <c r="P55" s="10">
        <f>O55+P54-P51</f>
        <v>-6048</v>
      </c>
      <c r="Q55" s="10">
        <f>P55+Q54-Q51</f>
        <v>-6048</v>
      </c>
      <c r="R55" s="10">
        <f t="shared" ref="R55:S55" si="31">Q55+R54-R51</f>
        <v>-6048</v>
      </c>
      <c r="S55" s="10">
        <f t="shared" si="31"/>
        <v>-6048</v>
      </c>
      <c r="T55" s="9">
        <f>N55+T54-T51</f>
        <v>-6048</v>
      </c>
      <c r="U55" s="11">
        <f>U54-U51</f>
        <v>-6048</v>
      </c>
      <c r="V55" s="10">
        <f>U55+V54-V51</f>
        <v>-6048</v>
      </c>
      <c r="W55" s="10">
        <f>V55+W54-W51</f>
        <v>-6048</v>
      </c>
      <c r="X55" s="10">
        <f t="shared" ref="X55:Y55" si="32">W55+X54-X51</f>
        <v>-6048</v>
      </c>
      <c r="Y55" s="10">
        <f t="shared" si="32"/>
        <v>-6048</v>
      </c>
      <c r="Z55" s="9">
        <f>T55+Z54-Z51</f>
        <v>-6048</v>
      </c>
      <c r="AA55" s="10">
        <f>Z55+AA54-AA51</f>
        <v>-6048</v>
      </c>
      <c r="AB55" s="10">
        <f>AA55+AB54-AB51</f>
        <v>-6048</v>
      </c>
      <c r="AC55" s="10">
        <f>AB55+AC54-AC51</f>
        <v>-6048</v>
      </c>
      <c r="AD55" s="10">
        <f>AC55+AD54-AD51</f>
        <v>-6048</v>
      </c>
      <c r="AE55" s="9">
        <f>Z55+AE54-AE51</f>
        <v>-6048</v>
      </c>
      <c r="AF55" s="10">
        <f>AE55+AF54-AF51</f>
        <v>-6048</v>
      </c>
      <c r="AG55" s="10">
        <f>AF55+AG54-AG51</f>
        <v>-6048</v>
      </c>
      <c r="AH55" s="10">
        <f>AG55+AH54-AH51</f>
        <v>-6048</v>
      </c>
      <c r="AI55" s="10">
        <f t="shared" ref="AI55:AJ55" si="33">AH55+AI54-AI51</f>
        <v>-6048</v>
      </c>
      <c r="AJ55" s="10">
        <f t="shared" si="33"/>
        <v>-6048</v>
      </c>
      <c r="AK55" s="9">
        <f>AE55+AK54-AK51</f>
        <v>-6048</v>
      </c>
      <c r="AL55" s="11">
        <f>T55+AL54-AL51</f>
        <v>-6048</v>
      </c>
      <c r="AM55" s="4"/>
      <c r="AN55" s="56">
        <v>0</v>
      </c>
      <c r="AO55" s="56">
        <v>0</v>
      </c>
    </row>
    <row r="56" spans="1:41" s="18" customFormat="1" ht="16.25" customHeight="1" thickBot="1">
      <c r="A56" s="58"/>
      <c r="B56" s="19" t="s">
        <v>9</v>
      </c>
      <c r="C56" s="9"/>
      <c r="D56" s="9"/>
      <c r="E56" s="57" t="e">
        <f>E55/(SUM(F51+H51+#REF!+G51)/20)*1000</f>
        <v>#REF!</v>
      </c>
      <c r="F56" s="57" t="e">
        <f>F55/(SUM(G51+#REF!+J51+H51)/20)*1000</f>
        <v>#REF!</v>
      </c>
      <c r="G56" s="57" t="e">
        <f>G55/(SUM(H51+K51+J51+#REF!)/20)*1000</f>
        <v>#REF!</v>
      </c>
      <c r="H56" s="57" t="e">
        <f>H55/(SUM(#REF!+J51+K51+L51)/20)*1000</f>
        <v>#REF!</v>
      </c>
      <c r="I56" s="12"/>
      <c r="J56" s="57">
        <f>J55/(SUM(K51+L51+M51+O51)/20)*1000</f>
        <v>-8091.0357640501616</v>
      </c>
      <c r="K56" s="57">
        <f>K55/(SUM(L51+M51+O51+P51)/20)*1000</f>
        <v>-8091.0357640501616</v>
      </c>
      <c r="L56" s="57">
        <f>L55/(SUM(M51+O51+P51+Q51)/20)*1000</f>
        <v>-8091.0357640501616</v>
      </c>
      <c r="M56" s="57">
        <f>M55/(SUM(O51+P51+Q51+R51)/20)*1000</f>
        <v>-8091.0357640501616</v>
      </c>
      <c r="N56" s="12"/>
      <c r="O56" s="57" t="e">
        <f>O55/(SUM(P51+Q51+R51+S51)/20)*1000</f>
        <v>#DIV/0!</v>
      </c>
      <c r="P56" s="57" t="e">
        <f>P55/(SUM(Q51+R51+#REF!+S51)/20)*1000</f>
        <v>#REF!</v>
      </c>
      <c r="Q56" s="57" t="e">
        <f>Q55/(SUM(R51+S51+#REF!+#REF!)/20)*1000</f>
        <v>#REF!</v>
      </c>
      <c r="R56" s="57" t="e">
        <f>R55/(SUM(S51+#REF!+#REF!+#REF!)/20)*1000</f>
        <v>#REF!</v>
      </c>
      <c r="S56" s="57" t="e">
        <f>S55/(SUM(#REF!+#REF!+#REF!+#REF!)/20)*1000</f>
        <v>#REF!</v>
      </c>
      <c r="T56" s="12"/>
      <c r="U56" s="13"/>
      <c r="V56" s="57" t="e">
        <f>V55/(SUM(W51+Y51+#REF!+X51)/20)*1000</f>
        <v>#REF!</v>
      </c>
      <c r="W56" s="57" t="e">
        <f>W55/(SUM(X51+#REF!+AA51+Y51)/20)*1000</f>
        <v>#REF!</v>
      </c>
      <c r="X56" s="57" t="e">
        <f>X55/(SUM(Y51+AB51+AA51+#REF!)/20)*1000</f>
        <v>#REF!</v>
      </c>
      <c r="Y56" s="57" t="e">
        <f>Y55/(SUM(#REF!+AA51+AB51+AC51)/20)*1000</f>
        <v>#REF!</v>
      </c>
      <c r="Z56" s="12"/>
      <c r="AA56" s="57" t="e">
        <f>AA55/(SUM(AB51+AC51+AD51+AF51)/20)*1000</f>
        <v>#DIV/0!</v>
      </c>
      <c r="AB56" s="57" t="e">
        <f>AB55/(SUM(AC51+AD51+AF51+AG51)/20)*1000</f>
        <v>#DIV/0!</v>
      </c>
      <c r="AC56" s="57" t="e">
        <f>AC55/(SUM(AD51+AF51+AG51+AH51)/20)*1000</f>
        <v>#DIV/0!</v>
      </c>
      <c r="AD56" s="57" t="e">
        <f>AD55/(SUM(AF51+AG51+AH51+AI51)/20)*1000</f>
        <v>#DIV/0!</v>
      </c>
      <c r="AE56" s="12"/>
      <c r="AF56" s="57" t="e">
        <f>AF55/(SUM(AG51+AH51+AI51+AJ51)/20)*1000</f>
        <v>#DIV/0!</v>
      </c>
      <c r="AG56" s="57" t="e">
        <f>AG55/(SUM(AH51+AI51+#REF!+AJ51)/20)*1000</f>
        <v>#REF!</v>
      </c>
      <c r="AH56" s="57" t="e">
        <f>AH55/(SUM(AI51+AJ51+#REF!+#REF!)/20)*1000</f>
        <v>#REF!</v>
      </c>
      <c r="AI56" s="57" t="e">
        <f>AI55/(SUM(AJ51+#REF!+#REF!+#REF!)/20)*1000</f>
        <v>#REF!</v>
      </c>
      <c r="AJ56" s="57" t="e">
        <f>AJ55/(SUM(#REF!+#REF!+#REF!+#REF!)/20)*1000</f>
        <v>#REF!</v>
      </c>
      <c r="AK56" s="12"/>
      <c r="AL56" s="13"/>
      <c r="AM56" s="4"/>
      <c r="AN56" s="56">
        <v>0</v>
      </c>
      <c r="AO56" s="56">
        <v>0</v>
      </c>
    </row>
    <row r="57" spans="1:41" s="18" customFormat="1" ht="15.75" customHeight="1" thickBot="1">
      <c r="A57" s="156" t="s">
        <v>18</v>
      </c>
      <c r="B57" s="19" t="s">
        <v>5</v>
      </c>
      <c r="C57" s="9"/>
      <c r="D57" s="9"/>
      <c r="E57" s="10">
        <v>0</v>
      </c>
      <c r="F57" s="60">
        <v>2625</v>
      </c>
      <c r="G57" s="60">
        <v>-5262</v>
      </c>
      <c r="H57" s="60">
        <v>2</v>
      </c>
      <c r="I57" s="9">
        <f>SUM(E57:H57)</f>
        <v>-2635</v>
      </c>
      <c r="J57" s="60">
        <v>1152</v>
      </c>
      <c r="K57" s="10">
        <v>13</v>
      </c>
      <c r="L57" s="60">
        <v>1363</v>
      </c>
      <c r="M57" s="10">
        <v>336</v>
      </c>
      <c r="N57" s="9">
        <f>SUM(J57:M57)</f>
        <v>2864</v>
      </c>
      <c r="O57" s="10">
        <v>2854</v>
      </c>
      <c r="P57" s="60">
        <v>0</v>
      </c>
      <c r="Q57" s="60">
        <v>0</v>
      </c>
      <c r="R57" s="60">
        <v>4921</v>
      </c>
      <c r="S57" s="60">
        <v>0</v>
      </c>
      <c r="T57" s="9">
        <f>SUM(O57:S57)</f>
        <v>7775</v>
      </c>
      <c r="U57" s="11">
        <f>T57+N57+I57+D61</f>
        <v>14602</v>
      </c>
      <c r="V57" s="10">
        <v>1000</v>
      </c>
      <c r="W57" s="60">
        <v>0</v>
      </c>
      <c r="X57" s="60">
        <v>0</v>
      </c>
      <c r="Y57" s="60">
        <v>0</v>
      </c>
      <c r="Z57" s="9">
        <f>SUM(V57:Y57)</f>
        <v>1000</v>
      </c>
      <c r="AA57" s="60">
        <v>0</v>
      </c>
      <c r="AB57" s="10">
        <v>0</v>
      </c>
      <c r="AC57" s="60">
        <v>0</v>
      </c>
      <c r="AD57" s="10">
        <v>0</v>
      </c>
      <c r="AE57" s="9">
        <f>SUM(AA57:AD57)</f>
        <v>0</v>
      </c>
      <c r="AF57" s="10">
        <v>0</v>
      </c>
      <c r="AG57" s="60">
        <v>0</v>
      </c>
      <c r="AH57" s="60">
        <v>0</v>
      </c>
      <c r="AI57" s="60">
        <v>0</v>
      </c>
      <c r="AJ57" s="60">
        <v>0</v>
      </c>
      <c r="AK57" s="9">
        <f>SUM(AF57:AJ57)</f>
        <v>0</v>
      </c>
      <c r="AL57" s="11">
        <f>AK57+AE57+Z57</f>
        <v>1000</v>
      </c>
      <c r="AM57" s="4">
        <v>128</v>
      </c>
      <c r="AN57" s="56">
        <v>1869056</v>
      </c>
      <c r="AO57" s="56">
        <v>128000</v>
      </c>
    </row>
    <row r="58" spans="1:41" s="18" customFormat="1" ht="15.75" customHeight="1">
      <c r="A58" s="157"/>
      <c r="B58" s="19" t="s">
        <v>6</v>
      </c>
      <c r="C58" s="9"/>
      <c r="D58" s="9"/>
      <c r="E58" s="10">
        <v>0</v>
      </c>
      <c r="F58" s="60">
        <v>2625</v>
      </c>
      <c r="G58" s="10">
        <v>0</v>
      </c>
      <c r="H58" s="60">
        <v>0</v>
      </c>
      <c r="I58" s="15">
        <f>SUM(E58:H58)</f>
        <v>2625</v>
      </c>
      <c r="J58" s="10">
        <v>0</v>
      </c>
      <c r="K58" s="10">
        <v>3000</v>
      </c>
      <c r="L58" s="60">
        <v>0</v>
      </c>
      <c r="M58" s="10">
        <v>3000</v>
      </c>
      <c r="N58" s="15">
        <f>SUM(J58:M58)</f>
        <v>6000</v>
      </c>
      <c r="O58" s="10">
        <v>0</v>
      </c>
      <c r="P58" s="60">
        <v>2000</v>
      </c>
      <c r="Q58" s="10">
        <v>2000</v>
      </c>
      <c r="R58" s="10">
        <v>2000</v>
      </c>
      <c r="S58" s="10">
        <v>2000</v>
      </c>
      <c r="T58" s="15">
        <f>SUM(O58:S58)</f>
        <v>8000</v>
      </c>
      <c r="U58" s="11"/>
      <c r="V58" s="10">
        <v>2000</v>
      </c>
      <c r="W58" s="60">
        <v>0</v>
      </c>
      <c r="X58" s="10">
        <v>0</v>
      </c>
      <c r="Y58" s="60">
        <v>0</v>
      </c>
      <c r="Z58" s="15">
        <f>SUM(V58:Y58)</f>
        <v>2000</v>
      </c>
      <c r="AA58" s="10">
        <v>0</v>
      </c>
      <c r="AB58" s="10">
        <v>0</v>
      </c>
      <c r="AC58" s="60">
        <v>0</v>
      </c>
      <c r="AD58" s="10">
        <v>0</v>
      </c>
      <c r="AE58" s="15">
        <f>SUM(AA58:AD58)</f>
        <v>0</v>
      </c>
      <c r="AF58" s="10">
        <v>0</v>
      </c>
      <c r="AG58" s="60">
        <v>0</v>
      </c>
      <c r="AH58" s="10">
        <v>0</v>
      </c>
      <c r="AI58" s="10">
        <v>0</v>
      </c>
      <c r="AJ58" s="10">
        <v>0</v>
      </c>
      <c r="AK58" s="15">
        <f>SUM(AF58:AJ58)</f>
        <v>0</v>
      </c>
      <c r="AL58" s="11"/>
      <c r="AM58" s="4"/>
      <c r="AN58" s="56">
        <v>0</v>
      </c>
      <c r="AO58" s="56">
        <v>0</v>
      </c>
    </row>
    <row r="59" spans="1:41" s="18" customFormat="1" ht="15" customHeight="1">
      <c r="A59" s="157"/>
      <c r="B59" s="19" t="s">
        <v>10</v>
      </c>
      <c r="C59" s="9">
        <v>2250</v>
      </c>
      <c r="D59" s="9"/>
      <c r="E59" s="9"/>
      <c r="F59" s="9"/>
      <c r="G59" s="9"/>
      <c r="H59" s="9">
        <f>C59</f>
        <v>2250</v>
      </c>
      <c r="I59" s="15">
        <f>E59+F59+G59+H59</f>
        <v>2250</v>
      </c>
      <c r="J59" s="9"/>
      <c r="K59" s="9"/>
      <c r="L59" s="9"/>
      <c r="M59" s="9"/>
      <c r="N59" s="15">
        <f>J59+K59+L59+M59</f>
        <v>0</v>
      </c>
      <c r="O59" s="9"/>
      <c r="P59" s="9"/>
      <c r="Q59" s="9"/>
      <c r="R59" s="9"/>
      <c r="S59" s="9"/>
      <c r="T59" s="15">
        <f>SUM(O59:S59)</f>
        <v>0</v>
      </c>
      <c r="U59" s="11"/>
      <c r="V59" s="9"/>
      <c r="W59" s="9"/>
      <c r="X59" s="9"/>
      <c r="Y59" s="9"/>
      <c r="Z59" s="15">
        <f>V59+W59+X59+Y59</f>
        <v>0</v>
      </c>
      <c r="AA59" s="9"/>
      <c r="AB59" s="9"/>
      <c r="AC59" s="9"/>
      <c r="AD59" s="9"/>
      <c r="AE59" s="15">
        <f>AA59+AB59+AC59+AD59</f>
        <v>0</v>
      </c>
      <c r="AF59" s="9"/>
      <c r="AG59" s="9"/>
      <c r="AH59" s="9"/>
      <c r="AI59" s="9"/>
      <c r="AJ59" s="9"/>
      <c r="AK59" s="15">
        <f>SUM(AF59:AJ59)</f>
        <v>0</v>
      </c>
      <c r="AL59" s="17">
        <f>Z59+AE59+AK59</f>
        <v>0</v>
      </c>
      <c r="AM59" s="4"/>
      <c r="AN59" s="56">
        <v>0</v>
      </c>
      <c r="AO59" s="56">
        <v>0</v>
      </c>
    </row>
    <row r="60" spans="1:41" s="18" customFormat="1" ht="15.75" customHeight="1">
      <c r="A60" s="157"/>
      <c r="B60" s="19" t="s">
        <v>7</v>
      </c>
      <c r="C60" s="9"/>
      <c r="D60" s="9"/>
      <c r="E60" s="10">
        <f>E59+E58</f>
        <v>0</v>
      </c>
      <c r="F60" s="10">
        <f>F59+F58</f>
        <v>2625</v>
      </c>
      <c r="G60" s="10">
        <f>G59+G58</f>
        <v>0</v>
      </c>
      <c r="H60" s="10">
        <f>H59+H58</f>
        <v>2250</v>
      </c>
      <c r="I60" s="9">
        <f>SUM(E60:H60)</f>
        <v>4875</v>
      </c>
      <c r="J60" s="10">
        <f>J59+J58</f>
        <v>0</v>
      </c>
      <c r="K60" s="10">
        <f>K59+K58</f>
        <v>3000</v>
      </c>
      <c r="L60" s="10">
        <f>L59+L58</f>
        <v>0</v>
      </c>
      <c r="M60" s="10">
        <f>M59+M58</f>
        <v>3000</v>
      </c>
      <c r="N60" s="9">
        <f>SUM(J60:M60)</f>
        <v>6000</v>
      </c>
      <c r="O60" s="10">
        <f>O59+O58</f>
        <v>0</v>
      </c>
      <c r="P60" s="10">
        <f>P59+P58</f>
        <v>2000</v>
      </c>
      <c r="Q60" s="10">
        <f>Q59+Q58</f>
        <v>2000</v>
      </c>
      <c r="R60" s="10">
        <f>R59+R58</f>
        <v>2000</v>
      </c>
      <c r="S60" s="10">
        <f>S59+S58</f>
        <v>2000</v>
      </c>
      <c r="T60" s="9">
        <f>SUM(O60:S60)</f>
        <v>8000</v>
      </c>
      <c r="U60" s="11">
        <f>T60+N60+I60+D61</f>
        <v>25473</v>
      </c>
      <c r="V60" s="10">
        <f>V59+V58</f>
        <v>2000</v>
      </c>
      <c r="W60" s="10">
        <f>W59+W58</f>
        <v>0</v>
      </c>
      <c r="X60" s="10">
        <f t="shared" ref="X60" si="34">X59+X58</f>
        <v>0</v>
      </c>
      <c r="Y60" s="10">
        <f>Y59+Y58</f>
        <v>0</v>
      </c>
      <c r="Z60" s="9">
        <f>SUM(V60:Y60)</f>
        <v>2000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2000</v>
      </c>
      <c r="AM60" s="4"/>
      <c r="AN60" s="56">
        <v>0</v>
      </c>
      <c r="AO60" s="56">
        <v>0</v>
      </c>
    </row>
    <row r="61" spans="1:41" s="18" customFormat="1" ht="15.75" customHeight="1" thickBot="1">
      <c r="A61" s="158"/>
      <c r="B61" s="19" t="s">
        <v>8</v>
      </c>
      <c r="C61" s="65">
        <v>9350</v>
      </c>
      <c r="D61" s="22">
        <v>6598</v>
      </c>
      <c r="E61" s="10">
        <f>E60-E57</f>
        <v>0</v>
      </c>
      <c r="F61" s="10">
        <f>E61+F60-F57</f>
        <v>0</v>
      </c>
      <c r="G61" s="10">
        <f>F61+G60-G57</f>
        <v>5262</v>
      </c>
      <c r="H61" s="10">
        <f>G61+H60-H57</f>
        <v>7510</v>
      </c>
      <c r="I61" s="9">
        <f>I60-I57</f>
        <v>7510</v>
      </c>
      <c r="J61" s="10">
        <f>I61+J60-J57</f>
        <v>6358</v>
      </c>
      <c r="K61" s="10">
        <f>J61+K60-K57</f>
        <v>9345</v>
      </c>
      <c r="L61" s="10">
        <f>K61+L60-L57</f>
        <v>7982</v>
      </c>
      <c r="M61" s="10">
        <f>L61+M60-M57</f>
        <v>10646</v>
      </c>
      <c r="N61" s="9">
        <f>I61+N60-N57</f>
        <v>10646</v>
      </c>
      <c r="O61" s="10">
        <f>N61+O60-O57</f>
        <v>7792</v>
      </c>
      <c r="P61" s="10">
        <f>O61+P60-P57</f>
        <v>9792</v>
      </c>
      <c r="Q61" s="10">
        <f>P61+Q60-Q57</f>
        <v>11792</v>
      </c>
      <c r="R61" s="10">
        <f t="shared" ref="R61" si="35">Q61+R60-R57</f>
        <v>8871</v>
      </c>
      <c r="S61" s="10">
        <f>R61+S60-S57</f>
        <v>10871</v>
      </c>
      <c r="T61" s="9">
        <f>N61+T60-T57</f>
        <v>10871</v>
      </c>
      <c r="U61" s="11">
        <f>U60-U57</f>
        <v>10871</v>
      </c>
      <c r="V61" s="10">
        <f>U61+V60-V57</f>
        <v>11871</v>
      </c>
      <c r="W61" s="10">
        <f>V61+W60-W57</f>
        <v>11871</v>
      </c>
      <c r="X61" s="10">
        <f t="shared" ref="X61" si="36">W61+X60-X57</f>
        <v>11871</v>
      </c>
      <c r="Y61" s="10">
        <f>X61+Y60-Y57</f>
        <v>11871</v>
      </c>
      <c r="Z61" s="9">
        <f>T61+Z60-Z57</f>
        <v>11871</v>
      </c>
      <c r="AA61" s="10">
        <f>Z61+AA60-AA57</f>
        <v>11871</v>
      </c>
      <c r="AB61" s="10">
        <f>AA61+AB60-AB57</f>
        <v>11871</v>
      </c>
      <c r="AC61" s="10">
        <f>AB61+AC60-AC57</f>
        <v>11871</v>
      </c>
      <c r="AD61" s="10">
        <f>AC61+AD60-AD57</f>
        <v>11871</v>
      </c>
      <c r="AE61" s="9">
        <f>Z61+AE60-AE57</f>
        <v>11871</v>
      </c>
      <c r="AF61" s="10">
        <f>AE61+AF60-AF57</f>
        <v>11871</v>
      </c>
      <c r="AG61" s="10">
        <f>AF61+AG60-AG57</f>
        <v>11871</v>
      </c>
      <c r="AH61" s="10">
        <f>AG61+AH60-AH57</f>
        <v>11871</v>
      </c>
      <c r="AI61" s="10">
        <f>AH61+AI60-AI57</f>
        <v>11871</v>
      </c>
      <c r="AJ61" s="10">
        <f>AI61+AJ60-AJ57</f>
        <v>11871</v>
      </c>
      <c r="AK61" s="9">
        <f>AE61+AK60-AK57</f>
        <v>11871</v>
      </c>
      <c r="AL61" s="11">
        <f>T61+AL60-AL57</f>
        <v>11871</v>
      </c>
      <c r="AM61" s="4"/>
      <c r="AN61" s="56">
        <v>0</v>
      </c>
      <c r="AO61" s="56">
        <v>0</v>
      </c>
    </row>
    <row r="62" spans="1:41" s="18" customFormat="1" ht="16.25" customHeight="1" thickBot="1">
      <c r="A62" s="70"/>
      <c r="B62" s="19" t="s">
        <v>9</v>
      </c>
      <c r="C62" s="9"/>
      <c r="D62" s="9"/>
      <c r="E62" s="57" t="e">
        <f>E61/(SUM(F57+H57+#REF!+G57)/20)*1000</f>
        <v>#REF!</v>
      </c>
      <c r="F62" s="57" t="e">
        <f>F61/(SUM(G57+#REF!+J57+H57)/20)*1000</f>
        <v>#REF!</v>
      </c>
      <c r="G62" s="57" t="e">
        <f>G61/(SUM(H57+K57+J57+#REF!)/20)*1000</f>
        <v>#REF!</v>
      </c>
      <c r="H62" s="57" t="e">
        <f>H61/(SUM(#REF!+J57+K57+L57)/20)*1000</f>
        <v>#REF!</v>
      </c>
      <c r="I62" s="12"/>
      <c r="J62" s="57">
        <f>J61/(SUM(K57+L57+M57+O57)/20)*1000</f>
        <v>27849.321068769161</v>
      </c>
      <c r="K62" s="57">
        <f>K61/(SUM(L57+M57+O57+P57)/20)*1000</f>
        <v>41049.857236986601</v>
      </c>
      <c r="L62" s="57">
        <f>L61/(SUM(M57+O57+P57+Q57)/20)*1000</f>
        <v>50043.887147335423</v>
      </c>
      <c r="M62" s="57">
        <f>M61/(SUM(O57+P57+Q57+R57)/20)*1000</f>
        <v>27385.209003215434</v>
      </c>
      <c r="N62" s="12"/>
      <c r="O62" s="57">
        <f>O61/(SUM(P57+Q57+R57+S57)/20)*1000</f>
        <v>31668.360089412719</v>
      </c>
      <c r="P62" s="57" t="e">
        <f>P61/(SUM(Q57+R57+#REF!+S57)/20)*1000</f>
        <v>#REF!</v>
      </c>
      <c r="Q62" s="57" t="e">
        <f>Q61/(SUM(R57+S57+#REF!+#REF!)/20)*1000</f>
        <v>#REF!</v>
      </c>
      <c r="R62" s="57" t="e">
        <f>R61/(SUM(S57+#REF!+#REF!+#REF!)/20)*1000</f>
        <v>#REF!</v>
      </c>
      <c r="S62" s="57" t="e">
        <f>S61/(SUM(#REF!+#REF!+#REF!+#REF!)/20)*1000</f>
        <v>#REF!</v>
      </c>
      <c r="T62" s="12"/>
      <c r="U62" s="13"/>
      <c r="V62" s="57" t="e">
        <f>V61/(SUM(W57+Y57+#REF!+X57)/20)*1000</f>
        <v>#REF!</v>
      </c>
      <c r="W62" s="57" t="e">
        <f>W61/(SUM(X57+#REF!+AA57+Y57)/20)*1000</f>
        <v>#REF!</v>
      </c>
      <c r="X62" s="57" t="e">
        <f>X61/(SUM(Y57+AB57+AA57+#REF!)/20)*1000</f>
        <v>#REF!</v>
      </c>
      <c r="Y62" s="57" t="e">
        <f>Y61/(SUM(#REF!+AA57+AB57+AC57)/20)*1000</f>
        <v>#REF!</v>
      </c>
      <c r="Z62" s="12"/>
      <c r="AA62" s="57" t="e">
        <f>AA61/(SUM(AB57+AC57+AD57+AF57)/20)*1000</f>
        <v>#DIV/0!</v>
      </c>
      <c r="AB62" s="57" t="e">
        <f>AB61/(SUM(AC57+AD57+AF57+AG57)/20)*1000</f>
        <v>#DIV/0!</v>
      </c>
      <c r="AC62" s="57" t="e">
        <f>AC61/(SUM(AD57+AF57+AG57+AH57)/20)*1000</f>
        <v>#DIV/0!</v>
      </c>
      <c r="AD62" s="57" t="e">
        <f>AD61/(SUM(AF57+AG57+AH57+AI57)/20)*1000</f>
        <v>#DIV/0!</v>
      </c>
      <c r="AE62" s="12"/>
      <c r="AF62" s="57" t="e">
        <f>AF61/(SUM(AG57+AH57+AI57+AJ57)/20)*1000</f>
        <v>#DIV/0!</v>
      </c>
      <c r="AG62" s="57" t="e">
        <f>AG61/(SUM(AH57+AI57+#REF!+AJ57)/20)*1000</f>
        <v>#REF!</v>
      </c>
      <c r="AH62" s="57" t="e">
        <f>AH61/(SUM(AI57+AJ57+#REF!+#REF!)/20)*1000</f>
        <v>#REF!</v>
      </c>
      <c r="AI62" s="57" t="e">
        <f>AI61/(SUM(AJ57+#REF!+#REF!+#REF!)/20)*1000</f>
        <v>#REF!</v>
      </c>
      <c r="AJ62" s="57" t="e">
        <f>AJ61/(SUM(#REF!+#REF!+#REF!+#REF!)/20)*1000</f>
        <v>#REF!</v>
      </c>
      <c r="AK62" s="12"/>
      <c r="AL62" s="13"/>
      <c r="AM62" s="4"/>
      <c r="AN62" s="56">
        <v>0</v>
      </c>
      <c r="AO62" s="56">
        <v>0</v>
      </c>
    </row>
    <row r="63" spans="1:41" s="18" customFormat="1" ht="13.25" customHeight="1">
      <c r="A63" s="161" t="s">
        <v>49</v>
      </c>
      <c r="B63" s="19" t="s">
        <v>5</v>
      </c>
      <c r="C63" s="15"/>
      <c r="D63" s="15"/>
      <c r="E63" s="16"/>
      <c r="F63" s="16"/>
      <c r="G63" s="16"/>
      <c r="H63" s="16"/>
      <c r="I63" s="15">
        <f t="shared" ref="I63" si="37">SUM(F63:H63)</f>
        <v>0</v>
      </c>
      <c r="J63" s="16"/>
      <c r="K63" s="16"/>
      <c r="L63" s="16"/>
      <c r="M63" s="16"/>
      <c r="N63" s="15">
        <f t="shared" ref="N63" si="38">SUM(J63:M63)</f>
        <v>0</v>
      </c>
      <c r="O63" s="16"/>
      <c r="P63" s="16"/>
      <c r="Q63" s="16"/>
      <c r="R63" s="16"/>
      <c r="S63" s="16"/>
      <c r="T63" s="15">
        <f t="shared" ref="T63" si="39">SUM(O63:S63)</f>
        <v>0</v>
      </c>
      <c r="U63" s="17">
        <f>T63+N63+I63+D67</f>
        <v>0</v>
      </c>
      <c r="V63" s="16"/>
      <c r="W63" s="16"/>
      <c r="X63" s="16"/>
      <c r="Y63" s="16"/>
      <c r="Z63" s="15">
        <f>SUM(V63:Y63)</f>
        <v>0</v>
      </c>
      <c r="AA63" s="16"/>
      <c r="AB63" s="16"/>
      <c r="AC63" s="16"/>
      <c r="AD63" s="16"/>
      <c r="AE63" s="15">
        <f>SUM(AA63:AD63)</f>
        <v>0</v>
      </c>
      <c r="AF63" s="16"/>
      <c r="AG63" s="16"/>
      <c r="AH63" s="16"/>
      <c r="AI63" s="16"/>
      <c r="AJ63" s="16"/>
      <c r="AK63" s="15">
        <f>SUM(AF63:AJ63)</f>
        <v>0</v>
      </c>
      <c r="AL63" s="17">
        <f>AK63+AE63+Z63</f>
        <v>0</v>
      </c>
    </row>
    <row r="64" spans="1:41" s="18" customFormat="1" ht="13.25" customHeight="1">
      <c r="A64" s="154"/>
      <c r="B64" s="19" t="s">
        <v>6</v>
      </c>
      <c r="C64" s="15"/>
      <c r="D64" s="15"/>
      <c r="E64" s="16"/>
      <c r="F64" s="16"/>
      <c r="G64" s="16"/>
      <c r="H64" s="16"/>
      <c r="I64" s="10">
        <f>SUM(E64:H64)</f>
        <v>0</v>
      </c>
      <c r="J64" s="16"/>
      <c r="K64" s="16"/>
      <c r="L64" s="16"/>
      <c r="M64" s="16"/>
      <c r="N64" s="10">
        <f>SUM(J64:M64)</f>
        <v>0</v>
      </c>
      <c r="O64" s="16"/>
      <c r="P64" s="16"/>
      <c r="Q64" s="16"/>
      <c r="R64" s="16"/>
      <c r="S64" s="16"/>
      <c r="T64" s="15">
        <f>SUM(O64:S64)</f>
        <v>0</v>
      </c>
      <c r="U64" s="17">
        <f>T64+N64+I64</f>
        <v>0</v>
      </c>
      <c r="V64" s="16"/>
      <c r="W64" s="16"/>
      <c r="X64" s="16"/>
      <c r="Y64" s="16"/>
      <c r="Z64" s="15">
        <f>SUM(V64:Y64)</f>
        <v>0</v>
      </c>
      <c r="AA64" s="16"/>
      <c r="AB64" s="16"/>
      <c r="AC64" s="16"/>
      <c r="AD64" s="16"/>
      <c r="AE64" s="15">
        <f>SUM(AA64:AD64)</f>
        <v>0</v>
      </c>
      <c r="AF64" s="16"/>
      <c r="AG64" s="16"/>
      <c r="AH64" s="16"/>
      <c r="AI64" s="16"/>
      <c r="AJ64" s="16"/>
      <c r="AK64" s="15">
        <f>SUM(AF64:AJ64)</f>
        <v>0</v>
      </c>
      <c r="AL64" s="17">
        <f>AK64+AE64+Z64</f>
        <v>0</v>
      </c>
    </row>
    <row r="65" spans="1:41" s="18" customFormat="1" ht="13">
      <c r="A65" s="154"/>
      <c r="B65" s="19" t="s">
        <v>10</v>
      </c>
      <c r="C65" s="15"/>
      <c r="D65" s="15"/>
      <c r="E65" s="16"/>
      <c r="F65" s="16"/>
      <c r="G65" s="16"/>
      <c r="H65" s="16">
        <f>C65</f>
        <v>0</v>
      </c>
      <c r="I65" s="15">
        <f>E65+F65+G65+H65</f>
        <v>0</v>
      </c>
      <c r="J65" s="16"/>
      <c r="K65" s="16"/>
      <c r="L65" s="16"/>
      <c r="M65" s="16"/>
      <c r="N65" s="15">
        <f>J65+K65+L65+M65</f>
        <v>0</v>
      </c>
      <c r="O65" s="16"/>
      <c r="P65" s="16"/>
      <c r="Q65" s="16"/>
      <c r="R65" s="16"/>
      <c r="S65" s="16"/>
      <c r="T65" s="15">
        <f>SUM(O65:S65)</f>
        <v>0</v>
      </c>
      <c r="U65" s="17">
        <f>I65+N65+T65</f>
        <v>0</v>
      </c>
      <c r="V65" s="16"/>
      <c r="W65" s="16"/>
      <c r="X65" s="16"/>
      <c r="Y65" s="16"/>
      <c r="Z65" s="15">
        <f>V65+W65+X65+Y65</f>
        <v>0</v>
      </c>
      <c r="AA65" s="16"/>
      <c r="AB65" s="16"/>
      <c r="AC65" s="16"/>
      <c r="AD65" s="16"/>
      <c r="AE65" s="15">
        <f>AA65+AB65+AC65+AD65</f>
        <v>0</v>
      </c>
      <c r="AF65" s="16"/>
      <c r="AG65" s="16"/>
      <c r="AH65" s="16"/>
      <c r="AI65" s="16"/>
      <c r="AJ65" s="16"/>
      <c r="AK65" s="15">
        <f>SUM(AF65:AJ65)</f>
        <v>0</v>
      </c>
      <c r="AL65" s="17">
        <f>Z65+AE65+AK65</f>
        <v>0</v>
      </c>
    </row>
    <row r="66" spans="1:41" s="18" customFormat="1" ht="13.75" customHeight="1">
      <c r="A66" s="154"/>
      <c r="B66" s="19" t="s">
        <v>44</v>
      </c>
      <c r="C66" s="15"/>
      <c r="D66" s="15"/>
      <c r="E66" s="16">
        <f>E65+E64</f>
        <v>0</v>
      </c>
      <c r="F66" s="16">
        <f>F65+F64</f>
        <v>0</v>
      </c>
      <c r="G66" s="16">
        <f>G65+G64</f>
        <v>0</v>
      </c>
      <c r="H66" s="16">
        <f>H65+H64</f>
        <v>0</v>
      </c>
      <c r="I66" s="15">
        <f>SUM(E66:H66)</f>
        <v>0</v>
      </c>
      <c r="J66" s="16">
        <f>J65+J64</f>
        <v>0</v>
      </c>
      <c r="K66" s="16">
        <f>K65+K64</f>
        <v>0</v>
      </c>
      <c r="L66" s="16">
        <f>L65+L64</f>
        <v>0</v>
      </c>
      <c r="M66" s="16">
        <f>M65+M64</f>
        <v>0</v>
      </c>
      <c r="N66" s="15">
        <f>SUM(J66:M66)</f>
        <v>0</v>
      </c>
      <c r="O66" s="16">
        <f>O65+O64</f>
        <v>0</v>
      </c>
      <c r="P66" s="16">
        <f>P65+P64</f>
        <v>0</v>
      </c>
      <c r="Q66" s="16">
        <f>Q65+Q64</f>
        <v>0</v>
      </c>
      <c r="R66" s="16">
        <f>R65+R64</f>
        <v>0</v>
      </c>
      <c r="S66" s="16">
        <f>S65+S64</f>
        <v>0</v>
      </c>
      <c r="T66" s="15">
        <f>SUM(O66:S66)</f>
        <v>0</v>
      </c>
      <c r="U66" s="17">
        <f>T66+N66+I66+D67</f>
        <v>0</v>
      </c>
      <c r="V66" s="16">
        <f>V65+V64</f>
        <v>0</v>
      </c>
      <c r="W66" s="16">
        <f>W65+W64</f>
        <v>0</v>
      </c>
      <c r="X66" s="16">
        <f>X65+X64</f>
        <v>0</v>
      </c>
      <c r="Y66" s="16">
        <f>Y65+Y64</f>
        <v>0</v>
      </c>
      <c r="Z66" s="15">
        <f>SUM(V66:Y66)</f>
        <v>0</v>
      </c>
      <c r="AA66" s="16">
        <f>AA65+AA64</f>
        <v>0</v>
      </c>
      <c r="AB66" s="16">
        <f>AB65+AB64</f>
        <v>0</v>
      </c>
      <c r="AC66" s="16">
        <f>AC65+AC64</f>
        <v>0</v>
      </c>
      <c r="AD66" s="16">
        <f>AD65+AD64</f>
        <v>0</v>
      </c>
      <c r="AE66" s="15">
        <f>SUM(AA66:AD66)</f>
        <v>0</v>
      </c>
      <c r="AF66" s="16">
        <f>AF65+AF64</f>
        <v>0</v>
      </c>
      <c r="AG66" s="16">
        <f>AG65+AG64</f>
        <v>0</v>
      </c>
      <c r="AH66" s="16">
        <f>AH65+AH64</f>
        <v>0</v>
      </c>
      <c r="AI66" s="16">
        <f>AI65+AI64</f>
        <v>0</v>
      </c>
      <c r="AJ66" s="16">
        <f>AJ65+AJ64</f>
        <v>0</v>
      </c>
      <c r="AK66" s="15">
        <f>SUM(AF66:AJ66)</f>
        <v>0</v>
      </c>
      <c r="AL66" s="17">
        <f>AK66+AE66+Z66</f>
        <v>0</v>
      </c>
    </row>
    <row r="67" spans="1:41" s="18" customFormat="1" ht="13.75" customHeight="1">
      <c r="A67" s="155"/>
      <c r="B67" s="19" t="s">
        <v>8</v>
      </c>
      <c r="C67" s="21"/>
      <c r="D67" s="22"/>
      <c r="E67" s="10">
        <f>E66-E63</f>
        <v>0</v>
      </c>
      <c r="F67" s="10">
        <f>E67+F66-F63</f>
        <v>0</v>
      </c>
      <c r="G67" s="10">
        <f>F67+G66-G63</f>
        <v>0</v>
      </c>
      <c r="H67" s="10">
        <f>G67+H66-H63</f>
        <v>0</v>
      </c>
      <c r="I67" s="9">
        <f>I66-I63</f>
        <v>0</v>
      </c>
      <c r="J67" s="10">
        <f>I67+J66-J63</f>
        <v>0</v>
      </c>
      <c r="K67" s="10">
        <f>J67+K66-K63</f>
        <v>0</v>
      </c>
      <c r="L67" s="10">
        <f>K67+L66-L63</f>
        <v>0</v>
      </c>
      <c r="M67" s="10">
        <f>L67+M66-M63</f>
        <v>0</v>
      </c>
      <c r="N67" s="9">
        <f>I67+N66-N63</f>
        <v>0</v>
      </c>
      <c r="O67" s="10">
        <f>N67+O66-O63</f>
        <v>0</v>
      </c>
      <c r="P67" s="10">
        <f>O67+P66-P63</f>
        <v>0</v>
      </c>
      <c r="Q67" s="10">
        <f>P67+Q66-Q63</f>
        <v>0</v>
      </c>
      <c r="R67" s="10">
        <f>Q67+R66-R63</f>
        <v>0</v>
      </c>
      <c r="S67" s="10">
        <f>R67+S66-S63</f>
        <v>0</v>
      </c>
      <c r="T67" s="9">
        <f>N67+T66-T63</f>
        <v>0</v>
      </c>
      <c r="U67" s="11">
        <f>U66-U63</f>
        <v>0</v>
      </c>
      <c r="V67" s="10">
        <f>V66-V63</f>
        <v>0</v>
      </c>
      <c r="W67" s="10">
        <f>V67+W66-W63</f>
        <v>0</v>
      </c>
      <c r="X67" s="10">
        <f>W67+X66-X63</f>
        <v>0</v>
      </c>
      <c r="Y67" s="10">
        <f>X67+Y66-Y63</f>
        <v>0</v>
      </c>
      <c r="Z67" s="9">
        <f>Z66-Z63</f>
        <v>0</v>
      </c>
      <c r="AA67" s="10">
        <f>Z67+AA66-AA63</f>
        <v>0</v>
      </c>
      <c r="AB67" s="10">
        <f>AA67+AB66-AB63</f>
        <v>0</v>
      </c>
      <c r="AC67" s="10">
        <f>AB67+AC66-AC63</f>
        <v>0</v>
      </c>
      <c r="AD67" s="10">
        <f>AC67+AD66-AD63</f>
        <v>0</v>
      </c>
      <c r="AE67" s="9">
        <f>Z67+AE66-AE63</f>
        <v>0</v>
      </c>
      <c r="AF67" s="10">
        <f>AE67+AF66-AF63</f>
        <v>0</v>
      </c>
      <c r="AG67" s="10">
        <f>AF67+AG66-AG63</f>
        <v>0</v>
      </c>
      <c r="AH67" s="10">
        <f>AG67+AH66-AH63</f>
        <v>0</v>
      </c>
      <c r="AI67" s="10">
        <f>AH67+AI66-AI63</f>
        <v>0</v>
      </c>
      <c r="AJ67" s="10">
        <f>AI67+AJ66-AJ63</f>
        <v>0</v>
      </c>
      <c r="AK67" s="9">
        <f>AE67+AK66-AK63</f>
        <v>0</v>
      </c>
      <c r="AL67" s="11">
        <f>AL66-AL63+U67</f>
        <v>0</v>
      </c>
    </row>
    <row r="68" spans="1:41" s="18" customFormat="1" ht="13.75" customHeight="1" thickBot="1">
      <c r="A68" s="23"/>
      <c r="B68" s="19" t="s">
        <v>9</v>
      </c>
      <c r="C68" s="15"/>
      <c r="D68" s="15"/>
      <c r="E68" s="57" t="e">
        <v>#DIV/0!</v>
      </c>
      <c r="F68" s="57" t="e">
        <v>#DIV/0!</v>
      </c>
      <c r="G68" s="57" t="e">
        <v>#DIV/0!</v>
      </c>
      <c r="H68" s="57" t="e">
        <v>#DIV/0!</v>
      </c>
      <c r="I68" s="12"/>
      <c r="J68" s="57" t="e">
        <v>#DIV/0!</v>
      </c>
      <c r="K68" s="57" t="e">
        <v>#DIV/0!</v>
      </c>
      <c r="L68" s="57" t="e">
        <v>#DIV/0!</v>
      </c>
      <c r="M68" s="57" t="e">
        <v>#DIV/0!</v>
      </c>
      <c r="N68" s="12"/>
      <c r="O68" s="57">
        <v>0</v>
      </c>
      <c r="P68" s="57">
        <v>0</v>
      </c>
      <c r="Q68" s="57">
        <v>0</v>
      </c>
      <c r="R68" s="57">
        <v>0</v>
      </c>
      <c r="S68" s="57">
        <v>0</v>
      </c>
      <c r="T68" s="12"/>
      <c r="U68" s="13"/>
      <c r="V68" s="57" t="e">
        <v>#DIV/0!</v>
      </c>
      <c r="W68" s="57" t="e">
        <v>#DIV/0!</v>
      </c>
      <c r="X68" s="57" t="e">
        <v>#DIV/0!</v>
      </c>
      <c r="Y68" s="57" t="e">
        <v>#DIV/0!</v>
      </c>
      <c r="Z68" s="12"/>
      <c r="AA68" s="57" t="e">
        <v>#DIV/0!</v>
      </c>
      <c r="AB68" s="57" t="e">
        <v>#DIV/0!</v>
      </c>
      <c r="AC68" s="57" t="e">
        <v>#DIV/0!</v>
      </c>
      <c r="AD68" s="57" t="e">
        <v>#DIV/0!</v>
      </c>
      <c r="AE68" s="12"/>
      <c r="AF68" s="57">
        <v>0</v>
      </c>
      <c r="AG68" s="57">
        <v>0</v>
      </c>
      <c r="AH68" s="57">
        <v>0</v>
      </c>
      <c r="AI68" s="57">
        <v>0</v>
      </c>
      <c r="AJ68" s="57">
        <v>0</v>
      </c>
      <c r="AK68" s="12"/>
      <c r="AL68" s="13"/>
    </row>
    <row r="69" spans="1:41" s="18" customFormat="1" ht="15.75" customHeight="1" thickBot="1">
      <c r="A69" s="156" t="s">
        <v>50</v>
      </c>
      <c r="B69" s="19" t="s">
        <v>5</v>
      </c>
      <c r="C69" s="9"/>
      <c r="D69" s="9"/>
      <c r="E69" s="60">
        <v>0</v>
      </c>
      <c r="F69" s="60">
        <v>0</v>
      </c>
      <c r="G69" s="10">
        <v>-150</v>
      </c>
      <c r="H69" s="60">
        <v>0</v>
      </c>
      <c r="I69" s="9">
        <f>SUM(E69:H69)</f>
        <v>-150</v>
      </c>
      <c r="J69" s="60">
        <v>0</v>
      </c>
      <c r="K69" s="10">
        <v>0</v>
      </c>
      <c r="L69" s="60">
        <v>0</v>
      </c>
      <c r="M69" s="10">
        <v>0</v>
      </c>
      <c r="N69" s="9">
        <f>SUM(J69:M69)</f>
        <v>0</v>
      </c>
      <c r="O69" s="10">
        <v>0</v>
      </c>
      <c r="P69" s="60">
        <v>0</v>
      </c>
      <c r="Q69" s="60">
        <v>0</v>
      </c>
      <c r="R69" s="60">
        <v>0</v>
      </c>
      <c r="S69" s="60">
        <v>0</v>
      </c>
      <c r="T69" s="9">
        <f>SUM(O69:S69)</f>
        <v>0</v>
      </c>
      <c r="U69" s="11">
        <f>T69+N69+I69+D73</f>
        <v>0</v>
      </c>
      <c r="V69" s="60">
        <v>0</v>
      </c>
      <c r="W69" s="60">
        <v>0</v>
      </c>
      <c r="X69" s="10">
        <v>0</v>
      </c>
      <c r="Y69" s="60">
        <v>0</v>
      </c>
      <c r="Z69" s="9">
        <f>SUM(V69:Y69)</f>
        <v>0</v>
      </c>
      <c r="AA69" s="60">
        <v>0</v>
      </c>
      <c r="AB69" s="10">
        <v>0</v>
      </c>
      <c r="AC69" s="60">
        <v>0</v>
      </c>
      <c r="AD69" s="10">
        <v>0</v>
      </c>
      <c r="AE69" s="9">
        <f>SUM(AA69:AD69)</f>
        <v>0</v>
      </c>
      <c r="AF69" s="10">
        <v>0</v>
      </c>
      <c r="AG69" s="60">
        <v>0</v>
      </c>
      <c r="AH69" s="60">
        <v>0</v>
      </c>
      <c r="AI69" s="60">
        <v>0</v>
      </c>
      <c r="AJ69" s="60">
        <v>0</v>
      </c>
      <c r="AK69" s="9">
        <f>SUM(AF69:AJ69)</f>
        <v>0</v>
      </c>
      <c r="AL69" s="11">
        <f>AK69+AE69+Z69</f>
        <v>0</v>
      </c>
      <c r="AM69" s="4">
        <v>256</v>
      </c>
      <c r="AN69" s="56">
        <v>0</v>
      </c>
      <c r="AO69" s="56">
        <v>0</v>
      </c>
    </row>
    <row r="70" spans="1:41" s="18" customFormat="1" ht="15.75" customHeight="1">
      <c r="A70" s="157"/>
      <c r="B70" s="19" t="s">
        <v>6</v>
      </c>
      <c r="C70" s="9"/>
      <c r="D70" s="9"/>
      <c r="E70" s="60">
        <v>0</v>
      </c>
      <c r="F70" s="10">
        <v>0</v>
      </c>
      <c r="G70" s="10">
        <v>0</v>
      </c>
      <c r="H70" s="60">
        <v>0</v>
      </c>
      <c r="I70" s="15">
        <f>SUM(E70:H70)</f>
        <v>0</v>
      </c>
      <c r="J70" s="10">
        <v>0</v>
      </c>
      <c r="K70" s="10">
        <v>0</v>
      </c>
      <c r="L70" s="60">
        <v>0</v>
      </c>
      <c r="M70" s="10">
        <v>0</v>
      </c>
      <c r="N70" s="15">
        <f>SUM(J70:M70)</f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5">
        <f>SUM(O70:S70)</f>
        <v>0</v>
      </c>
      <c r="U70" s="11"/>
      <c r="V70" s="60">
        <v>0</v>
      </c>
      <c r="W70" s="10">
        <v>0</v>
      </c>
      <c r="X70" s="10">
        <v>0</v>
      </c>
      <c r="Y70" s="60">
        <v>0</v>
      </c>
      <c r="Z70" s="15">
        <f>SUM(V70:Y70)</f>
        <v>0</v>
      </c>
      <c r="AA70" s="10">
        <v>0</v>
      </c>
      <c r="AB70" s="10">
        <v>0</v>
      </c>
      <c r="AC70" s="60">
        <v>0</v>
      </c>
      <c r="AD70" s="10">
        <v>0</v>
      </c>
      <c r="AE70" s="15">
        <f>SUM(AA70:AD70)</f>
        <v>0</v>
      </c>
      <c r="AF70" s="10">
        <v>0</v>
      </c>
      <c r="AG70" s="10">
        <v>0</v>
      </c>
      <c r="AH70" s="10">
        <v>0</v>
      </c>
      <c r="AI70" s="10">
        <v>0</v>
      </c>
      <c r="AJ70" s="10">
        <v>0</v>
      </c>
      <c r="AK70" s="15">
        <f>SUM(AF70:AJ70)</f>
        <v>0</v>
      </c>
      <c r="AL70" s="11"/>
      <c r="AM70" s="4"/>
      <c r="AN70" s="56">
        <v>0</v>
      </c>
      <c r="AO70" s="56">
        <v>0</v>
      </c>
    </row>
    <row r="71" spans="1:41" s="18" customFormat="1" ht="15" customHeight="1">
      <c r="A71" s="157"/>
      <c r="B71" s="19" t="s">
        <v>10</v>
      </c>
      <c r="C71" s="9">
        <v>0</v>
      </c>
      <c r="D71" s="9"/>
      <c r="E71" s="9"/>
      <c r="F71" s="10"/>
      <c r="G71" s="9"/>
      <c r="H71" s="9">
        <f>C71</f>
        <v>0</v>
      </c>
      <c r="I71" s="15">
        <f>E71+F71+G71+H71</f>
        <v>0</v>
      </c>
      <c r="J71" s="9"/>
      <c r="K71" s="9"/>
      <c r="L71" s="10"/>
      <c r="M71" s="9"/>
      <c r="N71" s="15">
        <f>J71+K71+L71+M71</f>
        <v>0</v>
      </c>
      <c r="O71" s="10"/>
      <c r="P71" s="10"/>
      <c r="Q71" s="9"/>
      <c r="R71" s="10"/>
      <c r="S71" s="10"/>
      <c r="T71" s="15">
        <f>SUM(O71:S71)</f>
        <v>0</v>
      </c>
      <c r="U71" s="11"/>
      <c r="V71" s="9"/>
      <c r="W71" s="10"/>
      <c r="X71" s="9"/>
      <c r="Y71" s="9"/>
      <c r="Z71" s="15">
        <f>V71+W71+X71+Y71</f>
        <v>0</v>
      </c>
      <c r="AA71" s="9"/>
      <c r="AB71" s="9"/>
      <c r="AC71" s="10"/>
      <c r="AD71" s="9"/>
      <c r="AE71" s="15">
        <f>AA71+AB71+AC71+AD71</f>
        <v>0</v>
      </c>
      <c r="AF71" s="10"/>
      <c r="AG71" s="10"/>
      <c r="AH71" s="9"/>
      <c r="AI71" s="10"/>
      <c r="AJ71" s="10"/>
      <c r="AK71" s="15">
        <f>SUM(AF71:AJ71)</f>
        <v>0</v>
      </c>
      <c r="AL71" s="17">
        <f>Z71+AE71+AK71</f>
        <v>0</v>
      </c>
      <c r="AM71" s="4"/>
      <c r="AN71" s="56">
        <v>0</v>
      </c>
      <c r="AO71" s="56">
        <v>0</v>
      </c>
    </row>
    <row r="72" spans="1:41" s="18" customFormat="1" ht="15.75" customHeight="1">
      <c r="A72" s="157"/>
      <c r="B72" s="19" t="s">
        <v>7</v>
      </c>
      <c r="C72" s="9"/>
      <c r="D72" s="9"/>
      <c r="E72" s="10">
        <f>E71+E70</f>
        <v>0</v>
      </c>
      <c r="F72" s="10">
        <f>F71+F70</f>
        <v>0</v>
      </c>
      <c r="G72" s="10">
        <f>G71+G70</f>
        <v>0</v>
      </c>
      <c r="H72" s="10">
        <f t="shared" ref="H72" si="40">H71+H70</f>
        <v>0</v>
      </c>
      <c r="I72" s="9">
        <f>SUM(E72:H72)</f>
        <v>0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0</v>
      </c>
      <c r="N72" s="9">
        <f>SUM(J72:M72)</f>
        <v>0</v>
      </c>
      <c r="O72" s="10">
        <f>O71+O70</f>
        <v>0</v>
      </c>
      <c r="P72" s="10">
        <f>P71+P70</f>
        <v>0</v>
      </c>
      <c r="Q72" s="10">
        <f>Q71+Q70</f>
        <v>0</v>
      </c>
      <c r="R72" s="10">
        <f>R71+R70</f>
        <v>0</v>
      </c>
      <c r="S72" s="10">
        <f>S71+S70</f>
        <v>0</v>
      </c>
      <c r="T72" s="9">
        <f>SUM(O72:S72)</f>
        <v>0</v>
      </c>
      <c r="U72" s="11">
        <f>T72+N72+I72+D73</f>
        <v>150</v>
      </c>
      <c r="V72" s="10">
        <f>V71+V70</f>
        <v>0</v>
      </c>
      <c r="W72" s="10">
        <f>W71+W70</f>
        <v>0</v>
      </c>
      <c r="X72" s="10">
        <f t="shared" ref="X72" si="41"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0</v>
      </c>
      <c r="AK72" s="9">
        <f>SUM(AF72:AJ72)</f>
        <v>0</v>
      </c>
      <c r="AL72" s="11">
        <f>AK72+AE72+Z72</f>
        <v>0</v>
      </c>
      <c r="AM72" s="4"/>
      <c r="AN72" s="56">
        <v>0</v>
      </c>
      <c r="AO72" s="56">
        <v>0</v>
      </c>
    </row>
    <row r="73" spans="1:41" s="18" customFormat="1" ht="15.75" customHeight="1" thickBot="1">
      <c r="A73" s="158"/>
      <c r="B73" s="19" t="s">
        <v>8</v>
      </c>
      <c r="C73" s="65">
        <v>150</v>
      </c>
      <c r="D73" s="22">
        <v>150</v>
      </c>
      <c r="E73" s="10">
        <f>E72-E69</f>
        <v>0</v>
      </c>
      <c r="F73" s="10">
        <f>E73+F72-F69</f>
        <v>0</v>
      </c>
      <c r="G73" s="10">
        <f>F73+G72-G69</f>
        <v>150</v>
      </c>
      <c r="H73" s="10">
        <f>G73+H72-H69</f>
        <v>150</v>
      </c>
      <c r="I73" s="9">
        <f>I72-I69</f>
        <v>150</v>
      </c>
      <c r="J73" s="10">
        <f>I73+J72-J69</f>
        <v>150</v>
      </c>
      <c r="K73" s="10">
        <f>J73+K72-K69</f>
        <v>150</v>
      </c>
      <c r="L73" s="10">
        <f>K73+L72-L69</f>
        <v>150</v>
      </c>
      <c r="M73" s="10">
        <f>L73+M72-M69</f>
        <v>150</v>
      </c>
      <c r="N73" s="9">
        <f>I73+N72-N69</f>
        <v>150</v>
      </c>
      <c r="O73" s="10">
        <f>N73+O72-O69</f>
        <v>150</v>
      </c>
      <c r="P73" s="10">
        <f>O73+P72-P69</f>
        <v>150</v>
      </c>
      <c r="Q73" s="10">
        <f>P73+Q72-Q69</f>
        <v>150</v>
      </c>
      <c r="R73" s="10">
        <f t="shared" ref="R73:S73" si="42">Q73+R72-R69</f>
        <v>150</v>
      </c>
      <c r="S73" s="10">
        <f t="shared" si="42"/>
        <v>150</v>
      </c>
      <c r="T73" s="9">
        <f>N73+T72-T69</f>
        <v>150</v>
      </c>
      <c r="U73" s="11">
        <f>U72-U69</f>
        <v>150</v>
      </c>
      <c r="V73" s="10">
        <f>U73+V72-V69</f>
        <v>150</v>
      </c>
      <c r="W73" s="10">
        <f>V73+W72-W69</f>
        <v>150</v>
      </c>
      <c r="X73" s="10">
        <f t="shared" ref="X73:Y73" si="43">W73+X72-X69</f>
        <v>150</v>
      </c>
      <c r="Y73" s="10">
        <f t="shared" si="43"/>
        <v>150</v>
      </c>
      <c r="Z73" s="9">
        <f>T73+Z72-Z69</f>
        <v>150</v>
      </c>
      <c r="AA73" s="10">
        <f>Z73+AA72-AA69</f>
        <v>150</v>
      </c>
      <c r="AB73" s="10">
        <f>AA73+AB72-AB69</f>
        <v>150</v>
      </c>
      <c r="AC73" s="10">
        <f>AB73+AC72-AC69</f>
        <v>150</v>
      </c>
      <c r="AD73" s="10">
        <f>AC73+AD72-AD69</f>
        <v>150</v>
      </c>
      <c r="AE73" s="9">
        <f>Z73+AE72-AE69</f>
        <v>150</v>
      </c>
      <c r="AF73" s="10">
        <f>AE73+AF72-AF69</f>
        <v>150</v>
      </c>
      <c r="AG73" s="10">
        <f>AF73+AG72-AG69</f>
        <v>150</v>
      </c>
      <c r="AH73" s="10">
        <f>AG73+AH72-AH69</f>
        <v>150</v>
      </c>
      <c r="AI73" s="10">
        <f t="shared" ref="AI73:AJ73" si="44">AH73+AI72-AI69</f>
        <v>150</v>
      </c>
      <c r="AJ73" s="10">
        <f t="shared" si="44"/>
        <v>150</v>
      </c>
      <c r="AK73" s="9">
        <f>AE73+AK72-AK69</f>
        <v>150</v>
      </c>
      <c r="AL73" s="11">
        <f>T73+AL72-AL69</f>
        <v>150</v>
      </c>
      <c r="AM73" s="4"/>
      <c r="AN73" s="56">
        <v>0</v>
      </c>
      <c r="AO73" s="56">
        <v>0</v>
      </c>
    </row>
    <row r="74" spans="1:41" s="18" customFormat="1" ht="13.75" customHeight="1" thickBot="1">
      <c r="A74" s="23"/>
      <c r="B74" s="19" t="s">
        <v>9</v>
      </c>
      <c r="C74" s="15"/>
      <c r="D74" s="15"/>
      <c r="E74" s="57" t="e">
        <v>#DIV/0!</v>
      </c>
      <c r="F74" s="57" t="e">
        <v>#DIV/0!</v>
      </c>
      <c r="G74" s="57" t="e">
        <v>#DIV/0!</v>
      </c>
      <c r="H74" s="57" t="e">
        <v>#DIV/0!</v>
      </c>
      <c r="I74" s="12"/>
      <c r="J74" s="57" t="e">
        <v>#DIV/0!</v>
      </c>
      <c r="K74" s="57" t="e">
        <v>#DIV/0!</v>
      </c>
      <c r="L74" s="57" t="e">
        <v>#DIV/0!</v>
      </c>
      <c r="M74" s="57" t="e">
        <v>#DIV/0!</v>
      </c>
      <c r="N74" s="12"/>
      <c r="O74" s="57">
        <v>0</v>
      </c>
      <c r="P74" s="57">
        <v>0</v>
      </c>
      <c r="Q74" s="57">
        <v>0</v>
      </c>
      <c r="R74" s="57">
        <v>0</v>
      </c>
      <c r="S74" s="57">
        <v>0</v>
      </c>
      <c r="T74" s="12"/>
      <c r="U74" s="13"/>
      <c r="V74" s="57" t="e">
        <v>#DIV/0!</v>
      </c>
      <c r="W74" s="57" t="e">
        <v>#DIV/0!</v>
      </c>
      <c r="X74" s="57" t="e">
        <v>#DIV/0!</v>
      </c>
      <c r="Y74" s="57" t="e">
        <v>#DIV/0!</v>
      </c>
      <c r="Z74" s="12"/>
      <c r="AA74" s="57" t="e">
        <v>#DIV/0!</v>
      </c>
      <c r="AB74" s="57" t="e">
        <v>#DIV/0!</v>
      </c>
      <c r="AC74" s="57" t="e">
        <v>#DIV/0!</v>
      </c>
      <c r="AD74" s="57" t="e">
        <v>#DIV/0!</v>
      </c>
      <c r="AE74" s="12"/>
      <c r="AF74" s="57">
        <v>0</v>
      </c>
      <c r="AG74" s="57">
        <v>0</v>
      </c>
      <c r="AH74" s="57">
        <v>0</v>
      </c>
      <c r="AI74" s="57">
        <v>0</v>
      </c>
      <c r="AJ74" s="57">
        <v>0</v>
      </c>
      <c r="AK74" s="12"/>
      <c r="AL74" s="13"/>
    </row>
    <row r="75" spans="1:41" s="18" customFormat="1" ht="15.75" customHeight="1">
      <c r="A75" s="156" t="s">
        <v>19</v>
      </c>
      <c r="B75" s="19" t="s">
        <v>5</v>
      </c>
      <c r="C75" s="9"/>
      <c r="D75" s="9"/>
      <c r="E75" s="10">
        <v>0</v>
      </c>
      <c r="F75" s="60">
        <v>63200</v>
      </c>
      <c r="G75" s="10">
        <v>107998</v>
      </c>
      <c r="H75" s="10">
        <v>942</v>
      </c>
      <c r="I75" s="9">
        <f>SUM(E75:H75)</f>
        <v>172140</v>
      </c>
      <c r="J75" s="60">
        <v>27470</v>
      </c>
      <c r="K75" s="10">
        <v>10293</v>
      </c>
      <c r="L75" s="60">
        <v>2491</v>
      </c>
      <c r="M75" s="10">
        <v>2800</v>
      </c>
      <c r="N75" s="9">
        <f>SUM(J75:M75)</f>
        <v>43054</v>
      </c>
      <c r="O75" s="10">
        <v>766</v>
      </c>
      <c r="P75" s="60">
        <v>3048</v>
      </c>
      <c r="Q75" s="60">
        <v>807</v>
      </c>
      <c r="R75" s="60">
        <v>9693</v>
      </c>
      <c r="S75" s="60">
        <v>1600</v>
      </c>
      <c r="T75" s="9">
        <f>SUM(O75:S75)</f>
        <v>15914</v>
      </c>
      <c r="U75" s="11">
        <f>T75+N75+I75+D79</f>
        <v>331271</v>
      </c>
      <c r="V75" s="10">
        <v>0</v>
      </c>
      <c r="W75" s="60">
        <v>0</v>
      </c>
      <c r="X75" s="10">
        <v>0</v>
      </c>
      <c r="Y75" s="10">
        <v>0</v>
      </c>
      <c r="Z75" s="9">
        <f>SUM(V75:Y75)</f>
        <v>0</v>
      </c>
      <c r="AA75" s="60">
        <v>0</v>
      </c>
      <c r="AB75" s="10">
        <v>0</v>
      </c>
      <c r="AC75" s="60">
        <v>0</v>
      </c>
      <c r="AD75" s="10">
        <v>0</v>
      </c>
      <c r="AE75" s="9">
        <f>SUM(AA75:AD75)</f>
        <v>0</v>
      </c>
      <c r="AF75" s="10">
        <v>0</v>
      </c>
      <c r="AG75" s="60">
        <v>0</v>
      </c>
      <c r="AH75" s="60">
        <v>0</v>
      </c>
      <c r="AI75" s="60">
        <v>0</v>
      </c>
      <c r="AJ75" s="60">
        <v>0</v>
      </c>
      <c r="AK75" s="9">
        <f>SUM(AF75:AJ75)</f>
        <v>0</v>
      </c>
      <c r="AL75" s="11">
        <f>AK75+AE75+Z75</f>
        <v>0</v>
      </c>
      <c r="AM75" s="4">
        <v>64</v>
      </c>
      <c r="AN75" s="56">
        <v>21201344</v>
      </c>
      <c r="AO75" s="56">
        <v>0</v>
      </c>
    </row>
    <row r="76" spans="1:41" s="18" customFormat="1" ht="15.75" customHeight="1">
      <c r="A76" s="157"/>
      <c r="B76" s="19" t="s">
        <v>6</v>
      </c>
      <c r="C76" s="9"/>
      <c r="D76" s="9"/>
      <c r="E76" s="10">
        <v>0</v>
      </c>
      <c r="F76" s="10">
        <v>63200</v>
      </c>
      <c r="G76" s="10">
        <v>0</v>
      </c>
      <c r="H76" s="10">
        <v>100000</v>
      </c>
      <c r="I76" s="15">
        <f>SUM(E76:H76)</f>
        <v>163200</v>
      </c>
      <c r="J76" s="10">
        <v>0</v>
      </c>
      <c r="K76" s="10">
        <v>25000</v>
      </c>
      <c r="L76" s="10">
        <v>0</v>
      </c>
      <c r="M76" s="10">
        <v>50000</v>
      </c>
      <c r="N76" s="15">
        <f>SUM(J76:M76)</f>
        <v>75000</v>
      </c>
      <c r="O76" s="10">
        <v>10000</v>
      </c>
      <c r="P76" s="10">
        <v>10000</v>
      </c>
      <c r="Q76" s="10">
        <v>10000</v>
      </c>
      <c r="R76" s="10">
        <v>10000</v>
      </c>
      <c r="S76" s="10">
        <v>10000</v>
      </c>
      <c r="T76" s="15">
        <f>SUM(O76:S76)</f>
        <v>50000</v>
      </c>
      <c r="U76" s="11"/>
      <c r="V76" s="10">
        <v>0</v>
      </c>
      <c r="W76" s="10">
        <v>0</v>
      </c>
      <c r="X76" s="10">
        <v>0</v>
      </c>
      <c r="Y76" s="10">
        <v>0</v>
      </c>
      <c r="Z76" s="15">
        <f>SUM(V76:Y76)</f>
        <v>0</v>
      </c>
      <c r="AA76" s="10">
        <v>0</v>
      </c>
      <c r="AB76" s="10">
        <v>0</v>
      </c>
      <c r="AC76" s="10">
        <v>0</v>
      </c>
      <c r="AD76" s="10">
        <v>0</v>
      </c>
      <c r="AE76" s="15">
        <f>SUM(AA76:AD76)</f>
        <v>0</v>
      </c>
      <c r="AF76" s="10">
        <v>0</v>
      </c>
      <c r="AG76" s="10">
        <v>0</v>
      </c>
      <c r="AH76" s="10">
        <v>0</v>
      </c>
      <c r="AI76" s="10">
        <v>0</v>
      </c>
      <c r="AJ76" s="10">
        <v>0</v>
      </c>
      <c r="AK76" s="15">
        <f>SUM(AF76:AJ76)</f>
        <v>0</v>
      </c>
      <c r="AL76" s="11"/>
      <c r="AM76" s="4"/>
      <c r="AN76" s="56">
        <v>0</v>
      </c>
      <c r="AO76" s="56">
        <v>0</v>
      </c>
    </row>
    <row r="77" spans="1:41" s="18" customFormat="1" ht="15" customHeight="1">
      <c r="A77" s="157"/>
      <c r="B77" s="19" t="s">
        <v>10</v>
      </c>
      <c r="C77" s="9">
        <v>15000</v>
      </c>
      <c r="D77" s="9"/>
      <c r="E77" s="9"/>
      <c r="F77" s="9"/>
      <c r="G77" s="9"/>
      <c r="H77" s="9">
        <f>C77</f>
        <v>15000</v>
      </c>
      <c r="I77" s="15">
        <f>E77+F77+G77+H77</f>
        <v>15000</v>
      </c>
      <c r="J77" s="9"/>
      <c r="K77" s="9"/>
      <c r="L77" s="9"/>
      <c r="M77" s="9"/>
      <c r="N77" s="15">
        <f>J77+K77+L77+M77</f>
        <v>0</v>
      </c>
      <c r="O77" s="9"/>
      <c r="P77" s="9"/>
      <c r="Q77" s="9"/>
      <c r="R77" s="9"/>
      <c r="S77" s="9"/>
      <c r="T77" s="15">
        <f>SUM(O77:S77)</f>
        <v>0</v>
      </c>
      <c r="U77" s="11"/>
      <c r="V77" s="9"/>
      <c r="W77" s="9"/>
      <c r="X77" s="9"/>
      <c r="Y77" s="9"/>
      <c r="Z77" s="15">
        <f>V77+W77+X77+Y77</f>
        <v>0</v>
      </c>
      <c r="AA77" s="9"/>
      <c r="AB77" s="9"/>
      <c r="AC77" s="9"/>
      <c r="AD77" s="9"/>
      <c r="AE77" s="15">
        <f>AA77+AB77+AC77+AD77</f>
        <v>0</v>
      </c>
      <c r="AF77" s="9"/>
      <c r="AG77" s="9"/>
      <c r="AH77" s="9"/>
      <c r="AI77" s="9"/>
      <c r="AJ77" s="9"/>
      <c r="AK77" s="15">
        <f>SUM(AF77:AJ77)</f>
        <v>0</v>
      </c>
      <c r="AL77" s="17">
        <f>Z77+AE77+AK77</f>
        <v>0</v>
      </c>
      <c r="AM77" s="4"/>
      <c r="AN77" s="56">
        <v>0</v>
      </c>
      <c r="AO77" s="56">
        <v>0</v>
      </c>
    </row>
    <row r="78" spans="1:41" s="18" customFormat="1" ht="15.75" customHeight="1">
      <c r="A78" s="157"/>
      <c r="B78" s="19" t="s">
        <v>7</v>
      </c>
      <c r="C78" s="9"/>
      <c r="D78" s="9"/>
      <c r="E78" s="10">
        <f>E77+E76</f>
        <v>0</v>
      </c>
      <c r="F78" s="10">
        <f>F77+F76</f>
        <v>63200</v>
      </c>
      <c r="G78" s="10">
        <f>G77+G76</f>
        <v>0</v>
      </c>
      <c r="H78" s="10">
        <f t="shared" ref="H78" si="45">H77+H76</f>
        <v>115000</v>
      </c>
      <c r="I78" s="9">
        <f>SUM(E78:H78)</f>
        <v>178200</v>
      </c>
      <c r="J78" s="10">
        <f>J77+J76</f>
        <v>0</v>
      </c>
      <c r="K78" s="10">
        <f>K77+K76</f>
        <v>25000</v>
      </c>
      <c r="L78" s="10">
        <f>L77+L76</f>
        <v>0</v>
      </c>
      <c r="M78" s="10">
        <f>M77+M76</f>
        <v>50000</v>
      </c>
      <c r="N78" s="9">
        <f>SUM(J78:M78)</f>
        <v>75000</v>
      </c>
      <c r="O78" s="10">
        <f>O77+O76</f>
        <v>10000</v>
      </c>
      <c r="P78" s="10">
        <f>P77+P76</f>
        <v>10000</v>
      </c>
      <c r="Q78" s="10">
        <f>Q77+Q76</f>
        <v>10000</v>
      </c>
      <c r="R78" s="10">
        <f>R77+R76</f>
        <v>10000</v>
      </c>
      <c r="S78" s="10">
        <f>S77+S76</f>
        <v>10000</v>
      </c>
      <c r="T78" s="9">
        <f>SUM(O78:S78)</f>
        <v>50000</v>
      </c>
      <c r="U78" s="11">
        <f>T78+N78+I78+D79</f>
        <v>403363</v>
      </c>
      <c r="V78" s="10">
        <f>V77+V76</f>
        <v>0</v>
      </c>
      <c r="W78" s="10">
        <f>W77+W76</f>
        <v>0</v>
      </c>
      <c r="X78" s="10">
        <f t="shared" ref="X78:Y78" si="46">X77+X76</f>
        <v>0</v>
      </c>
      <c r="Y78" s="10">
        <f t="shared" si="46"/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4"/>
      <c r="AN78" s="56">
        <v>0</v>
      </c>
      <c r="AO78" s="56">
        <v>0</v>
      </c>
    </row>
    <row r="79" spans="1:41" s="18" customFormat="1" ht="15.75" customHeight="1" thickBot="1">
      <c r="A79" s="158"/>
      <c r="B79" s="19" t="s">
        <v>8</v>
      </c>
      <c r="C79" s="65">
        <v>106723</v>
      </c>
      <c r="D79" s="22">
        <v>100163</v>
      </c>
      <c r="E79" s="10">
        <f>E78-E75</f>
        <v>0</v>
      </c>
      <c r="F79" s="10">
        <f>E79+F78-F75</f>
        <v>0</v>
      </c>
      <c r="G79" s="10">
        <f t="shared" ref="G79" si="47">F79+G78-G75</f>
        <v>-107998</v>
      </c>
      <c r="H79" s="10">
        <f>G79+H78-H75</f>
        <v>6060</v>
      </c>
      <c r="I79" s="9">
        <f>I78-I75</f>
        <v>6060</v>
      </c>
      <c r="J79" s="10">
        <f>I79+J78-J75</f>
        <v>-21410</v>
      </c>
      <c r="K79" s="10">
        <f>J79+K78-K75</f>
        <v>-6703</v>
      </c>
      <c r="L79" s="10">
        <f>K79+L78-L75</f>
        <v>-9194</v>
      </c>
      <c r="M79" s="10">
        <f>L79+M78-M75</f>
        <v>38006</v>
      </c>
      <c r="N79" s="9">
        <f>I79+N78-N75</f>
        <v>38006</v>
      </c>
      <c r="O79" s="10">
        <f>N79+O78-O75</f>
        <v>47240</v>
      </c>
      <c r="P79" s="10">
        <f>O79+P78-P75</f>
        <v>54192</v>
      </c>
      <c r="Q79" s="10">
        <f>P79+Q78-Q75</f>
        <v>63385</v>
      </c>
      <c r="R79" s="10">
        <f t="shared" ref="R79:S79" si="48">Q79+R78-R75</f>
        <v>63692</v>
      </c>
      <c r="S79" s="10">
        <f t="shared" si="48"/>
        <v>72092</v>
      </c>
      <c r="T79" s="9">
        <f>N79+T78-T75</f>
        <v>72092</v>
      </c>
      <c r="U79" s="11">
        <f>U78-U75</f>
        <v>72092</v>
      </c>
      <c r="V79" s="10">
        <f>U79+V78-V75</f>
        <v>72092</v>
      </c>
      <c r="W79" s="10">
        <f>V79+W78-W75</f>
        <v>72092</v>
      </c>
      <c r="X79" s="10">
        <f>W79+X78-X75</f>
        <v>72092</v>
      </c>
      <c r="Y79" s="10">
        <f>X79+Y78-Y75</f>
        <v>72092</v>
      </c>
      <c r="Z79" s="9">
        <f>T79+Z78-Z75</f>
        <v>72092</v>
      </c>
      <c r="AA79" s="10">
        <f>Z79+AA78-AA75</f>
        <v>72092</v>
      </c>
      <c r="AB79" s="10">
        <f>AA79+AB78-AB75</f>
        <v>72092</v>
      </c>
      <c r="AC79" s="10">
        <f>AB79+AC78-AC75</f>
        <v>72092</v>
      </c>
      <c r="AD79" s="10">
        <f>AC79+AD78-AD75</f>
        <v>72092</v>
      </c>
      <c r="AE79" s="9">
        <f>Z79+AE78-AE75</f>
        <v>72092</v>
      </c>
      <c r="AF79" s="10">
        <f>AE79+AF78-AF75</f>
        <v>72092</v>
      </c>
      <c r="AG79" s="10">
        <f>AF79+AG78-AG75</f>
        <v>72092</v>
      </c>
      <c r="AH79" s="10">
        <f>AG79+AH78-AH75</f>
        <v>72092</v>
      </c>
      <c r="AI79" s="10">
        <f t="shared" ref="AI79:AJ79" si="49">AH79+AI78-AI75</f>
        <v>72092</v>
      </c>
      <c r="AJ79" s="10">
        <f t="shared" si="49"/>
        <v>72092</v>
      </c>
      <c r="AK79" s="9">
        <f>AE79+AK78-AK75</f>
        <v>72092</v>
      </c>
      <c r="AL79" s="11">
        <f>T79+AL78-AL75</f>
        <v>72092</v>
      </c>
      <c r="AM79" s="4"/>
      <c r="AN79" s="56">
        <v>0</v>
      </c>
      <c r="AO79" s="56">
        <v>0</v>
      </c>
    </row>
    <row r="80" spans="1:41" s="18" customFormat="1" ht="16.25" customHeight="1" thickBot="1">
      <c r="A80" s="58"/>
      <c r="B80" s="19" t="s">
        <v>9</v>
      </c>
      <c r="C80" s="9"/>
      <c r="D80" s="9"/>
      <c r="E80" s="57" t="e">
        <f>E79/(SUM(F75+H75+#REF!+#REF!)/20)*1000</f>
        <v>#REF!</v>
      </c>
      <c r="F80" s="57" t="e">
        <f>F79/(SUM(#REF!+#REF!+J75+H75)/20)*1000</f>
        <v>#REF!</v>
      </c>
      <c r="G80" s="57" t="e">
        <f>G79/(SUM(H75+K75+J75+#REF!)/20)*1000</f>
        <v>#REF!</v>
      </c>
      <c r="H80" s="57" t="e">
        <f>H79/(SUM(#REF!+J75+K75+L75)/20)*1000</f>
        <v>#REF!</v>
      </c>
      <c r="I80" s="12"/>
      <c r="J80" s="57">
        <f>J79/(SUM(K75+L75+M75+O75)/20)*1000</f>
        <v>-26189.602446483183</v>
      </c>
      <c r="K80" s="57">
        <f>K79/(SUM(L75+M75+O75+P75)/20)*1000</f>
        <v>-14723.778143876991</v>
      </c>
      <c r="L80" s="57">
        <f>L79/(SUM(M75+O75+P75+Q75)/20)*1000</f>
        <v>-24778.331761218167</v>
      </c>
      <c r="M80" s="57">
        <f>M79/(SUM(O75+P75+Q75+R75)/20)*1000</f>
        <v>53103.255554003073</v>
      </c>
      <c r="N80" s="12"/>
      <c r="O80" s="57">
        <f>O79/(SUM(P75+Q75+R75+S75)/20)*1000</f>
        <v>62371.270134671242</v>
      </c>
      <c r="P80" s="57" t="e">
        <f>P79/(SUM(Q75+R75+#REF!+S75)/20)*1000</f>
        <v>#REF!</v>
      </c>
      <c r="Q80" s="57" t="e">
        <f>Q79/(SUM(R75+S75+#REF!+#REF!)/20)*1000</f>
        <v>#REF!</v>
      </c>
      <c r="R80" s="57" t="e">
        <f>R79/(SUM(S75+#REF!+#REF!+#REF!)/20)*1000</f>
        <v>#REF!</v>
      </c>
      <c r="S80" s="57" t="e">
        <f>S79/(SUM(#REF!+#REF!+#REF!+#REF!)/20)*1000</f>
        <v>#REF!</v>
      </c>
      <c r="T80" s="12"/>
      <c r="U80" s="13"/>
      <c r="V80" s="57" t="e">
        <f>V79/(SUM(W75+Y75+#REF!+#REF!)/20)*1000</f>
        <v>#REF!</v>
      </c>
      <c r="W80" s="57" t="e">
        <f>W79/(SUM(#REF!+#REF!+AA75+Y75)/20)*1000</f>
        <v>#REF!</v>
      </c>
      <c r="X80" s="57" t="e">
        <f>X79/(SUM(Y75+AB75+AA75+#REF!)/20)*1000</f>
        <v>#REF!</v>
      </c>
      <c r="Y80" s="57" t="e">
        <f>Y79/(SUM(#REF!+AA75+AB75+AC75)/20)*1000</f>
        <v>#REF!</v>
      </c>
      <c r="Z80" s="12"/>
      <c r="AA80" s="57" t="e">
        <f>AA79/(SUM(AB75+AC75+AD75+AF75)/20)*1000</f>
        <v>#DIV/0!</v>
      </c>
      <c r="AB80" s="57" t="e">
        <f>AB79/(SUM(AC75+AD75+AF75+AG75)/20)*1000</f>
        <v>#DIV/0!</v>
      </c>
      <c r="AC80" s="57" t="e">
        <f>AC79/(SUM(AD75+AF75+AG75+AH75)/20)*1000</f>
        <v>#DIV/0!</v>
      </c>
      <c r="AD80" s="57" t="e">
        <f>AD79/(SUM(AF75+AG75+AH75+AI75)/20)*1000</f>
        <v>#DIV/0!</v>
      </c>
      <c r="AE80" s="12"/>
      <c r="AF80" s="57" t="e">
        <f>AF79/(SUM(AG75+AH75+AI75+AJ75)/20)*1000</f>
        <v>#DIV/0!</v>
      </c>
      <c r="AG80" s="57" t="e">
        <f>AG79/(SUM(AH75+AI75+#REF!+AJ75)/20)*1000</f>
        <v>#REF!</v>
      </c>
      <c r="AH80" s="57" t="e">
        <f>AH79/(SUM(AI75+AJ75+#REF!+#REF!)/20)*1000</f>
        <v>#REF!</v>
      </c>
      <c r="AI80" s="57" t="e">
        <f>AI79/(SUM(AJ75+#REF!+#REF!+#REF!)/20)*1000</f>
        <v>#REF!</v>
      </c>
      <c r="AJ80" s="57" t="e">
        <f>AJ79/(SUM(#REF!+#REF!+#REF!+#REF!)/20)*1000</f>
        <v>#REF!</v>
      </c>
      <c r="AK80" s="12"/>
      <c r="AL80" s="13"/>
      <c r="AM80" s="4"/>
      <c r="AN80" s="56">
        <v>0</v>
      </c>
      <c r="AO80" s="56">
        <v>0</v>
      </c>
    </row>
    <row r="81" spans="1:41" s="18" customFormat="1" ht="15.75" customHeight="1">
      <c r="A81" s="156" t="s">
        <v>20</v>
      </c>
      <c r="B81" s="19" t="s">
        <v>5</v>
      </c>
      <c r="C81" s="9"/>
      <c r="D81" s="9"/>
      <c r="E81" s="16"/>
      <c r="F81" s="16">
        <v>9125</v>
      </c>
      <c r="G81" s="16">
        <v>-7568</v>
      </c>
      <c r="H81" s="16">
        <v>813</v>
      </c>
      <c r="I81" s="9">
        <f>SUM(E81:H81)</f>
        <v>2370</v>
      </c>
      <c r="J81" s="16">
        <v>4651</v>
      </c>
      <c r="K81" s="16">
        <v>218</v>
      </c>
      <c r="L81" s="60">
        <v>1319</v>
      </c>
      <c r="M81" s="10">
        <v>295</v>
      </c>
      <c r="N81" s="9">
        <f>SUM(J81:M81)</f>
        <v>6483</v>
      </c>
      <c r="O81" s="10">
        <v>140</v>
      </c>
      <c r="P81" s="60">
        <v>291</v>
      </c>
      <c r="Q81" s="60">
        <v>344</v>
      </c>
      <c r="R81" s="60">
        <v>1343</v>
      </c>
      <c r="S81" s="60">
        <v>0</v>
      </c>
      <c r="T81" s="9">
        <f>SUM(O81:S81)</f>
        <v>2118</v>
      </c>
      <c r="U81" s="11">
        <f>T81+N81+I81+D85</f>
        <v>22495</v>
      </c>
      <c r="V81" s="10">
        <v>0</v>
      </c>
      <c r="W81" s="60">
        <v>0</v>
      </c>
      <c r="X81" s="60">
        <v>0</v>
      </c>
      <c r="Y81" s="10">
        <v>0</v>
      </c>
      <c r="Z81" s="9">
        <f>SUM(V81:Y81)</f>
        <v>0</v>
      </c>
      <c r="AA81" s="60">
        <v>0</v>
      </c>
      <c r="AB81" s="10">
        <v>0</v>
      </c>
      <c r="AC81" s="60">
        <v>0</v>
      </c>
      <c r="AD81" s="10">
        <v>0</v>
      </c>
      <c r="AE81" s="9">
        <f>SUM(AA81:AD81)</f>
        <v>0</v>
      </c>
      <c r="AF81" s="10">
        <v>0</v>
      </c>
      <c r="AG81" s="60">
        <v>0</v>
      </c>
      <c r="AH81" s="60">
        <v>0</v>
      </c>
      <c r="AI81" s="60">
        <v>0</v>
      </c>
      <c r="AJ81" s="60">
        <v>0</v>
      </c>
      <c r="AK81" s="9">
        <f>SUM(AF81:AJ81)</f>
        <v>0</v>
      </c>
      <c r="AL81" s="11">
        <f>AK81+AE81+Z81</f>
        <v>0</v>
      </c>
      <c r="AM81" s="4">
        <v>128</v>
      </c>
      <c r="AN81" s="56">
        <v>2879360</v>
      </c>
      <c r="AO81" s="56">
        <v>0</v>
      </c>
    </row>
    <row r="82" spans="1:41" s="18" customFormat="1" ht="15.75" customHeight="1">
      <c r="A82" s="157"/>
      <c r="B82" s="19" t="s">
        <v>6</v>
      </c>
      <c r="C82" s="9"/>
      <c r="D82" s="9"/>
      <c r="E82" s="16"/>
      <c r="F82" s="16">
        <v>9125</v>
      </c>
      <c r="G82" s="16">
        <v>0</v>
      </c>
      <c r="H82" s="16">
        <v>0</v>
      </c>
      <c r="I82" s="10">
        <f>SUM(E82:H82)</f>
        <v>9125</v>
      </c>
      <c r="J82" s="16">
        <v>0</v>
      </c>
      <c r="K82" s="16">
        <v>1500</v>
      </c>
      <c r="L82" s="10">
        <v>0</v>
      </c>
      <c r="M82" s="10">
        <v>5000</v>
      </c>
      <c r="N82" s="10">
        <f>SUM(J82:M82)</f>
        <v>6500</v>
      </c>
      <c r="O82" s="10">
        <v>0</v>
      </c>
      <c r="P82" s="10">
        <v>0</v>
      </c>
      <c r="Q82" s="10">
        <v>0</v>
      </c>
      <c r="R82" s="10">
        <v>0</v>
      </c>
      <c r="S82" s="10">
        <v>5000</v>
      </c>
      <c r="T82" s="15">
        <f>SUM(O82:S82)</f>
        <v>5000</v>
      </c>
      <c r="U82" s="11"/>
      <c r="V82" s="10">
        <v>0</v>
      </c>
      <c r="W82" s="10">
        <v>0</v>
      </c>
      <c r="X82" s="10">
        <v>0</v>
      </c>
      <c r="Y82" s="10">
        <v>0</v>
      </c>
      <c r="Z82" s="15">
        <f>SUM(V82:Y82)</f>
        <v>0</v>
      </c>
      <c r="AA82" s="10">
        <v>0</v>
      </c>
      <c r="AB82" s="10">
        <v>0</v>
      </c>
      <c r="AC82" s="10">
        <v>0</v>
      </c>
      <c r="AD82" s="10">
        <v>0</v>
      </c>
      <c r="AE82" s="15">
        <f>SUM(AA82:AD82)</f>
        <v>0</v>
      </c>
      <c r="AF82" s="10">
        <v>0</v>
      </c>
      <c r="AG82" s="10">
        <v>0</v>
      </c>
      <c r="AH82" s="10">
        <v>0</v>
      </c>
      <c r="AI82" s="10">
        <v>0</v>
      </c>
      <c r="AJ82" s="10">
        <v>0</v>
      </c>
      <c r="AK82" s="15">
        <f>SUM(AF82:AJ82)</f>
        <v>0</v>
      </c>
      <c r="AL82" s="11"/>
      <c r="AM82" s="4"/>
      <c r="AN82" s="56">
        <v>0</v>
      </c>
      <c r="AO82" s="56">
        <v>0</v>
      </c>
    </row>
    <row r="83" spans="1:41" s="18" customFormat="1" ht="15" customHeight="1">
      <c r="A83" s="157"/>
      <c r="B83" s="19" t="s">
        <v>10</v>
      </c>
      <c r="C83" s="9">
        <v>1875</v>
      </c>
      <c r="D83" s="9"/>
      <c r="E83" s="9"/>
      <c r="F83" s="9"/>
      <c r="G83" s="9"/>
      <c r="H83" s="9">
        <f>C83</f>
        <v>1875</v>
      </c>
      <c r="I83" s="15">
        <f>E83+F83+G83+H83</f>
        <v>1875</v>
      </c>
      <c r="J83" s="9"/>
      <c r="K83" s="9"/>
      <c r="L83" s="9"/>
      <c r="M83" s="9"/>
      <c r="N83" s="15">
        <f>J83+K83+L83+M83</f>
        <v>0</v>
      </c>
      <c r="O83" s="9"/>
      <c r="P83" s="9"/>
      <c r="Q83" s="9"/>
      <c r="R83" s="9"/>
      <c r="S83" s="9"/>
      <c r="T83" s="15">
        <f>SUM(O83:S83)</f>
        <v>0</v>
      </c>
      <c r="U83" s="11"/>
      <c r="V83" s="9"/>
      <c r="W83" s="9"/>
      <c r="X83" s="9"/>
      <c r="Y83" s="9"/>
      <c r="Z83" s="15">
        <f>V83+W83+X83+Y83</f>
        <v>0</v>
      </c>
      <c r="AA83" s="9"/>
      <c r="AB83" s="9"/>
      <c r="AC83" s="9"/>
      <c r="AD83" s="9"/>
      <c r="AE83" s="15">
        <f>AA83+AB83+AC83+AD83</f>
        <v>0</v>
      </c>
      <c r="AF83" s="9"/>
      <c r="AG83" s="9"/>
      <c r="AH83" s="9"/>
      <c r="AI83" s="9"/>
      <c r="AJ83" s="9"/>
      <c r="AK83" s="15">
        <f>SUM(AF83:AJ83)</f>
        <v>0</v>
      </c>
      <c r="AL83" s="17">
        <f>Z83+AE83+AK83</f>
        <v>0</v>
      </c>
      <c r="AM83" s="4"/>
      <c r="AN83" s="56">
        <v>0</v>
      </c>
      <c r="AO83" s="56">
        <v>0</v>
      </c>
    </row>
    <row r="84" spans="1:41" s="18" customFormat="1" ht="15.75" customHeight="1">
      <c r="A84" s="157"/>
      <c r="B84" s="19" t="s">
        <v>7</v>
      </c>
      <c r="C84" s="9"/>
      <c r="D84" s="9"/>
      <c r="E84" s="10">
        <f>E83+E82</f>
        <v>0</v>
      </c>
      <c r="F84" s="10">
        <f>F83+F82</f>
        <v>9125</v>
      </c>
      <c r="G84" s="10">
        <f t="shared" ref="G84" si="50">G83+G82</f>
        <v>0</v>
      </c>
      <c r="H84" s="10">
        <f>H83+H82</f>
        <v>1875</v>
      </c>
      <c r="I84" s="9">
        <f>SUM(E84:H84)</f>
        <v>11000</v>
      </c>
      <c r="J84" s="10">
        <f>J83+J82</f>
        <v>0</v>
      </c>
      <c r="K84" s="10">
        <f>K83+K82</f>
        <v>1500</v>
      </c>
      <c r="L84" s="10">
        <f>L83+L82</f>
        <v>0</v>
      </c>
      <c r="M84" s="10">
        <f>M83+M82</f>
        <v>5000</v>
      </c>
      <c r="N84" s="9">
        <f>SUM(J84:M84)</f>
        <v>6500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5000</v>
      </c>
      <c r="T84" s="9">
        <f>SUM(O84:S84)</f>
        <v>5000</v>
      </c>
      <c r="U84" s="11">
        <f>T84+N84+I84+D85</f>
        <v>34024</v>
      </c>
      <c r="V84" s="10">
        <f>V83+V82</f>
        <v>0</v>
      </c>
      <c r="W84" s="10">
        <f>W83+W82</f>
        <v>0</v>
      </c>
      <c r="X84" s="10">
        <f t="shared" ref="X84" si="51"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4"/>
      <c r="AN84" s="56">
        <v>0</v>
      </c>
      <c r="AO84" s="56">
        <v>0</v>
      </c>
    </row>
    <row r="85" spans="1:41" s="18" customFormat="1" ht="15.75" customHeight="1" thickBot="1">
      <c r="A85" s="158"/>
      <c r="B85" s="19" t="s">
        <v>8</v>
      </c>
      <c r="C85" s="65">
        <v>18772</v>
      </c>
      <c r="D85" s="22">
        <v>11524</v>
      </c>
      <c r="E85" s="10">
        <f>E84-E81</f>
        <v>0</v>
      </c>
      <c r="F85" s="10">
        <f>E85+F84-F81</f>
        <v>0</v>
      </c>
      <c r="G85" s="10">
        <f>F85+G84-G81</f>
        <v>7568</v>
      </c>
      <c r="H85" s="10">
        <f>G85+H84-H81</f>
        <v>8630</v>
      </c>
      <c r="I85" s="9">
        <f>I84-I81</f>
        <v>8630</v>
      </c>
      <c r="J85" s="10">
        <f>I85+J84-J81</f>
        <v>3979</v>
      </c>
      <c r="K85" s="10">
        <f>J85+K84-K81</f>
        <v>5261</v>
      </c>
      <c r="L85" s="10">
        <f>K85+L84-L81</f>
        <v>3942</v>
      </c>
      <c r="M85" s="10">
        <f>L85+M84-M81</f>
        <v>8647</v>
      </c>
      <c r="N85" s="9">
        <f>I85+N84-N81</f>
        <v>8647</v>
      </c>
      <c r="O85" s="10">
        <f>N85+O84-O81</f>
        <v>8507</v>
      </c>
      <c r="P85" s="10">
        <f>O85+P84-P81</f>
        <v>8216</v>
      </c>
      <c r="Q85" s="10">
        <f>P85+Q84-Q81</f>
        <v>7872</v>
      </c>
      <c r="R85" s="10">
        <f t="shared" ref="R85:S85" si="52">Q85+R84-R81</f>
        <v>6529</v>
      </c>
      <c r="S85" s="10">
        <f t="shared" si="52"/>
        <v>11529</v>
      </c>
      <c r="T85" s="9">
        <f>N85+T84-T81</f>
        <v>11529</v>
      </c>
      <c r="U85" s="11">
        <f>U84-U81</f>
        <v>11529</v>
      </c>
      <c r="V85" s="10">
        <f>U85+V84-V81</f>
        <v>11529</v>
      </c>
      <c r="W85" s="10">
        <f>V85+W84-W81</f>
        <v>11529</v>
      </c>
      <c r="X85" s="10">
        <f>W85+X84-X81</f>
        <v>11529</v>
      </c>
      <c r="Y85" s="10">
        <f>X85+Y84-Y81</f>
        <v>11529</v>
      </c>
      <c r="Z85" s="9">
        <f>T85+Z84-Z81</f>
        <v>11529</v>
      </c>
      <c r="AA85" s="10">
        <f>Z85+AA84-AA81</f>
        <v>11529</v>
      </c>
      <c r="AB85" s="10">
        <f>AA85+AB84-AB81</f>
        <v>11529</v>
      </c>
      <c r="AC85" s="10">
        <f>AB85+AC84-AC81</f>
        <v>11529</v>
      </c>
      <c r="AD85" s="10">
        <f>AC85+AD84-AD81</f>
        <v>11529</v>
      </c>
      <c r="AE85" s="9">
        <f>Z85+AE84-AE81</f>
        <v>11529</v>
      </c>
      <c r="AF85" s="10">
        <f>AE85+AF84-AF81</f>
        <v>11529</v>
      </c>
      <c r="AG85" s="10">
        <f>AF85+AG84-AG81</f>
        <v>11529</v>
      </c>
      <c r="AH85" s="10">
        <f>AG85+AH84-AH81</f>
        <v>11529</v>
      </c>
      <c r="AI85" s="10">
        <f t="shared" ref="AI85:AJ85" si="53">AH85+AI84-AI81</f>
        <v>11529</v>
      </c>
      <c r="AJ85" s="10">
        <f t="shared" si="53"/>
        <v>11529</v>
      </c>
      <c r="AK85" s="9">
        <f>AE85+AK84-AK81</f>
        <v>11529</v>
      </c>
      <c r="AL85" s="11">
        <f>T85+AL84-AL81</f>
        <v>11529</v>
      </c>
      <c r="AM85" s="4"/>
      <c r="AN85" s="56">
        <v>0</v>
      </c>
      <c r="AO85" s="56">
        <v>0</v>
      </c>
    </row>
    <row r="86" spans="1:41" s="18" customFormat="1" ht="13.75" customHeight="1" thickBot="1">
      <c r="A86" s="23"/>
      <c r="B86" s="19" t="s">
        <v>9</v>
      </c>
      <c r="C86" s="15"/>
      <c r="D86" s="15"/>
      <c r="E86" s="57">
        <v>0</v>
      </c>
      <c r="F86" s="57">
        <v>0</v>
      </c>
      <c r="G86" s="57">
        <v>0</v>
      </c>
      <c r="H86" s="57">
        <v>1348.9089706854752</v>
      </c>
      <c r="I86" s="12"/>
      <c r="J86" s="57">
        <v>-12046.854244656442</v>
      </c>
      <c r="K86" s="57">
        <v>-27401.929260450161</v>
      </c>
      <c r="L86" s="57">
        <v>-25715.183904432568</v>
      </c>
      <c r="M86" s="57"/>
      <c r="N86" s="12"/>
      <c r="O86" s="57"/>
      <c r="P86" s="57"/>
      <c r="Q86" s="57">
        <v>9.5266027261060113</v>
      </c>
      <c r="R86" s="57">
        <v>-112.18591285752471</v>
      </c>
      <c r="S86" s="57"/>
      <c r="T86" s="12"/>
      <c r="U86" s="13"/>
      <c r="V86" s="57">
        <v>0</v>
      </c>
      <c r="W86" s="57">
        <v>0</v>
      </c>
      <c r="X86" s="57">
        <v>0</v>
      </c>
      <c r="Y86" s="57">
        <v>1348.9089706854752</v>
      </c>
      <c r="Z86" s="12"/>
      <c r="AA86" s="57">
        <v>-12046.854244656442</v>
      </c>
      <c r="AB86" s="57">
        <v>-27401.929260450161</v>
      </c>
      <c r="AC86" s="57">
        <v>-25715.183904432568</v>
      </c>
      <c r="AD86" s="57"/>
      <c r="AE86" s="12"/>
      <c r="AF86" s="57"/>
      <c r="AG86" s="57"/>
      <c r="AH86" s="57">
        <v>9.5266027261060113</v>
      </c>
      <c r="AI86" s="57">
        <v>-112.18591285752471</v>
      </c>
      <c r="AJ86" s="57"/>
      <c r="AK86" s="12"/>
      <c r="AL86" s="13"/>
    </row>
    <row r="87" spans="1:41" s="18" customFormat="1" ht="15.75" customHeight="1" thickBot="1">
      <c r="A87" s="156" t="s">
        <v>51</v>
      </c>
      <c r="B87" s="19" t="s">
        <v>5</v>
      </c>
      <c r="C87" s="9"/>
      <c r="D87" s="9"/>
      <c r="E87" s="16"/>
      <c r="F87" s="16"/>
      <c r="G87" s="16"/>
      <c r="H87" s="16"/>
      <c r="I87" s="9">
        <f>SUM(E87:H87)</f>
        <v>0</v>
      </c>
      <c r="J87" s="16"/>
      <c r="K87" s="16"/>
      <c r="L87" s="16"/>
      <c r="M87" s="16"/>
      <c r="N87" s="9">
        <f>SUM(J87:M87)</f>
        <v>0</v>
      </c>
      <c r="O87" s="10"/>
      <c r="P87" s="60"/>
      <c r="Q87" s="60"/>
      <c r="R87" s="60"/>
      <c r="S87" s="60"/>
      <c r="T87" s="9">
        <f>SUM(O87:S87)</f>
        <v>0</v>
      </c>
      <c r="U87" s="11">
        <f>T87+N87+I87+D91</f>
        <v>0</v>
      </c>
      <c r="V87" s="60"/>
      <c r="W87" s="60"/>
      <c r="X87" s="10"/>
      <c r="Y87" s="60"/>
      <c r="Z87" s="9">
        <f>SUM(V87:Y87)</f>
        <v>0</v>
      </c>
      <c r="AA87" s="60"/>
      <c r="AB87" s="10"/>
      <c r="AC87" s="60"/>
      <c r="AD87" s="10"/>
      <c r="AE87" s="9">
        <f>SUM(AA87:AD87)</f>
        <v>0</v>
      </c>
      <c r="AF87" s="10"/>
      <c r="AG87" s="60"/>
      <c r="AH87" s="60"/>
      <c r="AI87" s="60"/>
      <c r="AJ87" s="60"/>
      <c r="AK87" s="9">
        <f>SUM(AF87:AJ87)</f>
        <v>0</v>
      </c>
      <c r="AL87" s="11">
        <f>AK87+AE87+Z87</f>
        <v>0</v>
      </c>
      <c r="AM87" s="4">
        <v>128</v>
      </c>
      <c r="AN87" s="56">
        <v>0</v>
      </c>
      <c r="AO87" s="56">
        <v>0</v>
      </c>
    </row>
    <row r="88" spans="1:41" s="18" customFormat="1" ht="15.75" customHeight="1">
      <c r="A88" s="157"/>
      <c r="B88" s="19" t="s">
        <v>6</v>
      </c>
      <c r="C88" s="9"/>
      <c r="D88" s="9"/>
      <c r="E88" s="16"/>
      <c r="F88" s="16"/>
      <c r="G88" s="16"/>
      <c r="H88" s="16"/>
      <c r="I88" s="10">
        <f>SUM(E88:H88)</f>
        <v>0</v>
      </c>
      <c r="J88" s="16"/>
      <c r="K88" s="16"/>
      <c r="L88" s="16"/>
      <c r="M88" s="16"/>
      <c r="N88" s="10">
        <f>SUM(J88:M88)</f>
        <v>0</v>
      </c>
      <c r="O88" s="10"/>
      <c r="P88" s="10"/>
      <c r="Q88" s="10"/>
      <c r="R88" s="10"/>
      <c r="S88" s="10"/>
      <c r="T88" s="15">
        <f>SUM(O88:S88)</f>
        <v>0</v>
      </c>
      <c r="U88" s="11"/>
      <c r="V88" s="60"/>
      <c r="W88" s="10"/>
      <c r="X88" s="10"/>
      <c r="Y88" s="60"/>
      <c r="Z88" s="15">
        <f>SUM(V88:Y88)</f>
        <v>0</v>
      </c>
      <c r="AA88" s="10"/>
      <c r="AB88" s="10"/>
      <c r="AC88" s="60"/>
      <c r="AD88" s="10"/>
      <c r="AE88" s="15">
        <f>SUM(AA88:AD88)</f>
        <v>0</v>
      </c>
      <c r="AF88" s="10"/>
      <c r="AG88" s="10"/>
      <c r="AH88" s="10"/>
      <c r="AI88" s="10"/>
      <c r="AJ88" s="10"/>
      <c r="AK88" s="15">
        <f>SUM(AF88:AJ88)</f>
        <v>0</v>
      </c>
      <c r="AL88" s="11"/>
      <c r="AM88" s="4"/>
      <c r="AN88" s="56">
        <v>0</v>
      </c>
      <c r="AO88" s="56">
        <v>0</v>
      </c>
    </row>
    <row r="89" spans="1:41" s="18" customFormat="1" ht="15" customHeight="1">
      <c r="A89" s="157"/>
      <c r="B89" s="19" t="s">
        <v>10</v>
      </c>
      <c r="C89" s="9"/>
      <c r="D89" s="9"/>
      <c r="E89" s="9"/>
      <c r="F89" s="10"/>
      <c r="G89" s="9"/>
      <c r="H89" s="9"/>
      <c r="I89" s="15">
        <f>E89+F89+G89+H89</f>
        <v>0</v>
      </c>
      <c r="J89" s="9"/>
      <c r="K89" s="9"/>
      <c r="L89" s="10"/>
      <c r="M89" s="9"/>
      <c r="N89" s="15">
        <f>J89+K89+L89+M89</f>
        <v>0</v>
      </c>
      <c r="O89" s="10"/>
      <c r="P89" s="10"/>
      <c r="Q89" s="9"/>
      <c r="R89" s="10"/>
      <c r="S89" s="10"/>
      <c r="T89" s="15">
        <f>SUM(O89:S89)</f>
        <v>0</v>
      </c>
      <c r="U89" s="11"/>
      <c r="V89" s="9"/>
      <c r="W89" s="10"/>
      <c r="X89" s="9"/>
      <c r="Y89" s="9"/>
      <c r="Z89" s="15">
        <f>V89+W89+X89+Y89</f>
        <v>0</v>
      </c>
      <c r="AA89" s="9"/>
      <c r="AB89" s="9"/>
      <c r="AC89" s="10"/>
      <c r="AD89" s="9"/>
      <c r="AE89" s="15">
        <f>AA89+AB89+AC89+AD89</f>
        <v>0</v>
      </c>
      <c r="AF89" s="10"/>
      <c r="AG89" s="10"/>
      <c r="AH89" s="9"/>
      <c r="AI89" s="10"/>
      <c r="AJ89" s="10"/>
      <c r="AK89" s="15">
        <f>SUM(AF89:AJ89)</f>
        <v>0</v>
      </c>
      <c r="AL89" s="17">
        <f>Z89+AE89+AK89</f>
        <v>0</v>
      </c>
      <c r="AM89" s="4"/>
      <c r="AN89" s="56">
        <v>0</v>
      </c>
      <c r="AO89" s="56">
        <v>0</v>
      </c>
    </row>
    <row r="90" spans="1:41" s="18" customFormat="1" ht="15.75" customHeight="1">
      <c r="A90" s="157"/>
      <c r="B90" s="19" t="s">
        <v>7</v>
      </c>
      <c r="C90" s="9"/>
      <c r="D90" s="9"/>
      <c r="E90" s="10">
        <f>E89+E88</f>
        <v>0</v>
      </c>
      <c r="F90" s="10">
        <f>F89+F88</f>
        <v>0</v>
      </c>
      <c r="G90" s="10">
        <f t="shared" ref="G90" si="54"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 t="shared" ref="X90" si="55"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4"/>
      <c r="AN90" s="56">
        <v>0</v>
      </c>
      <c r="AO90" s="56">
        <v>0</v>
      </c>
    </row>
    <row r="91" spans="1:41" s="18" customFormat="1" ht="15.75" customHeight="1" thickBot="1">
      <c r="A91" s="158"/>
      <c r="B91" s="19" t="s">
        <v>8</v>
      </c>
      <c r="C91" s="65"/>
      <c r="D91" s="22"/>
      <c r="E91" s="10">
        <f>E90-E87</f>
        <v>0</v>
      </c>
      <c r="F91" s="10">
        <f>E91+F90-F87</f>
        <v>0</v>
      </c>
      <c r="G91" s="10">
        <f>F91+G90-G87</f>
        <v>0</v>
      </c>
      <c r="H91" s="10">
        <f>G91+H90-H87</f>
        <v>0</v>
      </c>
      <c r="I91" s="9">
        <f>I90-I87</f>
        <v>0</v>
      </c>
      <c r="J91" s="10">
        <f>I91+J90-J87</f>
        <v>0</v>
      </c>
      <c r="K91" s="10">
        <f>J91+K90-K87</f>
        <v>0</v>
      </c>
      <c r="L91" s="10">
        <f>K91+L90-L87</f>
        <v>0</v>
      </c>
      <c r="M91" s="10">
        <f>L91+M90-M87</f>
        <v>0</v>
      </c>
      <c r="N91" s="9">
        <f>I91+N90-N87</f>
        <v>0</v>
      </c>
      <c r="O91" s="10">
        <f>N91+O90-O87</f>
        <v>0</v>
      </c>
      <c r="P91" s="10">
        <f>O91+P90-P87</f>
        <v>0</v>
      </c>
      <c r="Q91" s="10">
        <f>P91+Q90-Q87</f>
        <v>0</v>
      </c>
      <c r="R91" s="10">
        <f t="shared" ref="R91:S91" si="56">Q91+R90-R87</f>
        <v>0</v>
      </c>
      <c r="S91" s="10">
        <f t="shared" si="56"/>
        <v>0</v>
      </c>
      <c r="T91" s="9">
        <f>N91+T90-T87</f>
        <v>0</v>
      </c>
      <c r="U91" s="11">
        <f>U90-U87</f>
        <v>0</v>
      </c>
      <c r="V91" s="10">
        <f>U91+V90-V87</f>
        <v>0</v>
      </c>
      <c r="W91" s="10">
        <f>V91+W90-W87</f>
        <v>0</v>
      </c>
      <c r="X91" s="10">
        <f>W91+X90-X87</f>
        <v>0</v>
      </c>
      <c r="Y91" s="10">
        <f>X91+Y90-Y87</f>
        <v>0</v>
      </c>
      <c r="Z91" s="9">
        <f>T91+Z90-Z87</f>
        <v>0</v>
      </c>
      <c r="AA91" s="10">
        <f>Z91+AA90-AA87</f>
        <v>0</v>
      </c>
      <c r="AB91" s="10">
        <f>AA91+AB90-AB87</f>
        <v>0</v>
      </c>
      <c r="AC91" s="10">
        <f>AB91+AC90-AC87</f>
        <v>0</v>
      </c>
      <c r="AD91" s="10">
        <f>AC91+AD90-AD87</f>
        <v>0</v>
      </c>
      <c r="AE91" s="9">
        <f>Z91+AE90-AE87</f>
        <v>0</v>
      </c>
      <c r="AF91" s="10">
        <f>AE91+AF90-AF87</f>
        <v>0</v>
      </c>
      <c r="AG91" s="10">
        <f>AF91+AG90-AG87</f>
        <v>0</v>
      </c>
      <c r="AH91" s="10">
        <f>AG91+AH90-AH87</f>
        <v>0</v>
      </c>
      <c r="AI91" s="10">
        <f t="shared" ref="AI91:AJ91" si="57">AH91+AI90-AI87</f>
        <v>0</v>
      </c>
      <c r="AJ91" s="10">
        <f t="shared" si="57"/>
        <v>0</v>
      </c>
      <c r="AK91" s="9">
        <f>AE91+AK90-AK87</f>
        <v>0</v>
      </c>
      <c r="AL91" s="11">
        <f>T91+AL90-AL87</f>
        <v>0</v>
      </c>
      <c r="AM91" s="4"/>
      <c r="AN91" s="56">
        <v>0</v>
      </c>
      <c r="AO91" s="56">
        <v>0</v>
      </c>
    </row>
    <row r="92" spans="1:41" s="18" customFormat="1" ht="16.25" customHeight="1" thickBot="1">
      <c r="A92" s="58"/>
      <c r="B92" s="19" t="s">
        <v>9</v>
      </c>
      <c r="C92" s="9"/>
      <c r="D92" s="9"/>
      <c r="E92" s="57" t="e">
        <f>E91/(SUM(F87+H87+#REF!+G87)/20)*1000</f>
        <v>#REF!</v>
      </c>
      <c r="F92" s="57" t="e">
        <f>F91/(SUM(G87+#REF!+J87+H87)/20)*1000</f>
        <v>#REF!</v>
      </c>
      <c r="G92" s="57" t="e">
        <f>G91/(SUM(H87+K87+J87+#REF!)/20)*1000</f>
        <v>#REF!</v>
      </c>
      <c r="H92" s="57" t="e">
        <f>H91/(SUM(#REF!+J87+K87+L87)/20)*1000</f>
        <v>#REF!</v>
      </c>
      <c r="I92" s="12"/>
      <c r="J92" s="57" t="e">
        <f>J91/(SUM(K87+L87+M87+O87)/20)*1000</f>
        <v>#DIV/0!</v>
      </c>
      <c r="K92" s="57" t="e">
        <f>K91/(SUM(L87+M87+O87+P87)/20)*1000</f>
        <v>#DIV/0!</v>
      </c>
      <c r="L92" s="57" t="e">
        <f>L91/(SUM(M87+O87+P87+Q87)/20)*1000</f>
        <v>#DIV/0!</v>
      </c>
      <c r="M92" s="57" t="e">
        <f>M91/(SUM(O87+P87+Q87+R87)/20)*1000</f>
        <v>#DIV/0!</v>
      </c>
      <c r="N92" s="12"/>
      <c r="O92" s="57" t="e">
        <f>O91/(SUM(P87+Q87+R87+S87)/20)*1000</f>
        <v>#DIV/0!</v>
      </c>
      <c r="P92" s="57" t="e">
        <f>P91/(SUM(Q87+R87+#REF!+S87)/20)*1000</f>
        <v>#REF!</v>
      </c>
      <c r="Q92" s="57" t="e">
        <f>Q91/(SUM(R87+S87+#REF!+#REF!)/20)*1000</f>
        <v>#REF!</v>
      </c>
      <c r="R92" s="57" t="e">
        <f>R91/(SUM(S87+#REF!+#REF!+#REF!)/20)*1000</f>
        <v>#REF!</v>
      </c>
      <c r="S92" s="57" t="e">
        <f>S91/(SUM(#REF!+#REF!+#REF!+#REF!)/20)*1000</f>
        <v>#REF!</v>
      </c>
      <c r="T92" s="12"/>
      <c r="U92" s="13"/>
      <c r="V92" s="57" t="e">
        <f>V91/(SUM(W87+Y87+#REF!+X87)/20)*1000</f>
        <v>#REF!</v>
      </c>
      <c r="W92" s="57" t="e">
        <f>W91/(SUM(X87+#REF!+AA87+Y87)/20)*1000</f>
        <v>#REF!</v>
      </c>
      <c r="X92" s="57" t="e">
        <f>X91/(SUM(Y87+AB87+AA87+#REF!)/20)*1000</f>
        <v>#REF!</v>
      </c>
      <c r="Y92" s="57" t="e">
        <f>Y91/(SUM(#REF!+AA87+AB87+AC87)/20)*1000</f>
        <v>#REF!</v>
      </c>
      <c r="Z92" s="12"/>
      <c r="AA92" s="57" t="e">
        <f>AA91/(SUM(AB87+AC87+AD87+AF87)/20)*1000</f>
        <v>#DIV/0!</v>
      </c>
      <c r="AB92" s="57" t="e">
        <f>AB91/(SUM(AC87+AD87+AF87+AG87)/20)*1000</f>
        <v>#DIV/0!</v>
      </c>
      <c r="AC92" s="57" t="e">
        <f>AC91/(SUM(AD87+AF87+AG87+AH87)/20)*1000</f>
        <v>#DIV/0!</v>
      </c>
      <c r="AD92" s="57" t="e">
        <f>AD91/(SUM(AF87+AG87+AH87+AI87)/20)*1000</f>
        <v>#DIV/0!</v>
      </c>
      <c r="AE92" s="12"/>
      <c r="AF92" s="57" t="e">
        <f>AF91/(SUM(AG87+AH87+AI87+AJ87)/20)*1000</f>
        <v>#DIV/0!</v>
      </c>
      <c r="AG92" s="57" t="e">
        <f>AG91/(SUM(AH87+AI87+#REF!+AJ87)/20)*1000</f>
        <v>#REF!</v>
      </c>
      <c r="AH92" s="57" t="e">
        <f>AH91/(SUM(AI87+AJ87+#REF!+#REF!)/20)*1000</f>
        <v>#REF!</v>
      </c>
      <c r="AI92" s="57" t="e">
        <f>AI91/(SUM(AJ87+#REF!+#REF!+#REF!)/20)*1000</f>
        <v>#REF!</v>
      </c>
      <c r="AJ92" s="57" t="e">
        <f>AJ91/(SUM(#REF!+#REF!+#REF!+#REF!)/20)*1000</f>
        <v>#REF!</v>
      </c>
      <c r="AK92" s="12"/>
      <c r="AL92" s="13"/>
      <c r="AM92" s="4"/>
      <c r="AN92" s="56">
        <v>0</v>
      </c>
      <c r="AO92" s="56">
        <v>0</v>
      </c>
    </row>
    <row r="93" spans="1:41" s="18" customFormat="1" ht="15.75" customHeight="1" thickBot="1">
      <c r="A93" s="156" t="s">
        <v>28</v>
      </c>
      <c r="B93" s="19" t="s">
        <v>5</v>
      </c>
      <c r="C93" s="9"/>
      <c r="D93" s="9"/>
      <c r="E93" s="60">
        <v>47</v>
      </c>
      <c r="F93" s="60">
        <v>0</v>
      </c>
      <c r="G93" s="10">
        <v>-472</v>
      </c>
      <c r="H93" s="60">
        <v>0</v>
      </c>
      <c r="I93" s="9">
        <f>SUM(E93:H93)</f>
        <v>-425</v>
      </c>
      <c r="J93" s="60">
        <v>124590</v>
      </c>
      <c r="K93" s="10">
        <v>114518</v>
      </c>
      <c r="L93" s="60">
        <v>5004</v>
      </c>
      <c r="M93" s="10">
        <v>4282</v>
      </c>
      <c r="N93" s="9">
        <f>SUM(J93:M93)</f>
        <v>248394</v>
      </c>
      <c r="O93" s="10">
        <v>498686</v>
      </c>
      <c r="P93" s="60">
        <v>23169</v>
      </c>
      <c r="Q93" s="60">
        <v>421</v>
      </c>
      <c r="R93" s="60">
        <v>51148</v>
      </c>
      <c r="S93" s="60">
        <v>91300</v>
      </c>
      <c r="T93" s="9">
        <f>SUM(O93:S93)</f>
        <v>664724</v>
      </c>
      <c r="U93" s="11">
        <f>T93+N93+I93+D97</f>
        <v>918922</v>
      </c>
      <c r="V93" s="60">
        <v>347703</v>
      </c>
      <c r="W93" s="60">
        <v>80</v>
      </c>
      <c r="X93" s="10">
        <v>0</v>
      </c>
      <c r="Y93" s="60">
        <v>21465</v>
      </c>
      <c r="Z93" s="9">
        <f>SUM(V93:Y93)</f>
        <v>369248</v>
      </c>
      <c r="AA93" s="60">
        <v>4800</v>
      </c>
      <c r="AB93" s="10">
        <v>0</v>
      </c>
      <c r="AC93" s="60">
        <v>0</v>
      </c>
      <c r="AD93" s="10">
        <v>0</v>
      </c>
      <c r="AE93" s="9">
        <f>SUM(AA93:AD93)</f>
        <v>4800</v>
      </c>
      <c r="AF93" s="10">
        <v>0</v>
      </c>
      <c r="AG93" s="60">
        <v>0</v>
      </c>
      <c r="AH93" s="60">
        <v>0</v>
      </c>
      <c r="AI93" s="60">
        <v>0</v>
      </c>
      <c r="AJ93" s="60">
        <v>0</v>
      </c>
      <c r="AK93" s="9">
        <f>SUM(AF93:AJ93)</f>
        <v>0</v>
      </c>
      <c r="AL93" s="11">
        <f>AK93+AE93+Z93</f>
        <v>374048</v>
      </c>
      <c r="AM93" s="4">
        <v>64</v>
      </c>
      <c r="AN93" s="56">
        <v>58811008</v>
      </c>
      <c r="AO93" s="56">
        <v>23939072</v>
      </c>
    </row>
    <row r="94" spans="1:41" s="18" customFormat="1" ht="15.75" customHeight="1">
      <c r="A94" s="157"/>
      <c r="B94" s="19" t="s">
        <v>6</v>
      </c>
      <c r="C94" s="9"/>
      <c r="D94" s="9"/>
      <c r="E94" s="60">
        <v>47</v>
      </c>
      <c r="F94" s="10">
        <v>0</v>
      </c>
      <c r="G94" s="10">
        <v>0</v>
      </c>
      <c r="H94" s="60">
        <v>0</v>
      </c>
      <c r="I94" s="15">
        <f>SUM(E94:H94)</f>
        <v>47</v>
      </c>
      <c r="J94" s="10">
        <v>0</v>
      </c>
      <c r="K94" s="10">
        <v>0</v>
      </c>
      <c r="L94" s="60">
        <v>0</v>
      </c>
      <c r="M94" s="10">
        <v>210000</v>
      </c>
      <c r="N94" s="15">
        <f>SUM(J94:M94)</f>
        <v>210000</v>
      </c>
      <c r="O94" s="10">
        <v>0</v>
      </c>
      <c r="P94" s="10">
        <v>0</v>
      </c>
      <c r="Q94" s="10">
        <v>0</v>
      </c>
      <c r="R94" s="10">
        <v>0</v>
      </c>
      <c r="S94" s="10">
        <v>690000</v>
      </c>
      <c r="T94" s="15">
        <f>SUM(O94:S94)</f>
        <v>690000</v>
      </c>
      <c r="U94" s="11"/>
      <c r="V94" s="60">
        <v>0</v>
      </c>
      <c r="W94" s="10">
        <v>0</v>
      </c>
      <c r="X94" s="10">
        <v>0</v>
      </c>
      <c r="Y94" s="60">
        <v>350000</v>
      </c>
      <c r="Z94" s="15">
        <f>SUM(V94:Y94)</f>
        <v>350000</v>
      </c>
      <c r="AA94" s="10">
        <v>0</v>
      </c>
      <c r="AB94" s="10">
        <v>0</v>
      </c>
      <c r="AC94" s="60">
        <v>0</v>
      </c>
      <c r="AD94" s="10">
        <v>0</v>
      </c>
      <c r="AE94" s="15">
        <f>SUM(AA94:AD94)</f>
        <v>0</v>
      </c>
      <c r="AF94" s="10">
        <v>0</v>
      </c>
      <c r="AG94" s="10">
        <v>0</v>
      </c>
      <c r="AH94" s="10">
        <v>0</v>
      </c>
      <c r="AI94" s="10">
        <v>0</v>
      </c>
      <c r="AJ94" s="10">
        <v>0</v>
      </c>
      <c r="AK94" s="15">
        <f>SUM(AF94:AJ94)</f>
        <v>0</v>
      </c>
      <c r="AL94" s="11"/>
      <c r="AM94" s="4"/>
      <c r="AN94" s="56">
        <v>0</v>
      </c>
      <c r="AO94" s="56">
        <v>0</v>
      </c>
    </row>
    <row r="95" spans="1:41" s="18" customFormat="1" ht="15" customHeight="1">
      <c r="A95" s="157"/>
      <c r="B95" s="19" t="s">
        <v>10</v>
      </c>
      <c r="C95" s="9">
        <v>57000</v>
      </c>
      <c r="D95" s="9"/>
      <c r="E95" s="9"/>
      <c r="F95" s="10"/>
      <c r="G95" s="9"/>
      <c r="H95" s="9">
        <f>C95</f>
        <v>57000</v>
      </c>
      <c r="I95" s="15">
        <f>E95+F95+G95+H95</f>
        <v>57000</v>
      </c>
      <c r="J95" s="9"/>
      <c r="K95" s="9"/>
      <c r="L95" s="9"/>
      <c r="M95" s="9"/>
      <c r="N95" s="15">
        <f>J95+K95+L95+M95</f>
        <v>0</v>
      </c>
      <c r="O95" s="9"/>
      <c r="P95" s="10"/>
      <c r="Q95" s="9"/>
      <c r="R95" s="9"/>
      <c r="S95" s="9"/>
      <c r="T95" s="15">
        <f>SUM(O95:S95)</f>
        <v>0</v>
      </c>
      <c r="U95" s="11"/>
      <c r="V95" s="9"/>
      <c r="W95" s="10"/>
      <c r="X95" s="9"/>
      <c r="Y95" s="9"/>
      <c r="Z95" s="15">
        <f>V95+W95+X95+Y95</f>
        <v>0</v>
      </c>
      <c r="AA95" s="9"/>
      <c r="AB95" s="9"/>
      <c r="AC95" s="9"/>
      <c r="AD95" s="9"/>
      <c r="AE95" s="15">
        <f>AA95+AB95+AC95+AD95</f>
        <v>0</v>
      </c>
      <c r="AF95" s="9"/>
      <c r="AG95" s="10"/>
      <c r="AH95" s="9"/>
      <c r="AI95" s="9"/>
      <c r="AJ95" s="9"/>
      <c r="AK95" s="15">
        <f>SUM(AF95:AJ95)</f>
        <v>0</v>
      </c>
      <c r="AL95" s="17">
        <f>Z95+AE95+AK95</f>
        <v>0</v>
      </c>
      <c r="AM95" s="4"/>
      <c r="AN95" s="56">
        <v>0</v>
      </c>
      <c r="AO95" s="56">
        <v>0</v>
      </c>
    </row>
    <row r="96" spans="1:41" s="18" customFormat="1" ht="15.75" customHeight="1">
      <c r="A96" s="157"/>
      <c r="B96" s="19" t="s">
        <v>7</v>
      </c>
      <c r="C96" s="9"/>
      <c r="D96" s="9"/>
      <c r="E96" s="10">
        <f>E95+E94</f>
        <v>47</v>
      </c>
      <c r="F96" s="10">
        <f>F95+F94</f>
        <v>0</v>
      </c>
      <c r="G96" s="10">
        <f t="shared" ref="G96" si="58">G95+G94</f>
        <v>0</v>
      </c>
      <c r="H96" s="10">
        <f>H95+H94</f>
        <v>57000</v>
      </c>
      <c r="I96" s="9">
        <f>SUM(E96:H96)</f>
        <v>57047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210000</v>
      </c>
      <c r="N96" s="9">
        <f>SUM(J96:M96)</f>
        <v>210000</v>
      </c>
      <c r="O96" s="10">
        <f>O95+O94</f>
        <v>0</v>
      </c>
      <c r="P96" s="10">
        <f>P95+P94</f>
        <v>0</v>
      </c>
      <c r="Q96" s="10">
        <f>Q95+Q94</f>
        <v>0</v>
      </c>
      <c r="R96" s="10">
        <f>R95+R94</f>
        <v>0</v>
      </c>
      <c r="S96" s="10">
        <f>S95+S94</f>
        <v>690000</v>
      </c>
      <c r="T96" s="9">
        <f>SUM(O96:S96)</f>
        <v>690000</v>
      </c>
      <c r="U96" s="11">
        <f>T96+N96+I96+D97</f>
        <v>963276</v>
      </c>
      <c r="V96" s="10">
        <f>V95+V94</f>
        <v>0</v>
      </c>
      <c r="W96" s="10">
        <f>W95+W94</f>
        <v>0</v>
      </c>
      <c r="X96" s="10">
        <f t="shared" ref="X96" si="59">X95+X94</f>
        <v>0</v>
      </c>
      <c r="Y96" s="10">
        <f>Y95+Y94</f>
        <v>350000</v>
      </c>
      <c r="Z96" s="9">
        <f>SUM(V96:Y96)</f>
        <v>350000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0</v>
      </c>
      <c r="AE96" s="9">
        <f>SUM(AA96:AD96)</f>
        <v>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0</v>
      </c>
      <c r="AK96" s="9">
        <f>SUM(AF96:AJ96)</f>
        <v>0</v>
      </c>
      <c r="AL96" s="11">
        <f>AK96+AE96+Z96</f>
        <v>350000</v>
      </c>
      <c r="AM96" s="4"/>
      <c r="AN96" s="56">
        <v>0</v>
      </c>
      <c r="AO96" s="56">
        <v>0</v>
      </c>
    </row>
    <row r="97" spans="1:41" s="18" customFormat="1" ht="15.75" customHeight="1" thickBot="1">
      <c r="A97" s="158"/>
      <c r="B97" s="19" t="s">
        <v>8</v>
      </c>
      <c r="C97" s="65">
        <v>57482</v>
      </c>
      <c r="D97" s="22">
        <v>6229</v>
      </c>
      <c r="E97" s="10">
        <f>E96-E93</f>
        <v>0</v>
      </c>
      <c r="F97" s="10">
        <f>E97+F96-F93</f>
        <v>0</v>
      </c>
      <c r="G97" s="10">
        <f>F97+G96-G93</f>
        <v>472</v>
      </c>
      <c r="H97" s="10">
        <f>G97+H96-H93</f>
        <v>57472</v>
      </c>
      <c r="I97" s="9">
        <f>I96-I93</f>
        <v>57472</v>
      </c>
      <c r="J97" s="10">
        <f>I97+J96-J93</f>
        <v>-67118</v>
      </c>
      <c r="K97" s="10">
        <f>J97+K96-K93</f>
        <v>-181636</v>
      </c>
      <c r="L97" s="10">
        <f>K97+L96-L93</f>
        <v>-186640</v>
      </c>
      <c r="M97" s="10">
        <f>L97+M96-M93</f>
        <v>19078</v>
      </c>
      <c r="N97" s="9">
        <f>I97+N96-N93</f>
        <v>19078</v>
      </c>
      <c r="O97" s="10">
        <f>N97+O96-O93</f>
        <v>-479608</v>
      </c>
      <c r="P97" s="10">
        <f>O97+P96-P93</f>
        <v>-502777</v>
      </c>
      <c r="Q97" s="10">
        <f>P97+Q96-Q93</f>
        <v>-503198</v>
      </c>
      <c r="R97" s="10">
        <f t="shared" ref="R97:S97" si="60">Q97+R96-R93</f>
        <v>-554346</v>
      </c>
      <c r="S97" s="10">
        <f t="shared" si="60"/>
        <v>44354</v>
      </c>
      <c r="T97" s="9">
        <f>N97+T96-T93</f>
        <v>44354</v>
      </c>
      <c r="U97" s="11">
        <f>U96-U93</f>
        <v>44354</v>
      </c>
      <c r="V97" s="10">
        <f>U97+V96-V93</f>
        <v>-303349</v>
      </c>
      <c r="W97" s="10">
        <f>V97+W96-W93</f>
        <v>-303429</v>
      </c>
      <c r="X97" s="10">
        <f>W97+X96-X93</f>
        <v>-303429</v>
      </c>
      <c r="Y97" s="10">
        <f>X97+Y96-Y93</f>
        <v>25106</v>
      </c>
      <c r="Z97" s="9">
        <f>T97+Z96-Z93</f>
        <v>25106</v>
      </c>
      <c r="AA97" s="10">
        <f>Z97+AA96-AA93</f>
        <v>20306</v>
      </c>
      <c r="AB97" s="10">
        <f>AA97+AB96-AB93</f>
        <v>20306</v>
      </c>
      <c r="AC97" s="10">
        <f>AB97+AC96-AC93</f>
        <v>20306</v>
      </c>
      <c r="AD97" s="10">
        <f>AC97+AD96-AD93</f>
        <v>20306</v>
      </c>
      <c r="AE97" s="9">
        <f>Z97+AE96-AE93</f>
        <v>20306</v>
      </c>
      <c r="AF97" s="10">
        <f>AE97+AF96-AF93</f>
        <v>20306</v>
      </c>
      <c r="AG97" s="10">
        <f>AF97+AG96-AG93</f>
        <v>20306</v>
      </c>
      <c r="AH97" s="10">
        <f>AG97+AH96-AH93</f>
        <v>20306</v>
      </c>
      <c r="AI97" s="10">
        <f t="shared" ref="AI97:AJ97" si="61">AH97+AI96-AI93</f>
        <v>20306</v>
      </c>
      <c r="AJ97" s="10">
        <f t="shared" si="61"/>
        <v>20306</v>
      </c>
      <c r="AK97" s="9">
        <f>AE97+AK96-AK93</f>
        <v>20306</v>
      </c>
      <c r="AL97" s="11">
        <f>T97+AL96-AL93</f>
        <v>20306</v>
      </c>
      <c r="AM97" s="4"/>
      <c r="AN97" s="56">
        <v>0</v>
      </c>
      <c r="AO97" s="56">
        <v>0</v>
      </c>
    </row>
    <row r="98" spans="1:41" s="18" customFormat="1" ht="16.25" customHeight="1" thickBot="1">
      <c r="A98" s="58"/>
      <c r="B98" s="19" t="s">
        <v>9</v>
      </c>
      <c r="C98" s="9"/>
      <c r="D98" s="9"/>
      <c r="E98" s="57" t="e">
        <f>E97/(SUM(F93+H93+#REF!+G93)/20)*1000</f>
        <v>#REF!</v>
      </c>
      <c r="F98" s="57" t="e">
        <f>F97/(SUM(G93+#REF!+J93+H93)/20)*1000</f>
        <v>#REF!</v>
      </c>
      <c r="G98" s="57" t="e">
        <f>G97/(SUM(H93+K93+J93+#REF!)/20)*1000</f>
        <v>#REF!</v>
      </c>
      <c r="H98" s="57" t="e">
        <f>H97/(SUM(#REF!+J93+K93+L93)/20)*1000</f>
        <v>#REF!</v>
      </c>
      <c r="I98" s="12"/>
      <c r="J98" s="57">
        <f>J97/(SUM(K93+L93+M93+O93)/20)*1000</f>
        <v>-2156.4362479718548</v>
      </c>
      <c r="K98" s="57">
        <f>K97/(SUM(L93+M93+O93+P93)/20)*1000</f>
        <v>-6839.4644736520058</v>
      </c>
      <c r="L98" s="57">
        <f>L97/(SUM(M93+O93+P93+Q93)/20)*1000</f>
        <v>-7089.0576156852612</v>
      </c>
      <c r="M98" s="57">
        <f>M97/(SUM(O93+P93+Q93+R93)/20)*1000</f>
        <v>665.40640084823804</v>
      </c>
      <c r="N98" s="12"/>
      <c r="O98" s="57">
        <f>O97/(SUM(P93+Q93+R93+S93)/20)*1000</f>
        <v>-57770.871728158614</v>
      </c>
      <c r="P98" s="57" t="e">
        <f>P97/(SUM(Q93+R93+#REF!+S93)/20)*1000</f>
        <v>#REF!</v>
      </c>
      <c r="Q98" s="57" t="e">
        <f>Q97/(SUM(R93+S93+#REF!+#REF!)/20)*1000</f>
        <v>#REF!</v>
      </c>
      <c r="R98" s="57" t="e">
        <f>R97/(SUM(S93+#REF!+#REF!+#REF!)/20)*1000</f>
        <v>#REF!</v>
      </c>
      <c r="S98" s="57" t="e">
        <f>S97/(SUM(#REF!+#REF!+#REF!+#REF!)/20)*1000</f>
        <v>#REF!</v>
      </c>
      <c r="T98" s="12"/>
      <c r="U98" s="13"/>
      <c r="V98" s="57" t="e">
        <f>V97/(SUM(W93+Y93+#REF!+X93)/20)*1000</f>
        <v>#REF!</v>
      </c>
      <c r="W98" s="57" t="e">
        <f>W97/(SUM(X93+#REF!+AA93+Y93)/20)*1000</f>
        <v>#REF!</v>
      </c>
      <c r="X98" s="57" t="e">
        <f>X97/(SUM(Y93+AB93+AA93+#REF!)/20)*1000</f>
        <v>#REF!</v>
      </c>
      <c r="Y98" s="57" t="e">
        <f>Y97/(SUM(#REF!+AA93+AB93+AC93)/20)*1000</f>
        <v>#REF!</v>
      </c>
      <c r="Z98" s="12"/>
      <c r="AA98" s="57" t="e">
        <f>AA97/(SUM(AB93+AC93+AD93+AF93)/20)*1000</f>
        <v>#DIV/0!</v>
      </c>
      <c r="AB98" s="57" t="e">
        <f>AB97/(SUM(AC93+AD93+AF93+AG93)/20)*1000</f>
        <v>#DIV/0!</v>
      </c>
      <c r="AC98" s="57" t="e">
        <f>AC97/(SUM(AD93+AF93+AG93+AH93)/20)*1000</f>
        <v>#DIV/0!</v>
      </c>
      <c r="AD98" s="57" t="e">
        <f>AD97/(SUM(AF93+AG93+AH93+AI93)/20)*1000</f>
        <v>#DIV/0!</v>
      </c>
      <c r="AE98" s="12"/>
      <c r="AF98" s="57" t="e">
        <f>AF97/(SUM(AG93+AH93+AI93+AJ93)/20)*1000</f>
        <v>#DIV/0!</v>
      </c>
      <c r="AG98" s="57" t="e">
        <f>AG97/(SUM(AH93+AI93+#REF!+AJ93)/20)*1000</f>
        <v>#REF!</v>
      </c>
      <c r="AH98" s="57" t="e">
        <f>AH97/(SUM(AI93+AJ93+#REF!+#REF!)/20)*1000</f>
        <v>#REF!</v>
      </c>
      <c r="AI98" s="57" t="e">
        <f>AI97/(SUM(AJ93+#REF!+#REF!+#REF!)/20)*1000</f>
        <v>#REF!</v>
      </c>
      <c r="AJ98" s="57" t="e">
        <f>AJ97/(SUM(#REF!+#REF!+#REF!+#REF!)/20)*1000</f>
        <v>#REF!</v>
      </c>
      <c r="AK98" s="12"/>
      <c r="AL98" s="13"/>
      <c r="AM98" s="4"/>
      <c r="AN98" s="56">
        <v>0</v>
      </c>
      <c r="AO98" s="56">
        <v>0</v>
      </c>
    </row>
    <row r="99" spans="1:41" s="18" customFormat="1" ht="15.75" customHeight="1" thickBot="1">
      <c r="A99" s="156" t="s">
        <v>29</v>
      </c>
      <c r="B99" s="19" t="s">
        <v>5</v>
      </c>
      <c r="C99" s="9"/>
      <c r="D99" s="9"/>
      <c r="E99" s="60">
        <v>0</v>
      </c>
      <c r="F99" s="60">
        <v>7310</v>
      </c>
      <c r="G99" s="10">
        <v>1112</v>
      </c>
      <c r="H99" s="60">
        <v>0</v>
      </c>
      <c r="I99" s="9">
        <f>SUM(E99:H99)</f>
        <v>8422</v>
      </c>
      <c r="J99" s="60">
        <v>13880</v>
      </c>
      <c r="K99" s="10">
        <v>1844</v>
      </c>
      <c r="L99" s="60">
        <v>5901</v>
      </c>
      <c r="M99" s="10">
        <v>2558</v>
      </c>
      <c r="N99" s="9">
        <f>SUM(J99:M99)</f>
        <v>24183</v>
      </c>
      <c r="O99" s="10">
        <v>2528</v>
      </c>
      <c r="P99" s="60">
        <v>10830</v>
      </c>
      <c r="Q99" s="60">
        <v>3524</v>
      </c>
      <c r="R99" s="60">
        <v>9650</v>
      </c>
      <c r="S99" s="60">
        <v>5635</v>
      </c>
      <c r="T99" s="9">
        <f>SUM(O99:S99)</f>
        <v>32167</v>
      </c>
      <c r="U99" s="11">
        <f>T99+N99+I99+D103</f>
        <v>73107</v>
      </c>
      <c r="V99" s="60">
        <v>7160</v>
      </c>
      <c r="W99" s="60">
        <v>2120</v>
      </c>
      <c r="X99" s="10">
        <v>0</v>
      </c>
      <c r="Y99" s="60">
        <v>1180</v>
      </c>
      <c r="Z99" s="9">
        <f>SUM(V99:Y99)</f>
        <v>10460</v>
      </c>
      <c r="AA99" s="60">
        <v>0</v>
      </c>
      <c r="AB99" s="10">
        <v>0</v>
      </c>
      <c r="AC99" s="60">
        <v>0</v>
      </c>
      <c r="AD99" s="10">
        <v>0</v>
      </c>
      <c r="AE99" s="9">
        <f>SUM(AA99:AD99)</f>
        <v>0</v>
      </c>
      <c r="AF99" s="10">
        <v>0</v>
      </c>
      <c r="AG99" s="60">
        <v>0</v>
      </c>
      <c r="AH99" s="60">
        <v>0</v>
      </c>
      <c r="AI99" s="60">
        <v>0</v>
      </c>
      <c r="AJ99" s="60">
        <v>0</v>
      </c>
      <c r="AK99" s="9">
        <f>SUM(AF99:AJ99)</f>
        <v>0</v>
      </c>
      <c r="AL99" s="11">
        <f>AK99+AE99+Z99</f>
        <v>10460</v>
      </c>
      <c r="AM99" s="4">
        <v>128</v>
      </c>
      <c r="AN99" s="56">
        <v>9357696</v>
      </c>
      <c r="AO99" s="56">
        <v>1338880</v>
      </c>
    </row>
    <row r="100" spans="1:41" s="18" customFormat="1" ht="15.75" customHeight="1">
      <c r="A100" s="157"/>
      <c r="B100" s="19" t="s">
        <v>6</v>
      </c>
      <c r="C100" s="9"/>
      <c r="D100" s="9"/>
      <c r="E100" s="60">
        <v>0</v>
      </c>
      <c r="F100" s="10">
        <v>7310</v>
      </c>
      <c r="G100" s="10">
        <v>0</v>
      </c>
      <c r="H100" s="60">
        <v>10000</v>
      </c>
      <c r="I100" s="15">
        <f>SUM(E100:H100)</f>
        <v>17310</v>
      </c>
      <c r="J100" s="10">
        <v>0</v>
      </c>
      <c r="K100" s="10">
        <v>0</v>
      </c>
      <c r="L100" s="60">
        <v>0</v>
      </c>
      <c r="M100" s="10">
        <v>25000</v>
      </c>
      <c r="N100" s="15">
        <f>SUM(J100:M100)</f>
        <v>25000</v>
      </c>
      <c r="O100" s="10">
        <v>0</v>
      </c>
      <c r="P100" s="10">
        <v>0</v>
      </c>
      <c r="Q100" s="10">
        <v>0</v>
      </c>
      <c r="R100" s="10">
        <v>0</v>
      </c>
      <c r="S100" s="10">
        <v>30000</v>
      </c>
      <c r="T100" s="15">
        <f>SUM(O100:S100)</f>
        <v>30000</v>
      </c>
      <c r="U100" s="11"/>
      <c r="V100" s="60">
        <v>15000</v>
      </c>
      <c r="W100" s="10">
        <v>0</v>
      </c>
      <c r="X100" s="10">
        <v>0</v>
      </c>
      <c r="Y100" s="60">
        <v>0</v>
      </c>
      <c r="Z100" s="15">
        <f>SUM(V100:Y100)</f>
        <v>15000</v>
      </c>
      <c r="AA100" s="10">
        <v>0</v>
      </c>
      <c r="AB100" s="10">
        <v>0</v>
      </c>
      <c r="AC100" s="60">
        <v>0</v>
      </c>
      <c r="AD100" s="10">
        <v>0</v>
      </c>
      <c r="AE100" s="15">
        <f>SUM(AA100:AD100)</f>
        <v>0</v>
      </c>
      <c r="AF100" s="10">
        <v>0</v>
      </c>
      <c r="AG100" s="10">
        <v>0</v>
      </c>
      <c r="AH100" s="10">
        <v>0</v>
      </c>
      <c r="AI100" s="10">
        <v>0</v>
      </c>
      <c r="AJ100" s="10">
        <v>0</v>
      </c>
      <c r="AK100" s="15">
        <f>SUM(AF100:AJ100)</f>
        <v>0</v>
      </c>
      <c r="AL100" s="11"/>
      <c r="AM100" s="4"/>
      <c r="AN100" s="56">
        <v>0</v>
      </c>
      <c r="AO100" s="56">
        <v>0</v>
      </c>
    </row>
    <row r="101" spans="1:41" s="18" customFormat="1" ht="15.75" customHeight="1">
      <c r="A101" s="157"/>
      <c r="B101" s="19" t="s">
        <v>10</v>
      </c>
      <c r="C101" s="9">
        <v>4750</v>
      </c>
      <c r="D101" s="9"/>
      <c r="E101" s="9"/>
      <c r="F101" s="10"/>
      <c r="G101" s="9"/>
      <c r="H101" s="9">
        <f>C101</f>
        <v>4750</v>
      </c>
      <c r="I101" s="15">
        <f>E101+F101+G101+H101</f>
        <v>4750</v>
      </c>
      <c r="J101" s="9"/>
      <c r="K101" s="9"/>
      <c r="L101" s="9"/>
      <c r="M101" s="9"/>
      <c r="N101" s="15">
        <f>J101+K101+L101+M101</f>
        <v>0</v>
      </c>
      <c r="O101" s="9"/>
      <c r="P101" s="10"/>
      <c r="Q101" s="9"/>
      <c r="R101" s="9"/>
      <c r="S101" s="9"/>
      <c r="T101" s="15">
        <f>SUM(O101:S101)</f>
        <v>0</v>
      </c>
      <c r="U101" s="11"/>
      <c r="V101" s="9"/>
      <c r="W101" s="10"/>
      <c r="X101" s="9"/>
      <c r="Y101" s="9"/>
      <c r="Z101" s="15">
        <f>V101+W101+X101+Y101</f>
        <v>0</v>
      </c>
      <c r="AA101" s="9"/>
      <c r="AB101" s="9"/>
      <c r="AC101" s="9"/>
      <c r="AD101" s="9"/>
      <c r="AE101" s="15">
        <f>AA101+AB101+AC101+AD101</f>
        <v>0</v>
      </c>
      <c r="AF101" s="9"/>
      <c r="AG101" s="10"/>
      <c r="AH101" s="9"/>
      <c r="AI101" s="9"/>
      <c r="AJ101" s="9"/>
      <c r="AK101" s="15">
        <f>SUM(AF101:AJ101)</f>
        <v>0</v>
      </c>
      <c r="AL101" s="17">
        <f>Z101+AE101+AK101</f>
        <v>0</v>
      </c>
      <c r="AM101" s="4"/>
      <c r="AN101" s="56">
        <v>0</v>
      </c>
      <c r="AO101" s="56">
        <v>0</v>
      </c>
    </row>
    <row r="102" spans="1:41" s="18" customFormat="1" ht="16.25" customHeight="1">
      <c r="A102" s="157"/>
      <c r="B102" s="19" t="s">
        <v>7</v>
      </c>
      <c r="C102" s="9"/>
      <c r="D102" s="9"/>
      <c r="E102" s="10">
        <f>E101+E100</f>
        <v>0</v>
      </c>
      <c r="F102" s="10">
        <f>F101+F100</f>
        <v>7310</v>
      </c>
      <c r="G102" s="10">
        <f t="shared" ref="G102" si="62">G101+G100</f>
        <v>0</v>
      </c>
      <c r="H102" s="10">
        <f>H101+H100</f>
        <v>14750</v>
      </c>
      <c r="I102" s="9">
        <f>SUM(E102:H102)</f>
        <v>22060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25000</v>
      </c>
      <c r="N102" s="9">
        <f>SUM(J102:M102)</f>
        <v>25000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30000</v>
      </c>
      <c r="T102" s="9">
        <f>SUM(O102:S102)</f>
        <v>30000</v>
      </c>
      <c r="U102" s="11">
        <f>T102+N102+I102+D103</f>
        <v>85395</v>
      </c>
      <c r="V102" s="10">
        <f>V101+V100</f>
        <v>15000</v>
      </c>
      <c r="W102" s="10">
        <f>W101+W100</f>
        <v>0</v>
      </c>
      <c r="X102" s="10">
        <f t="shared" ref="X102" si="63">X101+X100</f>
        <v>0</v>
      </c>
      <c r="Y102" s="10">
        <f>Y101+Y100</f>
        <v>0</v>
      </c>
      <c r="Z102" s="9">
        <f>SUM(V102:Y102)</f>
        <v>15000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15000</v>
      </c>
      <c r="AM102" s="4"/>
      <c r="AN102" s="56">
        <v>0</v>
      </c>
      <c r="AO102" s="56">
        <v>0</v>
      </c>
    </row>
    <row r="103" spans="1:41" s="18" customFormat="1" ht="16.25" customHeight="1" thickBot="1">
      <c r="A103" s="158"/>
      <c r="B103" s="19" t="s">
        <v>8</v>
      </c>
      <c r="C103" s="65">
        <v>12104</v>
      </c>
      <c r="D103" s="22">
        <v>8335</v>
      </c>
      <c r="E103" s="10">
        <f>E102-E99</f>
        <v>0</v>
      </c>
      <c r="F103" s="10">
        <f>E103+F102-F99</f>
        <v>0</v>
      </c>
      <c r="G103" s="10">
        <f>F103+G102-G99</f>
        <v>-1112</v>
      </c>
      <c r="H103" s="10">
        <f>G103+H102-H99</f>
        <v>13638</v>
      </c>
      <c r="I103" s="9">
        <f>I102-I99</f>
        <v>13638</v>
      </c>
      <c r="J103" s="10">
        <f>I103+J102-J99</f>
        <v>-242</v>
      </c>
      <c r="K103" s="10">
        <f>J103+K102-K99</f>
        <v>-2086</v>
      </c>
      <c r="L103" s="10">
        <f>K103+L102-L99</f>
        <v>-7987</v>
      </c>
      <c r="M103" s="10">
        <f>L103+M102-M99</f>
        <v>14455</v>
      </c>
      <c r="N103" s="9">
        <f>I103+N102-N99</f>
        <v>14455</v>
      </c>
      <c r="O103" s="10">
        <f>N103+O102-O99</f>
        <v>11927</v>
      </c>
      <c r="P103" s="10">
        <f>O103+P102-P99</f>
        <v>1097</v>
      </c>
      <c r="Q103" s="10">
        <f>P103+Q102-Q99</f>
        <v>-2427</v>
      </c>
      <c r="R103" s="10">
        <f t="shared" ref="R103:S103" si="64">Q103+R102-R99</f>
        <v>-12077</v>
      </c>
      <c r="S103" s="10">
        <f t="shared" si="64"/>
        <v>12288</v>
      </c>
      <c r="T103" s="9">
        <f>N103+T102-T99</f>
        <v>12288</v>
      </c>
      <c r="U103" s="11">
        <f>U102-U99</f>
        <v>12288</v>
      </c>
      <c r="V103" s="10">
        <f>U103+V102-V99</f>
        <v>20128</v>
      </c>
      <c r="W103" s="10">
        <f>V103+W102-W99</f>
        <v>18008</v>
      </c>
      <c r="X103" s="10">
        <f>W103+X102-X99</f>
        <v>18008</v>
      </c>
      <c r="Y103" s="10">
        <f>X103+Y102-Y99</f>
        <v>16828</v>
      </c>
      <c r="Z103" s="9">
        <f>T103+Z102-Z99</f>
        <v>16828</v>
      </c>
      <c r="AA103" s="10">
        <f>Z103+AA102-AA99</f>
        <v>16828</v>
      </c>
      <c r="AB103" s="10">
        <f>AA103+AB102-AB99</f>
        <v>16828</v>
      </c>
      <c r="AC103" s="10">
        <f>AB103+AC102-AC99</f>
        <v>16828</v>
      </c>
      <c r="AD103" s="10">
        <f>AC103+AD102-AD99</f>
        <v>16828</v>
      </c>
      <c r="AE103" s="9">
        <f>Z103+AE102-AE99</f>
        <v>16828</v>
      </c>
      <c r="AF103" s="10">
        <f>AE103+AF102-AF99</f>
        <v>16828</v>
      </c>
      <c r="AG103" s="10">
        <f>AF103+AG102-AG99</f>
        <v>16828</v>
      </c>
      <c r="AH103" s="10">
        <f>AG103+AH102-AH99</f>
        <v>16828</v>
      </c>
      <c r="AI103" s="10">
        <f t="shared" ref="AI103:AJ103" si="65">AH103+AI102-AI99</f>
        <v>16828</v>
      </c>
      <c r="AJ103" s="10">
        <f t="shared" si="65"/>
        <v>16828</v>
      </c>
      <c r="AK103" s="9">
        <f>AE103+AK102-AK99</f>
        <v>16828</v>
      </c>
      <c r="AL103" s="11">
        <f>T103+AL102-AL99</f>
        <v>16828</v>
      </c>
      <c r="AM103" s="4"/>
      <c r="AN103" s="56">
        <v>0</v>
      </c>
      <c r="AO103" s="56">
        <v>0</v>
      </c>
    </row>
    <row r="104" spans="1:41" s="18" customFormat="1" ht="17" thickBot="1">
      <c r="A104" s="70"/>
      <c r="B104" s="19" t="s">
        <v>9</v>
      </c>
      <c r="C104" s="9"/>
      <c r="D104" s="9"/>
      <c r="E104" s="57" t="e">
        <f>E103/(SUM(F99+H99+#REF!+G99)/20)*1000</f>
        <v>#REF!</v>
      </c>
      <c r="F104" s="57" t="e">
        <f>F103/(SUM(G99+#REF!+J99+H99)/20)*1000</f>
        <v>#REF!</v>
      </c>
      <c r="G104" s="57" t="e">
        <f>G103/(SUM(H99+K99+J99+#REF!)/20)*1000</f>
        <v>#REF!</v>
      </c>
      <c r="H104" s="57" t="e">
        <f>H103/(SUM(#REF!+J99+K99+L99)/20)*1000</f>
        <v>#REF!</v>
      </c>
      <c r="I104" s="12"/>
      <c r="J104" s="57">
        <f>J103/(SUM(K99+L99+M99+O99)/20)*1000</f>
        <v>-377.21144104122828</v>
      </c>
      <c r="K104" s="57">
        <f>K103/(SUM(L99+M99+O99+P99)/20)*1000</f>
        <v>-1912.2702479717652</v>
      </c>
      <c r="L104" s="57">
        <f>L103/(SUM(M99+O99+P99+Q99)/20)*1000</f>
        <v>-8217.0781893004114</v>
      </c>
      <c r="M104" s="57">
        <f>M103/(SUM(O99+P99+Q99+R99)/20)*1000</f>
        <v>10896.276194783657</v>
      </c>
      <c r="N104" s="12"/>
      <c r="O104" s="57">
        <f>O103/(SUM(P99+Q99+R99+S99)/20)*1000</f>
        <v>8048.179763149903</v>
      </c>
      <c r="P104" s="57" t="e">
        <f>P103/(SUM(Q99+R99+#REF!+S99)/20)*1000</f>
        <v>#REF!</v>
      </c>
      <c r="Q104" s="57" t="e">
        <f>Q103/(SUM(R99+S99+#REF!+#REF!)/20)*1000</f>
        <v>#REF!</v>
      </c>
      <c r="R104" s="57" t="e">
        <f>R103/(SUM(S99+#REF!+#REF!+#REF!)/20)*1000</f>
        <v>#REF!</v>
      </c>
      <c r="S104" s="57" t="e">
        <f>S103/(SUM(#REF!+#REF!+#REF!+#REF!)/20)*1000</f>
        <v>#REF!</v>
      </c>
      <c r="T104" s="12"/>
      <c r="U104" s="13"/>
      <c r="V104" s="57" t="e">
        <f>V103/(SUM(W99+Y99+#REF!+X99)/20)*1000</f>
        <v>#REF!</v>
      </c>
      <c r="W104" s="57" t="e">
        <f>W103/(SUM(X99+#REF!+AA99+Y99)/20)*1000</f>
        <v>#REF!</v>
      </c>
      <c r="X104" s="57" t="e">
        <f>X103/(SUM(Y99+AB99+AA99+#REF!)/20)*1000</f>
        <v>#REF!</v>
      </c>
      <c r="Y104" s="57" t="e">
        <f>Y103/(SUM(#REF!+AA99+AB99+AC99)/20)*1000</f>
        <v>#REF!</v>
      </c>
      <c r="Z104" s="12"/>
      <c r="AA104" s="57" t="e">
        <f>AA103/(SUM(AB99+AC99+AD99+AF99)/20)*1000</f>
        <v>#DIV/0!</v>
      </c>
      <c r="AB104" s="57" t="e">
        <f>AB103/(SUM(AC99+AD99+AF99+AG99)/20)*1000</f>
        <v>#DIV/0!</v>
      </c>
      <c r="AC104" s="57" t="e">
        <f>AC103/(SUM(AD99+AF99+AG99+AH99)/20)*1000</f>
        <v>#DIV/0!</v>
      </c>
      <c r="AD104" s="57" t="e">
        <f>AD103/(SUM(AF99+AG99+AH99+AI99)/20)*1000</f>
        <v>#DIV/0!</v>
      </c>
      <c r="AE104" s="12"/>
      <c r="AF104" s="57" t="e">
        <f>AF103/(SUM(AG99+AH99+AI99+AJ99)/20)*1000</f>
        <v>#DIV/0!</v>
      </c>
      <c r="AG104" s="57" t="e">
        <f>AG103/(SUM(AH99+AI99+#REF!+AJ99)/20)*1000</f>
        <v>#REF!</v>
      </c>
      <c r="AH104" s="57" t="e">
        <f>AH103/(SUM(AI99+AJ99+#REF!+#REF!)/20)*1000</f>
        <v>#REF!</v>
      </c>
      <c r="AI104" s="57" t="e">
        <f>AI103/(SUM(AJ99+#REF!+#REF!+#REF!)/20)*1000</f>
        <v>#REF!</v>
      </c>
      <c r="AJ104" s="57" t="e">
        <f>AJ103/(SUM(#REF!+#REF!+#REF!+#REF!)/20)*1000</f>
        <v>#REF!</v>
      </c>
      <c r="AK104" s="12"/>
      <c r="AL104" s="13"/>
      <c r="AM104" s="4"/>
      <c r="AN104" s="56">
        <v>0</v>
      </c>
      <c r="AO104" s="56">
        <v>0</v>
      </c>
    </row>
    <row r="105" spans="1:41" s="18" customFormat="1" ht="15.75" customHeight="1" thickBot="1">
      <c r="A105" s="156" t="s">
        <v>52</v>
      </c>
      <c r="B105" s="19" t="s">
        <v>5</v>
      </c>
      <c r="C105" s="9"/>
      <c r="D105" s="9"/>
      <c r="E105" s="60">
        <v>0</v>
      </c>
      <c r="F105" s="60">
        <v>0</v>
      </c>
      <c r="G105" s="10">
        <v>60</v>
      </c>
      <c r="H105" s="60">
        <v>0</v>
      </c>
      <c r="I105" s="9">
        <f>SUM(E105:H105)</f>
        <v>60</v>
      </c>
      <c r="J105" s="60">
        <v>0</v>
      </c>
      <c r="K105" s="10">
        <v>0</v>
      </c>
      <c r="L105" s="60">
        <v>0</v>
      </c>
      <c r="M105" s="10">
        <v>0</v>
      </c>
      <c r="N105" s="9">
        <f>SUM(J105:M105)</f>
        <v>0</v>
      </c>
      <c r="O105" s="10">
        <v>0</v>
      </c>
      <c r="P105" s="60">
        <v>0</v>
      </c>
      <c r="Q105" s="60">
        <v>0</v>
      </c>
      <c r="R105" s="60">
        <v>0</v>
      </c>
      <c r="S105" s="60">
        <v>0</v>
      </c>
      <c r="T105" s="9">
        <f>SUM(O105:S105)</f>
        <v>0</v>
      </c>
      <c r="U105" s="11">
        <f>T105+N105+I105+D109</f>
        <v>60</v>
      </c>
      <c r="V105" s="60">
        <v>0</v>
      </c>
      <c r="W105" s="60">
        <v>0</v>
      </c>
      <c r="X105" s="10">
        <v>0</v>
      </c>
      <c r="Y105" s="60">
        <v>0</v>
      </c>
      <c r="Z105" s="9">
        <f>SUM(V105:Y105)</f>
        <v>0</v>
      </c>
      <c r="AA105" s="60">
        <v>0</v>
      </c>
      <c r="AB105" s="10">
        <v>0</v>
      </c>
      <c r="AC105" s="60">
        <v>0</v>
      </c>
      <c r="AD105" s="10">
        <v>0</v>
      </c>
      <c r="AE105" s="9">
        <f>SUM(AA105:AD105)</f>
        <v>0</v>
      </c>
      <c r="AF105" s="10">
        <v>0</v>
      </c>
      <c r="AG105" s="60">
        <v>0</v>
      </c>
      <c r="AH105" s="60">
        <v>0</v>
      </c>
      <c r="AI105" s="60">
        <v>0</v>
      </c>
      <c r="AJ105" s="60">
        <v>0</v>
      </c>
      <c r="AK105" s="9">
        <f>SUM(AF105:AJ105)</f>
        <v>0</v>
      </c>
      <c r="AL105" s="11">
        <f>AK105+AE105+Z105</f>
        <v>0</v>
      </c>
      <c r="AM105" s="4">
        <v>128</v>
      </c>
      <c r="AN105" s="56">
        <v>7680</v>
      </c>
      <c r="AO105" s="56">
        <v>0</v>
      </c>
    </row>
    <row r="106" spans="1:41" s="18" customFormat="1" ht="15" customHeight="1">
      <c r="A106" s="157"/>
      <c r="B106" s="19" t="s">
        <v>6</v>
      </c>
      <c r="C106" s="9"/>
      <c r="D106" s="9"/>
      <c r="E106" s="60">
        <v>0</v>
      </c>
      <c r="F106" s="10">
        <v>0</v>
      </c>
      <c r="G106" s="10">
        <v>0</v>
      </c>
      <c r="H106" s="60">
        <v>0</v>
      </c>
      <c r="I106" s="15">
        <f>SUM(E106:H106)</f>
        <v>0</v>
      </c>
      <c r="J106" s="10">
        <v>0</v>
      </c>
      <c r="K106" s="10">
        <v>0</v>
      </c>
      <c r="L106" s="60">
        <v>0</v>
      </c>
      <c r="M106" s="10">
        <v>0</v>
      </c>
      <c r="N106" s="15">
        <f>SUM(J106:M106)</f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0</v>
      </c>
      <c r="T106" s="15">
        <f>SUM(O106:S106)</f>
        <v>0</v>
      </c>
      <c r="U106" s="11"/>
      <c r="V106" s="60">
        <v>0</v>
      </c>
      <c r="W106" s="10">
        <v>0</v>
      </c>
      <c r="X106" s="10">
        <v>0</v>
      </c>
      <c r="Y106" s="60">
        <v>0</v>
      </c>
      <c r="Z106" s="15">
        <f>SUM(V106:Y106)</f>
        <v>0</v>
      </c>
      <c r="AA106" s="10">
        <v>0</v>
      </c>
      <c r="AB106" s="10">
        <v>0</v>
      </c>
      <c r="AC106" s="60">
        <v>0</v>
      </c>
      <c r="AD106" s="10">
        <v>0</v>
      </c>
      <c r="AE106" s="15">
        <f>SUM(AA106:AD106)</f>
        <v>0</v>
      </c>
      <c r="AF106" s="10">
        <v>0</v>
      </c>
      <c r="AG106" s="10">
        <v>0</v>
      </c>
      <c r="AH106" s="10">
        <v>0</v>
      </c>
      <c r="AI106" s="10">
        <v>0</v>
      </c>
      <c r="AJ106" s="10">
        <v>0</v>
      </c>
      <c r="AK106" s="15">
        <f>SUM(AF106:AJ106)</f>
        <v>0</v>
      </c>
      <c r="AL106" s="11"/>
      <c r="AM106" s="4"/>
      <c r="AN106" s="56">
        <v>0</v>
      </c>
      <c r="AO106" s="56">
        <v>0</v>
      </c>
    </row>
    <row r="107" spans="1:41" s="18" customFormat="1" ht="15.75" customHeight="1">
      <c r="A107" s="157"/>
      <c r="B107" s="19" t="s">
        <v>10</v>
      </c>
      <c r="C107" s="9">
        <v>0</v>
      </c>
      <c r="D107" s="9"/>
      <c r="E107" s="9"/>
      <c r="F107" s="10"/>
      <c r="G107" s="9"/>
      <c r="H107" s="9">
        <f>C107</f>
        <v>0</v>
      </c>
      <c r="I107" s="15">
        <f>E107+F107+G107+H107</f>
        <v>0</v>
      </c>
      <c r="J107" s="9"/>
      <c r="K107" s="9"/>
      <c r="L107" s="9"/>
      <c r="M107" s="9"/>
      <c r="N107" s="15">
        <f>J107+K107+L107+M107</f>
        <v>0</v>
      </c>
      <c r="O107" s="9"/>
      <c r="P107" s="10"/>
      <c r="Q107" s="9"/>
      <c r="R107" s="9"/>
      <c r="S107" s="9"/>
      <c r="T107" s="15">
        <f>SUM(O107:S107)</f>
        <v>0</v>
      </c>
      <c r="U107" s="11"/>
      <c r="V107" s="9"/>
      <c r="W107" s="10"/>
      <c r="X107" s="9"/>
      <c r="Y107" s="9"/>
      <c r="Z107" s="15">
        <f>V107+W107+X107+Y107</f>
        <v>0</v>
      </c>
      <c r="AA107" s="9"/>
      <c r="AB107" s="9"/>
      <c r="AC107" s="9"/>
      <c r="AD107" s="9"/>
      <c r="AE107" s="15">
        <f>AA107+AB107+AC107+AD107</f>
        <v>0</v>
      </c>
      <c r="AF107" s="9"/>
      <c r="AG107" s="10"/>
      <c r="AH107" s="9"/>
      <c r="AI107" s="9"/>
      <c r="AJ107" s="9"/>
      <c r="AK107" s="15">
        <f>SUM(AF107:AJ107)</f>
        <v>0</v>
      </c>
      <c r="AL107" s="17">
        <f>Z107+AE107+AK107</f>
        <v>0</v>
      </c>
      <c r="AM107" s="4"/>
      <c r="AN107" s="56">
        <v>0</v>
      </c>
      <c r="AO107" s="56">
        <v>0</v>
      </c>
    </row>
    <row r="108" spans="1:41" s="18" customFormat="1">
      <c r="A108" s="157"/>
      <c r="B108" s="19" t="s">
        <v>7</v>
      </c>
      <c r="C108" s="9"/>
      <c r="D108" s="9"/>
      <c r="E108" s="10">
        <f>E107+E106</f>
        <v>0</v>
      </c>
      <c r="F108" s="10">
        <f>F107+F106</f>
        <v>0</v>
      </c>
      <c r="G108" s="10">
        <f t="shared" ref="G108" si="66">G107+G106</f>
        <v>0</v>
      </c>
      <c r="H108" s="10">
        <f>H107+H106</f>
        <v>0</v>
      </c>
      <c r="I108" s="9">
        <f>SUM(E108:H108)</f>
        <v>0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0</v>
      </c>
      <c r="N108" s="9">
        <f>SUM(J108:M108)</f>
        <v>0</v>
      </c>
      <c r="O108" s="10">
        <f>O107+O106</f>
        <v>0</v>
      </c>
      <c r="P108" s="10">
        <f>P107+P106</f>
        <v>0</v>
      </c>
      <c r="Q108" s="10">
        <f>Q107+Q106</f>
        <v>0</v>
      </c>
      <c r="R108" s="10">
        <f>R107+R106</f>
        <v>0</v>
      </c>
      <c r="S108" s="10">
        <f>S107+S106</f>
        <v>0</v>
      </c>
      <c r="T108" s="9">
        <f>SUM(O108:S108)</f>
        <v>0</v>
      </c>
      <c r="U108" s="11">
        <f>T108+N108+I108+D109</f>
        <v>0</v>
      </c>
      <c r="V108" s="10">
        <f>V107+V106</f>
        <v>0</v>
      </c>
      <c r="W108" s="10">
        <f>W107+W106</f>
        <v>0</v>
      </c>
      <c r="X108" s="10">
        <f t="shared" ref="X108" si="67"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0</v>
      </c>
      <c r="AJ108" s="10">
        <f>AJ107+AJ106</f>
        <v>0</v>
      </c>
      <c r="AK108" s="9">
        <f>SUM(AF108:AJ108)</f>
        <v>0</v>
      </c>
      <c r="AL108" s="11">
        <f>AK108+AE108+Z108</f>
        <v>0</v>
      </c>
      <c r="AM108" s="4"/>
      <c r="AN108" s="56">
        <v>0</v>
      </c>
      <c r="AO108" s="56">
        <v>0</v>
      </c>
    </row>
    <row r="109" spans="1:41" s="18" customFormat="1" ht="17" thickBot="1">
      <c r="A109" s="158"/>
      <c r="B109" s="19" t="s">
        <v>8</v>
      </c>
      <c r="C109" s="65">
        <v>0</v>
      </c>
      <c r="D109" s="22">
        <v>0</v>
      </c>
      <c r="E109" s="10">
        <f>E108-E105</f>
        <v>0</v>
      </c>
      <c r="F109" s="10">
        <f>E109+F108-F105</f>
        <v>0</v>
      </c>
      <c r="G109" s="10">
        <f>F109+G108-G105</f>
        <v>-60</v>
      </c>
      <c r="H109" s="10">
        <f>G109+H108-H105</f>
        <v>-60</v>
      </c>
      <c r="I109" s="9">
        <f>I108-I105</f>
        <v>-60</v>
      </c>
      <c r="J109" s="10">
        <f>I109+J108-J105</f>
        <v>-60</v>
      </c>
      <c r="K109" s="10">
        <f>J109+K108-K105</f>
        <v>-60</v>
      </c>
      <c r="L109" s="10">
        <f>K109+L108-L105</f>
        <v>-60</v>
      </c>
      <c r="M109" s="10">
        <f>L109+M108-M105</f>
        <v>-60</v>
      </c>
      <c r="N109" s="9">
        <f>I109+N108-N105</f>
        <v>-60</v>
      </c>
      <c r="O109" s="10">
        <f>N109+O108-O105</f>
        <v>-60</v>
      </c>
      <c r="P109" s="10">
        <f>O109+P108-P105</f>
        <v>-60</v>
      </c>
      <c r="Q109" s="10">
        <f>P109+Q108-Q105</f>
        <v>-60</v>
      </c>
      <c r="R109" s="10">
        <f t="shared" ref="R109:S109" si="68">Q109+R108-R105</f>
        <v>-60</v>
      </c>
      <c r="S109" s="10">
        <f t="shared" si="68"/>
        <v>-60</v>
      </c>
      <c r="T109" s="9">
        <f>N109+T108-T105</f>
        <v>-60</v>
      </c>
      <c r="U109" s="11">
        <f>U108-U105</f>
        <v>-60</v>
      </c>
      <c r="V109" s="10">
        <f>U109+V108-V105</f>
        <v>-60</v>
      </c>
      <c r="W109" s="10">
        <f>V109+W108-W105</f>
        <v>-60</v>
      </c>
      <c r="X109" s="10">
        <f>W109+X108-X105</f>
        <v>-60</v>
      </c>
      <c r="Y109" s="10">
        <f>X109+Y108-Y105</f>
        <v>-60</v>
      </c>
      <c r="Z109" s="9">
        <f>T109+Z108-Z105</f>
        <v>-60</v>
      </c>
      <c r="AA109" s="10">
        <f>Z109+AA108-AA105</f>
        <v>-60</v>
      </c>
      <c r="AB109" s="10">
        <f>AA109+AB108-AB105</f>
        <v>-60</v>
      </c>
      <c r="AC109" s="10">
        <f>AB109+AC108-AC105</f>
        <v>-60</v>
      </c>
      <c r="AD109" s="10">
        <f>AC109+AD108-AD105</f>
        <v>-60</v>
      </c>
      <c r="AE109" s="9">
        <f>Z109+AE108-AE105</f>
        <v>-60</v>
      </c>
      <c r="AF109" s="10">
        <f>AE109+AF108-AF105</f>
        <v>-60</v>
      </c>
      <c r="AG109" s="10">
        <f>AF109+AG108-AG105</f>
        <v>-60</v>
      </c>
      <c r="AH109" s="10">
        <f>AG109+AH108-AH105</f>
        <v>-60</v>
      </c>
      <c r="AI109" s="10">
        <f t="shared" ref="AI109:AJ109" si="69">AH109+AI108-AI105</f>
        <v>-60</v>
      </c>
      <c r="AJ109" s="10">
        <f t="shared" si="69"/>
        <v>-60</v>
      </c>
      <c r="AK109" s="9">
        <f>AE109+AK108-AK105</f>
        <v>-60</v>
      </c>
      <c r="AL109" s="11">
        <f>T109+AL108-AL105</f>
        <v>-60</v>
      </c>
      <c r="AM109" s="4"/>
      <c r="AN109" s="56">
        <v>0</v>
      </c>
      <c r="AO109" s="56">
        <v>0</v>
      </c>
    </row>
    <row r="110" spans="1:41" s="18" customFormat="1" ht="17" thickBot="1">
      <c r="A110" s="70"/>
      <c r="B110" s="19" t="s">
        <v>9</v>
      </c>
      <c r="C110" s="9"/>
      <c r="D110" s="9"/>
      <c r="E110" s="57" t="e">
        <f>E109/(SUM(F105+H105+#REF!+G105)/20)*1000</f>
        <v>#REF!</v>
      </c>
      <c r="F110" s="57" t="e">
        <f>F109/(SUM(G105+#REF!+J105+H105)/20)*1000</f>
        <v>#REF!</v>
      </c>
      <c r="G110" s="57" t="e">
        <f>G109/(SUM(H105+K105+J105+#REF!)/20)*1000</f>
        <v>#REF!</v>
      </c>
      <c r="H110" s="57" t="e">
        <f>H109/(SUM(#REF!+J105+K105+L105)/20)*1000</f>
        <v>#REF!</v>
      </c>
      <c r="I110" s="12"/>
      <c r="J110" s="57" t="e">
        <f>J109/(SUM(K105+L105+M105+O105)/20)*1000</f>
        <v>#DIV/0!</v>
      </c>
      <c r="K110" s="57" t="e">
        <f>K109/(SUM(L105+M105+O105+P105)/20)*1000</f>
        <v>#DIV/0!</v>
      </c>
      <c r="L110" s="57" t="e">
        <f>L109/(SUM(M105+O105+P105+Q105)/20)*1000</f>
        <v>#DIV/0!</v>
      </c>
      <c r="M110" s="57" t="e">
        <f>M109/(SUM(O105+P105+Q105+R105)/20)*1000</f>
        <v>#DIV/0!</v>
      </c>
      <c r="N110" s="12"/>
      <c r="O110" s="57" t="e">
        <f>O109/(SUM(P105+Q105+R105+S105)/20)*1000</f>
        <v>#DIV/0!</v>
      </c>
      <c r="P110" s="57" t="e">
        <f>P109/(SUM(Q105+R105+#REF!+S105)/20)*1000</f>
        <v>#REF!</v>
      </c>
      <c r="Q110" s="57" t="e">
        <f>Q109/(SUM(R105+S105+#REF!+#REF!)/20)*1000</f>
        <v>#REF!</v>
      </c>
      <c r="R110" s="57" t="e">
        <f>R109/(SUM(S105+#REF!+#REF!+#REF!)/20)*1000</f>
        <v>#REF!</v>
      </c>
      <c r="S110" s="57" t="e">
        <f>S109/(SUM(#REF!+#REF!+#REF!+#REF!)/20)*1000</f>
        <v>#REF!</v>
      </c>
      <c r="T110" s="12"/>
      <c r="U110" s="13"/>
      <c r="V110" s="57" t="e">
        <f>V109/(SUM(W105+Y105+#REF!+X105)/20)*1000</f>
        <v>#REF!</v>
      </c>
      <c r="W110" s="57" t="e">
        <f>W109/(SUM(X105+#REF!+AA105+Y105)/20)*1000</f>
        <v>#REF!</v>
      </c>
      <c r="X110" s="57" t="e">
        <f>X109/(SUM(Y105+AB105+AA105+#REF!)/20)*1000</f>
        <v>#REF!</v>
      </c>
      <c r="Y110" s="57" t="e">
        <f>Y109/(SUM(#REF!+AA105+AB105+AC105)/20)*1000</f>
        <v>#REF!</v>
      </c>
      <c r="Z110" s="12"/>
      <c r="AA110" s="57" t="e">
        <f>AA109/(SUM(AB105+AC105+AD105+AF105)/20)*1000</f>
        <v>#DIV/0!</v>
      </c>
      <c r="AB110" s="57" t="e">
        <f>AB109/(SUM(AC105+AD105+AF105+AG105)/20)*1000</f>
        <v>#DIV/0!</v>
      </c>
      <c r="AC110" s="57" t="e">
        <f>AC109/(SUM(AD105+AF105+AG105+AH105)/20)*1000</f>
        <v>#DIV/0!</v>
      </c>
      <c r="AD110" s="57" t="e">
        <f>AD109/(SUM(AF105+AG105+AH105+AI105)/20)*1000</f>
        <v>#DIV/0!</v>
      </c>
      <c r="AE110" s="12"/>
      <c r="AF110" s="57" t="e">
        <f>AF109/(SUM(AG105+AH105+AI105+AJ105)/20)*1000</f>
        <v>#DIV/0!</v>
      </c>
      <c r="AG110" s="57" t="e">
        <f>AG109/(SUM(AH105+AI105+#REF!+AJ105)/20)*1000</f>
        <v>#REF!</v>
      </c>
      <c r="AH110" s="57" t="e">
        <f>AH109/(SUM(AI105+AJ105+#REF!+#REF!)/20)*1000</f>
        <v>#REF!</v>
      </c>
      <c r="AI110" s="57" t="e">
        <f>AI109/(SUM(AJ105+#REF!+#REF!+#REF!)/20)*1000</f>
        <v>#REF!</v>
      </c>
      <c r="AJ110" s="57" t="e">
        <f>AJ109/(SUM(#REF!+#REF!+#REF!+#REF!)/20)*1000</f>
        <v>#REF!</v>
      </c>
      <c r="AK110" s="12"/>
      <c r="AL110" s="13"/>
      <c r="AM110" s="4"/>
      <c r="AN110" s="56">
        <v>0</v>
      </c>
      <c r="AO110" s="56">
        <v>0</v>
      </c>
    </row>
    <row r="111" spans="1:41" s="72" customFormat="1" ht="17" thickBot="1">
      <c r="A111" s="162" t="s">
        <v>53</v>
      </c>
      <c r="B111" s="40" t="s">
        <v>35</v>
      </c>
      <c r="C111" s="48"/>
      <c r="D111" s="49"/>
      <c r="E111" s="50">
        <f>E9+E15+E21+E27+E45+E51+E69+E75+E33+E57+E81+E87+E39+E63+E3+E93+E99+E105</f>
        <v>30072</v>
      </c>
      <c r="F111" s="50">
        <f t="shared" ref="F111:H113" si="70">F9+F15+F21+F27+F45+F51+F69+F75+F33+F57+F81+F87+F39+F63+F3+F93+F99+F105</f>
        <v>135188</v>
      </c>
      <c r="G111" s="50">
        <f t="shared" si="70"/>
        <v>85306</v>
      </c>
      <c r="H111" s="50">
        <f t="shared" si="70"/>
        <v>9959</v>
      </c>
      <c r="I111" s="49">
        <f>SUM(E111:H111)</f>
        <v>260525</v>
      </c>
      <c r="J111" s="50">
        <f t="shared" ref="J111:M113" si="71">J9+J15+J21+J27+J45+J51+J69+J75+J33+J57+J81+J87+J39+J63+J3+J93+J99+J105</f>
        <v>274385</v>
      </c>
      <c r="K111" s="50">
        <f t="shared" si="71"/>
        <v>190862</v>
      </c>
      <c r="L111" s="50">
        <f t="shared" si="71"/>
        <v>54738</v>
      </c>
      <c r="M111" s="50">
        <f t="shared" si="71"/>
        <v>47708</v>
      </c>
      <c r="N111" s="49">
        <f>SUM(J111:M111)</f>
        <v>567693</v>
      </c>
      <c r="O111" s="50">
        <f>O9+O15+O21+O27+O45+O51+O69+O75+O33+O57+O81+O87+O39+O63+O3+O93+O99+O105</f>
        <v>618520</v>
      </c>
      <c r="P111" s="50">
        <f>P9+P15+P21+P27+P45+P51+P69+P75+P33+P57+P81+P87+P39+P63+P3+P93+P99+P105</f>
        <v>132441</v>
      </c>
      <c r="Q111" s="50">
        <f>Q9+Q15+Q21+Q27+Q45+Q51+Q69+Q75+Q33+Q57+Q81+Q87+Q39+Q63+Q3+Q93+Q99+Q105</f>
        <v>29279</v>
      </c>
      <c r="R111" s="50">
        <f t="shared" ref="R111" si="72">R9+R15+R21+R27+R45+R51+R69+R75+R33+R57+R81+R87+R39+R63+R3+R93+R99+R105</f>
        <v>186161</v>
      </c>
      <c r="S111" s="50">
        <f>S9+S15+S21+S27+S45+S51+S69+S75+S33+S57+S81+S87+S39+S63+S3+S93+S99+S105</f>
        <v>170583</v>
      </c>
      <c r="T111" s="49">
        <f>SUM(O111:S111)</f>
        <v>1136984</v>
      </c>
      <c r="U111" s="17">
        <f>T111+N111+I111+D115</f>
        <v>2350832</v>
      </c>
      <c r="V111" s="50">
        <f>V9+V15+V21+V27+V45+V51+V69+V75+V33+V57+V81+V87+V39+V63+V3+V93+V99+V105</f>
        <v>356264</v>
      </c>
      <c r="W111" s="50">
        <f t="shared" ref="W111:Y111" si="73">W9+W15+W21+W27+W45+W51+W69+W75+W33+W57+W81+W87+W39+W63+W3+W93+W99+W105</f>
        <v>5129</v>
      </c>
      <c r="X111" s="50">
        <f t="shared" si="73"/>
        <v>0</v>
      </c>
      <c r="Y111" s="50">
        <f t="shared" si="73"/>
        <v>22645</v>
      </c>
      <c r="Z111" s="49">
        <f>SUM(V111:Y111)</f>
        <v>384038</v>
      </c>
      <c r="AA111" s="50">
        <f t="shared" ref="AA111:AD113" si="74">AA9+AA15+AA21+AA27+AA45+AA51+AA69+AA75+AA33+AA57+AA81+AA87+AA39+AA63+AA3+AA93+AA99+AA105</f>
        <v>20800</v>
      </c>
      <c r="AB111" s="50">
        <f t="shared" si="74"/>
        <v>1999</v>
      </c>
      <c r="AC111" s="50">
        <f t="shared" si="74"/>
        <v>0</v>
      </c>
      <c r="AD111" s="50">
        <f t="shared" si="74"/>
        <v>4634</v>
      </c>
      <c r="AE111" s="49">
        <f>SUM(AA111:AD111)</f>
        <v>27433</v>
      </c>
      <c r="AF111" s="50">
        <f t="shared" ref="AF111:AJ113" si="75">AF9+AF15+AF21+AF27+AF45+AF51+AF69+AF75+AF33+AF57+AF81+AF87+AF39+AF63+AF3+AF93+AF99+AF105</f>
        <v>0</v>
      </c>
      <c r="AG111" s="50">
        <f t="shared" si="75"/>
        <v>0</v>
      </c>
      <c r="AH111" s="50">
        <f t="shared" si="75"/>
        <v>0</v>
      </c>
      <c r="AI111" s="50">
        <f t="shared" si="75"/>
        <v>0</v>
      </c>
      <c r="AJ111" s="50">
        <f>AJ9+AJ15+AJ21+AJ27+AJ45+AJ51+AJ69+AJ75+AJ33+AJ57+AJ81+AJ87+AJ39+AJ63+AJ3+AJ93+AJ99+AJ105</f>
        <v>0</v>
      </c>
      <c r="AK111" s="49">
        <f>SUM(AF111:AJ111)</f>
        <v>0</v>
      </c>
      <c r="AL111" s="17">
        <f>AK111+AE111+Z111</f>
        <v>411471</v>
      </c>
      <c r="AN111" s="73">
        <v>147781536</v>
      </c>
      <c r="AO111" s="72">
        <v>26413664</v>
      </c>
    </row>
    <row r="112" spans="1:41" s="72" customFormat="1">
      <c r="A112" s="163"/>
      <c r="B112" s="41" t="s">
        <v>36</v>
      </c>
      <c r="C112" s="50"/>
      <c r="D112" s="51"/>
      <c r="E112" s="50">
        <f>E10+E16+E22+E28+E46+E52+E70+E76+E34+E58+E82+E88+E40+E64+E4+E94+E100+E106</f>
        <v>30072</v>
      </c>
      <c r="F112" s="50">
        <f t="shared" si="70"/>
        <v>135188</v>
      </c>
      <c r="G112" s="50">
        <f t="shared" si="70"/>
        <v>46000</v>
      </c>
      <c r="H112" s="50">
        <f t="shared" si="70"/>
        <v>110000</v>
      </c>
      <c r="I112" s="51">
        <f>SUM(E112:H112)</f>
        <v>321260</v>
      </c>
      <c r="J112" s="50">
        <f t="shared" si="71"/>
        <v>60000</v>
      </c>
      <c r="K112" s="50">
        <f t="shared" si="71"/>
        <v>131600</v>
      </c>
      <c r="L112" s="50">
        <f t="shared" si="71"/>
        <v>25000</v>
      </c>
      <c r="M112" s="50">
        <f t="shared" si="71"/>
        <v>458000</v>
      </c>
      <c r="N112" s="51">
        <f>SUM(J112:M112)</f>
        <v>674600</v>
      </c>
      <c r="O112" s="50">
        <f>O10+O16+O22+O28+O46+O52+O70+O76+O34+O58+O82+O88+O40+O64+O4+O94+O100+O106</f>
        <v>60000</v>
      </c>
      <c r="P112" s="50">
        <f t="shared" ref="P112:S113" si="76">P10+P16+P22+P28+P46+P52+P70+P76+P34+P58+P82+P88+P40+P64+P4+P94+P100+P106</f>
        <v>52000</v>
      </c>
      <c r="Q112" s="50">
        <f t="shared" si="76"/>
        <v>102000</v>
      </c>
      <c r="R112" s="50">
        <f t="shared" si="76"/>
        <v>102000</v>
      </c>
      <c r="S112" s="50">
        <f t="shared" si="76"/>
        <v>862000</v>
      </c>
      <c r="T112" s="49">
        <f>SUM(O112:S112)</f>
        <v>1178000</v>
      </c>
      <c r="U112" s="17">
        <f>T112+N112+I112+D115</f>
        <v>2559490</v>
      </c>
      <c r="V112" s="50">
        <f t="shared" ref="V112:Y113" si="77">V10+V16+V22+V28+V46+V52+V70+V76+V34+V58+V82+V88+V40+V64+V4+V94+V100+V106</f>
        <v>147000</v>
      </c>
      <c r="W112" s="50">
        <f t="shared" si="77"/>
        <v>0</v>
      </c>
      <c r="X112" s="50">
        <f t="shared" si="77"/>
        <v>0</v>
      </c>
      <c r="Y112" s="50">
        <f t="shared" si="77"/>
        <v>350000</v>
      </c>
      <c r="Z112" s="51">
        <f>SUM(V112:Y112)</f>
        <v>497000</v>
      </c>
      <c r="AA112" s="50">
        <f t="shared" si="74"/>
        <v>0</v>
      </c>
      <c r="AB112" s="50">
        <f t="shared" si="74"/>
        <v>0</v>
      </c>
      <c r="AC112" s="50">
        <f t="shared" si="74"/>
        <v>0</v>
      </c>
      <c r="AD112" s="50">
        <f t="shared" si="74"/>
        <v>0</v>
      </c>
      <c r="AE112" s="51">
        <f>SUM(AA112:AD112)</f>
        <v>0</v>
      </c>
      <c r="AF112" s="50">
        <f t="shared" si="75"/>
        <v>0</v>
      </c>
      <c r="AG112" s="50">
        <f t="shared" si="75"/>
        <v>0</v>
      </c>
      <c r="AH112" s="50">
        <f t="shared" si="75"/>
        <v>0</v>
      </c>
      <c r="AI112" s="50">
        <f t="shared" si="75"/>
        <v>0</v>
      </c>
      <c r="AJ112" s="50">
        <f t="shared" si="75"/>
        <v>0</v>
      </c>
      <c r="AK112" s="49">
        <f>SUM(AF112:AJ112)</f>
        <v>0</v>
      </c>
      <c r="AL112" s="17">
        <f>AK112+AE112+Z112</f>
        <v>497000</v>
      </c>
    </row>
    <row r="113" spans="1:38" s="72" customFormat="1">
      <c r="A113" s="163"/>
      <c r="B113" s="41" t="s">
        <v>37</v>
      </c>
      <c r="C113" s="50">
        <f>C11+C17+C23+C29+C47+C53+C71+C77+C35+C59+C83+C89+C41+C65+C5+C95+C101+C107</f>
        <v>142947</v>
      </c>
      <c r="D113" s="51"/>
      <c r="E113" s="50">
        <f>E11+E17+E23+E29+E47+E53+E71+E77+E35+E59+E83+E89+E41+E65+E5+E95+E101+E107</f>
        <v>0</v>
      </c>
      <c r="F113" s="50">
        <f t="shared" si="70"/>
        <v>0</v>
      </c>
      <c r="G113" s="50">
        <f t="shared" si="70"/>
        <v>0</v>
      </c>
      <c r="H113" s="50">
        <f t="shared" si="70"/>
        <v>142947</v>
      </c>
      <c r="I113" s="51">
        <f>SUM(E113:H113)</f>
        <v>142947</v>
      </c>
      <c r="J113" s="50">
        <f t="shared" si="71"/>
        <v>0</v>
      </c>
      <c r="K113" s="50">
        <f t="shared" si="71"/>
        <v>0</v>
      </c>
      <c r="L113" s="50">
        <f t="shared" si="71"/>
        <v>0</v>
      </c>
      <c r="M113" s="50">
        <f t="shared" si="71"/>
        <v>0</v>
      </c>
      <c r="N113" s="51">
        <f>SUM(J113:M113)</f>
        <v>0</v>
      </c>
      <c r="O113" s="50">
        <f>O11+O17+O23+O29+O47+O53+O71+O77+O35+O59+O83+O89+O41+O65+O5+O95+O101+O107</f>
        <v>0</v>
      </c>
      <c r="P113" s="50">
        <f t="shared" si="76"/>
        <v>0</v>
      </c>
      <c r="Q113" s="50">
        <f t="shared" si="76"/>
        <v>0</v>
      </c>
      <c r="R113" s="50">
        <f t="shared" si="76"/>
        <v>0</v>
      </c>
      <c r="S113" s="50">
        <f t="shared" si="76"/>
        <v>0</v>
      </c>
      <c r="T113" s="50">
        <f t="shared" ref="T113:T114" si="78">SUM(O113:S113)</f>
        <v>0</v>
      </c>
      <c r="U113" s="17">
        <f>I113+N113+T113</f>
        <v>142947</v>
      </c>
      <c r="V113" s="50">
        <f t="shared" si="77"/>
        <v>0</v>
      </c>
      <c r="W113" s="50">
        <f t="shared" si="77"/>
        <v>0</v>
      </c>
      <c r="X113" s="50">
        <f t="shared" si="77"/>
        <v>0</v>
      </c>
      <c r="Y113" s="50">
        <f t="shared" si="77"/>
        <v>0</v>
      </c>
      <c r="Z113" s="51">
        <f>SUM(V113:Y113)</f>
        <v>0</v>
      </c>
      <c r="AA113" s="50">
        <f t="shared" si="74"/>
        <v>0</v>
      </c>
      <c r="AB113" s="50">
        <f t="shared" si="74"/>
        <v>0</v>
      </c>
      <c r="AC113" s="50">
        <f t="shared" si="74"/>
        <v>0</v>
      </c>
      <c r="AD113" s="50">
        <f t="shared" si="74"/>
        <v>0</v>
      </c>
      <c r="AE113" s="51">
        <f>SUM(AA113:AD113)</f>
        <v>0</v>
      </c>
      <c r="AF113" s="50">
        <f t="shared" si="75"/>
        <v>0</v>
      </c>
      <c r="AG113" s="50">
        <f t="shared" si="75"/>
        <v>0</v>
      </c>
      <c r="AH113" s="50">
        <f t="shared" si="75"/>
        <v>0</v>
      </c>
      <c r="AI113" s="50">
        <f t="shared" si="75"/>
        <v>0</v>
      </c>
      <c r="AJ113" s="50">
        <f t="shared" si="75"/>
        <v>0</v>
      </c>
      <c r="AK113" s="50">
        <f t="shared" ref="AK113:AK114" si="79">SUM(AF113:AJ113)</f>
        <v>0</v>
      </c>
      <c r="AL113" s="17">
        <f>Z113+AE113+AK113</f>
        <v>0</v>
      </c>
    </row>
    <row r="114" spans="1:38" s="72" customFormat="1">
      <c r="A114" s="163"/>
      <c r="B114" s="41" t="s">
        <v>7</v>
      </c>
      <c r="C114" s="50">
        <f>C12+C18+C24+C30+C48+C54+C72+C78+C36+C60+C84+C90+C42+C66+C6</f>
        <v>0</v>
      </c>
      <c r="D114" s="51"/>
      <c r="E114" s="52">
        <f>E113+E112</f>
        <v>30072</v>
      </c>
      <c r="F114" s="52">
        <f t="shared" ref="F114:H114" si="80">F113+F112</f>
        <v>135188</v>
      </c>
      <c r="G114" s="52">
        <f t="shared" si="80"/>
        <v>46000</v>
      </c>
      <c r="H114" s="52">
        <f t="shared" si="80"/>
        <v>252947</v>
      </c>
      <c r="I114" s="51">
        <f>SUM(E114:H114)</f>
        <v>464207</v>
      </c>
      <c r="J114" s="52">
        <f>J113+J112</f>
        <v>60000</v>
      </c>
      <c r="K114" s="52">
        <f t="shared" ref="K114:P114" si="81">K113+K112</f>
        <v>131600</v>
      </c>
      <c r="L114" s="52">
        <f t="shared" si="81"/>
        <v>25000</v>
      </c>
      <c r="M114" s="52">
        <f t="shared" si="81"/>
        <v>458000</v>
      </c>
      <c r="N114" s="51">
        <f>SUM(J114:M114)</f>
        <v>674600</v>
      </c>
      <c r="O114" s="52">
        <f t="shared" si="81"/>
        <v>60000</v>
      </c>
      <c r="P114" s="52">
        <f t="shared" si="81"/>
        <v>52000</v>
      </c>
      <c r="Q114" s="52">
        <f>Q113+Q112</f>
        <v>102000</v>
      </c>
      <c r="R114" s="52">
        <f t="shared" ref="R114" si="82">R113+R112</f>
        <v>102000</v>
      </c>
      <c r="S114" s="52">
        <f>S113+S112</f>
        <v>862000</v>
      </c>
      <c r="T114" s="50">
        <f t="shared" si="78"/>
        <v>1178000</v>
      </c>
      <c r="U114" s="17">
        <f>T114+N114+I114+D115</f>
        <v>2702437</v>
      </c>
      <c r="V114" s="52">
        <f>V113+V112</f>
        <v>147000</v>
      </c>
      <c r="W114" s="52">
        <f t="shared" ref="W114:AJ114" si="83">W113+W112</f>
        <v>0</v>
      </c>
      <c r="X114" s="52">
        <f t="shared" si="83"/>
        <v>0</v>
      </c>
      <c r="Y114" s="52">
        <f t="shared" si="83"/>
        <v>350000</v>
      </c>
      <c r="Z114" s="51">
        <f>SUM(V114:Y114)</f>
        <v>497000</v>
      </c>
      <c r="AA114" s="52">
        <f t="shared" si="83"/>
        <v>0</v>
      </c>
      <c r="AB114" s="52">
        <f t="shared" si="83"/>
        <v>0</v>
      </c>
      <c r="AC114" s="52">
        <f t="shared" si="83"/>
        <v>0</v>
      </c>
      <c r="AD114" s="52">
        <f t="shared" si="83"/>
        <v>0</v>
      </c>
      <c r="AE114" s="51">
        <f>SUM(AA114:AD114)</f>
        <v>0</v>
      </c>
      <c r="AF114" s="52">
        <f t="shared" si="83"/>
        <v>0</v>
      </c>
      <c r="AG114" s="52">
        <f t="shared" si="83"/>
        <v>0</v>
      </c>
      <c r="AH114" s="52">
        <f t="shared" si="83"/>
        <v>0</v>
      </c>
      <c r="AI114" s="52">
        <f t="shared" si="83"/>
        <v>0</v>
      </c>
      <c r="AJ114" s="52">
        <f t="shared" si="83"/>
        <v>0</v>
      </c>
      <c r="AK114" s="50">
        <f t="shared" si="79"/>
        <v>0</v>
      </c>
      <c r="AL114" s="17">
        <f>AK114+AE114+Z114-U115</f>
        <v>145395</v>
      </c>
    </row>
    <row r="115" spans="1:38" s="72" customFormat="1" ht="17" thickBot="1">
      <c r="A115" s="164"/>
      <c r="B115" s="42" t="s">
        <v>38</v>
      </c>
      <c r="C115" s="50">
        <f>C13+C19+C25+C31+C49+C55+C73+C79+C37+C61+C85+C91+C43+C67+C7</f>
        <v>438484</v>
      </c>
      <c r="D115" s="50">
        <f>D13+D19+D25+D31+D49+D55+D73+D79+D37+D61+D85+D91+D43+D67+D7+D97+D103+D109</f>
        <v>385630</v>
      </c>
      <c r="E115" s="52">
        <f>E114-E111</f>
        <v>0</v>
      </c>
      <c r="F115" s="52">
        <f t="shared" ref="F115:H115" si="84">F114-F111</f>
        <v>0</v>
      </c>
      <c r="G115" s="52">
        <f t="shared" si="84"/>
        <v>-39306</v>
      </c>
      <c r="H115" s="52">
        <f t="shared" si="84"/>
        <v>242988</v>
      </c>
      <c r="I115" s="53">
        <f>I114-I111</f>
        <v>203682</v>
      </c>
      <c r="J115" s="52">
        <f>J114-J111</f>
        <v>-214385</v>
      </c>
      <c r="K115" s="52">
        <f t="shared" ref="K115:S115" si="85">K114-K111</f>
        <v>-59262</v>
      </c>
      <c r="L115" s="52">
        <f t="shared" si="85"/>
        <v>-29738</v>
      </c>
      <c r="M115" s="52">
        <f t="shared" si="85"/>
        <v>410292</v>
      </c>
      <c r="N115" s="53">
        <f>I115+N114-N111</f>
        <v>310589</v>
      </c>
      <c r="O115" s="52">
        <f t="shared" si="85"/>
        <v>-558520</v>
      </c>
      <c r="P115" s="52">
        <f t="shared" si="85"/>
        <v>-80441</v>
      </c>
      <c r="Q115" s="52">
        <f t="shared" si="85"/>
        <v>72721</v>
      </c>
      <c r="R115" s="52">
        <f t="shared" si="85"/>
        <v>-84161</v>
      </c>
      <c r="S115" s="52">
        <f t="shared" si="85"/>
        <v>691417</v>
      </c>
      <c r="T115" s="53">
        <f>N115+T114-T111</f>
        <v>351605</v>
      </c>
      <c r="U115" s="11">
        <f>U114-U111</f>
        <v>351605</v>
      </c>
      <c r="V115" s="52">
        <f t="shared" ref="V115:AJ115" si="86">V114-V111</f>
        <v>-209264</v>
      </c>
      <c r="W115" s="52">
        <f t="shared" si="86"/>
        <v>-5129</v>
      </c>
      <c r="X115" s="52">
        <f t="shared" si="86"/>
        <v>0</v>
      </c>
      <c r="Y115" s="52">
        <f t="shared" si="86"/>
        <v>327355</v>
      </c>
      <c r="Z115" s="53">
        <f>Z114-Z111</f>
        <v>112962</v>
      </c>
      <c r="AA115" s="52">
        <f t="shared" si="86"/>
        <v>-20800</v>
      </c>
      <c r="AB115" s="52">
        <f t="shared" si="86"/>
        <v>-1999</v>
      </c>
      <c r="AC115" s="52">
        <f t="shared" si="86"/>
        <v>0</v>
      </c>
      <c r="AD115" s="52">
        <f t="shared" si="86"/>
        <v>-4634</v>
      </c>
      <c r="AE115" s="53">
        <f>Z115+AE114-AE111</f>
        <v>85529</v>
      </c>
      <c r="AF115" s="52">
        <f t="shared" si="86"/>
        <v>0</v>
      </c>
      <c r="AG115" s="52">
        <f t="shared" si="86"/>
        <v>0</v>
      </c>
      <c r="AH115" s="52">
        <f t="shared" si="86"/>
        <v>0</v>
      </c>
      <c r="AI115" s="52">
        <f t="shared" si="86"/>
        <v>0</v>
      </c>
      <c r="AJ115" s="52">
        <f t="shared" si="86"/>
        <v>0</v>
      </c>
      <c r="AK115" s="53">
        <f>AE115+AK114-AK111</f>
        <v>85529</v>
      </c>
      <c r="AL115" s="11">
        <f>AL114-AL111</f>
        <v>-266076</v>
      </c>
    </row>
    <row r="116" spans="1:38" s="76" customFormat="1">
      <c r="A116" s="150" t="s">
        <v>54</v>
      </c>
      <c r="B116" s="43" t="s">
        <v>35</v>
      </c>
      <c r="C116" s="74"/>
      <c r="D116" s="75"/>
      <c r="E116" s="54">
        <f>SUM(E3,E9)*32+SUM(E15,E21,E27,E33,E75,E93)*64+SUM(E39,E45,E51,E57,E81,E87,E99,E105)*128+SUM(E63,E69)*256</f>
        <v>1924608</v>
      </c>
      <c r="F116" s="54">
        <f t="shared" ref="F116:H118" si="87">SUM(F3,F9)*32+SUM(F15,F21,F27,F33,F75,F93)*64+SUM(F39,F45,F51,F57,F81,F87,F99,F105)*128+SUM(F63,F69)*256</f>
        <v>9391872</v>
      </c>
      <c r="G116" s="54">
        <f t="shared" si="87"/>
        <v>4257504</v>
      </c>
      <c r="H116" s="54">
        <f>SUM(H3,H9)*32+SUM(H15,H21,H27,H33,H75,H93)*64+SUM(H39,H45,H51,H57,H81,H87,H99,H105)*128+SUM(H63,H69)*256</f>
        <v>605568</v>
      </c>
      <c r="I116" s="49">
        <f>SUM(E116:H116)</f>
        <v>16179552</v>
      </c>
      <c r="J116" s="54">
        <f t="shared" ref="J116:M118" si="88">SUM(J3,J9)*32+SUM(J15,J21,J27,J33,J75,J93)*64+SUM(J39,J45,J51,J57,J81,J87,J99,J105)*128+SUM(J63,J69)*256</f>
        <v>17528672</v>
      </c>
      <c r="K116" s="54">
        <f t="shared" si="88"/>
        <v>12045568</v>
      </c>
      <c r="L116" s="54">
        <f t="shared" si="88"/>
        <v>3566720</v>
      </c>
      <c r="M116" s="54">
        <f t="shared" si="88"/>
        <v>2876416</v>
      </c>
      <c r="N116" s="49">
        <f>SUM(J116:M116)</f>
        <v>36017376</v>
      </c>
      <c r="O116" s="54">
        <f>SUM(O3,O9)*32+SUM(O15,O21,O27,O33,O75,O93)*64+SUM(O39,O45,O51,O57,O81,O87,O99,O105)*128+SUM(O63,O69)*256</f>
        <v>39084800</v>
      </c>
      <c r="P116" s="54">
        <f t="shared" ref="P116:S118" si="89">SUM(P3,P9)*32+SUM(P15,P21,P27,P33,P75,P93)*64+SUM(P39,P45,P51,P57,P81,P87,P99,P105)*128+SUM(P63,P69)*256</f>
        <v>7940416</v>
      </c>
      <c r="Q116" s="54">
        <f t="shared" si="89"/>
        <v>2053664</v>
      </c>
      <c r="R116" s="54">
        <f>SUM(R3,R9)*32+SUM(R15,R21,R27,R33,R75,R93)*64+SUM(R39,R45,R51,R57,R81,R87,R99,R105)*128+SUM(R63,R69)*256</f>
        <v>11768608</v>
      </c>
      <c r="S116" s="54">
        <f>SUM(S3,S9)*32+SUM(S15,S21,S27,S33,S75,S93)*64+SUM(S39,S45,S51,S57,S81,S87,S99,S105)*128+SUM(S63,S69)*256</f>
        <v>10187904</v>
      </c>
      <c r="T116" s="15">
        <f>SUM(O116:S116)</f>
        <v>71035392</v>
      </c>
      <c r="U116" s="17">
        <f>T116+N116+I116+D120</f>
        <v>147781536</v>
      </c>
      <c r="V116" s="54">
        <f>SUM(V3,V9)*32+SUM(V15,V21,V27,V33,V75,V93)*64+SUM(V39,V45,V51,V57,V81,V87,V99,V105)*128+SUM(V63,V69)*256</f>
        <v>23323136</v>
      </c>
      <c r="W116" s="54">
        <f t="shared" ref="W116:Y116" si="90">SUM(W3,W9)*32+SUM(W15,W21,W27,W33,W75,W93)*64+SUM(W39,W45,W51,W57,W81,W87,W99,W105)*128+SUM(W63,W69)*256</f>
        <v>441536</v>
      </c>
      <c r="X116" s="54">
        <f t="shared" si="90"/>
        <v>0</v>
      </c>
      <c r="Y116" s="54">
        <f t="shared" si="90"/>
        <v>1524800</v>
      </c>
      <c r="Z116" s="49">
        <f>SUM(V116:Y116)</f>
        <v>25289472</v>
      </c>
      <c r="AA116" s="54">
        <f t="shared" ref="AA116:AD118" si="91">SUM(AA3,AA9)*32+SUM(AA15,AA21,AA27,AA33,AA75,AA93)*64+SUM(AA39,AA45,AA51,AA57,AA81,AA87,AA99,AA105)*128+SUM(AA63,AA69)*256</f>
        <v>819200</v>
      </c>
      <c r="AB116" s="54">
        <f t="shared" si="91"/>
        <v>127936</v>
      </c>
      <c r="AC116" s="54">
        <f t="shared" si="91"/>
        <v>0</v>
      </c>
      <c r="AD116" s="54">
        <f t="shared" si="91"/>
        <v>177056</v>
      </c>
      <c r="AE116" s="49">
        <f>SUM(AA116:AD116)</f>
        <v>1124192</v>
      </c>
      <c r="AF116" s="54">
        <f t="shared" ref="AF116:AJ118" si="92">SUM(AF3,AF9)*32+SUM(AF15,AF21,AF27,AF33,AF75,AF93)*64+SUM(AF39,AF45,AF51,AF57,AF81,AF87,AF99,AF105)*128+SUM(AF63,AF69)*256</f>
        <v>0</v>
      </c>
      <c r="AG116" s="54">
        <f t="shared" si="92"/>
        <v>0</v>
      </c>
      <c r="AH116" s="54">
        <f t="shared" si="92"/>
        <v>0</v>
      </c>
      <c r="AI116" s="54">
        <f t="shared" si="92"/>
        <v>0</v>
      </c>
      <c r="AJ116" s="54">
        <f t="shared" si="92"/>
        <v>0</v>
      </c>
      <c r="AK116" s="15">
        <f>SUM(AF116:AJ116)</f>
        <v>0</v>
      </c>
      <c r="AL116" s="17">
        <f>AK116+AE116+Z116</f>
        <v>26413664</v>
      </c>
    </row>
    <row r="117" spans="1:38" s="76" customFormat="1">
      <c r="A117" s="151"/>
      <c r="B117" s="44" t="s">
        <v>36</v>
      </c>
      <c r="C117" s="77"/>
      <c r="D117" s="78"/>
      <c r="E117" s="54">
        <f>SUM(E4,E10)*32+SUM(E16,E22,E28,E34,E76,E94)*64+SUM(E40,E46,E52,E58,E82,E88,E100,E106)*128+SUM(E64,E70)*256</f>
        <v>1924608</v>
      </c>
      <c r="F117" s="54">
        <f t="shared" si="87"/>
        <v>9391872</v>
      </c>
      <c r="G117" s="54">
        <f t="shared" si="87"/>
        <v>1792000</v>
      </c>
      <c r="H117" s="54">
        <f t="shared" si="87"/>
        <v>7680000</v>
      </c>
      <c r="I117" s="51">
        <f>SUM(E117:H117)</f>
        <v>20788480</v>
      </c>
      <c r="J117" s="54">
        <f t="shared" si="88"/>
        <v>1920000</v>
      </c>
      <c r="K117" s="54">
        <f t="shared" si="88"/>
        <v>8710400</v>
      </c>
      <c r="L117" s="54">
        <f t="shared" si="88"/>
        <v>800000</v>
      </c>
      <c r="M117" s="54">
        <f t="shared" si="88"/>
        <v>30624000</v>
      </c>
      <c r="N117" s="51">
        <f>SUM(J117:M117)</f>
        <v>42054400</v>
      </c>
      <c r="O117" s="54">
        <f>SUM(O4,O10)*32+SUM(O16,O22,O28,O34,O76,O94)*64+SUM(O40,O46,O52,O58,O82,O88,O100,O106)*128+SUM(O64,O70)*256</f>
        <v>3840000</v>
      </c>
      <c r="P117" s="54">
        <f t="shared" si="89"/>
        <v>2496000</v>
      </c>
      <c r="Q117" s="54">
        <f t="shared" si="89"/>
        <v>5696000</v>
      </c>
      <c r="R117" s="54">
        <f>SUM(R4,R10)*32+SUM(R16,R22,R28,R34,R76,R94)*64+SUM(R40,R46,R52,R58,R82,R88,R100,R106)*128+SUM(R64,R70)*256</f>
        <v>5696000</v>
      </c>
      <c r="S117" s="54">
        <f t="shared" si="89"/>
        <v>55936000</v>
      </c>
      <c r="T117" s="15">
        <f>SUM(O117:S117)</f>
        <v>73664000</v>
      </c>
      <c r="U117" s="17">
        <f>T117+N117+I117</f>
        <v>136506880</v>
      </c>
      <c r="V117" s="54">
        <f t="shared" ref="V117:Y118" si="93">SUM(V4,V10)*32+SUM(V16,V22,V28,V34,V76,V94)*64+SUM(V40,V46,V52,V58,V82,V88,V100,V106)*128+SUM(V64,V70)*256</f>
        <v>9536000</v>
      </c>
      <c r="W117" s="54">
        <f t="shared" si="93"/>
        <v>0</v>
      </c>
      <c r="X117" s="54">
        <f t="shared" si="93"/>
        <v>0</v>
      </c>
      <c r="Y117" s="54">
        <f t="shared" si="93"/>
        <v>22400000</v>
      </c>
      <c r="Z117" s="51">
        <f>SUM(V117:Y117)</f>
        <v>31936000</v>
      </c>
      <c r="AA117" s="54">
        <f t="shared" si="91"/>
        <v>0</v>
      </c>
      <c r="AB117" s="54">
        <f t="shared" si="91"/>
        <v>0</v>
      </c>
      <c r="AC117" s="54">
        <f t="shared" si="91"/>
        <v>0</v>
      </c>
      <c r="AD117" s="54">
        <f t="shared" si="91"/>
        <v>0</v>
      </c>
      <c r="AE117" s="51">
        <f t="shared" ref="AE117:AE118" si="94">SUM(AA117:AD117)</f>
        <v>0</v>
      </c>
      <c r="AF117" s="54">
        <f t="shared" si="92"/>
        <v>0</v>
      </c>
      <c r="AG117" s="54">
        <f t="shared" si="92"/>
        <v>0</v>
      </c>
      <c r="AH117" s="54">
        <f t="shared" si="92"/>
        <v>0</v>
      </c>
      <c r="AI117" s="54">
        <f t="shared" si="92"/>
        <v>0</v>
      </c>
      <c r="AJ117" s="54">
        <f t="shared" si="92"/>
        <v>0</v>
      </c>
      <c r="AK117" s="15">
        <f t="shared" ref="AK117:AK118" si="95">SUM(AF117:AJ117)</f>
        <v>0</v>
      </c>
      <c r="AL117" s="17">
        <f>AK117+AE117+Z117</f>
        <v>31936000</v>
      </c>
    </row>
    <row r="118" spans="1:38" s="76" customFormat="1">
      <c r="A118" s="151"/>
      <c r="B118" s="44" t="s">
        <v>37</v>
      </c>
      <c r="C118" s="54">
        <f>SUM(C5,C11)*32+SUM(C17,C23,C29,C35,C77,C95)*64+SUM(C41,C47,C53,C59,C83,C89,C101,C107)*128+SUM(C65,C71)*256</f>
        <v>9344608</v>
      </c>
      <c r="D118" s="78"/>
      <c r="E118" s="54">
        <f>SUM(E5,E11)*32+SUM(E17,E23,E29,E35,E77,E95)*64+SUM(E41,E47,E53,E59,E83,E89,E101,E107)*128+SUM(E65,E71)*256</f>
        <v>0</v>
      </c>
      <c r="F118" s="54">
        <f t="shared" si="87"/>
        <v>0</v>
      </c>
      <c r="G118" s="54">
        <f t="shared" si="87"/>
        <v>0</v>
      </c>
      <c r="H118" s="54">
        <f t="shared" si="87"/>
        <v>9344608</v>
      </c>
      <c r="I118" s="51">
        <f t="shared" ref="I118" si="96">SUM(E118:H118)</f>
        <v>9344608</v>
      </c>
      <c r="J118" s="54">
        <f t="shared" si="88"/>
        <v>0</v>
      </c>
      <c r="K118" s="54">
        <f t="shared" si="88"/>
        <v>0</v>
      </c>
      <c r="L118" s="54">
        <f t="shared" si="88"/>
        <v>0</v>
      </c>
      <c r="M118" s="54">
        <f t="shared" si="88"/>
        <v>0</v>
      </c>
      <c r="N118" s="51">
        <f>SUM(J118:M118)</f>
        <v>0</v>
      </c>
      <c r="O118" s="54">
        <f>SUM(O5,O11)*32+SUM(O17,O23,O29,O35,O77,O95)*64+SUM(O41,O47,O53,O59,O83,O89,O101,O107)*128+SUM(O65,O71)*256</f>
        <v>0</v>
      </c>
      <c r="P118" s="54">
        <f t="shared" si="89"/>
        <v>0</v>
      </c>
      <c r="Q118" s="54">
        <f t="shared" si="89"/>
        <v>0</v>
      </c>
      <c r="R118" s="54">
        <f t="shared" si="89"/>
        <v>0</v>
      </c>
      <c r="S118" s="54">
        <f t="shared" si="89"/>
        <v>0</v>
      </c>
      <c r="T118" s="15">
        <f t="shared" ref="T118" si="97">SUM(O118:S118)</f>
        <v>0</v>
      </c>
      <c r="U118" s="17">
        <f>I118+N118+T118</f>
        <v>9344608</v>
      </c>
      <c r="V118" s="54">
        <f t="shared" si="93"/>
        <v>0</v>
      </c>
      <c r="W118" s="54">
        <f t="shared" si="93"/>
        <v>0</v>
      </c>
      <c r="X118" s="54">
        <f t="shared" si="93"/>
        <v>0</v>
      </c>
      <c r="Y118" s="54">
        <f t="shared" si="93"/>
        <v>0</v>
      </c>
      <c r="Z118" s="51">
        <f>SUM(V118:Y118)</f>
        <v>0</v>
      </c>
      <c r="AA118" s="54">
        <f t="shared" si="91"/>
        <v>0</v>
      </c>
      <c r="AB118" s="54">
        <f t="shared" si="91"/>
        <v>0</v>
      </c>
      <c r="AC118" s="54">
        <f t="shared" si="91"/>
        <v>0</v>
      </c>
      <c r="AD118" s="54">
        <f t="shared" si="91"/>
        <v>0</v>
      </c>
      <c r="AE118" s="51">
        <f t="shared" si="94"/>
        <v>0</v>
      </c>
      <c r="AF118" s="54">
        <f t="shared" si="92"/>
        <v>0</v>
      </c>
      <c r="AG118" s="54">
        <f t="shared" si="92"/>
        <v>0</v>
      </c>
      <c r="AH118" s="54">
        <f t="shared" si="92"/>
        <v>0</v>
      </c>
      <c r="AI118" s="54">
        <f t="shared" si="92"/>
        <v>0</v>
      </c>
      <c r="AJ118" s="54">
        <f t="shared" si="92"/>
        <v>0</v>
      </c>
      <c r="AK118" s="15">
        <f t="shared" si="95"/>
        <v>0</v>
      </c>
      <c r="AL118" s="17">
        <f>Z118+AE118+AK118</f>
        <v>0</v>
      </c>
    </row>
    <row r="119" spans="1:38" s="76" customFormat="1">
      <c r="A119" s="151"/>
      <c r="B119" s="44" t="s">
        <v>7</v>
      </c>
      <c r="C119" s="54">
        <f>SUM(C6,C12)*32+SUM(C18,C24,C30,C36,C78,C96)*64+SUM(C42,C48,C54,C60,C84,C90,C102,C108)*128+SUM(C66,C72)*256</f>
        <v>0</v>
      </c>
      <c r="D119" s="78"/>
      <c r="E119" s="55">
        <f>E118+E117</f>
        <v>1924608</v>
      </c>
      <c r="F119" s="55">
        <f t="shared" ref="F119:H119" si="98">F118+F117</f>
        <v>9391872</v>
      </c>
      <c r="G119" s="55">
        <f t="shared" si="98"/>
        <v>1792000</v>
      </c>
      <c r="H119" s="55">
        <f t="shared" si="98"/>
        <v>17024608</v>
      </c>
      <c r="I119" s="51">
        <f>SUM(E119:H119)</f>
        <v>30133088</v>
      </c>
      <c r="J119" s="55">
        <f>J118+J117</f>
        <v>1920000</v>
      </c>
      <c r="K119" s="55">
        <f t="shared" ref="K119:S119" si="99">K118+K117</f>
        <v>8710400</v>
      </c>
      <c r="L119" s="55">
        <f t="shared" si="99"/>
        <v>800000</v>
      </c>
      <c r="M119" s="55">
        <f t="shared" si="99"/>
        <v>30624000</v>
      </c>
      <c r="N119" s="51">
        <f>SUM(J119:M119)</f>
        <v>42054400</v>
      </c>
      <c r="O119" s="55">
        <f t="shared" si="99"/>
        <v>3840000</v>
      </c>
      <c r="P119" s="55">
        <f t="shared" si="99"/>
        <v>2496000</v>
      </c>
      <c r="Q119" s="55">
        <f t="shared" si="99"/>
        <v>5696000</v>
      </c>
      <c r="R119" s="55">
        <f t="shared" si="99"/>
        <v>5696000</v>
      </c>
      <c r="S119" s="55">
        <f t="shared" si="99"/>
        <v>55936000</v>
      </c>
      <c r="T119" s="15">
        <f>SUM(O119:S119)</f>
        <v>73664000</v>
      </c>
      <c r="U119" s="17">
        <f>T119+N119+I119+D120</f>
        <v>170400704</v>
      </c>
      <c r="V119" s="55">
        <f t="shared" ref="V119:AJ119" si="100">V118+V117</f>
        <v>9536000</v>
      </c>
      <c r="W119" s="55">
        <f t="shared" si="100"/>
        <v>0</v>
      </c>
      <c r="X119" s="55">
        <f t="shared" si="100"/>
        <v>0</v>
      </c>
      <c r="Y119" s="55">
        <f t="shared" si="100"/>
        <v>22400000</v>
      </c>
      <c r="Z119" s="51">
        <f>SUM(V119:Y119)+U120</f>
        <v>54555168</v>
      </c>
      <c r="AA119" s="55">
        <f t="shared" si="100"/>
        <v>0</v>
      </c>
      <c r="AB119" s="55">
        <f t="shared" si="100"/>
        <v>0</v>
      </c>
      <c r="AC119" s="55">
        <f t="shared" si="100"/>
        <v>0</v>
      </c>
      <c r="AD119" s="55">
        <f t="shared" si="100"/>
        <v>0</v>
      </c>
      <c r="AE119" s="51">
        <f>SUM(AA119:AD119)</f>
        <v>0</v>
      </c>
      <c r="AF119" s="55">
        <f t="shared" si="100"/>
        <v>0</v>
      </c>
      <c r="AG119" s="55">
        <f t="shared" si="100"/>
        <v>0</v>
      </c>
      <c r="AH119" s="55">
        <f t="shared" si="100"/>
        <v>0</v>
      </c>
      <c r="AI119" s="55">
        <f t="shared" si="100"/>
        <v>0</v>
      </c>
      <c r="AJ119" s="55">
        <f t="shared" si="100"/>
        <v>0</v>
      </c>
      <c r="AK119" s="15">
        <f>SUM(AF119:AJ119)</f>
        <v>0</v>
      </c>
      <c r="AL119" s="17">
        <f>AK119+AE119+Z119</f>
        <v>54555168</v>
      </c>
    </row>
    <row r="120" spans="1:38" s="76" customFormat="1" ht="17" thickBot="1">
      <c r="A120" s="152"/>
      <c r="B120" s="45" t="s">
        <v>38</v>
      </c>
      <c r="C120" s="54">
        <f>SUM(C7,C13)*32+SUM(C19,C25,C31,C37,C79)*64+SUM(C43,C49,C55,C61,C85,C91)*128+SUM(C67,C73)*256</f>
        <v>27509056</v>
      </c>
      <c r="D120" s="54">
        <f>SUM(D7,D13)*32+SUM(D19,D25,D31,D37,D79,D97)*64+SUM(D43,D49,D55,D61,D85,D91,D103,D109)*128+SUM(D67,D73)*256</f>
        <v>24549216</v>
      </c>
      <c r="E120" s="52">
        <f>E119-E116</f>
        <v>0</v>
      </c>
      <c r="F120" s="52">
        <f t="shared" ref="F120:H120" si="101">F119-F116</f>
        <v>0</v>
      </c>
      <c r="G120" s="52">
        <f t="shared" si="101"/>
        <v>-2465504</v>
      </c>
      <c r="H120" s="52">
        <f t="shared" si="101"/>
        <v>16419040</v>
      </c>
      <c r="I120" s="53">
        <f>I119-I116</f>
        <v>13953536</v>
      </c>
      <c r="J120" s="52">
        <f>J119-J116</f>
        <v>-15608672</v>
      </c>
      <c r="K120" s="52">
        <f t="shared" ref="K120:S120" si="102">K119-K116</f>
        <v>-3335168</v>
      </c>
      <c r="L120" s="52">
        <f t="shared" si="102"/>
        <v>-2766720</v>
      </c>
      <c r="M120" s="52">
        <f t="shared" si="102"/>
        <v>27747584</v>
      </c>
      <c r="N120" s="53">
        <f>I120+N119-N116</f>
        <v>19990560</v>
      </c>
      <c r="O120" s="52">
        <f t="shared" si="102"/>
        <v>-35244800</v>
      </c>
      <c r="P120" s="52">
        <f t="shared" si="102"/>
        <v>-5444416</v>
      </c>
      <c r="Q120" s="52">
        <f t="shared" si="102"/>
        <v>3642336</v>
      </c>
      <c r="R120" s="52">
        <f t="shared" si="102"/>
        <v>-6072608</v>
      </c>
      <c r="S120" s="52">
        <f t="shared" si="102"/>
        <v>45748096</v>
      </c>
      <c r="T120" s="53">
        <f>N120+T119-T116</f>
        <v>22619168</v>
      </c>
      <c r="U120" s="11">
        <f>U119-U116</f>
        <v>22619168</v>
      </c>
      <c r="V120" s="52">
        <f t="shared" ref="V120:AJ120" si="103">V119-V116</f>
        <v>-13787136</v>
      </c>
      <c r="W120" s="52">
        <f t="shared" si="103"/>
        <v>-441536</v>
      </c>
      <c r="X120" s="52">
        <f t="shared" si="103"/>
        <v>0</v>
      </c>
      <c r="Y120" s="52">
        <f t="shared" si="103"/>
        <v>20875200</v>
      </c>
      <c r="Z120" s="53">
        <f>Z119-Z116</f>
        <v>29265696</v>
      </c>
      <c r="AA120" s="52">
        <f t="shared" si="103"/>
        <v>-819200</v>
      </c>
      <c r="AB120" s="52">
        <f t="shared" si="103"/>
        <v>-127936</v>
      </c>
      <c r="AC120" s="52">
        <f t="shared" si="103"/>
        <v>0</v>
      </c>
      <c r="AD120" s="52">
        <f t="shared" si="103"/>
        <v>-177056</v>
      </c>
      <c r="AE120" s="53">
        <f>Z120+AE119-AE116</f>
        <v>28141504</v>
      </c>
      <c r="AF120" s="52">
        <f t="shared" si="103"/>
        <v>0</v>
      </c>
      <c r="AG120" s="52">
        <f t="shared" si="103"/>
        <v>0</v>
      </c>
      <c r="AH120" s="52">
        <f t="shared" si="103"/>
        <v>0</v>
      </c>
      <c r="AI120" s="52">
        <f t="shared" si="103"/>
        <v>0</v>
      </c>
      <c r="AJ120" s="52">
        <f t="shared" si="103"/>
        <v>0</v>
      </c>
      <c r="AK120" s="53">
        <f>AE120+AK119-AK116</f>
        <v>28141504</v>
      </c>
      <c r="AL120" s="11">
        <f>AL119-AL116</f>
        <v>28141504</v>
      </c>
    </row>
  </sheetData>
  <autoFilter ref="A2:AO2" xr:uid="{00000000-0001-0000-0300-000000000000}"/>
  <mergeCells count="27">
    <mergeCell ref="A99:A103"/>
    <mergeCell ref="A105:A109"/>
    <mergeCell ref="A87:A91"/>
    <mergeCell ref="A93:A97"/>
    <mergeCell ref="A111:A115"/>
    <mergeCell ref="A81:A85"/>
    <mergeCell ref="A45:A49"/>
    <mergeCell ref="A51:A55"/>
    <mergeCell ref="A57:A61"/>
    <mergeCell ref="A63:A67"/>
    <mergeCell ref="A69:A73"/>
    <mergeCell ref="A116:A120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15:A19"/>
    <mergeCell ref="A21:A25"/>
    <mergeCell ref="A27:A31"/>
    <mergeCell ref="A33:A37"/>
    <mergeCell ref="A39:A43"/>
    <mergeCell ref="A75:A79"/>
  </mergeCells>
  <phoneticPr fontId="3" type="noConversion"/>
  <conditionalFormatting sqref="J8:M8">
    <cfRule type="cellIs" dxfId="2417" priority="850" stopIfTrue="1" operator="lessThanOrEqual">
      <formula>3000</formula>
    </cfRule>
    <cfRule type="cellIs" dxfId="2416" priority="851" stopIfTrue="1" operator="between">
      <formula>3000</formula>
      <formula>9000</formula>
    </cfRule>
    <cfRule type="cellIs" dxfId="2415" priority="852" stopIfTrue="1" operator="greaterThanOrEqual">
      <formula>9000</formula>
    </cfRule>
  </conditionalFormatting>
  <conditionalFormatting sqref="O8:S8">
    <cfRule type="cellIs" dxfId="2414" priority="847" stopIfTrue="1" operator="lessThanOrEqual">
      <formula>3000</formula>
    </cfRule>
    <cfRule type="cellIs" dxfId="2413" priority="848" stopIfTrue="1" operator="between">
      <formula>3000</formula>
      <formula>9000</formula>
    </cfRule>
    <cfRule type="cellIs" dxfId="2412" priority="849" stopIfTrue="1" operator="greaterThanOrEqual">
      <formula>9000</formula>
    </cfRule>
  </conditionalFormatting>
  <conditionalFormatting sqref="J20:M20">
    <cfRule type="cellIs" dxfId="2411" priority="844" stopIfTrue="1" operator="lessThanOrEqual">
      <formula>3000</formula>
    </cfRule>
    <cfRule type="cellIs" dxfId="2410" priority="845" stopIfTrue="1" operator="between">
      <formula>3000</formula>
      <formula>9000</formula>
    </cfRule>
    <cfRule type="cellIs" dxfId="2409" priority="846" stopIfTrue="1" operator="greaterThanOrEqual">
      <formula>9000</formula>
    </cfRule>
  </conditionalFormatting>
  <conditionalFormatting sqref="O20:S20">
    <cfRule type="cellIs" dxfId="2408" priority="841" stopIfTrue="1" operator="lessThanOrEqual">
      <formula>3000</formula>
    </cfRule>
    <cfRule type="cellIs" dxfId="2407" priority="842" stopIfTrue="1" operator="between">
      <formula>3000</formula>
      <formula>9000</formula>
    </cfRule>
    <cfRule type="cellIs" dxfId="2406" priority="843" stopIfTrue="1" operator="greaterThanOrEqual">
      <formula>9000</formula>
    </cfRule>
  </conditionalFormatting>
  <conditionalFormatting sqref="J44:M44">
    <cfRule type="cellIs" dxfId="2405" priority="838" stopIfTrue="1" operator="lessThanOrEqual">
      <formula>3000</formula>
    </cfRule>
    <cfRule type="cellIs" dxfId="2404" priority="839" stopIfTrue="1" operator="between">
      <formula>3000</formula>
      <formula>9000</formula>
    </cfRule>
    <cfRule type="cellIs" dxfId="2403" priority="840" stopIfTrue="1" operator="greaterThanOrEqual">
      <formula>9000</formula>
    </cfRule>
  </conditionalFormatting>
  <conditionalFormatting sqref="O44:S44">
    <cfRule type="cellIs" dxfId="2402" priority="835" stopIfTrue="1" operator="lessThanOrEqual">
      <formula>3000</formula>
    </cfRule>
    <cfRule type="cellIs" dxfId="2401" priority="836" stopIfTrue="1" operator="between">
      <formula>3000</formula>
      <formula>9000</formula>
    </cfRule>
    <cfRule type="cellIs" dxfId="2400" priority="837" stopIfTrue="1" operator="greaterThanOrEqual">
      <formula>9000</formula>
    </cfRule>
  </conditionalFormatting>
  <conditionalFormatting sqref="E68:H68">
    <cfRule type="cellIs" dxfId="2399" priority="799" stopIfTrue="1" operator="lessThanOrEqual">
      <formula>3000</formula>
    </cfRule>
    <cfRule type="cellIs" dxfId="2398" priority="800" stopIfTrue="1" operator="between">
      <formula>3000</formula>
      <formula>9000</formula>
    </cfRule>
    <cfRule type="cellIs" dxfId="2397" priority="801" stopIfTrue="1" operator="greaterThanOrEqual">
      <formula>9000</formula>
    </cfRule>
  </conditionalFormatting>
  <conditionalFormatting sqref="E20:H20">
    <cfRule type="cellIs" dxfId="2396" priority="805" stopIfTrue="1" operator="lessThanOrEqual">
      <formula>3000</formula>
    </cfRule>
    <cfRule type="cellIs" dxfId="2395" priority="806" stopIfTrue="1" operator="between">
      <formula>3000</formula>
      <formula>9000</formula>
    </cfRule>
    <cfRule type="cellIs" dxfId="2394" priority="807" stopIfTrue="1" operator="greaterThanOrEqual">
      <formula>9000</formula>
    </cfRule>
  </conditionalFormatting>
  <conditionalFormatting sqref="J38:M38">
    <cfRule type="cellIs" dxfId="2393" priority="814" stopIfTrue="1" operator="lessThanOrEqual">
      <formula>3000</formula>
    </cfRule>
    <cfRule type="cellIs" dxfId="2392" priority="815" stopIfTrue="1" operator="between">
      <formula>3000</formula>
      <formula>9000</formula>
    </cfRule>
    <cfRule type="cellIs" dxfId="2391" priority="816" stopIfTrue="1" operator="greaterThanOrEqual">
      <formula>9000</formula>
    </cfRule>
  </conditionalFormatting>
  <conditionalFormatting sqref="J74:M74">
    <cfRule type="cellIs" dxfId="2390" priority="826" stopIfTrue="1" operator="lessThanOrEqual">
      <formula>3000</formula>
    </cfRule>
    <cfRule type="cellIs" dxfId="2389" priority="827" stopIfTrue="1" operator="between">
      <formula>3000</formula>
      <formula>9000</formula>
    </cfRule>
    <cfRule type="cellIs" dxfId="2388" priority="828" stopIfTrue="1" operator="greaterThanOrEqual">
      <formula>9000</formula>
    </cfRule>
  </conditionalFormatting>
  <conditionalFormatting sqref="O74:S74">
    <cfRule type="cellIs" dxfId="2387" priority="823" stopIfTrue="1" operator="lessThanOrEqual">
      <formula>3000</formula>
    </cfRule>
    <cfRule type="cellIs" dxfId="2386" priority="824" stopIfTrue="1" operator="between">
      <formula>3000</formula>
      <formula>9000</formula>
    </cfRule>
    <cfRule type="cellIs" dxfId="2385" priority="825" stopIfTrue="1" operator="greaterThanOrEqual">
      <formula>9000</formula>
    </cfRule>
  </conditionalFormatting>
  <conditionalFormatting sqref="J68:M68">
    <cfRule type="cellIs" dxfId="2384" priority="832" stopIfTrue="1" operator="lessThanOrEqual">
      <formula>3000</formula>
    </cfRule>
    <cfRule type="cellIs" dxfId="2383" priority="833" stopIfTrue="1" operator="between">
      <formula>3000</formula>
      <formula>9000</formula>
    </cfRule>
    <cfRule type="cellIs" dxfId="2382" priority="834" stopIfTrue="1" operator="greaterThanOrEqual">
      <formula>9000</formula>
    </cfRule>
  </conditionalFormatting>
  <conditionalFormatting sqref="O68:S68">
    <cfRule type="cellIs" dxfId="2381" priority="829" stopIfTrue="1" operator="lessThanOrEqual">
      <formula>3000</formula>
    </cfRule>
    <cfRule type="cellIs" dxfId="2380" priority="830" stopIfTrue="1" operator="between">
      <formula>3000</formula>
      <formula>9000</formula>
    </cfRule>
    <cfRule type="cellIs" dxfId="2379" priority="831" stopIfTrue="1" operator="greaterThanOrEqual">
      <formula>9000</formula>
    </cfRule>
  </conditionalFormatting>
  <conditionalFormatting sqref="J86:M86">
    <cfRule type="cellIs" dxfId="2378" priority="820" stopIfTrue="1" operator="lessThanOrEqual">
      <formula>3000</formula>
    </cfRule>
    <cfRule type="cellIs" dxfId="2377" priority="821" stopIfTrue="1" operator="between">
      <formula>3000</formula>
      <formula>9000</formula>
    </cfRule>
    <cfRule type="cellIs" dxfId="2376" priority="822" stopIfTrue="1" operator="greaterThanOrEqual">
      <formula>9000</formula>
    </cfRule>
  </conditionalFormatting>
  <conditionalFormatting sqref="O86:S86">
    <cfRule type="cellIs" dxfId="2375" priority="817" stopIfTrue="1" operator="lessThanOrEqual">
      <formula>3000</formula>
    </cfRule>
    <cfRule type="cellIs" dxfId="2374" priority="818" stopIfTrue="1" operator="between">
      <formula>3000</formula>
      <formula>9000</formula>
    </cfRule>
    <cfRule type="cellIs" dxfId="2373" priority="819" stopIfTrue="1" operator="greaterThanOrEqual">
      <formula>9000</formula>
    </cfRule>
  </conditionalFormatting>
  <conditionalFormatting sqref="O38:S38">
    <cfRule type="cellIs" dxfId="2372" priority="811" stopIfTrue="1" operator="lessThanOrEqual">
      <formula>3000</formula>
    </cfRule>
    <cfRule type="cellIs" dxfId="2371" priority="812" stopIfTrue="1" operator="between">
      <formula>3000</formula>
      <formula>9000</formula>
    </cfRule>
    <cfRule type="cellIs" dxfId="2370" priority="813" stopIfTrue="1" operator="greaterThanOrEqual">
      <formula>9000</formula>
    </cfRule>
  </conditionalFormatting>
  <conditionalFormatting sqref="E8:H8">
    <cfRule type="cellIs" dxfId="2369" priority="808" stopIfTrue="1" operator="lessThanOrEqual">
      <formula>3000</formula>
    </cfRule>
    <cfRule type="cellIs" dxfId="2368" priority="809" stopIfTrue="1" operator="between">
      <formula>3000</formula>
      <formula>9000</formula>
    </cfRule>
    <cfRule type="cellIs" dxfId="2367" priority="810" stopIfTrue="1" operator="greaterThanOrEqual">
      <formula>9000</formula>
    </cfRule>
  </conditionalFormatting>
  <conditionalFormatting sqref="E44:H44">
    <cfRule type="cellIs" dxfId="2366" priority="802" stopIfTrue="1" operator="lessThanOrEqual">
      <formula>3000</formula>
    </cfRule>
    <cfRule type="cellIs" dxfId="2365" priority="803" stopIfTrue="1" operator="between">
      <formula>3000</formula>
      <formula>9000</formula>
    </cfRule>
    <cfRule type="cellIs" dxfId="2364" priority="804" stopIfTrue="1" operator="greaterThanOrEqual">
      <formula>9000</formula>
    </cfRule>
  </conditionalFormatting>
  <conditionalFormatting sqref="E74:H74">
    <cfRule type="cellIs" dxfId="2363" priority="796" stopIfTrue="1" operator="lessThanOrEqual">
      <formula>3000</formula>
    </cfRule>
    <cfRule type="cellIs" dxfId="2362" priority="797" stopIfTrue="1" operator="between">
      <formula>3000</formula>
      <formula>9000</formula>
    </cfRule>
    <cfRule type="cellIs" dxfId="2361" priority="798" stopIfTrue="1" operator="greaterThanOrEqual">
      <formula>9000</formula>
    </cfRule>
  </conditionalFormatting>
  <conditionalFormatting sqref="E86:H86">
    <cfRule type="cellIs" dxfId="2360" priority="793" stopIfTrue="1" operator="lessThanOrEqual">
      <formula>3000</formula>
    </cfRule>
    <cfRule type="cellIs" dxfId="2359" priority="794" stopIfTrue="1" operator="between">
      <formula>3000</formula>
      <formula>9000</formula>
    </cfRule>
    <cfRule type="cellIs" dxfId="2358" priority="795" stopIfTrue="1" operator="greaterThanOrEqual">
      <formula>9000</formula>
    </cfRule>
  </conditionalFormatting>
  <conditionalFormatting sqref="E38:H38">
    <cfRule type="cellIs" dxfId="2357" priority="790" stopIfTrue="1" operator="lessThanOrEqual">
      <formula>3000</formula>
    </cfRule>
    <cfRule type="cellIs" dxfId="2356" priority="791" stopIfTrue="1" operator="between">
      <formula>3000</formula>
      <formula>9000</formula>
    </cfRule>
    <cfRule type="cellIs" dxfId="2355" priority="792" stopIfTrue="1" operator="greaterThanOrEqual">
      <formula>9000</formula>
    </cfRule>
  </conditionalFormatting>
  <conditionalFormatting sqref="AA8:AD8">
    <cfRule type="cellIs" dxfId="2354" priority="787" stopIfTrue="1" operator="lessThanOrEqual">
      <formula>3000</formula>
    </cfRule>
    <cfRule type="cellIs" dxfId="2353" priority="788" stopIfTrue="1" operator="between">
      <formula>3000</formula>
      <formula>9000</formula>
    </cfRule>
    <cfRule type="cellIs" dxfId="2352" priority="789" stopIfTrue="1" operator="greaterThanOrEqual">
      <formula>9000</formula>
    </cfRule>
  </conditionalFormatting>
  <conditionalFormatting sqref="AF8:AJ8">
    <cfRule type="cellIs" dxfId="2351" priority="784" stopIfTrue="1" operator="lessThanOrEqual">
      <formula>3000</formula>
    </cfRule>
    <cfRule type="cellIs" dxfId="2350" priority="785" stopIfTrue="1" operator="between">
      <formula>3000</formula>
      <formula>9000</formula>
    </cfRule>
    <cfRule type="cellIs" dxfId="2349" priority="786" stopIfTrue="1" operator="greaterThanOrEqual">
      <formula>9000</formula>
    </cfRule>
  </conditionalFormatting>
  <conditionalFormatting sqref="AA20:AD20">
    <cfRule type="cellIs" dxfId="2348" priority="781" stopIfTrue="1" operator="lessThanOrEqual">
      <formula>3000</formula>
    </cfRule>
    <cfRule type="cellIs" dxfId="2347" priority="782" stopIfTrue="1" operator="between">
      <formula>3000</formula>
      <formula>9000</formula>
    </cfRule>
    <cfRule type="cellIs" dxfId="2346" priority="783" stopIfTrue="1" operator="greaterThanOrEqual">
      <formula>9000</formula>
    </cfRule>
  </conditionalFormatting>
  <conditionalFormatting sqref="AF20:AJ20">
    <cfRule type="cellIs" dxfId="2345" priority="778" stopIfTrue="1" operator="lessThanOrEqual">
      <formula>3000</formula>
    </cfRule>
    <cfRule type="cellIs" dxfId="2344" priority="779" stopIfTrue="1" operator="between">
      <formula>3000</formula>
      <formula>9000</formula>
    </cfRule>
    <cfRule type="cellIs" dxfId="2343" priority="780" stopIfTrue="1" operator="greaterThanOrEqual">
      <formula>9000</formula>
    </cfRule>
  </conditionalFormatting>
  <conditionalFormatting sqref="AA44:AD44">
    <cfRule type="cellIs" dxfId="2342" priority="775" stopIfTrue="1" operator="lessThanOrEqual">
      <formula>3000</formula>
    </cfRule>
    <cfRule type="cellIs" dxfId="2341" priority="776" stopIfTrue="1" operator="between">
      <formula>3000</formula>
      <formula>9000</formula>
    </cfRule>
    <cfRule type="cellIs" dxfId="2340" priority="777" stopIfTrue="1" operator="greaterThanOrEqual">
      <formula>9000</formula>
    </cfRule>
  </conditionalFormatting>
  <conditionalFormatting sqref="AF44:AJ44">
    <cfRule type="cellIs" dxfId="2339" priority="772" stopIfTrue="1" operator="lessThanOrEqual">
      <formula>3000</formula>
    </cfRule>
    <cfRule type="cellIs" dxfId="2338" priority="773" stopIfTrue="1" operator="between">
      <formula>3000</formula>
      <formula>9000</formula>
    </cfRule>
    <cfRule type="cellIs" dxfId="2337" priority="774" stopIfTrue="1" operator="greaterThanOrEqual">
      <formula>9000</formula>
    </cfRule>
  </conditionalFormatting>
  <conditionalFormatting sqref="V68:Y68">
    <cfRule type="cellIs" dxfId="2336" priority="736" stopIfTrue="1" operator="lessThanOrEqual">
      <formula>3000</formula>
    </cfRule>
    <cfRule type="cellIs" dxfId="2335" priority="737" stopIfTrue="1" operator="between">
      <formula>3000</formula>
      <formula>9000</formula>
    </cfRule>
    <cfRule type="cellIs" dxfId="2334" priority="738" stopIfTrue="1" operator="greaterThanOrEqual">
      <formula>9000</formula>
    </cfRule>
  </conditionalFormatting>
  <conditionalFormatting sqref="V20:Y20">
    <cfRule type="cellIs" dxfId="2333" priority="742" stopIfTrue="1" operator="lessThanOrEqual">
      <formula>3000</formula>
    </cfRule>
    <cfRule type="cellIs" dxfId="2332" priority="743" stopIfTrue="1" operator="between">
      <formula>3000</formula>
      <formula>9000</formula>
    </cfRule>
    <cfRule type="cellIs" dxfId="2331" priority="744" stopIfTrue="1" operator="greaterThanOrEqual">
      <formula>9000</formula>
    </cfRule>
  </conditionalFormatting>
  <conditionalFormatting sqref="AA38:AD38">
    <cfRule type="cellIs" dxfId="2330" priority="751" stopIfTrue="1" operator="lessThanOrEqual">
      <formula>3000</formula>
    </cfRule>
    <cfRule type="cellIs" dxfId="2329" priority="752" stopIfTrue="1" operator="between">
      <formula>3000</formula>
      <formula>9000</formula>
    </cfRule>
    <cfRule type="cellIs" dxfId="2328" priority="753" stopIfTrue="1" operator="greaterThanOrEqual">
      <formula>9000</formula>
    </cfRule>
  </conditionalFormatting>
  <conditionalFormatting sqref="AA74:AD74">
    <cfRule type="cellIs" dxfId="2327" priority="763" stopIfTrue="1" operator="lessThanOrEqual">
      <formula>3000</formula>
    </cfRule>
    <cfRule type="cellIs" dxfId="2326" priority="764" stopIfTrue="1" operator="between">
      <formula>3000</formula>
      <formula>9000</formula>
    </cfRule>
    <cfRule type="cellIs" dxfId="2325" priority="765" stopIfTrue="1" operator="greaterThanOrEqual">
      <formula>9000</formula>
    </cfRule>
  </conditionalFormatting>
  <conditionalFormatting sqref="AF74:AJ74">
    <cfRule type="cellIs" dxfId="2324" priority="760" stopIfTrue="1" operator="lessThanOrEqual">
      <formula>3000</formula>
    </cfRule>
    <cfRule type="cellIs" dxfId="2323" priority="761" stopIfTrue="1" operator="between">
      <formula>3000</formula>
      <formula>9000</formula>
    </cfRule>
    <cfRule type="cellIs" dxfId="2322" priority="762" stopIfTrue="1" operator="greaterThanOrEqual">
      <formula>9000</formula>
    </cfRule>
  </conditionalFormatting>
  <conditionalFormatting sqref="AA68:AD68">
    <cfRule type="cellIs" dxfId="2321" priority="769" stopIfTrue="1" operator="lessThanOrEqual">
      <formula>3000</formula>
    </cfRule>
    <cfRule type="cellIs" dxfId="2320" priority="770" stopIfTrue="1" operator="between">
      <formula>3000</formula>
      <formula>9000</formula>
    </cfRule>
    <cfRule type="cellIs" dxfId="2319" priority="771" stopIfTrue="1" operator="greaterThanOrEqual">
      <formula>9000</formula>
    </cfRule>
  </conditionalFormatting>
  <conditionalFormatting sqref="AF68:AJ68">
    <cfRule type="cellIs" dxfId="2318" priority="766" stopIfTrue="1" operator="lessThanOrEqual">
      <formula>3000</formula>
    </cfRule>
    <cfRule type="cellIs" dxfId="2317" priority="767" stopIfTrue="1" operator="between">
      <formula>3000</formula>
      <formula>9000</formula>
    </cfRule>
    <cfRule type="cellIs" dxfId="2316" priority="768" stopIfTrue="1" operator="greaterThanOrEqual">
      <formula>9000</formula>
    </cfRule>
  </conditionalFormatting>
  <conditionalFormatting sqref="AA86:AD86">
    <cfRule type="cellIs" dxfId="2315" priority="757" stopIfTrue="1" operator="lessThanOrEqual">
      <formula>3000</formula>
    </cfRule>
    <cfRule type="cellIs" dxfId="2314" priority="758" stopIfTrue="1" operator="between">
      <formula>3000</formula>
      <formula>9000</formula>
    </cfRule>
    <cfRule type="cellIs" dxfId="2313" priority="759" stopIfTrue="1" operator="greaterThanOrEqual">
      <formula>9000</formula>
    </cfRule>
  </conditionalFormatting>
  <conditionalFormatting sqref="AF86:AJ86">
    <cfRule type="cellIs" dxfId="2312" priority="754" stopIfTrue="1" operator="lessThanOrEqual">
      <formula>3000</formula>
    </cfRule>
    <cfRule type="cellIs" dxfId="2311" priority="755" stopIfTrue="1" operator="between">
      <formula>3000</formula>
      <formula>9000</formula>
    </cfRule>
    <cfRule type="cellIs" dxfId="2310" priority="756" stopIfTrue="1" operator="greaterThanOrEqual">
      <formula>9000</formula>
    </cfRule>
  </conditionalFormatting>
  <conditionalFormatting sqref="AF38:AJ38">
    <cfRule type="cellIs" dxfId="2309" priority="748" stopIfTrue="1" operator="lessThanOrEqual">
      <formula>3000</formula>
    </cfRule>
    <cfRule type="cellIs" dxfId="2308" priority="749" stopIfTrue="1" operator="between">
      <formula>3000</formula>
      <formula>9000</formula>
    </cfRule>
    <cfRule type="cellIs" dxfId="2307" priority="750" stopIfTrue="1" operator="greaterThanOrEqual">
      <formula>9000</formula>
    </cfRule>
  </conditionalFormatting>
  <conditionalFormatting sqref="V8:Y8">
    <cfRule type="cellIs" dxfId="2306" priority="745" stopIfTrue="1" operator="lessThanOrEqual">
      <formula>3000</formula>
    </cfRule>
    <cfRule type="cellIs" dxfId="2305" priority="746" stopIfTrue="1" operator="between">
      <formula>3000</formula>
      <formula>9000</formula>
    </cfRule>
    <cfRule type="cellIs" dxfId="2304" priority="747" stopIfTrue="1" operator="greaterThanOrEqual">
      <formula>9000</formula>
    </cfRule>
  </conditionalFormatting>
  <conditionalFormatting sqref="V44:Y44">
    <cfRule type="cellIs" dxfId="2303" priority="739" stopIfTrue="1" operator="lessThanOrEqual">
      <formula>3000</formula>
    </cfRule>
    <cfRule type="cellIs" dxfId="2302" priority="740" stopIfTrue="1" operator="between">
      <formula>3000</formula>
      <formula>9000</formula>
    </cfRule>
    <cfRule type="cellIs" dxfId="2301" priority="741" stopIfTrue="1" operator="greaterThanOrEqual">
      <formula>9000</formula>
    </cfRule>
  </conditionalFormatting>
  <conditionalFormatting sqref="V74:Y74">
    <cfRule type="cellIs" dxfId="2300" priority="733" stopIfTrue="1" operator="lessThanOrEqual">
      <formula>3000</formula>
    </cfRule>
    <cfRule type="cellIs" dxfId="2299" priority="734" stopIfTrue="1" operator="between">
      <formula>3000</formula>
      <formula>9000</formula>
    </cfRule>
    <cfRule type="cellIs" dxfId="2298" priority="735" stopIfTrue="1" operator="greaterThanOrEqual">
      <formula>9000</formula>
    </cfRule>
  </conditionalFormatting>
  <conditionalFormatting sqref="V86:Y86">
    <cfRule type="cellIs" dxfId="2297" priority="730" stopIfTrue="1" operator="lessThanOrEqual">
      <formula>3000</formula>
    </cfRule>
    <cfRule type="cellIs" dxfId="2296" priority="731" stopIfTrue="1" operator="between">
      <formula>3000</formula>
      <formula>9000</formula>
    </cfRule>
    <cfRule type="cellIs" dxfId="2295" priority="732" stopIfTrue="1" operator="greaterThanOrEqual">
      <formula>9000</formula>
    </cfRule>
  </conditionalFormatting>
  <conditionalFormatting sqref="V38:Y38">
    <cfRule type="cellIs" dxfId="2294" priority="727" stopIfTrue="1" operator="lessThanOrEqual">
      <formula>3000</formula>
    </cfRule>
    <cfRule type="cellIs" dxfId="2293" priority="728" stopIfTrue="1" operator="between">
      <formula>3000</formula>
      <formula>9000</formula>
    </cfRule>
    <cfRule type="cellIs" dxfId="2292" priority="729" stopIfTrue="1" operator="greaterThanOrEqual">
      <formula>9000</formula>
    </cfRule>
  </conditionalFormatting>
  <conditionalFormatting sqref="G14:H14">
    <cfRule type="cellIs" dxfId="2291" priority="724" stopIfTrue="1" operator="lessThanOrEqual">
      <formula>3000</formula>
    </cfRule>
    <cfRule type="cellIs" dxfId="2290" priority="725" stopIfTrue="1" operator="between">
      <formula>3000</formula>
      <formula>9000</formula>
    </cfRule>
    <cfRule type="cellIs" dxfId="2289" priority="726" stopIfTrue="1" operator="greaterThanOrEqual">
      <formula>9000</formula>
    </cfRule>
  </conditionalFormatting>
  <conditionalFormatting sqref="J14">
    <cfRule type="cellIs" dxfId="2288" priority="721" stopIfTrue="1" operator="lessThanOrEqual">
      <formula>3000</formula>
    </cfRule>
    <cfRule type="cellIs" dxfId="2287" priority="722" stopIfTrue="1" operator="between">
      <formula>3000</formula>
      <formula>9000</formula>
    </cfRule>
    <cfRule type="cellIs" dxfId="2286" priority="723" stopIfTrue="1" operator="greaterThanOrEqual">
      <formula>9000</formula>
    </cfRule>
  </conditionalFormatting>
  <conditionalFormatting sqref="K14">
    <cfRule type="cellIs" dxfId="2285" priority="718" stopIfTrue="1" operator="lessThanOrEqual">
      <formula>3000</formula>
    </cfRule>
    <cfRule type="cellIs" dxfId="2284" priority="719" stopIfTrue="1" operator="between">
      <formula>3000</formula>
      <formula>9000</formula>
    </cfRule>
    <cfRule type="cellIs" dxfId="2283" priority="720" stopIfTrue="1" operator="greaterThanOrEqual">
      <formula>9000</formula>
    </cfRule>
  </conditionalFormatting>
  <conditionalFormatting sqref="L14">
    <cfRule type="cellIs" dxfId="2282" priority="715" stopIfTrue="1" operator="lessThanOrEqual">
      <formula>3000</formula>
    </cfRule>
    <cfRule type="cellIs" dxfId="2281" priority="716" stopIfTrue="1" operator="between">
      <formula>3000</formula>
      <formula>9000</formula>
    </cfRule>
    <cfRule type="cellIs" dxfId="2280" priority="717" stopIfTrue="1" operator="greaterThanOrEqual">
      <formula>9000</formula>
    </cfRule>
  </conditionalFormatting>
  <conditionalFormatting sqref="M14">
    <cfRule type="cellIs" dxfId="2279" priority="712" stopIfTrue="1" operator="lessThanOrEqual">
      <formula>3000</formula>
    </cfRule>
    <cfRule type="cellIs" dxfId="2278" priority="713" stopIfTrue="1" operator="between">
      <formula>3000</formula>
      <formula>9000</formula>
    </cfRule>
    <cfRule type="cellIs" dxfId="2277" priority="714" stopIfTrue="1" operator="greaterThanOrEqual">
      <formula>9000</formula>
    </cfRule>
  </conditionalFormatting>
  <conditionalFormatting sqref="S14">
    <cfRule type="cellIs" dxfId="2276" priority="709" stopIfTrue="1" operator="lessThanOrEqual">
      <formula>3000</formula>
    </cfRule>
    <cfRule type="cellIs" dxfId="2275" priority="710" stopIfTrue="1" operator="between">
      <formula>3000</formula>
      <formula>9000</formula>
    </cfRule>
    <cfRule type="cellIs" dxfId="2274" priority="711" stopIfTrue="1" operator="greaterThanOrEqual">
      <formula>9000</formula>
    </cfRule>
  </conditionalFormatting>
  <conditionalFormatting sqref="E14:F14">
    <cfRule type="cellIs" dxfId="2273" priority="706" stopIfTrue="1" operator="lessThanOrEqual">
      <formula>3000</formula>
    </cfRule>
    <cfRule type="cellIs" dxfId="2272" priority="707" stopIfTrue="1" operator="between">
      <formula>3000</formula>
      <formula>9000</formula>
    </cfRule>
    <cfRule type="cellIs" dxfId="2271" priority="708" stopIfTrue="1" operator="greaterThanOrEqual">
      <formula>9000</formula>
    </cfRule>
  </conditionalFormatting>
  <conditionalFormatting sqref="O14">
    <cfRule type="cellIs" dxfId="2270" priority="703" stopIfTrue="1" operator="lessThanOrEqual">
      <formula>3000</formula>
    </cfRule>
    <cfRule type="cellIs" dxfId="2269" priority="704" stopIfTrue="1" operator="between">
      <formula>3000</formula>
      <formula>9000</formula>
    </cfRule>
    <cfRule type="cellIs" dxfId="2268" priority="705" stopIfTrue="1" operator="greaterThanOrEqual">
      <formula>9000</formula>
    </cfRule>
  </conditionalFormatting>
  <conditionalFormatting sqref="P14">
    <cfRule type="cellIs" dxfId="2267" priority="700" stopIfTrue="1" operator="lessThanOrEqual">
      <formula>3000</formula>
    </cfRule>
    <cfRule type="cellIs" dxfId="2266" priority="701" stopIfTrue="1" operator="between">
      <formula>3000</formula>
      <formula>9000</formula>
    </cfRule>
    <cfRule type="cellIs" dxfId="2265" priority="702" stopIfTrue="1" operator="greaterThanOrEqual">
      <formula>9000</formula>
    </cfRule>
  </conditionalFormatting>
  <conditionalFormatting sqref="Q14">
    <cfRule type="cellIs" dxfId="2264" priority="697" stopIfTrue="1" operator="lessThanOrEqual">
      <formula>3000</formula>
    </cfRule>
    <cfRule type="cellIs" dxfId="2263" priority="698" stopIfTrue="1" operator="between">
      <formula>3000</formula>
      <formula>9000</formula>
    </cfRule>
    <cfRule type="cellIs" dxfId="2262" priority="699" stopIfTrue="1" operator="greaterThanOrEqual">
      <formula>9000</formula>
    </cfRule>
  </conditionalFormatting>
  <conditionalFormatting sqref="R14">
    <cfRule type="cellIs" dxfId="2261" priority="694" stopIfTrue="1" operator="lessThanOrEqual">
      <formula>3000</formula>
    </cfRule>
    <cfRule type="cellIs" dxfId="2260" priority="695" stopIfTrue="1" operator="between">
      <formula>3000</formula>
      <formula>9000</formula>
    </cfRule>
    <cfRule type="cellIs" dxfId="2259" priority="696" stopIfTrue="1" operator="greaterThanOrEqual">
      <formula>9000</formula>
    </cfRule>
  </conditionalFormatting>
  <conditionalFormatting sqref="X14:Y14">
    <cfRule type="cellIs" dxfId="2258" priority="691" stopIfTrue="1" operator="lessThanOrEqual">
      <formula>3000</formula>
    </cfRule>
    <cfRule type="cellIs" dxfId="2257" priority="692" stopIfTrue="1" operator="between">
      <formula>3000</formula>
      <formula>9000</formula>
    </cfRule>
    <cfRule type="cellIs" dxfId="2256" priority="693" stopIfTrue="1" operator="greaterThanOrEqual">
      <formula>9000</formula>
    </cfRule>
  </conditionalFormatting>
  <conditionalFormatting sqref="AA14">
    <cfRule type="cellIs" dxfId="2255" priority="688" stopIfTrue="1" operator="lessThanOrEqual">
      <formula>3000</formula>
    </cfRule>
    <cfRule type="cellIs" dxfId="2254" priority="689" stopIfTrue="1" operator="between">
      <formula>3000</formula>
      <formula>9000</formula>
    </cfRule>
    <cfRule type="cellIs" dxfId="2253" priority="690" stopIfTrue="1" operator="greaterThanOrEqual">
      <formula>9000</formula>
    </cfRule>
  </conditionalFormatting>
  <conditionalFormatting sqref="AB14">
    <cfRule type="cellIs" dxfId="2252" priority="685" stopIfTrue="1" operator="lessThanOrEqual">
      <formula>3000</formula>
    </cfRule>
    <cfRule type="cellIs" dxfId="2251" priority="686" stopIfTrue="1" operator="between">
      <formula>3000</formula>
      <formula>9000</formula>
    </cfRule>
    <cfRule type="cellIs" dxfId="2250" priority="687" stopIfTrue="1" operator="greaterThanOrEqual">
      <formula>9000</formula>
    </cfRule>
  </conditionalFormatting>
  <conditionalFormatting sqref="AC14">
    <cfRule type="cellIs" dxfId="2249" priority="682" stopIfTrue="1" operator="lessThanOrEqual">
      <formula>3000</formula>
    </cfRule>
    <cfRule type="cellIs" dxfId="2248" priority="683" stopIfTrue="1" operator="between">
      <formula>3000</formula>
      <formula>9000</formula>
    </cfRule>
    <cfRule type="cellIs" dxfId="2247" priority="684" stopIfTrue="1" operator="greaterThanOrEqual">
      <formula>9000</formula>
    </cfRule>
  </conditionalFormatting>
  <conditionalFormatting sqref="AD14">
    <cfRule type="cellIs" dxfId="2246" priority="679" stopIfTrue="1" operator="lessThanOrEqual">
      <formula>3000</formula>
    </cfRule>
    <cfRule type="cellIs" dxfId="2245" priority="680" stopIfTrue="1" operator="between">
      <formula>3000</formula>
      <formula>9000</formula>
    </cfRule>
    <cfRule type="cellIs" dxfId="2244" priority="681" stopIfTrue="1" operator="greaterThanOrEqual">
      <formula>9000</formula>
    </cfRule>
  </conditionalFormatting>
  <conditionalFormatting sqref="AJ14">
    <cfRule type="cellIs" dxfId="2243" priority="676" stopIfTrue="1" operator="lessThanOrEqual">
      <formula>3000</formula>
    </cfRule>
    <cfRule type="cellIs" dxfId="2242" priority="677" stopIfTrue="1" operator="between">
      <formula>3000</formula>
      <formula>9000</formula>
    </cfRule>
    <cfRule type="cellIs" dxfId="2241" priority="678" stopIfTrue="1" operator="greaterThanOrEqual">
      <formula>9000</formula>
    </cfRule>
  </conditionalFormatting>
  <conditionalFormatting sqref="V14:W14">
    <cfRule type="cellIs" dxfId="2240" priority="673" stopIfTrue="1" operator="lessThanOrEqual">
      <formula>3000</formula>
    </cfRule>
    <cfRule type="cellIs" dxfId="2239" priority="674" stopIfTrue="1" operator="between">
      <formula>3000</formula>
      <formula>9000</formula>
    </cfRule>
    <cfRule type="cellIs" dxfId="2238" priority="675" stopIfTrue="1" operator="greaterThanOrEqual">
      <formula>9000</formula>
    </cfRule>
  </conditionalFormatting>
  <conditionalFormatting sqref="AF14">
    <cfRule type="cellIs" dxfId="2237" priority="670" stopIfTrue="1" operator="lessThanOrEqual">
      <formula>3000</formula>
    </cfRule>
    <cfRule type="cellIs" dxfId="2236" priority="671" stopIfTrue="1" operator="between">
      <formula>3000</formula>
      <formula>9000</formula>
    </cfRule>
    <cfRule type="cellIs" dxfId="2235" priority="672" stopIfTrue="1" operator="greaterThanOrEqual">
      <formula>9000</formula>
    </cfRule>
  </conditionalFormatting>
  <conditionalFormatting sqref="AG14">
    <cfRule type="cellIs" dxfId="2234" priority="667" stopIfTrue="1" operator="lessThanOrEqual">
      <formula>3000</formula>
    </cfRule>
    <cfRule type="cellIs" dxfId="2233" priority="668" stopIfTrue="1" operator="between">
      <formula>3000</formula>
      <formula>9000</formula>
    </cfRule>
    <cfRule type="cellIs" dxfId="2232" priority="669" stopIfTrue="1" operator="greaterThanOrEqual">
      <formula>9000</formula>
    </cfRule>
  </conditionalFormatting>
  <conditionalFormatting sqref="AH14">
    <cfRule type="cellIs" dxfId="2231" priority="664" stopIfTrue="1" operator="lessThanOrEqual">
      <formula>3000</formula>
    </cfRule>
    <cfRule type="cellIs" dxfId="2230" priority="665" stopIfTrue="1" operator="between">
      <formula>3000</formula>
      <formula>9000</formula>
    </cfRule>
    <cfRule type="cellIs" dxfId="2229" priority="666" stopIfTrue="1" operator="greaterThanOrEqual">
      <formula>9000</formula>
    </cfRule>
  </conditionalFormatting>
  <conditionalFormatting sqref="AI14">
    <cfRule type="cellIs" dxfId="2228" priority="661" stopIfTrue="1" operator="lessThanOrEqual">
      <formula>3000</formula>
    </cfRule>
    <cfRule type="cellIs" dxfId="2227" priority="662" stopIfTrue="1" operator="between">
      <formula>3000</formula>
      <formula>9000</formula>
    </cfRule>
    <cfRule type="cellIs" dxfId="2226" priority="663" stopIfTrue="1" operator="greaterThanOrEqual">
      <formula>9000</formula>
    </cfRule>
  </conditionalFormatting>
  <conditionalFormatting sqref="G62:H62">
    <cfRule type="cellIs" dxfId="2225" priority="658" stopIfTrue="1" operator="lessThanOrEqual">
      <formula>3000</formula>
    </cfRule>
    <cfRule type="cellIs" dxfId="2224" priority="659" stopIfTrue="1" operator="between">
      <formula>3000</formula>
      <formula>9000</formula>
    </cfRule>
    <cfRule type="cellIs" dxfId="2223" priority="660" stopIfTrue="1" operator="greaterThanOrEqual">
      <formula>9000</formula>
    </cfRule>
  </conditionalFormatting>
  <conditionalFormatting sqref="J62">
    <cfRule type="cellIs" dxfId="2222" priority="655" stopIfTrue="1" operator="lessThanOrEqual">
      <formula>3000</formula>
    </cfRule>
    <cfRule type="cellIs" dxfId="2221" priority="656" stopIfTrue="1" operator="between">
      <formula>3000</formula>
      <formula>9000</formula>
    </cfRule>
    <cfRule type="cellIs" dxfId="2220" priority="657" stopIfTrue="1" operator="greaterThanOrEqual">
      <formula>9000</formula>
    </cfRule>
  </conditionalFormatting>
  <conditionalFormatting sqref="K62">
    <cfRule type="cellIs" dxfId="2219" priority="652" stopIfTrue="1" operator="lessThanOrEqual">
      <formula>3000</formula>
    </cfRule>
    <cfRule type="cellIs" dxfId="2218" priority="653" stopIfTrue="1" operator="between">
      <formula>3000</formula>
      <formula>9000</formula>
    </cfRule>
    <cfRule type="cellIs" dxfId="2217" priority="654" stopIfTrue="1" operator="greaterThanOrEqual">
      <formula>9000</formula>
    </cfRule>
  </conditionalFormatting>
  <conditionalFormatting sqref="L62">
    <cfRule type="cellIs" dxfId="2216" priority="649" stopIfTrue="1" operator="lessThanOrEqual">
      <formula>3000</formula>
    </cfRule>
    <cfRule type="cellIs" dxfId="2215" priority="650" stopIfTrue="1" operator="between">
      <formula>3000</formula>
      <formula>9000</formula>
    </cfRule>
    <cfRule type="cellIs" dxfId="2214" priority="651" stopIfTrue="1" operator="greaterThanOrEqual">
      <formula>9000</formula>
    </cfRule>
  </conditionalFormatting>
  <conditionalFormatting sqref="M62">
    <cfRule type="cellIs" dxfId="2213" priority="646" stopIfTrue="1" operator="lessThanOrEqual">
      <formula>3000</formula>
    </cfRule>
    <cfRule type="cellIs" dxfId="2212" priority="647" stopIfTrue="1" operator="between">
      <formula>3000</formula>
      <formula>9000</formula>
    </cfRule>
    <cfRule type="cellIs" dxfId="2211" priority="648" stopIfTrue="1" operator="greaterThanOrEqual">
      <formula>9000</formula>
    </cfRule>
  </conditionalFormatting>
  <conditionalFormatting sqref="S62">
    <cfRule type="cellIs" dxfId="2210" priority="643" stopIfTrue="1" operator="lessThanOrEqual">
      <formula>3000</formula>
    </cfRule>
    <cfRule type="cellIs" dxfId="2209" priority="644" stopIfTrue="1" operator="between">
      <formula>3000</formula>
      <formula>9000</formula>
    </cfRule>
    <cfRule type="cellIs" dxfId="2208" priority="645" stopIfTrue="1" operator="greaterThanOrEqual">
      <formula>9000</formula>
    </cfRule>
  </conditionalFormatting>
  <conditionalFormatting sqref="E62:F62">
    <cfRule type="cellIs" dxfId="2207" priority="640" stopIfTrue="1" operator="lessThanOrEqual">
      <formula>3000</formula>
    </cfRule>
    <cfRule type="cellIs" dxfId="2206" priority="641" stopIfTrue="1" operator="between">
      <formula>3000</formula>
      <formula>9000</formula>
    </cfRule>
    <cfRule type="cellIs" dxfId="2205" priority="642" stopIfTrue="1" operator="greaterThanOrEqual">
      <formula>9000</formula>
    </cfRule>
  </conditionalFormatting>
  <conditionalFormatting sqref="O62">
    <cfRule type="cellIs" dxfId="2204" priority="637" stopIfTrue="1" operator="lessThanOrEqual">
      <formula>3000</formula>
    </cfRule>
    <cfRule type="cellIs" dxfId="2203" priority="638" stopIfTrue="1" operator="between">
      <formula>3000</formula>
      <formula>9000</formula>
    </cfRule>
    <cfRule type="cellIs" dxfId="2202" priority="639" stopIfTrue="1" operator="greaterThanOrEqual">
      <formula>9000</formula>
    </cfRule>
  </conditionalFormatting>
  <conditionalFormatting sqref="P62">
    <cfRule type="cellIs" dxfId="2201" priority="634" stopIfTrue="1" operator="lessThanOrEqual">
      <formula>3000</formula>
    </cfRule>
    <cfRule type="cellIs" dxfId="2200" priority="635" stopIfTrue="1" operator="between">
      <formula>3000</formula>
      <formula>9000</formula>
    </cfRule>
    <cfRule type="cellIs" dxfId="2199" priority="636" stopIfTrue="1" operator="greaterThanOrEqual">
      <formula>9000</formula>
    </cfRule>
  </conditionalFormatting>
  <conditionalFormatting sqref="Q62">
    <cfRule type="cellIs" dxfId="2198" priority="631" stopIfTrue="1" operator="lessThanOrEqual">
      <formula>3000</formula>
    </cfRule>
    <cfRule type="cellIs" dxfId="2197" priority="632" stopIfTrue="1" operator="between">
      <formula>3000</formula>
      <formula>9000</formula>
    </cfRule>
    <cfRule type="cellIs" dxfId="2196" priority="633" stopIfTrue="1" operator="greaterThanOrEqual">
      <formula>9000</formula>
    </cfRule>
  </conditionalFormatting>
  <conditionalFormatting sqref="R62">
    <cfRule type="cellIs" dxfId="2195" priority="628" stopIfTrue="1" operator="lessThanOrEqual">
      <formula>3000</formula>
    </cfRule>
    <cfRule type="cellIs" dxfId="2194" priority="629" stopIfTrue="1" operator="between">
      <formula>3000</formula>
      <formula>9000</formula>
    </cfRule>
    <cfRule type="cellIs" dxfId="2193" priority="630" stopIfTrue="1" operator="greaterThanOrEqual">
      <formula>9000</formula>
    </cfRule>
  </conditionalFormatting>
  <conditionalFormatting sqref="X62:Y62">
    <cfRule type="cellIs" dxfId="2192" priority="625" stopIfTrue="1" operator="lessThanOrEqual">
      <formula>3000</formula>
    </cfRule>
    <cfRule type="cellIs" dxfId="2191" priority="626" stopIfTrue="1" operator="between">
      <formula>3000</formula>
      <formula>9000</formula>
    </cfRule>
    <cfRule type="cellIs" dxfId="2190" priority="627" stopIfTrue="1" operator="greaterThanOrEqual">
      <formula>9000</formula>
    </cfRule>
  </conditionalFormatting>
  <conditionalFormatting sqref="AA62">
    <cfRule type="cellIs" dxfId="2189" priority="622" stopIfTrue="1" operator="lessThanOrEqual">
      <formula>3000</formula>
    </cfRule>
    <cfRule type="cellIs" dxfId="2188" priority="623" stopIfTrue="1" operator="between">
      <formula>3000</formula>
      <formula>9000</formula>
    </cfRule>
    <cfRule type="cellIs" dxfId="2187" priority="624" stopIfTrue="1" operator="greaterThanOrEqual">
      <formula>9000</formula>
    </cfRule>
  </conditionalFormatting>
  <conditionalFormatting sqref="AB62">
    <cfRule type="cellIs" dxfId="2186" priority="619" stopIfTrue="1" operator="lessThanOrEqual">
      <formula>3000</formula>
    </cfRule>
    <cfRule type="cellIs" dxfId="2185" priority="620" stopIfTrue="1" operator="between">
      <formula>3000</formula>
      <formula>9000</formula>
    </cfRule>
    <cfRule type="cellIs" dxfId="2184" priority="621" stopIfTrue="1" operator="greaterThanOrEqual">
      <formula>9000</formula>
    </cfRule>
  </conditionalFormatting>
  <conditionalFormatting sqref="AC62">
    <cfRule type="cellIs" dxfId="2183" priority="616" stopIfTrue="1" operator="lessThanOrEqual">
      <formula>3000</formula>
    </cfRule>
    <cfRule type="cellIs" dxfId="2182" priority="617" stopIfTrue="1" operator="between">
      <formula>3000</formula>
      <formula>9000</formula>
    </cfRule>
    <cfRule type="cellIs" dxfId="2181" priority="618" stopIfTrue="1" operator="greaterThanOrEqual">
      <formula>9000</formula>
    </cfRule>
  </conditionalFormatting>
  <conditionalFormatting sqref="AD62">
    <cfRule type="cellIs" dxfId="2180" priority="613" stopIfTrue="1" operator="lessThanOrEqual">
      <formula>3000</formula>
    </cfRule>
    <cfRule type="cellIs" dxfId="2179" priority="614" stopIfTrue="1" operator="between">
      <formula>3000</formula>
      <formula>9000</formula>
    </cfRule>
    <cfRule type="cellIs" dxfId="2178" priority="615" stopIfTrue="1" operator="greaterThanOrEqual">
      <formula>9000</formula>
    </cfRule>
  </conditionalFormatting>
  <conditionalFormatting sqref="AJ62">
    <cfRule type="cellIs" dxfId="2177" priority="610" stopIfTrue="1" operator="lessThanOrEqual">
      <formula>3000</formula>
    </cfRule>
    <cfRule type="cellIs" dxfId="2176" priority="611" stopIfTrue="1" operator="between">
      <formula>3000</formula>
      <formula>9000</formula>
    </cfRule>
    <cfRule type="cellIs" dxfId="2175" priority="612" stopIfTrue="1" operator="greaterThanOrEqual">
      <formula>9000</formula>
    </cfRule>
  </conditionalFormatting>
  <conditionalFormatting sqref="V62:W62">
    <cfRule type="cellIs" dxfId="2174" priority="607" stopIfTrue="1" operator="lessThanOrEqual">
      <formula>3000</formula>
    </cfRule>
    <cfRule type="cellIs" dxfId="2173" priority="608" stopIfTrue="1" operator="between">
      <formula>3000</formula>
      <formula>9000</formula>
    </cfRule>
    <cfRule type="cellIs" dxfId="2172" priority="609" stopIfTrue="1" operator="greaterThanOrEqual">
      <formula>9000</formula>
    </cfRule>
  </conditionalFormatting>
  <conditionalFormatting sqref="AF62">
    <cfRule type="cellIs" dxfId="2171" priority="604" stopIfTrue="1" operator="lessThanOrEqual">
      <formula>3000</formula>
    </cfRule>
    <cfRule type="cellIs" dxfId="2170" priority="605" stopIfTrue="1" operator="between">
      <formula>3000</formula>
      <formula>9000</formula>
    </cfRule>
    <cfRule type="cellIs" dxfId="2169" priority="606" stopIfTrue="1" operator="greaterThanOrEqual">
      <formula>9000</formula>
    </cfRule>
  </conditionalFormatting>
  <conditionalFormatting sqref="AG62">
    <cfRule type="cellIs" dxfId="2168" priority="601" stopIfTrue="1" operator="lessThanOrEqual">
      <formula>3000</formula>
    </cfRule>
    <cfRule type="cellIs" dxfId="2167" priority="602" stopIfTrue="1" operator="between">
      <formula>3000</formula>
      <formula>9000</formula>
    </cfRule>
    <cfRule type="cellIs" dxfId="2166" priority="603" stopIfTrue="1" operator="greaterThanOrEqual">
      <formula>9000</formula>
    </cfRule>
  </conditionalFormatting>
  <conditionalFormatting sqref="AH62">
    <cfRule type="cellIs" dxfId="2165" priority="598" stopIfTrue="1" operator="lessThanOrEqual">
      <formula>3000</formula>
    </cfRule>
    <cfRule type="cellIs" dxfId="2164" priority="599" stopIfTrue="1" operator="between">
      <formula>3000</formula>
      <formula>9000</formula>
    </cfRule>
    <cfRule type="cellIs" dxfId="2163" priority="600" stopIfTrue="1" operator="greaterThanOrEqual">
      <formula>9000</formula>
    </cfRule>
  </conditionalFormatting>
  <conditionalFormatting sqref="AI62">
    <cfRule type="cellIs" dxfId="2162" priority="595" stopIfTrue="1" operator="lessThanOrEqual">
      <formula>3000</formula>
    </cfRule>
    <cfRule type="cellIs" dxfId="2161" priority="596" stopIfTrue="1" operator="between">
      <formula>3000</formula>
      <formula>9000</formula>
    </cfRule>
    <cfRule type="cellIs" dxfId="2160" priority="597" stopIfTrue="1" operator="greaterThanOrEqual">
      <formula>9000</formula>
    </cfRule>
  </conditionalFormatting>
  <conditionalFormatting sqref="G104:H104">
    <cfRule type="cellIs" dxfId="2159" priority="592" stopIfTrue="1" operator="lessThanOrEqual">
      <formula>3000</formula>
    </cfRule>
    <cfRule type="cellIs" dxfId="2158" priority="593" stopIfTrue="1" operator="between">
      <formula>3000</formula>
      <formula>9000</formula>
    </cfRule>
    <cfRule type="cellIs" dxfId="2157" priority="594" stopIfTrue="1" operator="greaterThanOrEqual">
      <formula>9000</formula>
    </cfRule>
  </conditionalFormatting>
  <conditionalFormatting sqref="J104">
    <cfRule type="cellIs" dxfId="2156" priority="589" stopIfTrue="1" operator="lessThanOrEqual">
      <formula>3000</formula>
    </cfRule>
    <cfRule type="cellIs" dxfId="2155" priority="590" stopIfTrue="1" operator="between">
      <formula>3000</formula>
      <formula>9000</formula>
    </cfRule>
    <cfRule type="cellIs" dxfId="2154" priority="591" stopIfTrue="1" operator="greaterThanOrEqual">
      <formula>9000</formula>
    </cfRule>
  </conditionalFormatting>
  <conditionalFormatting sqref="K104">
    <cfRule type="cellIs" dxfId="2153" priority="586" stopIfTrue="1" operator="lessThanOrEqual">
      <formula>3000</formula>
    </cfRule>
    <cfRule type="cellIs" dxfId="2152" priority="587" stopIfTrue="1" operator="between">
      <formula>3000</formula>
      <formula>9000</formula>
    </cfRule>
    <cfRule type="cellIs" dxfId="2151" priority="588" stopIfTrue="1" operator="greaterThanOrEqual">
      <formula>9000</formula>
    </cfRule>
  </conditionalFormatting>
  <conditionalFormatting sqref="L104">
    <cfRule type="cellIs" dxfId="2150" priority="583" stopIfTrue="1" operator="lessThanOrEqual">
      <formula>3000</formula>
    </cfRule>
    <cfRule type="cellIs" dxfId="2149" priority="584" stopIfTrue="1" operator="between">
      <formula>3000</formula>
      <formula>9000</formula>
    </cfRule>
    <cfRule type="cellIs" dxfId="2148" priority="585" stopIfTrue="1" operator="greaterThanOrEqual">
      <formula>9000</formula>
    </cfRule>
  </conditionalFormatting>
  <conditionalFormatting sqref="M104">
    <cfRule type="cellIs" dxfId="2147" priority="580" stopIfTrue="1" operator="lessThanOrEqual">
      <formula>3000</formula>
    </cfRule>
    <cfRule type="cellIs" dxfId="2146" priority="581" stopIfTrue="1" operator="between">
      <formula>3000</formula>
      <formula>9000</formula>
    </cfRule>
    <cfRule type="cellIs" dxfId="2145" priority="582" stopIfTrue="1" operator="greaterThanOrEqual">
      <formula>9000</formula>
    </cfRule>
  </conditionalFormatting>
  <conditionalFormatting sqref="S104">
    <cfRule type="cellIs" dxfId="2144" priority="577" stopIfTrue="1" operator="lessThanOrEqual">
      <formula>3000</formula>
    </cfRule>
    <cfRule type="cellIs" dxfId="2143" priority="578" stopIfTrue="1" operator="between">
      <formula>3000</formula>
      <formula>9000</formula>
    </cfRule>
    <cfRule type="cellIs" dxfId="2142" priority="579" stopIfTrue="1" operator="greaterThanOrEqual">
      <formula>9000</formula>
    </cfRule>
  </conditionalFormatting>
  <conditionalFormatting sqref="E104:F104">
    <cfRule type="cellIs" dxfId="2141" priority="574" stopIfTrue="1" operator="lessThanOrEqual">
      <formula>3000</formula>
    </cfRule>
    <cfRule type="cellIs" dxfId="2140" priority="575" stopIfTrue="1" operator="between">
      <formula>3000</formula>
      <formula>9000</formula>
    </cfRule>
    <cfRule type="cellIs" dxfId="2139" priority="576" stopIfTrue="1" operator="greaterThanOrEqual">
      <formula>9000</formula>
    </cfRule>
  </conditionalFormatting>
  <conditionalFormatting sqref="O104">
    <cfRule type="cellIs" dxfId="2138" priority="571" stopIfTrue="1" operator="lessThanOrEqual">
      <formula>3000</formula>
    </cfRule>
    <cfRule type="cellIs" dxfId="2137" priority="572" stopIfTrue="1" operator="between">
      <formula>3000</formula>
      <formula>9000</formula>
    </cfRule>
    <cfRule type="cellIs" dxfId="2136" priority="573" stopIfTrue="1" operator="greaterThanOrEqual">
      <formula>9000</formula>
    </cfRule>
  </conditionalFormatting>
  <conditionalFormatting sqref="P104">
    <cfRule type="cellIs" dxfId="2135" priority="568" stopIfTrue="1" operator="lessThanOrEqual">
      <formula>3000</formula>
    </cfRule>
    <cfRule type="cellIs" dxfId="2134" priority="569" stopIfTrue="1" operator="between">
      <formula>3000</formula>
      <formula>9000</formula>
    </cfRule>
    <cfRule type="cellIs" dxfId="2133" priority="570" stopIfTrue="1" operator="greaterThanOrEqual">
      <formula>9000</formula>
    </cfRule>
  </conditionalFormatting>
  <conditionalFormatting sqref="Q104">
    <cfRule type="cellIs" dxfId="2132" priority="565" stopIfTrue="1" operator="lessThanOrEqual">
      <formula>3000</formula>
    </cfRule>
    <cfRule type="cellIs" dxfId="2131" priority="566" stopIfTrue="1" operator="between">
      <formula>3000</formula>
      <formula>9000</formula>
    </cfRule>
    <cfRule type="cellIs" dxfId="2130" priority="567" stopIfTrue="1" operator="greaterThanOrEqual">
      <formula>9000</formula>
    </cfRule>
  </conditionalFormatting>
  <conditionalFormatting sqref="R104">
    <cfRule type="cellIs" dxfId="2129" priority="562" stopIfTrue="1" operator="lessThanOrEqual">
      <formula>3000</formula>
    </cfRule>
    <cfRule type="cellIs" dxfId="2128" priority="563" stopIfTrue="1" operator="between">
      <formula>3000</formula>
      <formula>9000</formula>
    </cfRule>
    <cfRule type="cellIs" dxfId="2127" priority="564" stopIfTrue="1" operator="greaterThanOrEqual">
      <formula>9000</formula>
    </cfRule>
  </conditionalFormatting>
  <conditionalFormatting sqref="X104:Y104">
    <cfRule type="cellIs" dxfId="2126" priority="559" stopIfTrue="1" operator="lessThanOrEqual">
      <formula>3000</formula>
    </cfRule>
    <cfRule type="cellIs" dxfId="2125" priority="560" stopIfTrue="1" operator="between">
      <formula>3000</formula>
      <formula>9000</formula>
    </cfRule>
    <cfRule type="cellIs" dxfId="2124" priority="561" stopIfTrue="1" operator="greaterThanOrEqual">
      <formula>9000</formula>
    </cfRule>
  </conditionalFormatting>
  <conditionalFormatting sqref="AA104">
    <cfRule type="cellIs" dxfId="2123" priority="556" stopIfTrue="1" operator="lessThanOrEqual">
      <formula>3000</formula>
    </cfRule>
    <cfRule type="cellIs" dxfId="2122" priority="557" stopIfTrue="1" operator="between">
      <formula>3000</formula>
      <formula>9000</formula>
    </cfRule>
    <cfRule type="cellIs" dxfId="2121" priority="558" stopIfTrue="1" operator="greaterThanOrEqual">
      <formula>9000</formula>
    </cfRule>
  </conditionalFormatting>
  <conditionalFormatting sqref="AB104">
    <cfRule type="cellIs" dxfId="2120" priority="553" stopIfTrue="1" operator="lessThanOrEqual">
      <formula>3000</formula>
    </cfRule>
    <cfRule type="cellIs" dxfId="2119" priority="554" stopIfTrue="1" operator="between">
      <formula>3000</formula>
      <formula>9000</formula>
    </cfRule>
    <cfRule type="cellIs" dxfId="2118" priority="555" stopIfTrue="1" operator="greaterThanOrEqual">
      <formula>9000</formula>
    </cfRule>
  </conditionalFormatting>
  <conditionalFormatting sqref="AC104">
    <cfRule type="cellIs" dxfId="2117" priority="550" stopIfTrue="1" operator="lessThanOrEqual">
      <formula>3000</formula>
    </cfRule>
    <cfRule type="cellIs" dxfId="2116" priority="551" stopIfTrue="1" operator="between">
      <formula>3000</formula>
      <formula>9000</formula>
    </cfRule>
    <cfRule type="cellIs" dxfId="2115" priority="552" stopIfTrue="1" operator="greaterThanOrEqual">
      <formula>9000</formula>
    </cfRule>
  </conditionalFormatting>
  <conditionalFormatting sqref="AD104">
    <cfRule type="cellIs" dxfId="2114" priority="547" stopIfTrue="1" operator="lessThanOrEqual">
      <formula>3000</formula>
    </cfRule>
    <cfRule type="cellIs" dxfId="2113" priority="548" stopIfTrue="1" operator="between">
      <formula>3000</formula>
      <formula>9000</formula>
    </cfRule>
    <cfRule type="cellIs" dxfId="2112" priority="549" stopIfTrue="1" operator="greaterThanOrEqual">
      <formula>9000</formula>
    </cfRule>
  </conditionalFormatting>
  <conditionalFormatting sqref="AJ104">
    <cfRule type="cellIs" dxfId="2111" priority="544" stopIfTrue="1" operator="lessThanOrEqual">
      <formula>3000</formula>
    </cfRule>
    <cfRule type="cellIs" dxfId="2110" priority="545" stopIfTrue="1" operator="between">
      <formula>3000</formula>
      <formula>9000</formula>
    </cfRule>
    <cfRule type="cellIs" dxfId="2109" priority="546" stopIfTrue="1" operator="greaterThanOrEqual">
      <formula>9000</formula>
    </cfRule>
  </conditionalFormatting>
  <conditionalFormatting sqref="V104:W104">
    <cfRule type="cellIs" dxfId="2108" priority="541" stopIfTrue="1" operator="lessThanOrEqual">
      <formula>3000</formula>
    </cfRule>
    <cfRule type="cellIs" dxfId="2107" priority="542" stopIfTrue="1" operator="between">
      <formula>3000</formula>
      <formula>9000</formula>
    </cfRule>
    <cfRule type="cellIs" dxfId="2106" priority="543" stopIfTrue="1" operator="greaterThanOrEqual">
      <formula>9000</formula>
    </cfRule>
  </conditionalFormatting>
  <conditionalFormatting sqref="AF104">
    <cfRule type="cellIs" dxfId="2105" priority="538" stopIfTrue="1" operator="lessThanOrEqual">
      <formula>3000</formula>
    </cfRule>
    <cfRule type="cellIs" dxfId="2104" priority="539" stopIfTrue="1" operator="between">
      <formula>3000</formula>
      <formula>9000</formula>
    </cfRule>
    <cfRule type="cellIs" dxfId="2103" priority="540" stopIfTrue="1" operator="greaterThanOrEqual">
      <formula>9000</formula>
    </cfRule>
  </conditionalFormatting>
  <conditionalFormatting sqref="AG104">
    <cfRule type="cellIs" dxfId="2102" priority="535" stopIfTrue="1" operator="lessThanOrEqual">
      <formula>3000</formula>
    </cfRule>
    <cfRule type="cellIs" dxfId="2101" priority="536" stopIfTrue="1" operator="between">
      <formula>3000</formula>
      <formula>9000</formula>
    </cfRule>
    <cfRule type="cellIs" dxfId="2100" priority="537" stopIfTrue="1" operator="greaterThanOrEqual">
      <formula>9000</formula>
    </cfRule>
  </conditionalFormatting>
  <conditionalFormatting sqref="AH104">
    <cfRule type="cellIs" dxfId="2099" priority="532" stopIfTrue="1" operator="lessThanOrEqual">
      <formula>3000</formula>
    </cfRule>
    <cfRule type="cellIs" dxfId="2098" priority="533" stopIfTrue="1" operator="between">
      <formula>3000</formula>
      <formula>9000</formula>
    </cfRule>
    <cfRule type="cellIs" dxfId="2097" priority="534" stopIfTrue="1" operator="greaterThanOrEqual">
      <formula>9000</formula>
    </cfRule>
  </conditionalFormatting>
  <conditionalFormatting sqref="AI104">
    <cfRule type="cellIs" dxfId="2096" priority="529" stopIfTrue="1" operator="lessThanOrEqual">
      <formula>3000</formula>
    </cfRule>
    <cfRule type="cellIs" dxfId="2095" priority="530" stopIfTrue="1" operator="between">
      <formula>3000</formula>
      <formula>9000</formula>
    </cfRule>
    <cfRule type="cellIs" dxfId="2094" priority="531" stopIfTrue="1" operator="greaterThanOrEqual">
      <formula>9000</formula>
    </cfRule>
  </conditionalFormatting>
  <conditionalFormatting sqref="G26:H26">
    <cfRule type="cellIs" dxfId="2093" priority="526" stopIfTrue="1" operator="lessThanOrEqual">
      <formula>3000</formula>
    </cfRule>
    <cfRule type="cellIs" dxfId="2092" priority="527" stopIfTrue="1" operator="between">
      <formula>3000</formula>
      <formula>9000</formula>
    </cfRule>
    <cfRule type="cellIs" dxfId="2091" priority="528" stopIfTrue="1" operator="greaterThanOrEqual">
      <formula>9000</formula>
    </cfRule>
  </conditionalFormatting>
  <conditionalFormatting sqref="J26">
    <cfRule type="cellIs" dxfId="2090" priority="523" stopIfTrue="1" operator="lessThanOrEqual">
      <formula>3000</formula>
    </cfRule>
    <cfRule type="cellIs" dxfId="2089" priority="524" stopIfTrue="1" operator="between">
      <formula>3000</formula>
      <formula>9000</formula>
    </cfRule>
    <cfRule type="cellIs" dxfId="2088" priority="525" stopIfTrue="1" operator="greaterThanOrEqual">
      <formula>9000</formula>
    </cfRule>
  </conditionalFormatting>
  <conditionalFormatting sqref="K26">
    <cfRule type="cellIs" dxfId="2087" priority="520" stopIfTrue="1" operator="lessThanOrEqual">
      <formula>3000</formula>
    </cfRule>
    <cfRule type="cellIs" dxfId="2086" priority="521" stopIfTrue="1" operator="between">
      <formula>3000</formula>
      <formula>9000</formula>
    </cfRule>
    <cfRule type="cellIs" dxfId="2085" priority="522" stopIfTrue="1" operator="greaterThanOrEqual">
      <formula>9000</formula>
    </cfRule>
  </conditionalFormatting>
  <conditionalFormatting sqref="L26">
    <cfRule type="cellIs" dxfId="2084" priority="517" stopIfTrue="1" operator="lessThanOrEqual">
      <formula>3000</formula>
    </cfRule>
    <cfRule type="cellIs" dxfId="2083" priority="518" stopIfTrue="1" operator="between">
      <formula>3000</formula>
      <formula>9000</formula>
    </cfRule>
    <cfRule type="cellIs" dxfId="2082" priority="519" stopIfTrue="1" operator="greaterThanOrEqual">
      <formula>9000</formula>
    </cfRule>
  </conditionalFormatting>
  <conditionalFormatting sqref="M26">
    <cfRule type="cellIs" dxfId="2081" priority="514" stopIfTrue="1" operator="lessThanOrEqual">
      <formula>3000</formula>
    </cfRule>
    <cfRule type="cellIs" dxfId="2080" priority="515" stopIfTrue="1" operator="between">
      <formula>3000</formula>
      <formula>9000</formula>
    </cfRule>
    <cfRule type="cellIs" dxfId="2079" priority="516" stopIfTrue="1" operator="greaterThanOrEqual">
      <formula>9000</formula>
    </cfRule>
  </conditionalFormatting>
  <conditionalFormatting sqref="S26">
    <cfRule type="cellIs" dxfId="2078" priority="511" stopIfTrue="1" operator="lessThanOrEqual">
      <formula>3000</formula>
    </cfRule>
    <cfRule type="cellIs" dxfId="2077" priority="512" stopIfTrue="1" operator="between">
      <formula>3000</formula>
      <formula>9000</formula>
    </cfRule>
    <cfRule type="cellIs" dxfId="2076" priority="513" stopIfTrue="1" operator="greaterThanOrEqual">
      <formula>9000</formula>
    </cfRule>
  </conditionalFormatting>
  <conditionalFormatting sqref="E26:F26">
    <cfRule type="cellIs" dxfId="2075" priority="508" stopIfTrue="1" operator="lessThanOrEqual">
      <formula>3000</formula>
    </cfRule>
    <cfRule type="cellIs" dxfId="2074" priority="509" stopIfTrue="1" operator="between">
      <formula>3000</formula>
      <formula>9000</formula>
    </cfRule>
    <cfRule type="cellIs" dxfId="2073" priority="510" stopIfTrue="1" operator="greaterThanOrEqual">
      <formula>9000</formula>
    </cfRule>
  </conditionalFormatting>
  <conditionalFormatting sqref="O26">
    <cfRule type="cellIs" dxfId="2072" priority="505" stopIfTrue="1" operator="lessThanOrEqual">
      <formula>3000</formula>
    </cfRule>
    <cfRule type="cellIs" dxfId="2071" priority="506" stopIfTrue="1" operator="between">
      <formula>3000</formula>
      <formula>9000</formula>
    </cfRule>
    <cfRule type="cellIs" dxfId="2070" priority="507" stopIfTrue="1" operator="greaterThanOrEqual">
      <formula>9000</formula>
    </cfRule>
  </conditionalFormatting>
  <conditionalFormatting sqref="P26">
    <cfRule type="cellIs" dxfId="2069" priority="502" stopIfTrue="1" operator="lessThanOrEqual">
      <formula>3000</formula>
    </cfRule>
    <cfRule type="cellIs" dxfId="2068" priority="503" stopIfTrue="1" operator="between">
      <formula>3000</formula>
      <formula>9000</formula>
    </cfRule>
    <cfRule type="cellIs" dxfId="2067" priority="504" stopIfTrue="1" operator="greaterThanOrEqual">
      <formula>9000</formula>
    </cfRule>
  </conditionalFormatting>
  <conditionalFormatting sqref="Q26">
    <cfRule type="cellIs" dxfId="2066" priority="499" stopIfTrue="1" operator="lessThanOrEqual">
      <formula>3000</formula>
    </cfRule>
    <cfRule type="cellIs" dxfId="2065" priority="500" stopIfTrue="1" operator="between">
      <formula>3000</formula>
      <formula>9000</formula>
    </cfRule>
    <cfRule type="cellIs" dxfId="2064" priority="501" stopIfTrue="1" operator="greaterThanOrEqual">
      <formula>9000</formula>
    </cfRule>
  </conditionalFormatting>
  <conditionalFormatting sqref="R26">
    <cfRule type="cellIs" dxfId="2063" priority="496" stopIfTrue="1" operator="lessThanOrEqual">
      <formula>3000</formula>
    </cfRule>
    <cfRule type="cellIs" dxfId="2062" priority="497" stopIfTrue="1" operator="between">
      <formula>3000</formula>
      <formula>9000</formula>
    </cfRule>
    <cfRule type="cellIs" dxfId="2061" priority="498" stopIfTrue="1" operator="greaterThanOrEqual">
      <formula>9000</formula>
    </cfRule>
  </conditionalFormatting>
  <conditionalFormatting sqref="G32:H32">
    <cfRule type="cellIs" dxfId="2060" priority="493" stopIfTrue="1" operator="lessThanOrEqual">
      <formula>3000</formula>
    </cfRule>
    <cfRule type="cellIs" dxfId="2059" priority="494" stopIfTrue="1" operator="between">
      <formula>3000</formula>
      <formula>9000</formula>
    </cfRule>
    <cfRule type="cellIs" dxfId="2058" priority="495" stopIfTrue="1" operator="greaterThanOrEqual">
      <formula>9000</formula>
    </cfRule>
  </conditionalFormatting>
  <conditionalFormatting sqref="J32">
    <cfRule type="cellIs" dxfId="2057" priority="490" stopIfTrue="1" operator="lessThanOrEqual">
      <formula>3000</formula>
    </cfRule>
    <cfRule type="cellIs" dxfId="2056" priority="491" stopIfTrue="1" operator="between">
      <formula>3000</formula>
      <formula>9000</formula>
    </cfRule>
    <cfRule type="cellIs" dxfId="2055" priority="492" stopIfTrue="1" operator="greaterThanOrEqual">
      <formula>9000</formula>
    </cfRule>
  </conditionalFormatting>
  <conditionalFormatting sqref="K32">
    <cfRule type="cellIs" dxfId="2054" priority="487" stopIfTrue="1" operator="lessThanOrEqual">
      <formula>3000</formula>
    </cfRule>
    <cfRule type="cellIs" dxfId="2053" priority="488" stopIfTrue="1" operator="between">
      <formula>3000</formula>
      <formula>9000</formula>
    </cfRule>
    <cfRule type="cellIs" dxfId="2052" priority="489" stopIfTrue="1" operator="greaterThanOrEqual">
      <formula>9000</formula>
    </cfRule>
  </conditionalFormatting>
  <conditionalFormatting sqref="L32">
    <cfRule type="cellIs" dxfId="2051" priority="484" stopIfTrue="1" operator="lessThanOrEqual">
      <formula>3000</formula>
    </cfRule>
    <cfRule type="cellIs" dxfId="2050" priority="485" stopIfTrue="1" operator="between">
      <formula>3000</formula>
      <formula>9000</formula>
    </cfRule>
    <cfRule type="cellIs" dxfId="2049" priority="486" stopIfTrue="1" operator="greaterThanOrEqual">
      <formula>9000</formula>
    </cfRule>
  </conditionalFormatting>
  <conditionalFormatting sqref="M32">
    <cfRule type="cellIs" dxfId="2048" priority="481" stopIfTrue="1" operator="lessThanOrEqual">
      <formula>3000</formula>
    </cfRule>
    <cfRule type="cellIs" dxfId="2047" priority="482" stopIfTrue="1" operator="between">
      <formula>3000</formula>
      <formula>9000</formula>
    </cfRule>
    <cfRule type="cellIs" dxfId="2046" priority="483" stopIfTrue="1" operator="greaterThanOrEqual">
      <formula>9000</formula>
    </cfRule>
  </conditionalFormatting>
  <conditionalFormatting sqref="S32">
    <cfRule type="cellIs" dxfId="2045" priority="478" stopIfTrue="1" operator="lessThanOrEqual">
      <formula>3000</formula>
    </cfRule>
    <cfRule type="cellIs" dxfId="2044" priority="479" stopIfTrue="1" operator="between">
      <formula>3000</formula>
      <formula>9000</formula>
    </cfRule>
    <cfRule type="cellIs" dxfId="2043" priority="480" stopIfTrue="1" operator="greaterThanOrEqual">
      <formula>9000</formula>
    </cfRule>
  </conditionalFormatting>
  <conditionalFormatting sqref="E32:F32">
    <cfRule type="cellIs" dxfId="2042" priority="475" stopIfTrue="1" operator="lessThanOrEqual">
      <formula>3000</formula>
    </cfRule>
    <cfRule type="cellIs" dxfId="2041" priority="476" stopIfTrue="1" operator="between">
      <formula>3000</formula>
      <formula>9000</formula>
    </cfRule>
    <cfRule type="cellIs" dxfId="2040" priority="477" stopIfTrue="1" operator="greaterThanOrEqual">
      <formula>9000</formula>
    </cfRule>
  </conditionalFormatting>
  <conditionalFormatting sqref="O32">
    <cfRule type="cellIs" dxfId="2039" priority="472" stopIfTrue="1" operator="lessThanOrEqual">
      <formula>3000</formula>
    </cfRule>
    <cfRule type="cellIs" dxfId="2038" priority="473" stopIfTrue="1" operator="between">
      <formula>3000</formula>
      <formula>9000</formula>
    </cfRule>
    <cfRule type="cellIs" dxfId="2037" priority="474" stopIfTrue="1" operator="greaterThanOrEqual">
      <formula>9000</formula>
    </cfRule>
  </conditionalFormatting>
  <conditionalFormatting sqref="P32">
    <cfRule type="cellIs" dxfId="2036" priority="469" stopIfTrue="1" operator="lessThanOrEqual">
      <formula>3000</formula>
    </cfRule>
    <cfRule type="cellIs" dxfId="2035" priority="470" stopIfTrue="1" operator="between">
      <formula>3000</formula>
      <formula>9000</formula>
    </cfRule>
    <cfRule type="cellIs" dxfId="2034" priority="471" stopIfTrue="1" operator="greaterThanOrEqual">
      <formula>9000</formula>
    </cfRule>
  </conditionalFormatting>
  <conditionalFormatting sqref="Q32">
    <cfRule type="cellIs" dxfId="2033" priority="466" stopIfTrue="1" operator="lessThanOrEqual">
      <formula>3000</formula>
    </cfRule>
    <cfRule type="cellIs" dxfId="2032" priority="467" stopIfTrue="1" operator="between">
      <formula>3000</formula>
      <formula>9000</formula>
    </cfRule>
    <cfRule type="cellIs" dxfId="2031" priority="468" stopIfTrue="1" operator="greaterThanOrEqual">
      <formula>9000</formula>
    </cfRule>
  </conditionalFormatting>
  <conditionalFormatting sqref="R32">
    <cfRule type="cellIs" dxfId="2030" priority="463" stopIfTrue="1" operator="lessThanOrEqual">
      <formula>3000</formula>
    </cfRule>
    <cfRule type="cellIs" dxfId="2029" priority="464" stopIfTrue="1" operator="between">
      <formula>3000</formula>
      <formula>9000</formula>
    </cfRule>
    <cfRule type="cellIs" dxfId="2028" priority="465" stopIfTrue="1" operator="greaterThanOrEqual">
      <formula>9000</formula>
    </cfRule>
  </conditionalFormatting>
  <conditionalFormatting sqref="X26:Y26">
    <cfRule type="cellIs" dxfId="2027" priority="460" stopIfTrue="1" operator="lessThanOrEqual">
      <formula>3000</formula>
    </cfRule>
    <cfRule type="cellIs" dxfId="2026" priority="461" stopIfTrue="1" operator="between">
      <formula>3000</formula>
      <formula>9000</formula>
    </cfRule>
    <cfRule type="cellIs" dxfId="2025" priority="462" stopIfTrue="1" operator="greaterThanOrEqual">
      <formula>9000</formula>
    </cfRule>
  </conditionalFormatting>
  <conditionalFormatting sqref="AA26">
    <cfRule type="cellIs" dxfId="2024" priority="457" stopIfTrue="1" operator="lessThanOrEqual">
      <formula>3000</formula>
    </cfRule>
    <cfRule type="cellIs" dxfId="2023" priority="458" stopIfTrue="1" operator="between">
      <formula>3000</formula>
      <formula>9000</formula>
    </cfRule>
    <cfRule type="cellIs" dxfId="2022" priority="459" stopIfTrue="1" operator="greaterThanOrEqual">
      <formula>9000</formula>
    </cfRule>
  </conditionalFormatting>
  <conditionalFormatting sqref="AB26">
    <cfRule type="cellIs" dxfId="2021" priority="454" stopIfTrue="1" operator="lessThanOrEqual">
      <formula>3000</formula>
    </cfRule>
    <cfRule type="cellIs" dxfId="2020" priority="455" stopIfTrue="1" operator="between">
      <formula>3000</formula>
      <formula>9000</formula>
    </cfRule>
    <cfRule type="cellIs" dxfId="2019" priority="456" stopIfTrue="1" operator="greaterThanOrEqual">
      <formula>9000</formula>
    </cfRule>
  </conditionalFormatting>
  <conditionalFormatting sqref="AC26">
    <cfRule type="cellIs" dxfId="2018" priority="451" stopIfTrue="1" operator="lessThanOrEqual">
      <formula>3000</formula>
    </cfRule>
    <cfRule type="cellIs" dxfId="2017" priority="452" stopIfTrue="1" operator="between">
      <formula>3000</formula>
      <formula>9000</formula>
    </cfRule>
    <cfRule type="cellIs" dxfId="2016" priority="453" stopIfTrue="1" operator="greaterThanOrEqual">
      <formula>9000</formula>
    </cfRule>
  </conditionalFormatting>
  <conditionalFormatting sqref="AD26">
    <cfRule type="cellIs" dxfId="2015" priority="448" stopIfTrue="1" operator="lessThanOrEqual">
      <formula>3000</formula>
    </cfRule>
    <cfRule type="cellIs" dxfId="2014" priority="449" stopIfTrue="1" operator="between">
      <formula>3000</formula>
      <formula>9000</formula>
    </cfRule>
    <cfRule type="cellIs" dxfId="2013" priority="450" stopIfTrue="1" operator="greaterThanOrEqual">
      <formula>9000</formula>
    </cfRule>
  </conditionalFormatting>
  <conditionalFormatting sqref="AJ26">
    <cfRule type="cellIs" dxfId="2012" priority="445" stopIfTrue="1" operator="lessThanOrEqual">
      <formula>3000</formula>
    </cfRule>
    <cfRule type="cellIs" dxfId="2011" priority="446" stopIfTrue="1" operator="between">
      <formula>3000</formula>
      <formula>9000</formula>
    </cfRule>
    <cfRule type="cellIs" dxfId="2010" priority="447" stopIfTrue="1" operator="greaterThanOrEqual">
      <formula>9000</formula>
    </cfRule>
  </conditionalFormatting>
  <conditionalFormatting sqref="V26:W26">
    <cfRule type="cellIs" dxfId="2009" priority="442" stopIfTrue="1" operator="lessThanOrEqual">
      <formula>3000</formula>
    </cfRule>
    <cfRule type="cellIs" dxfId="2008" priority="443" stopIfTrue="1" operator="between">
      <formula>3000</formula>
      <formula>9000</formula>
    </cfRule>
    <cfRule type="cellIs" dxfId="2007" priority="444" stopIfTrue="1" operator="greaterThanOrEqual">
      <formula>9000</formula>
    </cfRule>
  </conditionalFormatting>
  <conditionalFormatting sqref="AF26">
    <cfRule type="cellIs" dxfId="2006" priority="439" stopIfTrue="1" operator="lessThanOrEqual">
      <formula>3000</formula>
    </cfRule>
    <cfRule type="cellIs" dxfId="2005" priority="440" stopIfTrue="1" operator="between">
      <formula>3000</formula>
      <formula>9000</formula>
    </cfRule>
    <cfRule type="cellIs" dxfId="2004" priority="441" stopIfTrue="1" operator="greaterThanOrEqual">
      <formula>9000</formula>
    </cfRule>
  </conditionalFormatting>
  <conditionalFormatting sqref="AG26">
    <cfRule type="cellIs" dxfId="2003" priority="436" stopIfTrue="1" operator="lessThanOrEqual">
      <formula>3000</formula>
    </cfRule>
    <cfRule type="cellIs" dxfId="2002" priority="437" stopIfTrue="1" operator="between">
      <formula>3000</formula>
      <formula>9000</formula>
    </cfRule>
    <cfRule type="cellIs" dxfId="2001" priority="438" stopIfTrue="1" operator="greaterThanOrEqual">
      <formula>9000</formula>
    </cfRule>
  </conditionalFormatting>
  <conditionalFormatting sqref="AH26">
    <cfRule type="cellIs" dxfId="2000" priority="433" stopIfTrue="1" operator="lessThanOrEqual">
      <formula>3000</formula>
    </cfRule>
    <cfRule type="cellIs" dxfId="1999" priority="434" stopIfTrue="1" operator="between">
      <formula>3000</formula>
      <formula>9000</formula>
    </cfRule>
    <cfRule type="cellIs" dxfId="1998" priority="435" stopIfTrue="1" operator="greaterThanOrEqual">
      <formula>9000</formula>
    </cfRule>
  </conditionalFormatting>
  <conditionalFormatting sqref="AI26">
    <cfRule type="cellIs" dxfId="1997" priority="430" stopIfTrue="1" operator="lessThanOrEqual">
      <formula>3000</formula>
    </cfRule>
    <cfRule type="cellIs" dxfId="1996" priority="431" stopIfTrue="1" operator="between">
      <formula>3000</formula>
      <formula>9000</formula>
    </cfRule>
    <cfRule type="cellIs" dxfId="1995" priority="432" stopIfTrue="1" operator="greaterThanOrEqual">
      <formula>9000</formula>
    </cfRule>
  </conditionalFormatting>
  <conditionalFormatting sqref="X32:Y32">
    <cfRule type="cellIs" dxfId="1994" priority="427" stopIfTrue="1" operator="lessThanOrEqual">
      <formula>3000</formula>
    </cfRule>
    <cfRule type="cellIs" dxfId="1993" priority="428" stopIfTrue="1" operator="between">
      <formula>3000</formula>
      <formula>9000</formula>
    </cfRule>
    <cfRule type="cellIs" dxfId="1992" priority="429" stopIfTrue="1" operator="greaterThanOrEqual">
      <formula>9000</formula>
    </cfRule>
  </conditionalFormatting>
  <conditionalFormatting sqref="AA32">
    <cfRule type="cellIs" dxfId="1991" priority="424" stopIfTrue="1" operator="lessThanOrEqual">
      <formula>3000</formula>
    </cfRule>
    <cfRule type="cellIs" dxfId="1990" priority="425" stopIfTrue="1" operator="between">
      <formula>3000</formula>
      <formula>9000</formula>
    </cfRule>
    <cfRule type="cellIs" dxfId="1989" priority="426" stopIfTrue="1" operator="greaterThanOrEqual">
      <formula>9000</formula>
    </cfRule>
  </conditionalFormatting>
  <conditionalFormatting sqref="AB32">
    <cfRule type="cellIs" dxfId="1988" priority="421" stopIfTrue="1" operator="lessThanOrEqual">
      <formula>3000</formula>
    </cfRule>
    <cfRule type="cellIs" dxfId="1987" priority="422" stopIfTrue="1" operator="between">
      <formula>3000</formula>
      <formula>9000</formula>
    </cfRule>
    <cfRule type="cellIs" dxfId="1986" priority="423" stopIfTrue="1" operator="greaterThanOrEqual">
      <formula>9000</formula>
    </cfRule>
  </conditionalFormatting>
  <conditionalFormatting sqref="AC32">
    <cfRule type="cellIs" dxfId="1985" priority="418" stopIfTrue="1" operator="lessThanOrEqual">
      <formula>3000</formula>
    </cfRule>
    <cfRule type="cellIs" dxfId="1984" priority="419" stopIfTrue="1" operator="between">
      <formula>3000</formula>
      <formula>9000</formula>
    </cfRule>
    <cfRule type="cellIs" dxfId="1983" priority="420" stopIfTrue="1" operator="greaterThanOrEqual">
      <formula>9000</formula>
    </cfRule>
  </conditionalFormatting>
  <conditionalFormatting sqref="AD32">
    <cfRule type="cellIs" dxfId="1982" priority="415" stopIfTrue="1" operator="lessThanOrEqual">
      <formula>3000</formula>
    </cfRule>
    <cfRule type="cellIs" dxfId="1981" priority="416" stopIfTrue="1" operator="between">
      <formula>3000</formula>
      <formula>9000</formula>
    </cfRule>
    <cfRule type="cellIs" dxfId="1980" priority="417" stopIfTrue="1" operator="greaterThanOrEqual">
      <formula>9000</formula>
    </cfRule>
  </conditionalFormatting>
  <conditionalFormatting sqref="AJ32">
    <cfRule type="cellIs" dxfId="1979" priority="412" stopIfTrue="1" operator="lessThanOrEqual">
      <formula>3000</formula>
    </cfRule>
    <cfRule type="cellIs" dxfId="1978" priority="413" stopIfTrue="1" operator="between">
      <formula>3000</formula>
      <formula>9000</formula>
    </cfRule>
    <cfRule type="cellIs" dxfId="1977" priority="414" stopIfTrue="1" operator="greaterThanOrEqual">
      <formula>9000</formula>
    </cfRule>
  </conditionalFormatting>
  <conditionalFormatting sqref="V32:W32">
    <cfRule type="cellIs" dxfId="1976" priority="409" stopIfTrue="1" operator="lessThanOrEqual">
      <formula>3000</formula>
    </cfRule>
    <cfRule type="cellIs" dxfId="1975" priority="410" stopIfTrue="1" operator="between">
      <formula>3000</formula>
      <formula>9000</formula>
    </cfRule>
    <cfRule type="cellIs" dxfId="1974" priority="411" stopIfTrue="1" operator="greaterThanOrEqual">
      <formula>9000</formula>
    </cfRule>
  </conditionalFormatting>
  <conditionalFormatting sqref="AF32">
    <cfRule type="cellIs" dxfId="1973" priority="406" stopIfTrue="1" operator="lessThanOrEqual">
      <formula>3000</formula>
    </cfRule>
    <cfRule type="cellIs" dxfId="1972" priority="407" stopIfTrue="1" operator="between">
      <formula>3000</formula>
      <formula>9000</formula>
    </cfRule>
    <cfRule type="cellIs" dxfId="1971" priority="408" stopIfTrue="1" operator="greaterThanOrEqual">
      <formula>9000</formula>
    </cfRule>
  </conditionalFormatting>
  <conditionalFormatting sqref="AG32">
    <cfRule type="cellIs" dxfId="1970" priority="403" stopIfTrue="1" operator="lessThanOrEqual">
      <formula>3000</formula>
    </cfRule>
    <cfRule type="cellIs" dxfId="1969" priority="404" stopIfTrue="1" operator="between">
      <formula>3000</formula>
      <formula>9000</formula>
    </cfRule>
    <cfRule type="cellIs" dxfId="1968" priority="405" stopIfTrue="1" operator="greaterThanOrEqual">
      <formula>9000</formula>
    </cfRule>
  </conditionalFormatting>
  <conditionalFormatting sqref="AH32">
    <cfRule type="cellIs" dxfId="1967" priority="400" stopIfTrue="1" operator="lessThanOrEqual">
      <formula>3000</formula>
    </cfRule>
    <cfRule type="cellIs" dxfId="1966" priority="401" stopIfTrue="1" operator="between">
      <formula>3000</formula>
      <formula>9000</formula>
    </cfRule>
    <cfRule type="cellIs" dxfId="1965" priority="402" stopIfTrue="1" operator="greaterThanOrEqual">
      <formula>9000</formula>
    </cfRule>
  </conditionalFormatting>
  <conditionalFormatting sqref="AI32">
    <cfRule type="cellIs" dxfId="1964" priority="397" stopIfTrue="1" operator="lessThanOrEqual">
      <formula>3000</formula>
    </cfRule>
    <cfRule type="cellIs" dxfId="1963" priority="398" stopIfTrue="1" operator="between">
      <formula>3000</formula>
      <formula>9000</formula>
    </cfRule>
    <cfRule type="cellIs" dxfId="1962" priority="399" stopIfTrue="1" operator="greaterThanOrEqual">
      <formula>9000</formula>
    </cfRule>
  </conditionalFormatting>
  <conditionalFormatting sqref="G50:H50">
    <cfRule type="cellIs" dxfId="1961" priority="394" stopIfTrue="1" operator="lessThanOrEqual">
      <formula>3000</formula>
    </cfRule>
    <cfRule type="cellIs" dxfId="1960" priority="395" stopIfTrue="1" operator="between">
      <formula>3000</formula>
      <formula>9000</formula>
    </cfRule>
    <cfRule type="cellIs" dxfId="1959" priority="396" stopIfTrue="1" operator="greaterThanOrEqual">
      <formula>9000</formula>
    </cfRule>
  </conditionalFormatting>
  <conditionalFormatting sqref="J50">
    <cfRule type="cellIs" dxfId="1958" priority="391" stopIfTrue="1" operator="lessThanOrEqual">
      <formula>3000</formula>
    </cfRule>
    <cfRule type="cellIs" dxfId="1957" priority="392" stopIfTrue="1" operator="between">
      <formula>3000</formula>
      <formula>9000</formula>
    </cfRule>
    <cfRule type="cellIs" dxfId="1956" priority="393" stopIfTrue="1" operator="greaterThanOrEqual">
      <formula>9000</formula>
    </cfRule>
  </conditionalFormatting>
  <conditionalFormatting sqref="K50">
    <cfRule type="cellIs" dxfId="1955" priority="388" stopIfTrue="1" operator="lessThanOrEqual">
      <formula>3000</formula>
    </cfRule>
    <cfRule type="cellIs" dxfId="1954" priority="389" stopIfTrue="1" operator="between">
      <formula>3000</formula>
      <formula>9000</formula>
    </cfRule>
    <cfRule type="cellIs" dxfId="1953" priority="390" stopIfTrue="1" operator="greaterThanOrEqual">
      <formula>9000</formula>
    </cfRule>
  </conditionalFormatting>
  <conditionalFormatting sqref="L50">
    <cfRule type="cellIs" dxfId="1952" priority="385" stopIfTrue="1" operator="lessThanOrEqual">
      <formula>3000</formula>
    </cfRule>
    <cfRule type="cellIs" dxfId="1951" priority="386" stopIfTrue="1" operator="between">
      <formula>3000</formula>
      <formula>9000</formula>
    </cfRule>
    <cfRule type="cellIs" dxfId="1950" priority="387" stopIfTrue="1" operator="greaterThanOrEqual">
      <formula>9000</formula>
    </cfRule>
  </conditionalFormatting>
  <conditionalFormatting sqref="M50">
    <cfRule type="cellIs" dxfId="1949" priority="382" stopIfTrue="1" operator="lessThanOrEqual">
      <formula>3000</formula>
    </cfRule>
    <cfRule type="cellIs" dxfId="1948" priority="383" stopIfTrue="1" operator="between">
      <formula>3000</formula>
      <formula>9000</formula>
    </cfRule>
    <cfRule type="cellIs" dxfId="1947" priority="384" stopIfTrue="1" operator="greaterThanOrEqual">
      <formula>9000</formula>
    </cfRule>
  </conditionalFormatting>
  <conditionalFormatting sqref="S50">
    <cfRule type="cellIs" dxfId="1946" priority="379" stopIfTrue="1" operator="lessThanOrEqual">
      <formula>3000</formula>
    </cfRule>
    <cfRule type="cellIs" dxfId="1945" priority="380" stopIfTrue="1" operator="between">
      <formula>3000</formula>
      <formula>9000</formula>
    </cfRule>
    <cfRule type="cellIs" dxfId="1944" priority="381" stopIfTrue="1" operator="greaterThanOrEqual">
      <formula>9000</formula>
    </cfRule>
  </conditionalFormatting>
  <conditionalFormatting sqref="E50:F50">
    <cfRule type="cellIs" dxfId="1943" priority="376" stopIfTrue="1" operator="lessThanOrEqual">
      <formula>3000</formula>
    </cfRule>
    <cfRule type="cellIs" dxfId="1942" priority="377" stopIfTrue="1" operator="between">
      <formula>3000</formula>
      <formula>9000</formula>
    </cfRule>
    <cfRule type="cellIs" dxfId="1941" priority="378" stopIfTrue="1" operator="greaterThanOrEqual">
      <formula>9000</formula>
    </cfRule>
  </conditionalFormatting>
  <conditionalFormatting sqref="O50">
    <cfRule type="cellIs" dxfId="1940" priority="373" stopIfTrue="1" operator="lessThanOrEqual">
      <formula>3000</formula>
    </cfRule>
    <cfRule type="cellIs" dxfId="1939" priority="374" stopIfTrue="1" operator="between">
      <formula>3000</formula>
      <formula>9000</formula>
    </cfRule>
    <cfRule type="cellIs" dxfId="1938" priority="375" stopIfTrue="1" operator="greaterThanOrEqual">
      <formula>9000</formula>
    </cfRule>
  </conditionalFormatting>
  <conditionalFormatting sqref="P50">
    <cfRule type="cellIs" dxfId="1937" priority="370" stopIfTrue="1" operator="lessThanOrEqual">
      <formula>3000</formula>
    </cfRule>
    <cfRule type="cellIs" dxfId="1936" priority="371" stopIfTrue="1" operator="between">
      <formula>3000</formula>
      <formula>9000</formula>
    </cfRule>
    <cfRule type="cellIs" dxfId="1935" priority="372" stopIfTrue="1" operator="greaterThanOrEqual">
      <formula>9000</formula>
    </cfRule>
  </conditionalFormatting>
  <conditionalFormatting sqref="Q50">
    <cfRule type="cellIs" dxfId="1934" priority="367" stopIfTrue="1" operator="lessThanOrEqual">
      <formula>3000</formula>
    </cfRule>
    <cfRule type="cellIs" dxfId="1933" priority="368" stopIfTrue="1" operator="between">
      <formula>3000</formula>
      <formula>9000</formula>
    </cfRule>
    <cfRule type="cellIs" dxfId="1932" priority="369" stopIfTrue="1" operator="greaterThanOrEqual">
      <formula>9000</formula>
    </cfRule>
  </conditionalFormatting>
  <conditionalFormatting sqref="R50">
    <cfRule type="cellIs" dxfId="1931" priority="364" stopIfTrue="1" operator="lessThanOrEqual">
      <formula>3000</formula>
    </cfRule>
    <cfRule type="cellIs" dxfId="1930" priority="365" stopIfTrue="1" operator="between">
      <formula>3000</formula>
      <formula>9000</formula>
    </cfRule>
    <cfRule type="cellIs" dxfId="1929" priority="366" stopIfTrue="1" operator="greaterThanOrEqual">
      <formula>9000</formula>
    </cfRule>
  </conditionalFormatting>
  <conditionalFormatting sqref="G56:H56">
    <cfRule type="cellIs" dxfId="1928" priority="361" stopIfTrue="1" operator="lessThanOrEqual">
      <formula>3000</formula>
    </cfRule>
    <cfRule type="cellIs" dxfId="1927" priority="362" stopIfTrue="1" operator="between">
      <formula>3000</formula>
      <formula>9000</formula>
    </cfRule>
    <cfRule type="cellIs" dxfId="1926" priority="363" stopIfTrue="1" operator="greaterThanOrEqual">
      <formula>9000</formula>
    </cfRule>
  </conditionalFormatting>
  <conditionalFormatting sqref="J56">
    <cfRule type="cellIs" dxfId="1925" priority="358" stopIfTrue="1" operator="lessThanOrEqual">
      <formula>3000</formula>
    </cfRule>
    <cfRule type="cellIs" dxfId="1924" priority="359" stopIfTrue="1" operator="between">
      <formula>3000</formula>
      <formula>9000</formula>
    </cfRule>
    <cfRule type="cellIs" dxfId="1923" priority="360" stopIfTrue="1" operator="greaterThanOrEqual">
      <formula>9000</formula>
    </cfRule>
  </conditionalFormatting>
  <conditionalFormatting sqref="K56">
    <cfRule type="cellIs" dxfId="1922" priority="355" stopIfTrue="1" operator="lessThanOrEqual">
      <formula>3000</formula>
    </cfRule>
    <cfRule type="cellIs" dxfId="1921" priority="356" stopIfTrue="1" operator="between">
      <formula>3000</formula>
      <formula>9000</formula>
    </cfRule>
    <cfRule type="cellIs" dxfId="1920" priority="357" stopIfTrue="1" operator="greaterThanOrEqual">
      <formula>9000</formula>
    </cfRule>
  </conditionalFormatting>
  <conditionalFormatting sqref="L56">
    <cfRule type="cellIs" dxfId="1919" priority="352" stopIfTrue="1" operator="lessThanOrEqual">
      <formula>3000</formula>
    </cfRule>
    <cfRule type="cellIs" dxfId="1918" priority="353" stopIfTrue="1" operator="between">
      <formula>3000</formula>
      <formula>9000</formula>
    </cfRule>
    <cfRule type="cellIs" dxfId="1917" priority="354" stopIfTrue="1" operator="greaterThanOrEqual">
      <formula>9000</formula>
    </cfRule>
  </conditionalFormatting>
  <conditionalFormatting sqref="M56">
    <cfRule type="cellIs" dxfId="1916" priority="349" stopIfTrue="1" operator="lessThanOrEqual">
      <formula>3000</formula>
    </cfRule>
    <cfRule type="cellIs" dxfId="1915" priority="350" stopIfTrue="1" operator="between">
      <formula>3000</formula>
      <formula>9000</formula>
    </cfRule>
    <cfRule type="cellIs" dxfId="1914" priority="351" stopIfTrue="1" operator="greaterThanOrEqual">
      <formula>9000</formula>
    </cfRule>
  </conditionalFormatting>
  <conditionalFormatting sqref="S56">
    <cfRule type="cellIs" dxfId="1913" priority="346" stopIfTrue="1" operator="lessThanOrEqual">
      <formula>3000</formula>
    </cfRule>
    <cfRule type="cellIs" dxfId="1912" priority="347" stopIfTrue="1" operator="between">
      <formula>3000</formula>
      <formula>9000</formula>
    </cfRule>
    <cfRule type="cellIs" dxfId="1911" priority="348" stopIfTrue="1" operator="greaterThanOrEqual">
      <formula>9000</formula>
    </cfRule>
  </conditionalFormatting>
  <conditionalFormatting sqref="E56:F56">
    <cfRule type="cellIs" dxfId="1910" priority="343" stopIfTrue="1" operator="lessThanOrEqual">
      <formula>3000</formula>
    </cfRule>
    <cfRule type="cellIs" dxfId="1909" priority="344" stopIfTrue="1" operator="between">
      <formula>3000</formula>
      <formula>9000</formula>
    </cfRule>
    <cfRule type="cellIs" dxfId="1908" priority="345" stopIfTrue="1" operator="greaterThanOrEqual">
      <formula>9000</formula>
    </cfRule>
  </conditionalFormatting>
  <conditionalFormatting sqref="O56">
    <cfRule type="cellIs" dxfId="1907" priority="340" stopIfTrue="1" operator="lessThanOrEqual">
      <formula>3000</formula>
    </cfRule>
    <cfRule type="cellIs" dxfId="1906" priority="341" stopIfTrue="1" operator="between">
      <formula>3000</formula>
      <formula>9000</formula>
    </cfRule>
    <cfRule type="cellIs" dxfId="1905" priority="342" stopIfTrue="1" operator="greaterThanOrEqual">
      <formula>9000</formula>
    </cfRule>
  </conditionalFormatting>
  <conditionalFormatting sqref="P56">
    <cfRule type="cellIs" dxfId="1904" priority="337" stopIfTrue="1" operator="lessThanOrEqual">
      <formula>3000</formula>
    </cfRule>
    <cfRule type="cellIs" dxfId="1903" priority="338" stopIfTrue="1" operator="between">
      <formula>3000</formula>
      <formula>9000</formula>
    </cfRule>
    <cfRule type="cellIs" dxfId="1902" priority="339" stopIfTrue="1" operator="greaterThanOrEqual">
      <formula>9000</formula>
    </cfRule>
  </conditionalFormatting>
  <conditionalFormatting sqref="Q56">
    <cfRule type="cellIs" dxfId="1901" priority="334" stopIfTrue="1" operator="lessThanOrEqual">
      <formula>3000</formula>
    </cfRule>
    <cfRule type="cellIs" dxfId="1900" priority="335" stopIfTrue="1" operator="between">
      <formula>3000</formula>
      <formula>9000</formula>
    </cfRule>
    <cfRule type="cellIs" dxfId="1899" priority="336" stopIfTrue="1" operator="greaterThanOrEqual">
      <formula>9000</formula>
    </cfRule>
  </conditionalFormatting>
  <conditionalFormatting sqref="R56">
    <cfRule type="cellIs" dxfId="1898" priority="331" stopIfTrue="1" operator="lessThanOrEqual">
      <formula>3000</formula>
    </cfRule>
    <cfRule type="cellIs" dxfId="1897" priority="332" stopIfTrue="1" operator="between">
      <formula>3000</formula>
      <formula>9000</formula>
    </cfRule>
    <cfRule type="cellIs" dxfId="1896" priority="333" stopIfTrue="1" operator="greaterThanOrEqual">
      <formula>9000</formula>
    </cfRule>
  </conditionalFormatting>
  <conditionalFormatting sqref="X50:Y50">
    <cfRule type="cellIs" dxfId="1895" priority="328" stopIfTrue="1" operator="lessThanOrEqual">
      <formula>3000</formula>
    </cfRule>
    <cfRule type="cellIs" dxfId="1894" priority="329" stopIfTrue="1" operator="between">
      <formula>3000</formula>
      <formula>9000</formula>
    </cfRule>
    <cfRule type="cellIs" dxfId="1893" priority="330" stopIfTrue="1" operator="greaterThanOrEqual">
      <formula>9000</formula>
    </cfRule>
  </conditionalFormatting>
  <conditionalFormatting sqref="AA50">
    <cfRule type="cellIs" dxfId="1892" priority="325" stopIfTrue="1" operator="lessThanOrEqual">
      <formula>3000</formula>
    </cfRule>
    <cfRule type="cellIs" dxfId="1891" priority="326" stopIfTrue="1" operator="between">
      <formula>3000</formula>
      <formula>9000</formula>
    </cfRule>
    <cfRule type="cellIs" dxfId="1890" priority="327" stopIfTrue="1" operator="greaterThanOrEqual">
      <formula>9000</formula>
    </cfRule>
  </conditionalFormatting>
  <conditionalFormatting sqref="AB50">
    <cfRule type="cellIs" dxfId="1889" priority="322" stopIfTrue="1" operator="lessThanOrEqual">
      <formula>3000</formula>
    </cfRule>
    <cfRule type="cellIs" dxfId="1888" priority="323" stopIfTrue="1" operator="between">
      <formula>3000</formula>
      <formula>9000</formula>
    </cfRule>
    <cfRule type="cellIs" dxfId="1887" priority="324" stopIfTrue="1" operator="greaterThanOrEqual">
      <formula>9000</formula>
    </cfRule>
  </conditionalFormatting>
  <conditionalFormatting sqref="AC50">
    <cfRule type="cellIs" dxfId="1886" priority="319" stopIfTrue="1" operator="lessThanOrEqual">
      <formula>3000</formula>
    </cfRule>
    <cfRule type="cellIs" dxfId="1885" priority="320" stopIfTrue="1" operator="between">
      <formula>3000</formula>
      <formula>9000</formula>
    </cfRule>
    <cfRule type="cellIs" dxfId="1884" priority="321" stopIfTrue="1" operator="greaterThanOrEqual">
      <formula>9000</formula>
    </cfRule>
  </conditionalFormatting>
  <conditionalFormatting sqref="AD50">
    <cfRule type="cellIs" dxfId="1883" priority="316" stopIfTrue="1" operator="lessThanOrEqual">
      <formula>3000</formula>
    </cfRule>
    <cfRule type="cellIs" dxfId="1882" priority="317" stopIfTrue="1" operator="between">
      <formula>3000</formula>
      <formula>9000</formula>
    </cfRule>
    <cfRule type="cellIs" dxfId="1881" priority="318" stopIfTrue="1" operator="greaterThanOrEqual">
      <formula>9000</formula>
    </cfRule>
  </conditionalFormatting>
  <conditionalFormatting sqref="AJ50">
    <cfRule type="cellIs" dxfId="1880" priority="313" stopIfTrue="1" operator="lessThanOrEqual">
      <formula>3000</formula>
    </cfRule>
    <cfRule type="cellIs" dxfId="1879" priority="314" stopIfTrue="1" operator="between">
      <formula>3000</formula>
      <formula>9000</formula>
    </cfRule>
    <cfRule type="cellIs" dxfId="1878" priority="315" stopIfTrue="1" operator="greaterThanOrEqual">
      <formula>9000</formula>
    </cfRule>
  </conditionalFormatting>
  <conditionalFormatting sqref="V50:W50">
    <cfRule type="cellIs" dxfId="1877" priority="310" stopIfTrue="1" operator="lessThanOrEqual">
      <formula>3000</formula>
    </cfRule>
    <cfRule type="cellIs" dxfId="1876" priority="311" stopIfTrue="1" operator="between">
      <formula>3000</formula>
      <formula>9000</formula>
    </cfRule>
    <cfRule type="cellIs" dxfId="1875" priority="312" stopIfTrue="1" operator="greaterThanOrEqual">
      <formula>9000</formula>
    </cfRule>
  </conditionalFormatting>
  <conditionalFormatting sqref="AF50">
    <cfRule type="cellIs" dxfId="1874" priority="307" stopIfTrue="1" operator="lessThanOrEqual">
      <formula>3000</formula>
    </cfRule>
    <cfRule type="cellIs" dxfId="1873" priority="308" stopIfTrue="1" operator="between">
      <formula>3000</formula>
      <formula>9000</formula>
    </cfRule>
    <cfRule type="cellIs" dxfId="1872" priority="309" stopIfTrue="1" operator="greaterThanOrEqual">
      <formula>9000</formula>
    </cfRule>
  </conditionalFormatting>
  <conditionalFormatting sqref="AG50">
    <cfRule type="cellIs" dxfId="1871" priority="304" stopIfTrue="1" operator="lessThanOrEqual">
      <formula>3000</formula>
    </cfRule>
    <cfRule type="cellIs" dxfId="1870" priority="305" stopIfTrue="1" operator="between">
      <formula>3000</formula>
      <formula>9000</formula>
    </cfRule>
    <cfRule type="cellIs" dxfId="1869" priority="306" stopIfTrue="1" operator="greaterThanOrEqual">
      <formula>9000</formula>
    </cfRule>
  </conditionalFormatting>
  <conditionalFormatting sqref="AH50">
    <cfRule type="cellIs" dxfId="1868" priority="301" stopIfTrue="1" operator="lessThanOrEqual">
      <formula>3000</formula>
    </cfRule>
    <cfRule type="cellIs" dxfId="1867" priority="302" stopIfTrue="1" operator="between">
      <formula>3000</formula>
      <formula>9000</formula>
    </cfRule>
    <cfRule type="cellIs" dxfId="1866" priority="303" stopIfTrue="1" operator="greaterThanOrEqual">
      <formula>9000</formula>
    </cfRule>
  </conditionalFormatting>
  <conditionalFormatting sqref="AI50">
    <cfRule type="cellIs" dxfId="1865" priority="298" stopIfTrue="1" operator="lessThanOrEqual">
      <formula>3000</formula>
    </cfRule>
    <cfRule type="cellIs" dxfId="1864" priority="299" stopIfTrue="1" operator="between">
      <formula>3000</formula>
      <formula>9000</formula>
    </cfRule>
    <cfRule type="cellIs" dxfId="1863" priority="300" stopIfTrue="1" operator="greaterThanOrEqual">
      <formula>9000</formula>
    </cfRule>
  </conditionalFormatting>
  <conditionalFormatting sqref="X56:Y56">
    <cfRule type="cellIs" dxfId="1862" priority="295" stopIfTrue="1" operator="lessThanOrEqual">
      <formula>3000</formula>
    </cfRule>
    <cfRule type="cellIs" dxfId="1861" priority="296" stopIfTrue="1" operator="between">
      <formula>3000</formula>
      <formula>9000</formula>
    </cfRule>
    <cfRule type="cellIs" dxfId="1860" priority="297" stopIfTrue="1" operator="greaterThanOrEqual">
      <formula>9000</formula>
    </cfRule>
  </conditionalFormatting>
  <conditionalFormatting sqref="AA56">
    <cfRule type="cellIs" dxfId="1859" priority="292" stopIfTrue="1" operator="lessThanOrEqual">
      <formula>3000</formula>
    </cfRule>
    <cfRule type="cellIs" dxfId="1858" priority="293" stopIfTrue="1" operator="between">
      <formula>3000</formula>
      <formula>9000</formula>
    </cfRule>
    <cfRule type="cellIs" dxfId="1857" priority="294" stopIfTrue="1" operator="greaterThanOrEqual">
      <formula>9000</formula>
    </cfRule>
  </conditionalFormatting>
  <conditionalFormatting sqref="AB56">
    <cfRule type="cellIs" dxfId="1856" priority="289" stopIfTrue="1" operator="lessThanOrEqual">
      <formula>3000</formula>
    </cfRule>
    <cfRule type="cellIs" dxfId="1855" priority="290" stopIfTrue="1" operator="between">
      <formula>3000</formula>
      <formula>9000</formula>
    </cfRule>
    <cfRule type="cellIs" dxfId="1854" priority="291" stopIfTrue="1" operator="greaterThanOrEqual">
      <formula>9000</formula>
    </cfRule>
  </conditionalFormatting>
  <conditionalFormatting sqref="AC56">
    <cfRule type="cellIs" dxfId="1853" priority="286" stopIfTrue="1" operator="lessThanOrEqual">
      <formula>3000</formula>
    </cfRule>
    <cfRule type="cellIs" dxfId="1852" priority="287" stopIfTrue="1" operator="between">
      <formula>3000</formula>
      <formula>9000</formula>
    </cfRule>
    <cfRule type="cellIs" dxfId="1851" priority="288" stopIfTrue="1" operator="greaterThanOrEqual">
      <formula>9000</formula>
    </cfRule>
  </conditionalFormatting>
  <conditionalFormatting sqref="AD56">
    <cfRule type="cellIs" dxfId="1850" priority="283" stopIfTrue="1" operator="lessThanOrEqual">
      <formula>3000</formula>
    </cfRule>
    <cfRule type="cellIs" dxfId="1849" priority="284" stopIfTrue="1" operator="between">
      <formula>3000</formula>
      <formula>9000</formula>
    </cfRule>
    <cfRule type="cellIs" dxfId="1848" priority="285" stopIfTrue="1" operator="greaterThanOrEqual">
      <formula>9000</formula>
    </cfRule>
  </conditionalFormatting>
  <conditionalFormatting sqref="AJ56">
    <cfRule type="cellIs" dxfId="1847" priority="280" stopIfTrue="1" operator="lessThanOrEqual">
      <formula>3000</formula>
    </cfRule>
    <cfRule type="cellIs" dxfId="1846" priority="281" stopIfTrue="1" operator="between">
      <formula>3000</formula>
      <formula>9000</formula>
    </cfRule>
    <cfRule type="cellIs" dxfId="1845" priority="282" stopIfTrue="1" operator="greaterThanOrEqual">
      <formula>9000</formula>
    </cfRule>
  </conditionalFormatting>
  <conditionalFormatting sqref="V56:W56">
    <cfRule type="cellIs" dxfId="1844" priority="277" stopIfTrue="1" operator="lessThanOrEqual">
      <formula>3000</formula>
    </cfRule>
    <cfRule type="cellIs" dxfId="1843" priority="278" stopIfTrue="1" operator="between">
      <formula>3000</formula>
      <formula>9000</formula>
    </cfRule>
    <cfRule type="cellIs" dxfId="1842" priority="279" stopIfTrue="1" operator="greaterThanOrEqual">
      <formula>9000</formula>
    </cfRule>
  </conditionalFormatting>
  <conditionalFormatting sqref="AF56">
    <cfRule type="cellIs" dxfId="1841" priority="274" stopIfTrue="1" operator="lessThanOrEqual">
      <formula>3000</formula>
    </cfRule>
    <cfRule type="cellIs" dxfId="1840" priority="275" stopIfTrue="1" operator="between">
      <formula>3000</formula>
      <formula>9000</formula>
    </cfRule>
    <cfRule type="cellIs" dxfId="1839" priority="276" stopIfTrue="1" operator="greaterThanOrEqual">
      <formula>9000</formula>
    </cfRule>
  </conditionalFormatting>
  <conditionalFormatting sqref="AG56">
    <cfRule type="cellIs" dxfId="1838" priority="271" stopIfTrue="1" operator="lessThanOrEqual">
      <formula>3000</formula>
    </cfRule>
    <cfRule type="cellIs" dxfId="1837" priority="272" stopIfTrue="1" operator="between">
      <formula>3000</formula>
      <formula>9000</formula>
    </cfRule>
    <cfRule type="cellIs" dxfId="1836" priority="273" stopIfTrue="1" operator="greaterThanOrEqual">
      <formula>9000</formula>
    </cfRule>
  </conditionalFormatting>
  <conditionalFormatting sqref="AH56">
    <cfRule type="cellIs" dxfId="1835" priority="268" stopIfTrue="1" operator="lessThanOrEqual">
      <formula>3000</formula>
    </cfRule>
    <cfRule type="cellIs" dxfId="1834" priority="269" stopIfTrue="1" operator="between">
      <formula>3000</formula>
      <formula>9000</formula>
    </cfRule>
    <cfRule type="cellIs" dxfId="1833" priority="270" stopIfTrue="1" operator="greaterThanOrEqual">
      <formula>9000</formula>
    </cfRule>
  </conditionalFormatting>
  <conditionalFormatting sqref="AI56">
    <cfRule type="cellIs" dxfId="1832" priority="265" stopIfTrue="1" operator="lessThanOrEqual">
      <formula>3000</formula>
    </cfRule>
    <cfRule type="cellIs" dxfId="1831" priority="266" stopIfTrue="1" operator="between">
      <formula>3000</formula>
      <formula>9000</formula>
    </cfRule>
    <cfRule type="cellIs" dxfId="1830" priority="267" stopIfTrue="1" operator="greaterThanOrEqual">
      <formula>9000</formula>
    </cfRule>
  </conditionalFormatting>
  <conditionalFormatting sqref="G80:H80">
    <cfRule type="cellIs" dxfId="1829" priority="262" stopIfTrue="1" operator="lessThanOrEqual">
      <formula>3000</formula>
    </cfRule>
    <cfRule type="cellIs" dxfId="1828" priority="263" stopIfTrue="1" operator="between">
      <formula>3000</formula>
      <formula>9000</formula>
    </cfRule>
    <cfRule type="cellIs" dxfId="1827" priority="264" stopIfTrue="1" operator="greaterThanOrEqual">
      <formula>9000</formula>
    </cfRule>
  </conditionalFormatting>
  <conditionalFormatting sqref="J80">
    <cfRule type="cellIs" dxfId="1826" priority="259" stopIfTrue="1" operator="lessThanOrEqual">
      <formula>3000</formula>
    </cfRule>
    <cfRule type="cellIs" dxfId="1825" priority="260" stopIfTrue="1" operator="between">
      <formula>3000</formula>
      <formula>9000</formula>
    </cfRule>
    <cfRule type="cellIs" dxfId="1824" priority="261" stopIfTrue="1" operator="greaterThanOrEqual">
      <formula>9000</formula>
    </cfRule>
  </conditionalFormatting>
  <conditionalFormatting sqref="K80">
    <cfRule type="cellIs" dxfId="1823" priority="256" stopIfTrue="1" operator="lessThanOrEqual">
      <formula>3000</formula>
    </cfRule>
    <cfRule type="cellIs" dxfId="1822" priority="257" stopIfTrue="1" operator="between">
      <formula>3000</formula>
      <formula>9000</formula>
    </cfRule>
    <cfRule type="cellIs" dxfId="1821" priority="258" stopIfTrue="1" operator="greaterThanOrEqual">
      <formula>9000</formula>
    </cfRule>
  </conditionalFormatting>
  <conditionalFormatting sqref="L80">
    <cfRule type="cellIs" dxfId="1820" priority="253" stopIfTrue="1" operator="lessThanOrEqual">
      <formula>3000</formula>
    </cfRule>
    <cfRule type="cellIs" dxfId="1819" priority="254" stopIfTrue="1" operator="between">
      <formula>3000</formula>
      <formula>9000</formula>
    </cfRule>
    <cfRule type="cellIs" dxfId="1818" priority="255" stopIfTrue="1" operator="greaterThanOrEqual">
      <formula>9000</formula>
    </cfRule>
  </conditionalFormatting>
  <conditionalFormatting sqref="M80">
    <cfRule type="cellIs" dxfId="1817" priority="250" stopIfTrue="1" operator="lessThanOrEqual">
      <formula>3000</formula>
    </cfRule>
    <cfRule type="cellIs" dxfId="1816" priority="251" stopIfTrue="1" operator="between">
      <formula>3000</formula>
      <formula>9000</formula>
    </cfRule>
    <cfRule type="cellIs" dxfId="1815" priority="252" stopIfTrue="1" operator="greaterThanOrEqual">
      <formula>9000</formula>
    </cfRule>
  </conditionalFormatting>
  <conditionalFormatting sqref="S80">
    <cfRule type="cellIs" dxfId="1814" priority="247" stopIfTrue="1" operator="lessThanOrEqual">
      <formula>3000</formula>
    </cfRule>
    <cfRule type="cellIs" dxfId="1813" priority="248" stopIfTrue="1" operator="between">
      <formula>3000</formula>
      <formula>9000</formula>
    </cfRule>
    <cfRule type="cellIs" dxfId="1812" priority="249" stopIfTrue="1" operator="greaterThanOrEqual">
      <formula>9000</formula>
    </cfRule>
  </conditionalFormatting>
  <conditionalFormatting sqref="E80:F80">
    <cfRule type="cellIs" dxfId="1811" priority="244" stopIfTrue="1" operator="lessThanOrEqual">
      <formula>3000</formula>
    </cfRule>
    <cfRule type="cellIs" dxfId="1810" priority="245" stopIfTrue="1" operator="between">
      <formula>3000</formula>
      <formula>9000</formula>
    </cfRule>
    <cfRule type="cellIs" dxfId="1809" priority="246" stopIfTrue="1" operator="greaterThanOrEqual">
      <formula>9000</formula>
    </cfRule>
  </conditionalFormatting>
  <conditionalFormatting sqref="O80">
    <cfRule type="cellIs" dxfId="1808" priority="241" stopIfTrue="1" operator="lessThanOrEqual">
      <formula>3000</formula>
    </cfRule>
    <cfRule type="cellIs" dxfId="1807" priority="242" stopIfTrue="1" operator="between">
      <formula>3000</formula>
      <formula>9000</formula>
    </cfRule>
    <cfRule type="cellIs" dxfId="1806" priority="243" stopIfTrue="1" operator="greaterThanOrEqual">
      <formula>9000</formula>
    </cfRule>
  </conditionalFormatting>
  <conditionalFormatting sqref="P80">
    <cfRule type="cellIs" dxfId="1805" priority="238" stopIfTrue="1" operator="lessThanOrEqual">
      <formula>3000</formula>
    </cfRule>
    <cfRule type="cellIs" dxfId="1804" priority="239" stopIfTrue="1" operator="between">
      <formula>3000</formula>
      <formula>9000</formula>
    </cfRule>
    <cfRule type="cellIs" dxfId="1803" priority="240" stopIfTrue="1" operator="greaterThanOrEqual">
      <formula>9000</formula>
    </cfRule>
  </conditionalFormatting>
  <conditionalFormatting sqref="Q80">
    <cfRule type="cellIs" dxfId="1802" priority="235" stopIfTrue="1" operator="lessThanOrEqual">
      <formula>3000</formula>
    </cfRule>
    <cfRule type="cellIs" dxfId="1801" priority="236" stopIfTrue="1" operator="between">
      <formula>3000</formula>
      <formula>9000</formula>
    </cfRule>
    <cfRule type="cellIs" dxfId="1800" priority="237" stopIfTrue="1" operator="greaterThanOrEqual">
      <formula>9000</formula>
    </cfRule>
  </conditionalFormatting>
  <conditionalFormatting sqref="R80">
    <cfRule type="cellIs" dxfId="1799" priority="232" stopIfTrue="1" operator="lessThanOrEqual">
      <formula>3000</formula>
    </cfRule>
    <cfRule type="cellIs" dxfId="1798" priority="233" stopIfTrue="1" operator="between">
      <formula>3000</formula>
      <formula>9000</formula>
    </cfRule>
    <cfRule type="cellIs" dxfId="1797" priority="234" stopIfTrue="1" operator="greaterThanOrEqual">
      <formula>9000</formula>
    </cfRule>
  </conditionalFormatting>
  <conditionalFormatting sqref="X80:Y80">
    <cfRule type="cellIs" dxfId="1796" priority="229" stopIfTrue="1" operator="lessThanOrEqual">
      <formula>3000</formula>
    </cfRule>
    <cfRule type="cellIs" dxfId="1795" priority="230" stopIfTrue="1" operator="between">
      <formula>3000</formula>
      <formula>9000</formula>
    </cfRule>
    <cfRule type="cellIs" dxfId="1794" priority="231" stopIfTrue="1" operator="greaterThanOrEqual">
      <formula>9000</formula>
    </cfRule>
  </conditionalFormatting>
  <conditionalFormatting sqref="AA80">
    <cfRule type="cellIs" dxfId="1793" priority="226" stopIfTrue="1" operator="lessThanOrEqual">
      <formula>3000</formula>
    </cfRule>
    <cfRule type="cellIs" dxfId="1792" priority="227" stopIfTrue="1" operator="between">
      <formula>3000</formula>
      <formula>9000</formula>
    </cfRule>
    <cfRule type="cellIs" dxfId="1791" priority="228" stopIfTrue="1" operator="greaterThanOrEqual">
      <formula>9000</formula>
    </cfRule>
  </conditionalFormatting>
  <conditionalFormatting sqref="AB80">
    <cfRule type="cellIs" dxfId="1790" priority="223" stopIfTrue="1" operator="lessThanOrEqual">
      <formula>3000</formula>
    </cfRule>
    <cfRule type="cellIs" dxfId="1789" priority="224" stopIfTrue="1" operator="between">
      <formula>3000</formula>
      <formula>9000</formula>
    </cfRule>
    <cfRule type="cellIs" dxfId="1788" priority="225" stopIfTrue="1" operator="greaterThanOrEqual">
      <formula>9000</formula>
    </cfRule>
  </conditionalFormatting>
  <conditionalFormatting sqref="AC80">
    <cfRule type="cellIs" dxfId="1787" priority="220" stopIfTrue="1" operator="lessThanOrEqual">
      <formula>3000</formula>
    </cfRule>
    <cfRule type="cellIs" dxfId="1786" priority="221" stopIfTrue="1" operator="between">
      <formula>3000</formula>
      <formula>9000</formula>
    </cfRule>
    <cfRule type="cellIs" dxfId="1785" priority="222" stopIfTrue="1" operator="greaterThanOrEqual">
      <formula>9000</formula>
    </cfRule>
  </conditionalFormatting>
  <conditionalFormatting sqref="AD80">
    <cfRule type="cellIs" dxfId="1784" priority="217" stopIfTrue="1" operator="lessThanOrEqual">
      <formula>3000</formula>
    </cfRule>
    <cfRule type="cellIs" dxfId="1783" priority="218" stopIfTrue="1" operator="between">
      <formula>3000</formula>
      <formula>9000</formula>
    </cfRule>
    <cfRule type="cellIs" dxfId="1782" priority="219" stopIfTrue="1" operator="greaterThanOrEqual">
      <formula>9000</formula>
    </cfRule>
  </conditionalFormatting>
  <conditionalFormatting sqref="AJ80">
    <cfRule type="cellIs" dxfId="1781" priority="214" stopIfTrue="1" operator="lessThanOrEqual">
      <formula>3000</formula>
    </cfRule>
    <cfRule type="cellIs" dxfId="1780" priority="215" stopIfTrue="1" operator="between">
      <formula>3000</formula>
      <formula>9000</formula>
    </cfRule>
    <cfRule type="cellIs" dxfId="1779" priority="216" stopIfTrue="1" operator="greaterThanOrEqual">
      <formula>9000</formula>
    </cfRule>
  </conditionalFormatting>
  <conditionalFormatting sqref="V80:W80">
    <cfRule type="cellIs" dxfId="1778" priority="211" stopIfTrue="1" operator="lessThanOrEqual">
      <formula>3000</formula>
    </cfRule>
    <cfRule type="cellIs" dxfId="1777" priority="212" stopIfTrue="1" operator="between">
      <formula>3000</formula>
      <formula>9000</formula>
    </cfRule>
    <cfRule type="cellIs" dxfId="1776" priority="213" stopIfTrue="1" operator="greaterThanOrEqual">
      <formula>9000</formula>
    </cfRule>
  </conditionalFormatting>
  <conditionalFormatting sqref="AF80">
    <cfRule type="cellIs" dxfId="1775" priority="208" stopIfTrue="1" operator="lessThanOrEqual">
      <formula>3000</formula>
    </cfRule>
    <cfRule type="cellIs" dxfId="1774" priority="209" stopIfTrue="1" operator="between">
      <formula>3000</formula>
      <formula>9000</formula>
    </cfRule>
    <cfRule type="cellIs" dxfId="1773" priority="210" stopIfTrue="1" operator="greaterThanOrEqual">
      <formula>9000</formula>
    </cfRule>
  </conditionalFormatting>
  <conditionalFormatting sqref="AG80">
    <cfRule type="cellIs" dxfId="1772" priority="205" stopIfTrue="1" operator="lessThanOrEqual">
      <formula>3000</formula>
    </cfRule>
    <cfRule type="cellIs" dxfId="1771" priority="206" stopIfTrue="1" operator="between">
      <formula>3000</formula>
      <formula>9000</formula>
    </cfRule>
    <cfRule type="cellIs" dxfId="1770" priority="207" stopIfTrue="1" operator="greaterThanOrEqual">
      <formula>9000</formula>
    </cfRule>
  </conditionalFormatting>
  <conditionalFormatting sqref="AH80">
    <cfRule type="cellIs" dxfId="1769" priority="202" stopIfTrue="1" operator="lessThanOrEqual">
      <formula>3000</formula>
    </cfRule>
    <cfRule type="cellIs" dxfId="1768" priority="203" stopIfTrue="1" operator="between">
      <formula>3000</formula>
      <formula>9000</formula>
    </cfRule>
    <cfRule type="cellIs" dxfId="1767" priority="204" stopIfTrue="1" operator="greaterThanOrEqual">
      <formula>9000</formula>
    </cfRule>
  </conditionalFormatting>
  <conditionalFormatting sqref="AI80">
    <cfRule type="cellIs" dxfId="1766" priority="199" stopIfTrue="1" operator="lessThanOrEqual">
      <formula>3000</formula>
    </cfRule>
    <cfRule type="cellIs" dxfId="1765" priority="200" stopIfTrue="1" operator="between">
      <formula>3000</formula>
      <formula>9000</formula>
    </cfRule>
    <cfRule type="cellIs" dxfId="1764" priority="201" stopIfTrue="1" operator="greaterThanOrEqual">
      <formula>9000</formula>
    </cfRule>
  </conditionalFormatting>
  <conditionalFormatting sqref="G98:H98">
    <cfRule type="cellIs" dxfId="1763" priority="196" stopIfTrue="1" operator="lessThanOrEqual">
      <formula>3000</formula>
    </cfRule>
    <cfRule type="cellIs" dxfId="1762" priority="197" stopIfTrue="1" operator="between">
      <formula>3000</formula>
      <formula>9000</formula>
    </cfRule>
    <cfRule type="cellIs" dxfId="1761" priority="198" stopIfTrue="1" operator="greaterThanOrEqual">
      <formula>9000</formula>
    </cfRule>
  </conditionalFormatting>
  <conditionalFormatting sqref="J98">
    <cfRule type="cellIs" dxfId="1760" priority="193" stopIfTrue="1" operator="lessThanOrEqual">
      <formula>3000</formula>
    </cfRule>
    <cfRule type="cellIs" dxfId="1759" priority="194" stopIfTrue="1" operator="between">
      <formula>3000</formula>
      <formula>9000</formula>
    </cfRule>
    <cfRule type="cellIs" dxfId="1758" priority="195" stopIfTrue="1" operator="greaterThanOrEqual">
      <formula>9000</formula>
    </cfRule>
  </conditionalFormatting>
  <conditionalFormatting sqref="K98">
    <cfRule type="cellIs" dxfId="1757" priority="190" stopIfTrue="1" operator="lessThanOrEqual">
      <formula>3000</formula>
    </cfRule>
    <cfRule type="cellIs" dxfId="1756" priority="191" stopIfTrue="1" operator="between">
      <formula>3000</formula>
      <formula>9000</formula>
    </cfRule>
    <cfRule type="cellIs" dxfId="1755" priority="192" stopIfTrue="1" operator="greaterThanOrEqual">
      <formula>9000</formula>
    </cfRule>
  </conditionalFormatting>
  <conditionalFormatting sqref="L98">
    <cfRule type="cellIs" dxfId="1754" priority="187" stopIfTrue="1" operator="lessThanOrEqual">
      <formula>3000</formula>
    </cfRule>
    <cfRule type="cellIs" dxfId="1753" priority="188" stopIfTrue="1" operator="between">
      <formula>3000</formula>
      <formula>9000</formula>
    </cfRule>
    <cfRule type="cellIs" dxfId="1752" priority="189" stopIfTrue="1" operator="greaterThanOrEqual">
      <formula>9000</formula>
    </cfRule>
  </conditionalFormatting>
  <conditionalFormatting sqref="M98">
    <cfRule type="cellIs" dxfId="1751" priority="184" stopIfTrue="1" operator="lessThanOrEqual">
      <formula>3000</formula>
    </cfRule>
    <cfRule type="cellIs" dxfId="1750" priority="185" stopIfTrue="1" operator="between">
      <formula>3000</formula>
      <formula>9000</formula>
    </cfRule>
    <cfRule type="cellIs" dxfId="1749" priority="186" stopIfTrue="1" operator="greaterThanOrEqual">
      <formula>9000</formula>
    </cfRule>
  </conditionalFormatting>
  <conditionalFormatting sqref="S98">
    <cfRule type="cellIs" dxfId="1748" priority="181" stopIfTrue="1" operator="lessThanOrEqual">
      <formula>3000</formula>
    </cfRule>
    <cfRule type="cellIs" dxfId="1747" priority="182" stopIfTrue="1" operator="between">
      <formula>3000</formula>
      <formula>9000</formula>
    </cfRule>
    <cfRule type="cellIs" dxfId="1746" priority="183" stopIfTrue="1" operator="greaterThanOrEqual">
      <formula>9000</formula>
    </cfRule>
  </conditionalFormatting>
  <conditionalFormatting sqref="E98:F98">
    <cfRule type="cellIs" dxfId="1745" priority="178" stopIfTrue="1" operator="lessThanOrEqual">
      <formula>3000</formula>
    </cfRule>
    <cfRule type="cellIs" dxfId="1744" priority="179" stopIfTrue="1" operator="between">
      <formula>3000</formula>
      <formula>9000</formula>
    </cfRule>
    <cfRule type="cellIs" dxfId="1743" priority="180" stopIfTrue="1" operator="greaterThanOrEqual">
      <formula>9000</formula>
    </cfRule>
  </conditionalFormatting>
  <conditionalFormatting sqref="O98">
    <cfRule type="cellIs" dxfId="1742" priority="175" stopIfTrue="1" operator="lessThanOrEqual">
      <formula>3000</formula>
    </cfRule>
    <cfRule type="cellIs" dxfId="1741" priority="176" stopIfTrue="1" operator="between">
      <formula>3000</formula>
      <formula>9000</formula>
    </cfRule>
    <cfRule type="cellIs" dxfId="1740" priority="177" stopIfTrue="1" operator="greaterThanOrEqual">
      <formula>9000</formula>
    </cfRule>
  </conditionalFormatting>
  <conditionalFormatting sqref="P98">
    <cfRule type="cellIs" dxfId="1739" priority="172" stopIfTrue="1" operator="lessThanOrEqual">
      <formula>3000</formula>
    </cfRule>
    <cfRule type="cellIs" dxfId="1738" priority="173" stopIfTrue="1" operator="between">
      <formula>3000</formula>
      <formula>9000</formula>
    </cfRule>
    <cfRule type="cellIs" dxfId="1737" priority="174" stopIfTrue="1" operator="greaterThanOrEqual">
      <formula>9000</formula>
    </cfRule>
  </conditionalFormatting>
  <conditionalFormatting sqref="Q98">
    <cfRule type="cellIs" dxfId="1736" priority="169" stopIfTrue="1" operator="lessThanOrEqual">
      <formula>3000</formula>
    </cfRule>
    <cfRule type="cellIs" dxfId="1735" priority="170" stopIfTrue="1" operator="between">
      <formula>3000</formula>
      <formula>9000</formula>
    </cfRule>
    <cfRule type="cellIs" dxfId="1734" priority="171" stopIfTrue="1" operator="greaterThanOrEqual">
      <formula>9000</formula>
    </cfRule>
  </conditionalFormatting>
  <conditionalFormatting sqref="R98">
    <cfRule type="cellIs" dxfId="1733" priority="166" stopIfTrue="1" operator="lessThanOrEqual">
      <formula>3000</formula>
    </cfRule>
    <cfRule type="cellIs" dxfId="1732" priority="167" stopIfTrue="1" operator="between">
      <formula>3000</formula>
      <formula>9000</formula>
    </cfRule>
    <cfRule type="cellIs" dxfId="1731" priority="168" stopIfTrue="1" operator="greaterThanOrEqual">
      <formula>9000</formula>
    </cfRule>
  </conditionalFormatting>
  <conditionalFormatting sqref="X98:Y98">
    <cfRule type="cellIs" dxfId="1730" priority="163" stopIfTrue="1" operator="lessThanOrEqual">
      <formula>3000</formula>
    </cfRule>
    <cfRule type="cellIs" dxfId="1729" priority="164" stopIfTrue="1" operator="between">
      <formula>3000</formula>
      <formula>9000</formula>
    </cfRule>
    <cfRule type="cellIs" dxfId="1728" priority="165" stopIfTrue="1" operator="greaterThanOrEqual">
      <formula>9000</formula>
    </cfRule>
  </conditionalFormatting>
  <conditionalFormatting sqref="AA98">
    <cfRule type="cellIs" dxfId="1727" priority="160" stopIfTrue="1" operator="lessThanOrEqual">
      <formula>3000</formula>
    </cfRule>
    <cfRule type="cellIs" dxfId="1726" priority="161" stopIfTrue="1" operator="between">
      <formula>3000</formula>
      <formula>9000</formula>
    </cfRule>
    <cfRule type="cellIs" dxfId="1725" priority="162" stopIfTrue="1" operator="greaterThanOrEqual">
      <formula>9000</formula>
    </cfRule>
  </conditionalFormatting>
  <conditionalFormatting sqref="AB98">
    <cfRule type="cellIs" dxfId="1724" priority="157" stopIfTrue="1" operator="lessThanOrEqual">
      <formula>3000</formula>
    </cfRule>
    <cfRule type="cellIs" dxfId="1723" priority="158" stopIfTrue="1" operator="between">
      <formula>3000</formula>
      <formula>9000</formula>
    </cfRule>
    <cfRule type="cellIs" dxfId="1722" priority="159" stopIfTrue="1" operator="greaterThanOrEqual">
      <formula>9000</formula>
    </cfRule>
  </conditionalFormatting>
  <conditionalFormatting sqref="AC98">
    <cfRule type="cellIs" dxfId="1721" priority="154" stopIfTrue="1" operator="lessThanOrEqual">
      <formula>3000</formula>
    </cfRule>
    <cfRule type="cellIs" dxfId="1720" priority="155" stopIfTrue="1" operator="between">
      <formula>3000</formula>
      <formula>9000</formula>
    </cfRule>
    <cfRule type="cellIs" dxfId="1719" priority="156" stopIfTrue="1" operator="greaterThanOrEqual">
      <formula>9000</formula>
    </cfRule>
  </conditionalFormatting>
  <conditionalFormatting sqref="AD98">
    <cfRule type="cellIs" dxfId="1718" priority="151" stopIfTrue="1" operator="lessThanOrEqual">
      <formula>3000</formula>
    </cfRule>
    <cfRule type="cellIs" dxfId="1717" priority="152" stopIfTrue="1" operator="between">
      <formula>3000</formula>
      <formula>9000</formula>
    </cfRule>
    <cfRule type="cellIs" dxfId="1716" priority="153" stopIfTrue="1" operator="greaterThanOrEqual">
      <formula>9000</formula>
    </cfRule>
  </conditionalFormatting>
  <conditionalFormatting sqref="AJ98">
    <cfRule type="cellIs" dxfId="1715" priority="148" stopIfTrue="1" operator="lessThanOrEqual">
      <formula>3000</formula>
    </cfRule>
    <cfRule type="cellIs" dxfId="1714" priority="149" stopIfTrue="1" operator="between">
      <formula>3000</formula>
      <formula>9000</formula>
    </cfRule>
    <cfRule type="cellIs" dxfId="1713" priority="150" stopIfTrue="1" operator="greaterThanOrEqual">
      <formula>9000</formula>
    </cfRule>
  </conditionalFormatting>
  <conditionalFormatting sqref="V98:W98">
    <cfRule type="cellIs" dxfId="1712" priority="145" stopIfTrue="1" operator="lessThanOrEqual">
      <formula>3000</formula>
    </cfRule>
    <cfRule type="cellIs" dxfId="1711" priority="146" stopIfTrue="1" operator="between">
      <formula>3000</formula>
      <formula>9000</formula>
    </cfRule>
    <cfRule type="cellIs" dxfId="1710" priority="147" stopIfTrue="1" operator="greaterThanOrEqual">
      <formula>9000</formula>
    </cfRule>
  </conditionalFormatting>
  <conditionalFormatting sqref="AF98">
    <cfRule type="cellIs" dxfId="1709" priority="142" stopIfTrue="1" operator="lessThanOrEqual">
      <formula>3000</formula>
    </cfRule>
    <cfRule type="cellIs" dxfId="1708" priority="143" stopIfTrue="1" operator="between">
      <formula>3000</formula>
      <formula>9000</formula>
    </cfRule>
    <cfRule type="cellIs" dxfId="1707" priority="144" stopIfTrue="1" operator="greaterThanOrEqual">
      <formula>9000</formula>
    </cfRule>
  </conditionalFormatting>
  <conditionalFormatting sqref="AG98">
    <cfRule type="cellIs" dxfId="1706" priority="139" stopIfTrue="1" operator="lessThanOrEqual">
      <formula>3000</formula>
    </cfRule>
    <cfRule type="cellIs" dxfId="1705" priority="140" stopIfTrue="1" operator="between">
      <formula>3000</formula>
      <formula>9000</formula>
    </cfRule>
    <cfRule type="cellIs" dxfId="1704" priority="141" stopIfTrue="1" operator="greaterThanOrEqual">
      <formula>9000</formula>
    </cfRule>
  </conditionalFormatting>
  <conditionalFormatting sqref="AH98">
    <cfRule type="cellIs" dxfId="1703" priority="136" stopIfTrue="1" operator="lessThanOrEqual">
      <formula>3000</formula>
    </cfRule>
    <cfRule type="cellIs" dxfId="1702" priority="137" stopIfTrue="1" operator="between">
      <formula>3000</formula>
      <formula>9000</formula>
    </cfRule>
    <cfRule type="cellIs" dxfId="1701" priority="138" stopIfTrue="1" operator="greaterThanOrEqual">
      <formula>9000</formula>
    </cfRule>
  </conditionalFormatting>
  <conditionalFormatting sqref="AI98">
    <cfRule type="cellIs" dxfId="1700" priority="133" stopIfTrue="1" operator="lessThanOrEqual">
      <formula>3000</formula>
    </cfRule>
    <cfRule type="cellIs" dxfId="1699" priority="134" stopIfTrue="1" operator="between">
      <formula>3000</formula>
      <formula>9000</formula>
    </cfRule>
    <cfRule type="cellIs" dxfId="1698" priority="135" stopIfTrue="1" operator="greaterThanOrEqual">
      <formula>9000</formula>
    </cfRule>
  </conditionalFormatting>
  <conditionalFormatting sqref="G92:H92">
    <cfRule type="cellIs" dxfId="1697" priority="130" stopIfTrue="1" operator="lessThanOrEqual">
      <formula>3000</formula>
    </cfRule>
    <cfRule type="cellIs" dxfId="1696" priority="131" stopIfTrue="1" operator="between">
      <formula>3000</formula>
      <formula>9000</formula>
    </cfRule>
    <cfRule type="cellIs" dxfId="1695" priority="132" stopIfTrue="1" operator="greaterThanOrEqual">
      <formula>9000</formula>
    </cfRule>
  </conditionalFormatting>
  <conditionalFormatting sqref="J92">
    <cfRule type="cellIs" dxfId="1694" priority="127" stopIfTrue="1" operator="lessThanOrEqual">
      <formula>3000</formula>
    </cfRule>
    <cfRule type="cellIs" dxfId="1693" priority="128" stopIfTrue="1" operator="between">
      <formula>3000</formula>
      <formula>9000</formula>
    </cfRule>
    <cfRule type="cellIs" dxfId="1692" priority="129" stopIfTrue="1" operator="greaterThanOrEqual">
      <formula>9000</formula>
    </cfRule>
  </conditionalFormatting>
  <conditionalFormatting sqref="K92">
    <cfRule type="cellIs" dxfId="1691" priority="124" stopIfTrue="1" operator="lessThanOrEqual">
      <formula>3000</formula>
    </cfRule>
    <cfRule type="cellIs" dxfId="1690" priority="125" stopIfTrue="1" operator="between">
      <formula>3000</formula>
      <formula>9000</formula>
    </cfRule>
    <cfRule type="cellIs" dxfId="1689" priority="126" stopIfTrue="1" operator="greaterThanOrEqual">
      <formula>9000</formula>
    </cfRule>
  </conditionalFormatting>
  <conditionalFormatting sqref="L92">
    <cfRule type="cellIs" dxfId="1688" priority="121" stopIfTrue="1" operator="lessThanOrEqual">
      <formula>3000</formula>
    </cfRule>
    <cfRule type="cellIs" dxfId="1687" priority="122" stopIfTrue="1" operator="between">
      <formula>3000</formula>
      <formula>9000</formula>
    </cfRule>
    <cfRule type="cellIs" dxfId="1686" priority="123" stopIfTrue="1" operator="greaterThanOrEqual">
      <formula>9000</formula>
    </cfRule>
  </conditionalFormatting>
  <conditionalFormatting sqref="M92">
    <cfRule type="cellIs" dxfId="1685" priority="118" stopIfTrue="1" operator="lessThanOrEqual">
      <formula>3000</formula>
    </cfRule>
    <cfRule type="cellIs" dxfId="1684" priority="119" stopIfTrue="1" operator="between">
      <formula>3000</formula>
      <formula>9000</formula>
    </cfRule>
    <cfRule type="cellIs" dxfId="1683" priority="120" stopIfTrue="1" operator="greaterThanOrEqual">
      <formula>9000</formula>
    </cfRule>
  </conditionalFormatting>
  <conditionalFormatting sqref="S92">
    <cfRule type="cellIs" dxfId="1682" priority="115" stopIfTrue="1" operator="lessThanOrEqual">
      <formula>3000</formula>
    </cfRule>
    <cfRule type="cellIs" dxfId="1681" priority="116" stopIfTrue="1" operator="between">
      <formula>3000</formula>
      <formula>9000</formula>
    </cfRule>
    <cfRule type="cellIs" dxfId="1680" priority="117" stopIfTrue="1" operator="greaterThanOrEqual">
      <formula>9000</formula>
    </cfRule>
  </conditionalFormatting>
  <conditionalFormatting sqref="E92:F92">
    <cfRule type="cellIs" dxfId="1679" priority="112" stopIfTrue="1" operator="lessThanOrEqual">
      <formula>3000</formula>
    </cfRule>
    <cfRule type="cellIs" dxfId="1678" priority="113" stopIfTrue="1" operator="between">
      <formula>3000</formula>
      <formula>9000</formula>
    </cfRule>
    <cfRule type="cellIs" dxfId="1677" priority="114" stopIfTrue="1" operator="greaterThanOrEqual">
      <formula>9000</formula>
    </cfRule>
  </conditionalFormatting>
  <conditionalFormatting sqref="O92">
    <cfRule type="cellIs" dxfId="1676" priority="109" stopIfTrue="1" operator="lessThanOrEqual">
      <formula>3000</formula>
    </cfRule>
    <cfRule type="cellIs" dxfId="1675" priority="110" stopIfTrue="1" operator="between">
      <formula>3000</formula>
      <formula>9000</formula>
    </cfRule>
    <cfRule type="cellIs" dxfId="1674" priority="111" stopIfTrue="1" operator="greaterThanOrEqual">
      <formula>9000</formula>
    </cfRule>
  </conditionalFormatting>
  <conditionalFormatting sqref="P92">
    <cfRule type="cellIs" dxfId="1673" priority="106" stopIfTrue="1" operator="lessThanOrEqual">
      <formula>3000</formula>
    </cfRule>
    <cfRule type="cellIs" dxfId="1672" priority="107" stopIfTrue="1" operator="between">
      <formula>3000</formula>
      <formula>9000</formula>
    </cfRule>
    <cfRule type="cellIs" dxfId="1671" priority="108" stopIfTrue="1" operator="greaterThanOrEqual">
      <formula>9000</formula>
    </cfRule>
  </conditionalFormatting>
  <conditionalFormatting sqref="Q92">
    <cfRule type="cellIs" dxfId="1670" priority="103" stopIfTrue="1" operator="lessThanOrEqual">
      <formula>3000</formula>
    </cfRule>
    <cfRule type="cellIs" dxfId="1669" priority="104" stopIfTrue="1" operator="between">
      <formula>3000</formula>
      <formula>9000</formula>
    </cfRule>
    <cfRule type="cellIs" dxfId="1668" priority="105" stopIfTrue="1" operator="greaterThanOrEqual">
      <formula>9000</formula>
    </cfRule>
  </conditionalFormatting>
  <conditionalFormatting sqref="R92">
    <cfRule type="cellIs" dxfId="1667" priority="100" stopIfTrue="1" operator="lessThanOrEqual">
      <formula>3000</formula>
    </cfRule>
    <cfRule type="cellIs" dxfId="1666" priority="101" stopIfTrue="1" operator="between">
      <formula>3000</formula>
      <formula>9000</formula>
    </cfRule>
    <cfRule type="cellIs" dxfId="1665" priority="102" stopIfTrue="1" operator="greaterThanOrEqual">
      <formula>9000</formula>
    </cfRule>
  </conditionalFormatting>
  <conditionalFormatting sqref="X92:Y92">
    <cfRule type="cellIs" dxfId="1664" priority="97" stopIfTrue="1" operator="lessThanOrEqual">
      <formula>3000</formula>
    </cfRule>
    <cfRule type="cellIs" dxfId="1663" priority="98" stopIfTrue="1" operator="between">
      <formula>3000</formula>
      <formula>9000</formula>
    </cfRule>
    <cfRule type="cellIs" dxfId="1662" priority="99" stopIfTrue="1" operator="greaterThanOrEqual">
      <formula>9000</formula>
    </cfRule>
  </conditionalFormatting>
  <conditionalFormatting sqref="AA92">
    <cfRule type="cellIs" dxfId="1661" priority="94" stopIfTrue="1" operator="lessThanOrEqual">
      <formula>3000</formula>
    </cfRule>
    <cfRule type="cellIs" dxfId="1660" priority="95" stopIfTrue="1" operator="between">
      <formula>3000</formula>
      <formula>9000</formula>
    </cfRule>
    <cfRule type="cellIs" dxfId="1659" priority="96" stopIfTrue="1" operator="greaterThanOrEqual">
      <formula>9000</formula>
    </cfRule>
  </conditionalFormatting>
  <conditionalFormatting sqref="AB92">
    <cfRule type="cellIs" dxfId="1658" priority="91" stopIfTrue="1" operator="lessThanOrEqual">
      <formula>3000</formula>
    </cfRule>
    <cfRule type="cellIs" dxfId="1657" priority="92" stopIfTrue="1" operator="between">
      <formula>3000</formula>
      <formula>9000</formula>
    </cfRule>
    <cfRule type="cellIs" dxfId="1656" priority="93" stopIfTrue="1" operator="greaterThanOrEqual">
      <formula>9000</formula>
    </cfRule>
  </conditionalFormatting>
  <conditionalFormatting sqref="AC92">
    <cfRule type="cellIs" dxfId="1655" priority="88" stopIfTrue="1" operator="lessThanOrEqual">
      <formula>3000</formula>
    </cfRule>
    <cfRule type="cellIs" dxfId="1654" priority="89" stopIfTrue="1" operator="between">
      <formula>3000</formula>
      <formula>9000</formula>
    </cfRule>
    <cfRule type="cellIs" dxfId="1653" priority="90" stopIfTrue="1" operator="greaterThanOrEqual">
      <formula>9000</formula>
    </cfRule>
  </conditionalFormatting>
  <conditionalFormatting sqref="AD92">
    <cfRule type="cellIs" dxfId="1652" priority="85" stopIfTrue="1" operator="lessThanOrEqual">
      <formula>3000</formula>
    </cfRule>
    <cfRule type="cellIs" dxfId="1651" priority="86" stopIfTrue="1" operator="between">
      <formula>3000</formula>
      <formula>9000</formula>
    </cfRule>
    <cfRule type="cellIs" dxfId="1650" priority="87" stopIfTrue="1" operator="greaterThanOrEqual">
      <formula>9000</formula>
    </cfRule>
  </conditionalFormatting>
  <conditionalFormatting sqref="AJ92">
    <cfRule type="cellIs" dxfId="1649" priority="82" stopIfTrue="1" operator="lessThanOrEqual">
      <formula>3000</formula>
    </cfRule>
    <cfRule type="cellIs" dxfId="1648" priority="83" stopIfTrue="1" operator="between">
      <formula>3000</formula>
      <formula>9000</formula>
    </cfRule>
    <cfRule type="cellIs" dxfId="1647" priority="84" stopIfTrue="1" operator="greaterThanOrEqual">
      <formula>9000</formula>
    </cfRule>
  </conditionalFormatting>
  <conditionalFormatting sqref="V92:W92">
    <cfRule type="cellIs" dxfId="1646" priority="79" stopIfTrue="1" operator="lessThanOrEqual">
      <formula>3000</formula>
    </cfRule>
    <cfRule type="cellIs" dxfId="1645" priority="80" stopIfTrue="1" operator="between">
      <formula>3000</formula>
      <formula>9000</formula>
    </cfRule>
    <cfRule type="cellIs" dxfId="1644" priority="81" stopIfTrue="1" operator="greaterThanOrEqual">
      <formula>9000</formula>
    </cfRule>
  </conditionalFormatting>
  <conditionalFormatting sqref="AF92">
    <cfRule type="cellIs" dxfId="1643" priority="76" stopIfTrue="1" operator="lessThanOrEqual">
      <formula>3000</formula>
    </cfRule>
    <cfRule type="cellIs" dxfId="1642" priority="77" stopIfTrue="1" operator="between">
      <formula>3000</formula>
      <formula>9000</formula>
    </cfRule>
    <cfRule type="cellIs" dxfId="1641" priority="78" stopIfTrue="1" operator="greaterThanOrEqual">
      <formula>9000</formula>
    </cfRule>
  </conditionalFormatting>
  <conditionalFormatting sqref="AG92">
    <cfRule type="cellIs" dxfId="1640" priority="73" stopIfTrue="1" operator="lessThanOrEqual">
      <formula>3000</formula>
    </cfRule>
    <cfRule type="cellIs" dxfId="1639" priority="74" stopIfTrue="1" operator="between">
      <formula>3000</formula>
      <formula>9000</formula>
    </cfRule>
    <cfRule type="cellIs" dxfId="1638" priority="75" stopIfTrue="1" operator="greaterThanOrEqual">
      <formula>9000</formula>
    </cfRule>
  </conditionalFormatting>
  <conditionalFormatting sqref="AH92">
    <cfRule type="cellIs" dxfId="1637" priority="70" stopIfTrue="1" operator="lessThanOrEqual">
      <formula>3000</formula>
    </cfRule>
    <cfRule type="cellIs" dxfId="1636" priority="71" stopIfTrue="1" operator="between">
      <formula>3000</formula>
      <formula>9000</formula>
    </cfRule>
    <cfRule type="cellIs" dxfId="1635" priority="72" stopIfTrue="1" operator="greaterThanOrEqual">
      <formula>9000</formula>
    </cfRule>
  </conditionalFormatting>
  <conditionalFormatting sqref="AI92">
    <cfRule type="cellIs" dxfId="1634" priority="67" stopIfTrue="1" operator="lessThanOrEqual">
      <formula>3000</formula>
    </cfRule>
    <cfRule type="cellIs" dxfId="1633" priority="68" stopIfTrue="1" operator="between">
      <formula>3000</formula>
      <formula>9000</formula>
    </cfRule>
    <cfRule type="cellIs" dxfId="1632" priority="69" stopIfTrue="1" operator="greaterThanOrEqual">
      <formula>9000</formula>
    </cfRule>
  </conditionalFormatting>
  <conditionalFormatting sqref="G110:H110">
    <cfRule type="cellIs" dxfId="1631" priority="64" stopIfTrue="1" operator="lessThanOrEqual">
      <formula>3000</formula>
    </cfRule>
    <cfRule type="cellIs" dxfId="1630" priority="65" stopIfTrue="1" operator="between">
      <formula>3000</formula>
      <formula>9000</formula>
    </cfRule>
    <cfRule type="cellIs" dxfId="1629" priority="66" stopIfTrue="1" operator="greaterThanOrEqual">
      <formula>9000</formula>
    </cfRule>
  </conditionalFormatting>
  <conditionalFormatting sqref="J110">
    <cfRule type="cellIs" dxfId="1628" priority="61" stopIfTrue="1" operator="lessThanOrEqual">
      <formula>3000</formula>
    </cfRule>
    <cfRule type="cellIs" dxfId="1627" priority="62" stopIfTrue="1" operator="between">
      <formula>3000</formula>
      <formula>9000</formula>
    </cfRule>
    <cfRule type="cellIs" dxfId="1626" priority="63" stopIfTrue="1" operator="greaterThanOrEqual">
      <formula>9000</formula>
    </cfRule>
  </conditionalFormatting>
  <conditionalFormatting sqref="K110">
    <cfRule type="cellIs" dxfId="1625" priority="58" stopIfTrue="1" operator="lessThanOrEqual">
      <formula>3000</formula>
    </cfRule>
    <cfRule type="cellIs" dxfId="1624" priority="59" stopIfTrue="1" operator="between">
      <formula>3000</formula>
      <formula>9000</formula>
    </cfRule>
    <cfRule type="cellIs" dxfId="1623" priority="60" stopIfTrue="1" operator="greaterThanOrEqual">
      <formula>9000</formula>
    </cfRule>
  </conditionalFormatting>
  <conditionalFormatting sqref="L110">
    <cfRule type="cellIs" dxfId="1622" priority="55" stopIfTrue="1" operator="lessThanOrEqual">
      <formula>3000</formula>
    </cfRule>
    <cfRule type="cellIs" dxfId="1621" priority="56" stopIfTrue="1" operator="between">
      <formula>3000</formula>
      <formula>9000</formula>
    </cfRule>
    <cfRule type="cellIs" dxfId="1620" priority="57" stopIfTrue="1" operator="greaterThanOrEqual">
      <formula>9000</formula>
    </cfRule>
  </conditionalFormatting>
  <conditionalFormatting sqref="M110">
    <cfRule type="cellIs" dxfId="1619" priority="52" stopIfTrue="1" operator="lessThanOrEqual">
      <formula>3000</formula>
    </cfRule>
    <cfRule type="cellIs" dxfId="1618" priority="53" stopIfTrue="1" operator="between">
      <formula>3000</formula>
      <formula>9000</formula>
    </cfRule>
    <cfRule type="cellIs" dxfId="1617" priority="54" stopIfTrue="1" operator="greaterThanOrEqual">
      <formula>9000</formula>
    </cfRule>
  </conditionalFormatting>
  <conditionalFormatting sqref="S110">
    <cfRule type="cellIs" dxfId="1616" priority="49" stopIfTrue="1" operator="lessThanOrEqual">
      <formula>3000</formula>
    </cfRule>
    <cfRule type="cellIs" dxfId="1615" priority="50" stopIfTrue="1" operator="between">
      <formula>3000</formula>
      <formula>9000</formula>
    </cfRule>
    <cfRule type="cellIs" dxfId="1614" priority="51" stopIfTrue="1" operator="greaterThanOrEqual">
      <formula>9000</formula>
    </cfRule>
  </conditionalFormatting>
  <conditionalFormatting sqref="E110:F110">
    <cfRule type="cellIs" dxfId="1613" priority="46" stopIfTrue="1" operator="lessThanOrEqual">
      <formula>3000</formula>
    </cfRule>
    <cfRule type="cellIs" dxfId="1612" priority="47" stopIfTrue="1" operator="between">
      <formula>3000</formula>
      <formula>9000</formula>
    </cfRule>
    <cfRule type="cellIs" dxfId="1611" priority="48" stopIfTrue="1" operator="greaterThanOrEqual">
      <formula>9000</formula>
    </cfRule>
  </conditionalFormatting>
  <conditionalFormatting sqref="O110">
    <cfRule type="cellIs" dxfId="1610" priority="43" stopIfTrue="1" operator="lessThanOrEqual">
      <formula>3000</formula>
    </cfRule>
    <cfRule type="cellIs" dxfId="1609" priority="44" stopIfTrue="1" operator="between">
      <formula>3000</formula>
      <formula>9000</formula>
    </cfRule>
    <cfRule type="cellIs" dxfId="1608" priority="45" stopIfTrue="1" operator="greaterThanOrEqual">
      <formula>9000</formula>
    </cfRule>
  </conditionalFormatting>
  <conditionalFormatting sqref="P110">
    <cfRule type="cellIs" dxfId="1607" priority="40" stopIfTrue="1" operator="lessThanOrEqual">
      <formula>3000</formula>
    </cfRule>
    <cfRule type="cellIs" dxfId="1606" priority="41" stopIfTrue="1" operator="between">
      <formula>3000</formula>
      <formula>9000</formula>
    </cfRule>
    <cfRule type="cellIs" dxfId="1605" priority="42" stopIfTrue="1" operator="greaterThanOrEqual">
      <formula>9000</formula>
    </cfRule>
  </conditionalFormatting>
  <conditionalFormatting sqref="Q110">
    <cfRule type="cellIs" dxfId="1604" priority="37" stopIfTrue="1" operator="lessThanOrEqual">
      <formula>3000</formula>
    </cfRule>
    <cfRule type="cellIs" dxfId="1603" priority="38" stopIfTrue="1" operator="between">
      <formula>3000</formula>
      <formula>9000</formula>
    </cfRule>
    <cfRule type="cellIs" dxfId="1602" priority="39" stopIfTrue="1" operator="greaterThanOrEqual">
      <formula>9000</formula>
    </cfRule>
  </conditionalFormatting>
  <conditionalFormatting sqref="R110">
    <cfRule type="cellIs" dxfId="1601" priority="34" stopIfTrue="1" operator="lessThanOrEqual">
      <formula>3000</formula>
    </cfRule>
    <cfRule type="cellIs" dxfId="1600" priority="35" stopIfTrue="1" operator="between">
      <formula>3000</formula>
      <formula>9000</formula>
    </cfRule>
    <cfRule type="cellIs" dxfId="1599" priority="36" stopIfTrue="1" operator="greaterThanOrEqual">
      <formula>9000</formula>
    </cfRule>
  </conditionalFormatting>
  <conditionalFormatting sqref="X110:Y110">
    <cfRule type="cellIs" dxfId="1598" priority="31" stopIfTrue="1" operator="lessThanOrEqual">
      <formula>3000</formula>
    </cfRule>
    <cfRule type="cellIs" dxfId="1597" priority="32" stopIfTrue="1" operator="between">
      <formula>3000</formula>
      <formula>9000</formula>
    </cfRule>
    <cfRule type="cellIs" dxfId="1596" priority="33" stopIfTrue="1" operator="greaterThanOrEqual">
      <formula>9000</formula>
    </cfRule>
  </conditionalFormatting>
  <conditionalFormatting sqref="AA110">
    <cfRule type="cellIs" dxfId="1595" priority="28" stopIfTrue="1" operator="lessThanOrEqual">
      <formula>3000</formula>
    </cfRule>
    <cfRule type="cellIs" dxfId="1594" priority="29" stopIfTrue="1" operator="between">
      <formula>3000</formula>
      <formula>9000</formula>
    </cfRule>
    <cfRule type="cellIs" dxfId="1593" priority="30" stopIfTrue="1" operator="greaterThanOrEqual">
      <formula>9000</formula>
    </cfRule>
  </conditionalFormatting>
  <conditionalFormatting sqref="AB110">
    <cfRule type="cellIs" dxfId="1592" priority="25" stopIfTrue="1" operator="lessThanOrEqual">
      <formula>3000</formula>
    </cfRule>
    <cfRule type="cellIs" dxfId="1591" priority="26" stopIfTrue="1" operator="between">
      <formula>3000</formula>
      <formula>9000</formula>
    </cfRule>
    <cfRule type="cellIs" dxfId="1590" priority="27" stopIfTrue="1" operator="greaterThanOrEqual">
      <formula>9000</formula>
    </cfRule>
  </conditionalFormatting>
  <conditionalFormatting sqref="AC110">
    <cfRule type="cellIs" dxfId="1589" priority="22" stopIfTrue="1" operator="lessThanOrEqual">
      <formula>3000</formula>
    </cfRule>
    <cfRule type="cellIs" dxfId="1588" priority="23" stopIfTrue="1" operator="between">
      <formula>3000</formula>
      <formula>9000</formula>
    </cfRule>
    <cfRule type="cellIs" dxfId="1587" priority="24" stopIfTrue="1" operator="greaterThanOrEqual">
      <formula>9000</formula>
    </cfRule>
  </conditionalFormatting>
  <conditionalFormatting sqref="AD110">
    <cfRule type="cellIs" dxfId="1586" priority="19" stopIfTrue="1" operator="lessThanOrEqual">
      <formula>3000</formula>
    </cfRule>
    <cfRule type="cellIs" dxfId="1585" priority="20" stopIfTrue="1" operator="between">
      <formula>3000</formula>
      <formula>9000</formula>
    </cfRule>
    <cfRule type="cellIs" dxfId="1584" priority="21" stopIfTrue="1" operator="greaterThanOrEqual">
      <formula>9000</formula>
    </cfRule>
  </conditionalFormatting>
  <conditionalFormatting sqref="AJ110">
    <cfRule type="cellIs" dxfId="1583" priority="16" stopIfTrue="1" operator="lessThanOrEqual">
      <formula>3000</formula>
    </cfRule>
    <cfRule type="cellIs" dxfId="1582" priority="17" stopIfTrue="1" operator="between">
      <formula>3000</formula>
      <formula>9000</formula>
    </cfRule>
    <cfRule type="cellIs" dxfId="1581" priority="18" stopIfTrue="1" operator="greaterThanOrEqual">
      <formula>9000</formula>
    </cfRule>
  </conditionalFormatting>
  <conditionalFormatting sqref="V110:W110">
    <cfRule type="cellIs" dxfId="1580" priority="13" stopIfTrue="1" operator="lessThanOrEqual">
      <formula>3000</formula>
    </cfRule>
    <cfRule type="cellIs" dxfId="1579" priority="14" stopIfTrue="1" operator="between">
      <formula>3000</formula>
      <formula>9000</formula>
    </cfRule>
    <cfRule type="cellIs" dxfId="1578" priority="15" stopIfTrue="1" operator="greaterThanOrEqual">
      <formula>9000</formula>
    </cfRule>
  </conditionalFormatting>
  <conditionalFormatting sqref="AF110">
    <cfRule type="cellIs" dxfId="1577" priority="10" stopIfTrue="1" operator="lessThanOrEqual">
      <formula>3000</formula>
    </cfRule>
    <cfRule type="cellIs" dxfId="1576" priority="11" stopIfTrue="1" operator="between">
      <formula>3000</formula>
      <formula>9000</formula>
    </cfRule>
    <cfRule type="cellIs" dxfId="1575" priority="12" stopIfTrue="1" operator="greaterThanOrEqual">
      <formula>9000</formula>
    </cfRule>
  </conditionalFormatting>
  <conditionalFormatting sqref="AG110">
    <cfRule type="cellIs" dxfId="1574" priority="7" stopIfTrue="1" operator="lessThanOrEqual">
      <formula>3000</formula>
    </cfRule>
    <cfRule type="cellIs" dxfId="1573" priority="8" stopIfTrue="1" operator="between">
      <formula>3000</formula>
      <formula>9000</formula>
    </cfRule>
    <cfRule type="cellIs" dxfId="1572" priority="9" stopIfTrue="1" operator="greaterThanOrEqual">
      <formula>9000</formula>
    </cfRule>
  </conditionalFormatting>
  <conditionalFormatting sqref="AH110">
    <cfRule type="cellIs" dxfId="1571" priority="4" stopIfTrue="1" operator="lessThanOrEqual">
      <formula>3000</formula>
    </cfRule>
    <cfRule type="cellIs" dxfId="1570" priority="5" stopIfTrue="1" operator="between">
      <formula>3000</formula>
      <formula>9000</formula>
    </cfRule>
    <cfRule type="cellIs" dxfId="1569" priority="6" stopIfTrue="1" operator="greaterThanOrEqual">
      <formula>9000</formula>
    </cfRule>
  </conditionalFormatting>
  <conditionalFormatting sqref="AI110">
    <cfRule type="cellIs" dxfId="1568" priority="1" stopIfTrue="1" operator="lessThanOrEqual">
      <formula>3000</formula>
    </cfRule>
    <cfRule type="cellIs" dxfId="1567" priority="2" stopIfTrue="1" operator="between">
      <formula>3000</formula>
      <formula>9000</formula>
    </cfRule>
    <cfRule type="cellIs" dxfId="1566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Q277"/>
  <sheetViews>
    <sheetView zoomScale="134" zoomScaleNormal="60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D4" sqref="D4"/>
    </sheetView>
  </sheetViews>
  <sheetFormatPr baseColWidth="10" defaultColWidth="9" defaultRowHeight="16"/>
  <cols>
    <col min="1" max="1" width="46.1640625" style="93" customWidth="1"/>
    <col min="2" max="2" width="10" style="93" bestFit="1" customWidth="1"/>
    <col min="3" max="3" width="12" style="93" bestFit="1" customWidth="1"/>
    <col min="4" max="4" width="9.83203125" style="93" bestFit="1" customWidth="1"/>
    <col min="5" max="5" width="9.5" style="93" customWidth="1"/>
    <col min="6" max="6" width="8.33203125" style="93" customWidth="1"/>
    <col min="7" max="8" width="8" style="93" customWidth="1"/>
    <col min="9" max="9" width="7" style="93" customWidth="1"/>
    <col min="10" max="11" width="10.5" style="93" bestFit="1" customWidth="1"/>
    <col min="12" max="12" width="9.5" style="93" bestFit="1" customWidth="1"/>
    <col min="13" max="13" width="10.5" style="93" bestFit="1" customWidth="1"/>
    <col min="14" max="14" width="8.33203125" style="93" bestFit="1" customWidth="1"/>
    <col min="15" max="16" width="10.5" style="93" bestFit="1" customWidth="1"/>
    <col min="17" max="17" width="9.5" style="93" bestFit="1" customWidth="1"/>
    <col min="18" max="19" width="10.5" style="93" bestFit="1" customWidth="1"/>
    <col min="20" max="20" width="9.83203125" style="93" bestFit="1" customWidth="1"/>
    <col min="21" max="21" width="8" style="93" customWidth="1"/>
    <col min="22" max="22" width="9.5" style="93" customWidth="1"/>
    <col min="23" max="23" width="8.33203125" style="93" customWidth="1"/>
    <col min="24" max="25" width="8" style="93" customWidth="1"/>
    <col min="26" max="26" width="7" style="93" customWidth="1"/>
    <col min="27" max="28" width="10.5" style="93" bestFit="1" customWidth="1"/>
    <col min="29" max="29" width="9.5" style="93" bestFit="1" customWidth="1"/>
    <col min="30" max="30" width="10.5" style="93" bestFit="1" customWidth="1"/>
    <col min="31" max="31" width="8.33203125" style="93" bestFit="1" customWidth="1"/>
    <col min="32" max="33" width="10.5" style="93" bestFit="1" customWidth="1"/>
    <col min="34" max="34" width="9.5" style="93" bestFit="1" customWidth="1"/>
    <col min="35" max="36" width="10.5" style="93" bestFit="1" customWidth="1"/>
    <col min="37" max="37" width="9.83203125" style="93" bestFit="1" customWidth="1"/>
    <col min="38" max="38" width="8" style="93" customWidth="1"/>
    <col min="39" max="39" width="8.83203125" style="94" customWidth="1"/>
    <col min="40" max="41" width="14" style="94" bestFit="1" customWidth="1"/>
    <col min="42" max="16384" width="9" style="93"/>
  </cols>
  <sheetData>
    <row r="1" spans="1:41" s="4" customFormat="1" ht="14.25" customHeight="1" thickBot="1">
      <c r="A1" s="168" t="s">
        <v>0</v>
      </c>
      <c r="B1" s="169"/>
      <c r="C1" s="70" t="s">
        <v>1</v>
      </c>
      <c r="D1" s="7" t="s">
        <v>43</v>
      </c>
      <c r="E1" s="137" t="s">
        <v>55</v>
      </c>
      <c r="F1" s="137"/>
      <c r="G1" s="137"/>
      <c r="H1" s="137"/>
      <c r="I1" s="31" t="s">
        <v>55</v>
      </c>
      <c r="J1" s="138" t="s">
        <v>56</v>
      </c>
      <c r="K1" s="138"/>
      <c r="L1" s="138"/>
      <c r="M1" s="138"/>
      <c r="N1" s="25" t="s">
        <v>56</v>
      </c>
      <c r="O1" s="138" t="s">
        <v>57</v>
      </c>
      <c r="P1" s="138"/>
      <c r="Q1" s="138"/>
      <c r="R1" s="138"/>
      <c r="S1" s="138"/>
      <c r="T1" s="25" t="s">
        <v>57</v>
      </c>
      <c r="U1" s="26" t="s">
        <v>58</v>
      </c>
      <c r="V1" s="137" t="s">
        <v>59</v>
      </c>
      <c r="W1" s="137"/>
      <c r="X1" s="137"/>
      <c r="Y1" s="137"/>
      <c r="Z1" s="31" t="s">
        <v>59</v>
      </c>
      <c r="AA1" s="138" t="s">
        <v>60</v>
      </c>
      <c r="AB1" s="138"/>
      <c r="AC1" s="138"/>
      <c r="AD1" s="138"/>
      <c r="AE1" s="25" t="s">
        <v>60</v>
      </c>
      <c r="AF1" s="138" t="s">
        <v>61</v>
      </c>
      <c r="AG1" s="138"/>
      <c r="AH1" s="138"/>
      <c r="AI1" s="138"/>
      <c r="AJ1" s="138"/>
      <c r="AK1" s="25" t="s">
        <v>61</v>
      </c>
      <c r="AL1" s="26" t="s">
        <v>62</v>
      </c>
      <c r="AN1" s="79" t="s">
        <v>63</v>
      </c>
      <c r="AO1" s="79" t="s">
        <v>64</v>
      </c>
    </row>
    <row r="2" spans="1:41" s="4" customFormat="1" ht="17.25" customHeight="1" thickBot="1">
      <c r="A2" s="134" t="s">
        <v>2</v>
      </c>
      <c r="B2" s="135" t="s">
        <v>126</v>
      </c>
      <c r="C2" s="70" t="s">
        <v>3</v>
      </c>
      <c r="D2" s="7" t="s">
        <v>4</v>
      </c>
      <c r="E2" s="80" t="s">
        <v>65</v>
      </c>
      <c r="F2" s="80" t="s">
        <v>66</v>
      </c>
      <c r="G2" s="80" t="s">
        <v>67</v>
      </c>
      <c r="H2" s="80" t="s">
        <v>68</v>
      </c>
      <c r="I2" s="29" t="s">
        <v>69</v>
      </c>
      <c r="J2" s="80" t="s">
        <v>70</v>
      </c>
      <c r="K2" s="80" t="s">
        <v>71</v>
      </c>
      <c r="L2" s="80" t="s">
        <v>72</v>
      </c>
      <c r="M2" s="80" t="s">
        <v>73</v>
      </c>
      <c r="N2" s="25" t="s">
        <v>74</v>
      </c>
      <c r="O2" s="80" t="s">
        <v>75</v>
      </c>
      <c r="P2" s="80" t="s">
        <v>76</v>
      </c>
      <c r="Q2" s="80" t="s">
        <v>77</v>
      </c>
      <c r="R2" s="80" t="s">
        <v>78</v>
      </c>
      <c r="S2" s="80" t="s">
        <v>79</v>
      </c>
      <c r="T2" s="25" t="s">
        <v>74</v>
      </c>
      <c r="U2" s="26" t="s">
        <v>0</v>
      </c>
      <c r="V2" s="80" t="s">
        <v>80</v>
      </c>
      <c r="W2" s="80" t="s">
        <v>81</v>
      </c>
      <c r="X2" s="80" t="s">
        <v>82</v>
      </c>
      <c r="Y2" s="80" t="s">
        <v>83</v>
      </c>
      <c r="Z2" s="29" t="s">
        <v>69</v>
      </c>
      <c r="AA2" s="80" t="s">
        <v>84</v>
      </c>
      <c r="AB2" s="80" t="s">
        <v>85</v>
      </c>
      <c r="AC2" s="80" t="s">
        <v>86</v>
      </c>
      <c r="AD2" s="80" t="s">
        <v>87</v>
      </c>
      <c r="AE2" s="25" t="s">
        <v>74</v>
      </c>
      <c r="AF2" s="80" t="s">
        <v>88</v>
      </c>
      <c r="AG2" s="80" t="s">
        <v>89</v>
      </c>
      <c r="AH2" s="80" t="s">
        <v>90</v>
      </c>
      <c r="AI2" s="80" t="s">
        <v>91</v>
      </c>
      <c r="AJ2" s="80" t="s">
        <v>92</v>
      </c>
      <c r="AK2" s="25" t="s">
        <v>74</v>
      </c>
      <c r="AL2" s="26" t="s">
        <v>0</v>
      </c>
      <c r="AN2" s="56"/>
      <c r="AO2" s="56"/>
    </row>
    <row r="3" spans="1:41">
      <c r="A3" s="165" t="s">
        <v>117</v>
      </c>
      <c r="B3" s="1" t="s">
        <v>5</v>
      </c>
      <c r="C3" s="9"/>
      <c r="D3" s="9"/>
      <c r="E3" s="10"/>
      <c r="F3" s="10">
        <v>-163</v>
      </c>
      <c r="G3" s="10">
        <v>45</v>
      </c>
      <c r="H3" s="10">
        <v>45</v>
      </c>
      <c r="I3" s="9">
        <f>SUM(E3:H3)</f>
        <v>-73</v>
      </c>
      <c r="J3" s="10">
        <v>45</v>
      </c>
      <c r="K3" s="10">
        <v>47</v>
      </c>
      <c r="L3" s="10">
        <v>0</v>
      </c>
      <c r="M3" s="10">
        <v>0</v>
      </c>
      <c r="N3" s="9">
        <f>SUM(J3:M3)</f>
        <v>92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9">
        <f>SUM(O3:S3)</f>
        <v>0</v>
      </c>
      <c r="U3" s="11">
        <f>T3+N3+I3+D7</f>
        <v>19</v>
      </c>
      <c r="V3" s="10">
        <v>0</v>
      </c>
      <c r="W3" s="10">
        <v>0</v>
      </c>
      <c r="X3" s="10">
        <v>0</v>
      </c>
      <c r="Y3" s="10">
        <v>0</v>
      </c>
      <c r="Z3" s="9">
        <f>SUM(V3:Y3)</f>
        <v>0</v>
      </c>
      <c r="AA3" s="83">
        <v>47</v>
      </c>
      <c r="AB3" s="83">
        <v>42</v>
      </c>
      <c r="AC3" s="83">
        <v>0</v>
      </c>
      <c r="AD3" s="83">
        <v>0</v>
      </c>
      <c r="AE3" s="9">
        <f>SUM(AA3:AD3)</f>
        <v>89</v>
      </c>
      <c r="AF3" s="10">
        <v>0</v>
      </c>
      <c r="AG3" s="10">
        <v>0</v>
      </c>
      <c r="AH3" s="10">
        <v>0</v>
      </c>
      <c r="AI3" s="10">
        <v>0</v>
      </c>
      <c r="AJ3" s="10">
        <v>0</v>
      </c>
      <c r="AK3" s="9">
        <f>SUM(AF3:AJ3)</f>
        <v>0</v>
      </c>
      <c r="AL3" s="11">
        <f>AK3+AE3+Z3</f>
        <v>89</v>
      </c>
      <c r="AM3" s="94">
        <v>32</v>
      </c>
      <c r="AN3" s="94">
        <f>AM3*U3</f>
        <v>608</v>
      </c>
      <c r="AO3" s="94">
        <f>AM3*AL3</f>
        <v>2848</v>
      </c>
    </row>
    <row r="4" spans="1:41">
      <c r="A4" s="166"/>
      <c r="B4" s="3" t="s">
        <v>6</v>
      </c>
      <c r="C4" s="9"/>
      <c r="D4" s="9"/>
      <c r="E4" s="10"/>
      <c r="F4" s="10"/>
      <c r="G4" s="10"/>
      <c r="H4" s="10"/>
      <c r="I4" s="9">
        <f>SUM(E4:H4)</f>
        <v>0</v>
      </c>
      <c r="J4" s="10"/>
      <c r="K4" s="10"/>
      <c r="L4" s="10"/>
      <c r="M4" s="10"/>
      <c r="N4" s="9">
        <f>SUM(J4:M4)</f>
        <v>0</v>
      </c>
      <c r="O4" s="10"/>
      <c r="P4" s="10"/>
      <c r="Q4" s="10"/>
      <c r="R4" s="10"/>
      <c r="S4" s="10"/>
      <c r="T4" s="9">
        <f>SUM(O4:S4)</f>
        <v>0</v>
      </c>
      <c r="U4" s="11">
        <f>I4+N4+T4</f>
        <v>0</v>
      </c>
      <c r="V4" s="10"/>
      <c r="W4" s="10"/>
      <c r="X4" s="10"/>
      <c r="Y4" s="10"/>
      <c r="Z4" s="9">
        <f>SUM(V4:Y4)</f>
        <v>0</v>
      </c>
      <c r="AA4" s="10"/>
      <c r="AB4" s="10"/>
      <c r="AC4" s="10"/>
      <c r="AD4" s="10"/>
      <c r="AE4" s="9">
        <f>SUM(AA4:AD4)</f>
        <v>0</v>
      </c>
      <c r="AF4" s="10"/>
      <c r="AG4" s="10"/>
      <c r="AH4" s="10"/>
      <c r="AI4" s="10"/>
      <c r="AJ4" s="10"/>
      <c r="AK4" s="9">
        <f>SUM(AF4:AJ4)</f>
        <v>0</v>
      </c>
      <c r="AL4" s="11">
        <f>Z4+AE4+AK4</f>
        <v>0</v>
      </c>
      <c r="AM4" s="93"/>
      <c r="AN4" s="94">
        <f t="shared" ref="AN4:AN67" si="0">AM4*U4</f>
        <v>0</v>
      </c>
      <c r="AO4" s="94">
        <f t="shared" ref="AO4:AO67" si="1">AM4*AL4</f>
        <v>0</v>
      </c>
    </row>
    <row r="5" spans="1:41">
      <c r="A5" s="166"/>
      <c r="B5" s="3" t="s">
        <v>10</v>
      </c>
      <c r="C5" s="9">
        <v>0</v>
      </c>
      <c r="D5" s="9"/>
      <c r="E5" s="10"/>
      <c r="F5" s="10"/>
      <c r="G5" s="10"/>
      <c r="H5" s="10"/>
      <c r="I5" s="9"/>
      <c r="J5" s="10"/>
      <c r="K5" s="10"/>
      <c r="L5" s="10"/>
      <c r="M5" s="10"/>
      <c r="N5" s="9"/>
      <c r="O5" s="10"/>
      <c r="P5" s="10"/>
      <c r="Q5" s="10"/>
      <c r="R5" s="10"/>
      <c r="S5" s="10"/>
      <c r="T5" s="9"/>
      <c r="U5" s="11"/>
      <c r="V5" s="10"/>
      <c r="W5" s="10"/>
      <c r="X5" s="10"/>
      <c r="Y5" s="10"/>
      <c r="Z5" s="9"/>
      <c r="AA5" s="10"/>
      <c r="AB5" s="10"/>
      <c r="AC5" s="10"/>
      <c r="AD5" s="10"/>
      <c r="AE5" s="9"/>
      <c r="AF5" s="10"/>
      <c r="AG5" s="10"/>
      <c r="AH5" s="10"/>
      <c r="AI5" s="10"/>
      <c r="AJ5" s="10"/>
      <c r="AK5" s="9"/>
      <c r="AL5" s="11"/>
      <c r="AM5" s="93"/>
      <c r="AN5" s="94">
        <f t="shared" si="0"/>
        <v>0</v>
      </c>
      <c r="AO5" s="94">
        <f t="shared" si="1"/>
        <v>0</v>
      </c>
    </row>
    <row r="6" spans="1:41">
      <c r="A6" s="166"/>
      <c r="B6" s="3" t="s">
        <v>7</v>
      </c>
      <c r="C6" s="9"/>
      <c r="D6" s="9"/>
      <c r="E6" s="10">
        <f>E5+E4</f>
        <v>0</v>
      </c>
      <c r="F6" s="10">
        <f>F5+F4</f>
        <v>0</v>
      </c>
      <c r="G6" s="10">
        <f>G5+G4</f>
        <v>0</v>
      </c>
      <c r="H6" s="10">
        <f>H5+H4</f>
        <v>0</v>
      </c>
      <c r="I6" s="9">
        <f>SUM(E6:H6)</f>
        <v>0</v>
      </c>
      <c r="J6" s="10">
        <f>J5+J4</f>
        <v>0</v>
      </c>
      <c r="K6" s="10">
        <f>K5+K4</f>
        <v>0</v>
      </c>
      <c r="L6" s="10">
        <f>L5+L4</f>
        <v>0</v>
      </c>
      <c r="M6" s="10">
        <f>M5+M4</f>
        <v>0</v>
      </c>
      <c r="N6" s="9">
        <f>SUM(J6:M6)</f>
        <v>0</v>
      </c>
      <c r="O6" s="10">
        <f>O5+O4</f>
        <v>0</v>
      </c>
      <c r="P6" s="10">
        <f>P5+P4</f>
        <v>0</v>
      </c>
      <c r="Q6" s="10">
        <f>Q5+Q4</f>
        <v>0</v>
      </c>
      <c r="R6" s="10">
        <f>R5+R4</f>
        <v>0</v>
      </c>
      <c r="S6" s="10">
        <f>S5+S4</f>
        <v>0</v>
      </c>
      <c r="T6" s="9">
        <f>SUM(O6:S6)</f>
        <v>0</v>
      </c>
      <c r="U6" s="11">
        <f>T6+N6+I6+D7</f>
        <v>0</v>
      </c>
      <c r="V6" s="10">
        <f>V5+V4</f>
        <v>0</v>
      </c>
      <c r="W6" s="10">
        <f>W5+W4</f>
        <v>0</v>
      </c>
      <c r="X6" s="10">
        <f>X5+X4</f>
        <v>0</v>
      </c>
      <c r="Y6" s="10">
        <f>Y5+Y4</f>
        <v>0</v>
      </c>
      <c r="Z6" s="9">
        <f>SUM(V6:Y6)</f>
        <v>0</v>
      </c>
      <c r="AA6" s="10">
        <f>AA5+AA4</f>
        <v>0</v>
      </c>
      <c r="AB6" s="10">
        <f>AB5+AB4</f>
        <v>0</v>
      </c>
      <c r="AC6" s="10">
        <f>AC5+AC4</f>
        <v>0</v>
      </c>
      <c r="AD6" s="10">
        <f>AD5+AD4</f>
        <v>0</v>
      </c>
      <c r="AE6" s="9">
        <f>SUM(AA6:AD6)</f>
        <v>0</v>
      </c>
      <c r="AF6" s="10">
        <f>AF5+AF4</f>
        <v>0</v>
      </c>
      <c r="AG6" s="10">
        <f>AG5+AG4</f>
        <v>0</v>
      </c>
      <c r="AH6" s="10">
        <f>AH5+AH4</f>
        <v>0</v>
      </c>
      <c r="AI6" s="10">
        <f>AI5+AI4</f>
        <v>0</v>
      </c>
      <c r="AJ6" s="10">
        <f>AJ5+AJ4</f>
        <v>0</v>
      </c>
      <c r="AK6" s="9">
        <f>SUM(AF6:AJ6)</f>
        <v>0</v>
      </c>
      <c r="AL6" s="11">
        <f>AK6+AE6+Z6</f>
        <v>0</v>
      </c>
      <c r="AM6" s="93"/>
      <c r="AN6" s="94">
        <f t="shared" si="0"/>
        <v>0</v>
      </c>
      <c r="AO6" s="94">
        <f t="shared" si="1"/>
        <v>0</v>
      </c>
    </row>
    <row r="7" spans="1:41">
      <c r="A7" s="167"/>
      <c r="B7" s="2" t="s">
        <v>8</v>
      </c>
      <c r="C7" s="65">
        <v>208</v>
      </c>
      <c r="D7" s="95"/>
      <c r="E7" s="81">
        <f>E6-E3</f>
        <v>0</v>
      </c>
      <c r="F7" s="10">
        <f>E7+F6-F3</f>
        <v>163</v>
      </c>
      <c r="G7" s="10">
        <f>F7+G6-G3</f>
        <v>118</v>
      </c>
      <c r="H7" s="10">
        <f>G7+H6-H3</f>
        <v>73</v>
      </c>
      <c r="I7" s="9">
        <f>I6-I3</f>
        <v>73</v>
      </c>
      <c r="J7" s="10">
        <f>I7+J6-J3</f>
        <v>28</v>
      </c>
      <c r="K7" s="10">
        <f>J7+K6-K3</f>
        <v>-19</v>
      </c>
      <c r="L7" s="10">
        <f>K7+L6-L3</f>
        <v>-19</v>
      </c>
      <c r="M7" s="10">
        <f>L7+M6-M3</f>
        <v>-19</v>
      </c>
      <c r="N7" s="9">
        <f>I7+N6-N3</f>
        <v>-19</v>
      </c>
      <c r="O7" s="10">
        <f>N7+O6-O3</f>
        <v>-19</v>
      </c>
      <c r="P7" s="10">
        <f>O7+P6-P3</f>
        <v>-19</v>
      </c>
      <c r="Q7" s="10">
        <f>P7+Q6-Q3</f>
        <v>-19</v>
      </c>
      <c r="R7" s="10">
        <f t="shared" ref="R7" si="2">Q7+R6-R3</f>
        <v>-19</v>
      </c>
      <c r="S7" s="10">
        <f>R7+S6-S3</f>
        <v>-19</v>
      </c>
      <c r="T7" s="9">
        <f>N7+T6-T3</f>
        <v>-19</v>
      </c>
      <c r="U7" s="9">
        <f>U6-U3</f>
        <v>-19</v>
      </c>
      <c r="V7" s="10">
        <f>U7+V6-V3</f>
        <v>-19</v>
      </c>
      <c r="W7" s="10">
        <f>V7+W6-W3</f>
        <v>-19</v>
      </c>
      <c r="X7" s="10">
        <f>W7+X6-X3</f>
        <v>-19</v>
      </c>
      <c r="Y7" s="10">
        <f>X7+Y6-Y3</f>
        <v>-19</v>
      </c>
      <c r="Z7" s="9">
        <f>T7+Z6-Z3</f>
        <v>-19</v>
      </c>
      <c r="AA7" s="10">
        <f>Z7+AA6-AA3</f>
        <v>-66</v>
      </c>
      <c r="AB7" s="10">
        <f>AA7+AB6-AB3</f>
        <v>-108</v>
      </c>
      <c r="AC7" s="10">
        <f>AB7+AC6-AC3</f>
        <v>-108</v>
      </c>
      <c r="AD7" s="10">
        <f>AC7+AD6-AD3</f>
        <v>-108</v>
      </c>
      <c r="AE7" s="9">
        <f>Z7+AE6-AE3</f>
        <v>-108</v>
      </c>
      <c r="AF7" s="10">
        <f>AE7+AF6-AF3</f>
        <v>-108</v>
      </c>
      <c r="AG7" s="10">
        <f>AF7+AG6-AG3</f>
        <v>-108</v>
      </c>
      <c r="AH7" s="10">
        <f>AG7+AH6-AH3</f>
        <v>-108</v>
      </c>
      <c r="AI7" s="10">
        <f t="shared" ref="AI7:AJ7" si="3">AH7+AI6-AI3</f>
        <v>-108</v>
      </c>
      <c r="AJ7" s="10">
        <f t="shared" si="3"/>
        <v>-108</v>
      </c>
      <c r="AK7" s="9">
        <f>AE7+AK6-AK3</f>
        <v>-108</v>
      </c>
      <c r="AL7" s="11">
        <f>T7+AL6-AL3</f>
        <v>-108</v>
      </c>
      <c r="AM7" s="93"/>
      <c r="AN7" s="94">
        <f t="shared" si="0"/>
        <v>0</v>
      </c>
      <c r="AO7" s="94">
        <f t="shared" si="1"/>
        <v>0</v>
      </c>
    </row>
    <row r="8" spans="1:41">
      <c r="A8" s="82"/>
      <c r="B8" s="3" t="s">
        <v>9</v>
      </c>
      <c r="C8" s="9"/>
      <c r="D8" s="9"/>
      <c r="E8" s="57">
        <f>E7/(SUM(F3+H3+J3+G3)/20)*1000</f>
        <v>0</v>
      </c>
      <c r="F8" s="57">
        <f>F7/(SUM(G3+K3+J3+H3)/20)*1000</f>
        <v>17912.087912087911</v>
      </c>
      <c r="G8" s="57">
        <f>G7/(SUM(H3+J3+K3+L3)/20)*1000</f>
        <v>17226.277372262775</v>
      </c>
      <c r="H8" s="57">
        <f>H7/(SUM(M3+J3+K3+L3)/20)*1000</f>
        <v>15869.565217391306</v>
      </c>
      <c r="I8" s="12"/>
      <c r="J8" s="57">
        <f>J7/(SUM(K3+M3+O3+L3)/20)*1000</f>
        <v>11914.893617021276</v>
      </c>
      <c r="K8" s="57" t="e">
        <f>K7/(SUM(L3+P3+O3+M3)/20)*1000</f>
        <v>#DIV/0!</v>
      </c>
      <c r="L8" s="57" t="e">
        <f>L7/(SUM(M3+O3+P3+Q3)/20)*1000</f>
        <v>#DIV/0!</v>
      </c>
      <c r="M8" s="57" t="e">
        <f>M7/(SUM(R3+O3+P3+Q3)/20)*1000</f>
        <v>#DIV/0!</v>
      </c>
      <c r="N8" s="12"/>
      <c r="O8" s="57" t="e">
        <f>O7/(SUM(P3+R3+S3+Q3)/20)*1000</f>
        <v>#DIV/0!</v>
      </c>
      <c r="P8" s="57" t="e">
        <f>P7/(SUM(Q3+S3+V3+R3)/20)*1000</f>
        <v>#DIV/0!</v>
      </c>
      <c r="Q8" s="57" t="e">
        <f>Q7/(SUM(R3+S3+W3+V3)/20)*1000</f>
        <v>#DIV/0!</v>
      </c>
      <c r="R8" s="57">
        <f>R7/(SUM(T3+U3+V3+W3)/20)*1000</f>
        <v>-20000</v>
      </c>
      <c r="S8" s="57" t="e">
        <f>S7/(SUM(S3+V3+W3+X3)/20)*1000</f>
        <v>#DIV/0!</v>
      </c>
      <c r="T8" s="12"/>
      <c r="U8" s="13"/>
      <c r="V8" s="57">
        <f>V7/(SUM(W3+Y3+AA3+X3)/20)*1000</f>
        <v>-8085.1063829787236</v>
      </c>
      <c r="W8" s="57">
        <f>V7/(SUM(X3+AA3+AB3+Y3)/20)*1000</f>
        <v>-4269.6629213483147</v>
      </c>
      <c r="X8" s="57">
        <f>W7/(SUM(Y3+AA3+AB3+AC3)/20)*1000</f>
        <v>-4269.6629213483147</v>
      </c>
      <c r="Y8" s="57">
        <f>X7/(SUM(AA3+AB3+AC3+AD3)/20)*1000</f>
        <v>-4269.6629213483147</v>
      </c>
      <c r="Z8" s="12"/>
      <c r="AA8" s="57">
        <f>AA7/(SUM(AB3+AD3+AF3+AC3)/20)*1000</f>
        <v>-31428.571428571428</v>
      </c>
      <c r="AB8" s="57" t="e">
        <f>AB7/(SUM(AC3+AF3+AG3+AD3)/20)*1000</f>
        <v>#DIV/0!</v>
      </c>
      <c r="AC8" s="57" t="e">
        <f>AC7/(SUM(AD3+AF3+AG3+AH3)/20)*1000</f>
        <v>#DIV/0!</v>
      </c>
      <c r="AD8" s="57" t="e">
        <f>AD7/(SUM(AF3+AG3+AH3+AI3)/20)*1000</f>
        <v>#DIV/0!</v>
      </c>
      <c r="AE8" s="12"/>
      <c r="AF8" s="57" t="e">
        <f>AF7/(SUM(AG3+AI3+AJ3+AH3)/20)*1000</f>
        <v>#DIV/0!</v>
      </c>
      <c r="AG8" s="57">
        <f>AG7/(SUM(AH3+AJ3+AM3+AI3)/20)*1000</f>
        <v>-67500</v>
      </c>
      <c r="AH8" s="57">
        <f>AH7/(SUM(AI3+AJ3+AN3+AM3)/20)*1000</f>
        <v>-3375</v>
      </c>
      <c r="AI8" s="57">
        <f>AI7/(SUM(AK3+AL3+AM3+AN3)/20)*1000</f>
        <v>-2962.9629629629626</v>
      </c>
      <c r="AJ8" s="57">
        <f>AJ7/(SUM(AJ3+AM3+AN3+AO3)/20)*1000</f>
        <v>-619.26605504587155</v>
      </c>
      <c r="AK8" s="12"/>
      <c r="AL8" s="13"/>
      <c r="AM8" s="93"/>
      <c r="AN8" s="94">
        <f t="shared" si="0"/>
        <v>0</v>
      </c>
      <c r="AO8" s="94">
        <f t="shared" si="1"/>
        <v>0</v>
      </c>
    </row>
    <row r="9" spans="1:41">
      <c r="A9" s="165" t="s">
        <v>11</v>
      </c>
      <c r="B9" s="1" t="s">
        <v>5</v>
      </c>
      <c r="C9" s="9"/>
      <c r="D9" s="9"/>
      <c r="E9" s="10"/>
      <c r="F9" s="10">
        <v>7009</v>
      </c>
      <c r="G9" s="10">
        <v>4055</v>
      </c>
      <c r="H9" s="10">
        <v>4206</v>
      </c>
      <c r="I9" s="9">
        <f>SUM(E9:H9)</f>
        <v>15270</v>
      </c>
      <c r="J9" s="10">
        <v>2953</v>
      </c>
      <c r="K9" s="10">
        <v>4267</v>
      </c>
      <c r="L9" s="10">
        <v>4796</v>
      </c>
      <c r="M9" s="10">
        <v>3821</v>
      </c>
      <c r="N9" s="9">
        <f>SUM(J9:M9)</f>
        <v>15837</v>
      </c>
      <c r="O9" s="10">
        <v>2075</v>
      </c>
      <c r="P9" s="10">
        <v>4468</v>
      </c>
      <c r="Q9" s="10">
        <v>4212</v>
      </c>
      <c r="R9" s="10">
        <v>4045</v>
      </c>
      <c r="S9" s="10">
        <v>2032</v>
      </c>
      <c r="T9" s="9">
        <f>SUM(O9:S9)</f>
        <v>16832</v>
      </c>
      <c r="U9" s="11">
        <f>T9+N9+I9+D13</f>
        <v>64996</v>
      </c>
      <c r="V9" s="10">
        <v>1296</v>
      </c>
      <c r="W9" s="10">
        <v>1225</v>
      </c>
      <c r="X9" s="10">
        <v>1292</v>
      </c>
      <c r="Y9" s="10">
        <v>1297</v>
      </c>
      <c r="Z9" s="9">
        <f>SUM(V9:Y9)</f>
        <v>5110</v>
      </c>
      <c r="AA9" s="10">
        <v>2782</v>
      </c>
      <c r="AB9" s="10">
        <v>6607</v>
      </c>
      <c r="AC9" s="10">
        <v>4095</v>
      </c>
      <c r="AD9" s="10">
        <v>4206</v>
      </c>
      <c r="AE9" s="9">
        <f>SUM(AA9:AD9)</f>
        <v>17690</v>
      </c>
      <c r="AF9" s="10">
        <v>2328</v>
      </c>
      <c r="AG9" s="10">
        <v>4523</v>
      </c>
      <c r="AH9" s="10">
        <v>4323</v>
      </c>
      <c r="AI9" s="10">
        <v>4264</v>
      </c>
      <c r="AJ9" s="10">
        <v>3663</v>
      </c>
      <c r="AK9" s="9">
        <f>SUM(AF9:AJ9)</f>
        <v>19101</v>
      </c>
      <c r="AL9" s="11">
        <f>AK9+AE9+Z9</f>
        <v>41901</v>
      </c>
      <c r="AM9" s="94">
        <v>32</v>
      </c>
      <c r="AN9" s="94">
        <f t="shared" si="0"/>
        <v>2079872</v>
      </c>
      <c r="AO9" s="94">
        <f t="shared" si="1"/>
        <v>1340832</v>
      </c>
    </row>
    <row r="10" spans="1:41">
      <c r="A10" s="166"/>
      <c r="B10" s="3" t="s">
        <v>6</v>
      </c>
      <c r="C10" s="9"/>
      <c r="D10" s="9"/>
      <c r="E10" s="10"/>
      <c r="F10" s="10"/>
      <c r="G10" s="10"/>
      <c r="H10" s="10"/>
      <c r="I10" s="9">
        <f>SUM(E10:H10)</f>
        <v>0</v>
      </c>
      <c r="J10" s="10"/>
      <c r="K10" s="10"/>
      <c r="L10" s="10"/>
      <c r="M10" s="10"/>
      <c r="N10" s="9">
        <f>SUM(J10:M10)</f>
        <v>0</v>
      </c>
      <c r="O10" s="10"/>
      <c r="P10" s="10"/>
      <c r="Q10" s="96">
        <v>6000</v>
      </c>
      <c r="R10" s="10"/>
      <c r="S10" s="97">
        <v>39000</v>
      </c>
      <c r="T10" s="9">
        <f>SUM(O10:S10)</f>
        <v>45000</v>
      </c>
      <c r="U10" s="11">
        <f>I10+N10+T10</f>
        <v>45000</v>
      </c>
      <c r="V10" s="10"/>
      <c r="W10" s="10"/>
      <c r="X10" s="10"/>
      <c r="Y10" s="10"/>
      <c r="Z10" s="9">
        <f>SUM(V10:Y10)</f>
        <v>0</v>
      </c>
      <c r="AA10" s="10"/>
      <c r="AB10" s="10"/>
      <c r="AC10" s="10"/>
      <c r="AD10" s="10"/>
      <c r="AE10" s="9">
        <f>SUM(AA10:AD10)</f>
        <v>0</v>
      </c>
      <c r="AF10" s="10"/>
      <c r="AG10" s="10"/>
      <c r="AH10" s="10"/>
      <c r="AI10" s="10"/>
      <c r="AJ10" s="97">
        <v>30000</v>
      </c>
      <c r="AK10" s="9">
        <f>SUM(AF10:AJ10)</f>
        <v>30000</v>
      </c>
      <c r="AL10" s="11">
        <f>Z10+AE10+AK10</f>
        <v>30000</v>
      </c>
      <c r="AM10" s="93"/>
      <c r="AN10" s="94">
        <f t="shared" si="0"/>
        <v>0</v>
      </c>
      <c r="AO10" s="94">
        <f t="shared" si="1"/>
        <v>0</v>
      </c>
    </row>
    <row r="11" spans="1:41">
      <c r="A11" s="166"/>
      <c r="B11" s="3" t="s">
        <v>10</v>
      </c>
      <c r="C11" s="9">
        <v>0</v>
      </c>
      <c r="D11" s="9"/>
      <c r="E11" s="10"/>
      <c r="F11" s="10"/>
      <c r="G11" s="10">
        <v>28000</v>
      </c>
      <c r="H11" s="10"/>
      <c r="I11" s="9"/>
      <c r="J11" s="10"/>
      <c r="K11" s="10"/>
      <c r="L11" s="10"/>
      <c r="M11" s="10"/>
      <c r="N11" s="9"/>
      <c r="O11" s="10"/>
      <c r="P11" s="10"/>
      <c r="Q11" s="10"/>
      <c r="R11" s="10"/>
      <c r="S11" s="10"/>
      <c r="T11" s="9"/>
      <c r="U11" s="11"/>
      <c r="V11" s="10"/>
      <c r="W11" s="10"/>
      <c r="X11" s="10"/>
      <c r="Y11" s="10"/>
      <c r="Z11" s="9"/>
      <c r="AA11" s="10"/>
      <c r="AB11" s="10"/>
      <c r="AC11" s="10"/>
      <c r="AD11" s="10"/>
      <c r="AE11" s="9"/>
      <c r="AF11" s="10"/>
      <c r="AG11" s="10"/>
      <c r="AH11" s="10"/>
      <c r="AI11" s="10"/>
      <c r="AJ11" s="10"/>
      <c r="AK11" s="9"/>
      <c r="AL11" s="11"/>
      <c r="AM11" s="93"/>
      <c r="AN11" s="94">
        <f t="shared" si="0"/>
        <v>0</v>
      </c>
      <c r="AO11" s="94">
        <f t="shared" si="1"/>
        <v>0</v>
      </c>
    </row>
    <row r="12" spans="1:41">
      <c r="A12" s="166"/>
      <c r="B12" s="3" t="s">
        <v>7</v>
      </c>
      <c r="C12" s="9"/>
      <c r="D12" s="9"/>
      <c r="E12" s="10">
        <f>E11+E10</f>
        <v>0</v>
      </c>
      <c r="F12" s="10">
        <f>F11+F10</f>
        <v>0</v>
      </c>
      <c r="G12" s="10">
        <f>G11+G10</f>
        <v>28000</v>
      </c>
      <c r="H12" s="10">
        <f>H11+H10</f>
        <v>0</v>
      </c>
      <c r="I12" s="9">
        <f>SUM(E12:H12)</f>
        <v>28000</v>
      </c>
      <c r="J12" s="10">
        <f>J11+J10</f>
        <v>0</v>
      </c>
      <c r="K12" s="10">
        <f>K11+K10</f>
        <v>0</v>
      </c>
      <c r="L12" s="10">
        <f>L11+L10</f>
        <v>0</v>
      </c>
      <c r="M12" s="10">
        <f>M11+M10</f>
        <v>0</v>
      </c>
      <c r="N12" s="9">
        <f>SUM(J12:M12)</f>
        <v>0</v>
      </c>
      <c r="O12" s="10">
        <f>O11+O10</f>
        <v>0</v>
      </c>
      <c r="P12" s="10">
        <f>P11+P10</f>
        <v>0</v>
      </c>
      <c r="Q12" s="10">
        <f>Q11+Q10</f>
        <v>6000</v>
      </c>
      <c r="R12" s="10">
        <f>R11+R10</f>
        <v>0</v>
      </c>
      <c r="S12" s="10">
        <f>S11+S10</f>
        <v>39000</v>
      </c>
      <c r="T12" s="9">
        <f>SUM(O12:S12)</f>
        <v>45000</v>
      </c>
      <c r="U12" s="11">
        <f>T12+N12+I12+D13</f>
        <v>90057</v>
      </c>
      <c r="V12" s="10">
        <f>V11+V10</f>
        <v>0</v>
      </c>
      <c r="W12" s="10">
        <f>W11+W10</f>
        <v>0</v>
      </c>
      <c r="X12" s="10">
        <f>X11+X10</f>
        <v>0</v>
      </c>
      <c r="Y12" s="10">
        <f>Y11+Y10</f>
        <v>0</v>
      </c>
      <c r="Z12" s="9">
        <f>SUM(V12:Y12)</f>
        <v>0</v>
      </c>
      <c r="AA12" s="10">
        <f>AA11+AA10</f>
        <v>0</v>
      </c>
      <c r="AB12" s="10">
        <f>AB11+AB10</f>
        <v>0</v>
      </c>
      <c r="AC12" s="10">
        <f>AC11+AC10</f>
        <v>0</v>
      </c>
      <c r="AD12" s="10">
        <f>AD11+AD10</f>
        <v>0</v>
      </c>
      <c r="AE12" s="9">
        <f>SUM(AA12:AD12)</f>
        <v>0</v>
      </c>
      <c r="AF12" s="10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10">
        <f>AJ11+AJ10</f>
        <v>30000</v>
      </c>
      <c r="AK12" s="9">
        <f>SUM(AF12:AJ12)</f>
        <v>30000</v>
      </c>
      <c r="AL12" s="11">
        <f>AK12+AE12+Z12</f>
        <v>30000</v>
      </c>
      <c r="AM12" s="93"/>
      <c r="AN12" s="94">
        <f t="shared" si="0"/>
        <v>0</v>
      </c>
      <c r="AO12" s="94">
        <f t="shared" si="1"/>
        <v>0</v>
      </c>
    </row>
    <row r="13" spans="1:41">
      <c r="A13" s="167"/>
      <c r="B13" s="2" t="s">
        <v>8</v>
      </c>
      <c r="C13" s="65">
        <v>12375</v>
      </c>
      <c r="D13" s="95">
        <v>17057</v>
      </c>
      <c r="E13" s="81">
        <f>E12-E9</f>
        <v>0</v>
      </c>
      <c r="F13" s="10">
        <f>E13+F12-F9</f>
        <v>-7009</v>
      </c>
      <c r="G13" s="10">
        <f>F13+G12-G9</f>
        <v>16936</v>
      </c>
      <c r="H13" s="10">
        <f>G13+H12-H9</f>
        <v>12730</v>
      </c>
      <c r="I13" s="9">
        <f>I12-I9</f>
        <v>12730</v>
      </c>
      <c r="J13" s="10">
        <f>I13+J12-J9</f>
        <v>9777</v>
      </c>
      <c r="K13" s="10">
        <f>J13+K12-K9</f>
        <v>5510</v>
      </c>
      <c r="L13" s="10">
        <f>K13+L12-L9</f>
        <v>714</v>
      </c>
      <c r="M13" s="10">
        <f>L13+M12-M9</f>
        <v>-3107</v>
      </c>
      <c r="N13" s="9">
        <f>I13+N12-N9</f>
        <v>-3107</v>
      </c>
      <c r="O13" s="10">
        <f>N13+O12-O9</f>
        <v>-5182</v>
      </c>
      <c r="P13" s="10">
        <f>O13+P12-P9</f>
        <v>-9650</v>
      </c>
      <c r="Q13" s="10">
        <f>P13+Q12-Q9</f>
        <v>-7862</v>
      </c>
      <c r="R13" s="10">
        <f t="shared" ref="R13" si="4">Q13+R12-R9</f>
        <v>-11907</v>
      </c>
      <c r="S13" s="10">
        <f>R13+S12-S9</f>
        <v>25061</v>
      </c>
      <c r="T13" s="9">
        <f>N13+T12-T9</f>
        <v>25061</v>
      </c>
      <c r="U13" s="9">
        <f>U12-U9</f>
        <v>25061</v>
      </c>
      <c r="V13" s="10">
        <f>U13+V12-V9</f>
        <v>23765</v>
      </c>
      <c r="W13" s="10">
        <f>V13+W12-W9</f>
        <v>22540</v>
      </c>
      <c r="X13" s="10">
        <f>W13+X12-X9</f>
        <v>21248</v>
      </c>
      <c r="Y13" s="10">
        <f>X13+Y12-Y9</f>
        <v>19951</v>
      </c>
      <c r="Z13" s="9">
        <f>T13+Z12-Z9</f>
        <v>19951</v>
      </c>
      <c r="AA13" s="10">
        <f>Z13+AA12-AA9</f>
        <v>17169</v>
      </c>
      <c r="AB13" s="10">
        <f>AA13+AB12-AB9</f>
        <v>10562</v>
      </c>
      <c r="AC13" s="10">
        <f>AB13+AC12-AC9</f>
        <v>6467</v>
      </c>
      <c r="AD13" s="10">
        <f>AC13+AD12-AD9</f>
        <v>2261</v>
      </c>
      <c r="AE13" s="9">
        <f>Z13+AE12-AE9</f>
        <v>2261</v>
      </c>
      <c r="AF13" s="10">
        <f>AE13+AF12-AF9</f>
        <v>-67</v>
      </c>
      <c r="AG13" s="10">
        <f>AF13+AG12-AG9</f>
        <v>-4590</v>
      </c>
      <c r="AH13" s="10">
        <f>AG13+AH12-AH9</f>
        <v>-8913</v>
      </c>
      <c r="AI13" s="10">
        <f t="shared" ref="AI13:AJ13" si="5">AH13+AI12-AI9</f>
        <v>-13177</v>
      </c>
      <c r="AJ13" s="10">
        <f t="shared" si="5"/>
        <v>13160</v>
      </c>
      <c r="AK13" s="9">
        <f>AE13+AK12-AK9</f>
        <v>13160</v>
      </c>
      <c r="AL13" s="11">
        <f>T13+AL12-AL9</f>
        <v>13160</v>
      </c>
      <c r="AM13" s="93"/>
      <c r="AN13" s="94">
        <f t="shared" si="0"/>
        <v>0</v>
      </c>
      <c r="AO13" s="94">
        <f t="shared" si="1"/>
        <v>0</v>
      </c>
    </row>
    <row r="14" spans="1:41">
      <c r="A14" s="82"/>
      <c r="B14" s="3" t="s">
        <v>9</v>
      </c>
      <c r="C14" s="9"/>
      <c r="D14" s="9"/>
      <c r="E14" s="57">
        <f>E13/(SUM(F9+H9+J9+G9)/20)*1000</f>
        <v>0</v>
      </c>
      <c r="F14" s="57">
        <f>F13/(SUM(G9+K9+J9+H9)/20)*1000</f>
        <v>-9054.9706091337775</v>
      </c>
      <c r="G14" s="57">
        <f>G13/(SUM(H9+J9+K9+L9)/20)*1000</f>
        <v>20880.286031315496</v>
      </c>
      <c r="H14" s="57">
        <f>H13/(SUM(M9+J9+K9+L9)/20)*1000</f>
        <v>16076.277072677907</v>
      </c>
      <c r="I14" s="12"/>
      <c r="J14" s="57">
        <f>J13/(SUM(K9+M9+O9+L9)/20)*1000</f>
        <v>13071.729393676047</v>
      </c>
      <c r="K14" s="57">
        <f>K13/(SUM(L9+P9+O9+M9)/20)*1000</f>
        <v>7269.1292875989438</v>
      </c>
      <c r="L14" s="57">
        <f>L13/(SUM(M9+O9+P9+Q9)/20)*1000</f>
        <v>979.69264544456644</v>
      </c>
      <c r="M14" s="57">
        <f>M13/(SUM(R9+O9+P9+Q9)/20)*1000</f>
        <v>-4198.6486486486492</v>
      </c>
      <c r="N14" s="12"/>
      <c r="O14" s="57">
        <f>O13/(SUM(P9+R9+S9+Q9)/20)*1000</f>
        <v>-7023.1076777122717</v>
      </c>
      <c r="P14" s="57">
        <f>P13/(SUM(Q9+S9+V9+R9)/20)*1000</f>
        <v>-16659.473457056538</v>
      </c>
      <c r="Q14" s="57">
        <f>Q13/(SUM(R9+S9+W9+V9)/20)*1000</f>
        <v>-18287.973947429633</v>
      </c>
      <c r="R14" s="57">
        <f>R13/(SUM(T9+U9+V9+W9)/20)*1000</f>
        <v>-2823.269985417729</v>
      </c>
      <c r="S14" s="57">
        <f>S13/(SUM(S9+V9+W9+X9)/20)*1000</f>
        <v>85751.924721984615</v>
      </c>
      <c r="T14" s="12"/>
      <c r="U14" s="13"/>
      <c r="V14" s="57">
        <f>V13/(SUM(W9+Y9+AA9+X9)/20)*1000</f>
        <v>72058.823529411762</v>
      </c>
      <c r="W14" s="57">
        <f>V13/(SUM(X9+AA9+AB9+Y9)/20)*1000</f>
        <v>39681.081983636665</v>
      </c>
      <c r="X14" s="57">
        <f>W13/(SUM(Y9+AA9+AB9+AC9)/20)*1000</f>
        <v>30498.613084365064</v>
      </c>
      <c r="Y14" s="57">
        <f>X13/(SUM(AA9+AB9+AC9+AD9)/20)*1000</f>
        <v>24022.611644997174</v>
      </c>
      <c r="Z14" s="12"/>
      <c r="AA14" s="57">
        <f>AA13/(SUM(AB9+AD9+AF9+AC9)/20)*1000</f>
        <v>19922.255743792066</v>
      </c>
      <c r="AB14" s="57">
        <f>AB13/(SUM(AC9+AF9+AG9+AD9)/20)*1000</f>
        <v>13941.393875395986</v>
      </c>
      <c r="AC14" s="57">
        <f>AC13/(SUM(AD9+AF9+AG9+AH9)/20)*1000</f>
        <v>8409.6228868660601</v>
      </c>
      <c r="AD14" s="57">
        <f>AD13/(SUM(AF9+AG9+AH9+AI9)/20)*1000</f>
        <v>2929.1358984324397</v>
      </c>
      <c r="AE14" s="12"/>
      <c r="AF14" s="57">
        <f>AF13/(SUM(AG9+AI9+AJ9+AH9)/20)*1000</f>
        <v>-79.890299886722701</v>
      </c>
      <c r="AG14" s="57">
        <f>AG13/(SUM(AH9+AJ9+AM9+AI9)/20)*1000</f>
        <v>-7474.3527112848069</v>
      </c>
      <c r="AH14" s="57">
        <f>AH13/(SUM(AI9+AJ9+AN9+AM9)/20)*1000</f>
        <v>-85.380473802716793</v>
      </c>
      <c r="AI14" s="57">
        <f>AI13/(SUM(AK9+AL9+AM9+AN9)/20)*1000</f>
        <v>-123.09741763533756</v>
      </c>
      <c r="AJ14" s="57">
        <f>AJ13/(SUM(AJ9+AM9+AN9+AO9)/20)*1000</f>
        <v>76.86020233039433</v>
      </c>
      <c r="AK14" s="12"/>
      <c r="AL14" s="13"/>
      <c r="AM14" s="93"/>
      <c r="AN14" s="94">
        <f t="shared" si="0"/>
        <v>0</v>
      </c>
      <c r="AO14" s="94">
        <f t="shared" si="1"/>
        <v>0</v>
      </c>
    </row>
    <row r="15" spans="1:41">
      <c r="A15" s="165" t="s">
        <v>93</v>
      </c>
      <c r="B15" s="1" t="s">
        <v>5</v>
      </c>
      <c r="C15" s="9"/>
      <c r="D15" s="9"/>
      <c r="E15" s="10"/>
      <c r="F15" s="10">
        <v>-432</v>
      </c>
      <c r="G15" s="10">
        <v>273</v>
      </c>
      <c r="H15" s="10">
        <v>260</v>
      </c>
      <c r="I15" s="9">
        <f>SUM(E15:H15)</f>
        <v>101</v>
      </c>
      <c r="J15" s="10">
        <v>274</v>
      </c>
      <c r="K15" s="10">
        <v>274</v>
      </c>
      <c r="L15" s="10">
        <v>14</v>
      </c>
      <c r="M15" s="10">
        <v>19</v>
      </c>
      <c r="N15" s="9">
        <f>SUM(J15:M15)</f>
        <v>581</v>
      </c>
      <c r="O15" s="10">
        <v>0</v>
      </c>
      <c r="P15" s="10">
        <v>28</v>
      </c>
      <c r="Q15" s="10">
        <v>20</v>
      </c>
      <c r="R15" s="10">
        <v>38</v>
      </c>
      <c r="S15" s="10">
        <v>0</v>
      </c>
      <c r="T15" s="9">
        <f>SUM(O15:S15)</f>
        <v>86</v>
      </c>
      <c r="U15" s="11">
        <f>T15+N15+I15+D19</f>
        <v>768</v>
      </c>
      <c r="V15" s="10">
        <v>0</v>
      </c>
      <c r="W15" s="10">
        <v>0</v>
      </c>
      <c r="X15" s="10">
        <v>0</v>
      </c>
      <c r="Y15" s="10">
        <v>0</v>
      </c>
      <c r="Z15" s="9">
        <f>SUM(V15:Y15)</f>
        <v>0</v>
      </c>
      <c r="AA15" s="10">
        <v>274</v>
      </c>
      <c r="AB15" s="10">
        <v>274</v>
      </c>
      <c r="AC15" s="10">
        <v>14</v>
      </c>
      <c r="AD15" s="10">
        <v>19</v>
      </c>
      <c r="AE15" s="9">
        <f>SUM(AA15:AD15)</f>
        <v>581</v>
      </c>
      <c r="AF15" s="10">
        <v>0</v>
      </c>
      <c r="AG15" s="10">
        <v>28</v>
      </c>
      <c r="AH15" s="10">
        <v>20</v>
      </c>
      <c r="AI15" s="10">
        <v>38</v>
      </c>
      <c r="AJ15" s="10">
        <v>0</v>
      </c>
      <c r="AK15" s="9">
        <f>SUM(AF15:AJ15)</f>
        <v>86</v>
      </c>
      <c r="AL15" s="11">
        <f>AK15+AE15+Z15</f>
        <v>667</v>
      </c>
      <c r="AM15" s="94">
        <v>64</v>
      </c>
      <c r="AN15" s="94">
        <f t="shared" si="0"/>
        <v>49152</v>
      </c>
      <c r="AO15" s="94">
        <f t="shared" si="1"/>
        <v>42688</v>
      </c>
    </row>
    <row r="16" spans="1:41">
      <c r="A16" s="166"/>
      <c r="B16" s="3" t="s">
        <v>6</v>
      </c>
      <c r="C16" s="9"/>
      <c r="D16" s="9"/>
      <c r="E16" s="10"/>
      <c r="F16" s="10"/>
      <c r="G16" s="10"/>
      <c r="H16" s="10"/>
      <c r="I16" s="9">
        <f>SUM(E16:H16)</f>
        <v>0</v>
      </c>
      <c r="J16" s="10"/>
      <c r="K16" s="10"/>
      <c r="L16" s="10"/>
      <c r="M16" s="10"/>
      <c r="N16" s="9">
        <f>SUM(J16:M16)</f>
        <v>0</v>
      </c>
      <c r="O16" s="10"/>
      <c r="P16" s="10"/>
      <c r="Q16" s="10"/>
      <c r="R16" s="10"/>
      <c r="S16" s="10"/>
      <c r="T16" s="9">
        <f>SUM(O16:S16)</f>
        <v>0</v>
      </c>
      <c r="U16" s="11">
        <f>I16+N16+T16</f>
        <v>0</v>
      </c>
      <c r="V16" s="10"/>
      <c r="W16" s="10"/>
      <c r="X16" s="10"/>
      <c r="Y16" s="10"/>
      <c r="Z16" s="9">
        <f>SUM(V16:Y16)</f>
        <v>0</v>
      </c>
      <c r="AA16" s="10"/>
      <c r="AB16" s="10"/>
      <c r="AC16" s="10"/>
      <c r="AD16" s="10"/>
      <c r="AE16" s="9">
        <f>SUM(AA16:AD16)</f>
        <v>0</v>
      </c>
      <c r="AF16" s="10"/>
      <c r="AG16" s="10"/>
      <c r="AH16" s="10"/>
      <c r="AI16" s="10"/>
      <c r="AJ16" s="10"/>
      <c r="AK16" s="9">
        <f>SUM(AF16:AJ16)</f>
        <v>0</v>
      </c>
      <c r="AL16" s="11">
        <f>Z16+AE16+AK16</f>
        <v>0</v>
      </c>
      <c r="AM16" s="93"/>
      <c r="AN16" s="94">
        <f t="shared" si="0"/>
        <v>0</v>
      </c>
      <c r="AO16" s="94">
        <f t="shared" si="1"/>
        <v>0</v>
      </c>
    </row>
    <row r="17" spans="1:41">
      <c r="A17" s="166"/>
      <c r="B17" s="3" t="s">
        <v>10</v>
      </c>
      <c r="C17" s="9">
        <v>0</v>
      </c>
      <c r="D17" s="9"/>
      <c r="E17" s="10"/>
      <c r="F17" s="10"/>
      <c r="G17" s="10"/>
      <c r="H17" s="10"/>
      <c r="I17" s="9"/>
      <c r="J17" s="10"/>
      <c r="K17" s="10"/>
      <c r="L17" s="10"/>
      <c r="M17" s="10"/>
      <c r="N17" s="9"/>
      <c r="O17" s="10"/>
      <c r="P17" s="10"/>
      <c r="Q17" s="10"/>
      <c r="R17" s="10"/>
      <c r="S17" s="10"/>
      <c r="T17" s="9"/>
      <c r="U17" s="11"/>
      <c r="V17" s="10"/>
      <c r="W17" s="10"/>
      <c r="X17" s="10"/>
      <c r="Y17" s="10"/>
      <c r="Z17" s="9"/>
      <c r="AA17" s="10"/>
      <c r="AB17" s="10"/>
      <c r="AC17" s="10"/>
      <c r="AD17" s="10"/>
      <c r="AE17" s="9"/>
      <c r="AF17" s="10"/>
      <c r="AG17" s="10"/>
      <c r="AH17" s="10"/>
      <c r="AI17" s="10"/>
      <c r="AJ17" s="10"/>
      <c r="AK17" s="9"/>
      <c r="AL17" s="11"/>
      <c r="AM17" s="93"/>
      <c r="AN17" s="94">
        <f t="shared" si="0"/>
        <v>0</v>
      </c>
      <c r="AO17" s="94">
        <f t="shared" si="1"/>
        <v>0</v>
      </c>
    </row>
    <row r="18" spans="1:41">
      <c r="A18" s="166"/>
      <c r="B18" s="3" t="s">
        <v>7</v>
      </c>
      <c r="C18" s="9"/>
      <c r="D18" s="9"/>
      <c r="E18" s="10">
        <f>E17+E16</f>
        <v>0</v>
      </c>
      <c r="F18" s="10">
        <f>F17+F16</f>
        <v>0</v>
      </c>
      <c r="G18" s="10">
        <f>G17+G16</f>
        <v>0</v>
      </c>
      <c r="H18" s="10">
        <f>H17+H16</f>
        <v>0</v>
      </c>
      <c r="I18" s="9">
        <f>SUM(E18:H18)</f>
        <v>0</v>
      </c>
      <c r="J18" s="10">
        <f>J17+J16</f>
        <v>0</v>
      </c>
      <c r="K18" s="10">
        <f>K17+K16</f>
        <v>0</v>
      </c>
      <c r="L18" s="10">
        <f>L17+L16</f>
        <v>0</v>
      </c>
      <c r="M18" s="10">
        <f>M17+M16</f>
        <v>0</v>
      </c>
      <c r="N18" s="9">
        <f>SUM(J18:M18)</f>
        <v>0</v>
      </c>
      <c r="O18" s="10">
        <f>O17+O16</f>
        <v>0</v>
      </c>
      <c r="P18" s="10">
        <f>P17+P16</f>
        <v>0</v>
      </c>
      <c r="Q18" s="10">
        <f>Q17+Q16</f>
        <v>0</v>
      </c>
      <c r="R18" s="10">
        <f>R17+R16</f>
        <v>0</v>
      </c>
      <c r="S18" s="10">
        <f>S17+S16</f>
        <v>0</v>
      </c>
      <c r="T18" s="9">
        <f>SUM(O18:S18)</f>
        <v>0</v>
      </c>
      <c r="U18" s="11">
        <f>T18+N18+I18+D19</f>
        <v>0</v>
      </c>
      <c r="V18" s="10">
        <f>V17+V16</f>
        <v>0</v>
      </c>
      <c r="W18" s="10">
        <f>W17+W16</f>
        <v>0</v>
      </c>
      <c r="X18" s="10">
        <f>X17+X16</f>
        <v>0</v>
      </c>
      <c r="Y18" s="10">
        <f>Y17+Y16</f>
        <v>0</v>
      </c>
      <c r="Z18" s="9">
        <f>SUM(V18:Y18)</f>
        <v>0</v>
      </c>
      <c r="AA18" s="10">
        <f>AA17+AA16</f>
        <v>0</v>
      </c>
      <c r="AB18" s="10">
        <f>AB17+AB16</f>
        <v>0</v>
      </c>
      <c r="AC18" s="10">
        <f>AC17+AC16</f>
        <v>0</v>
      </c>
      <c r="AD18" s="10">
        <f>AD17+AD16</f>
        <v>0</v>
      </c>
      <c r="AE18" s="9">
        <f>SUM(AA18:AD18)</f>
        <v>0</v>
      </c>
      <c r="AF18" s="10">
        <f>AF17+AF16</f>
        <v>0</v>
      </c>
      <c r="AG18" s="10">
        <f>AG17+AG16</f>
        <v>0</v>
      </c>
      <c r="AH18" s="10">
        <f>AH17+AH16</f>
        <v>0</v>
      </c>
      <c r="AI18" s="10">
        <f>AI17+AI16</f>
        <v>0</v>
      </c>
      <c r="AJ18" s="10">
        <f>AJ17+AJ16</f>
        <v>0</v>
      </c>
      <c r="AK18" s="9">
        <f>SUM(AF18:AJ18)</f>
        <v>0</v>
      </c>
      <c r="AL18" s="11">
        <f>AK18+AE18+Z18</f>
        <v>0</v>
      </c>
      <c r="AM18" s="93"/>
      <c r="AN18" s="94">
        <f t="shared" si="0"/>
        <v>0</v>
      </c>
      <c r="AO18" s="94">
        <f t="shared" si="1"/>
        <v>0</v>
      </c>
    </row>
    <row r="19" spans="1:41">
      <c r="A19" s="167"/>
      <c r="B19" s="2" t="s">
        <v>8</v>
      </c>
      <c r="C19" s="65">
        <v>697</v>
      </c>
      <c r="D19" s="95"/>
      <c r="E19" s="81">
        <f>E18-E15</f>
        <v>0</v>
      </c>
      <c r="F19" s="10">
        <f>E19+F18-F15</f>
        <v>432</v>
      </c>
      <c r="G19" s="10">
        <f>F19+G18-G15</f>
        <v>159</v>
      </c>
      <c r="H19" s="10">
        <f>G19+H18-H15</f>
        <v>-101</v>
      </c>
      <c r="I19" s="9">
        <f>I18-I15</f>
        <v>-101</v>
      </c>
      <c r="J19" s="10">
        <f>I19+J18-J15</f>
        <v>-375</v>
      </c>
      <c r="K19" s="10">
        <f>J19+K18-K15</f>
        <v>-649</v>
      </c>
      <c r="L19" s="10">
        <f>K19+L18-L15</f>
        <v>-663</v>
      </c>
      <c r="M19" s="10">
        <f>L19+M18-M15</f>
        <v>-682</v>
      </c>
      <c r="N19" s="9">
        <f>I19+N18-N15</f>
        <v>-682</v>
      </c>
      <c r="O19" s="10">
        <f>N19+O18-O15</f>
        <v>-682</v>
      </c>
      <c r="P19" s="10">
        <f>O19+P18-P15</f>
        <v>-710</v>
      </c>
      <c r="Q19" s="10">
        <f>P19+Q18-Q15</f>
        <v>-730</v>
      </c>
      <c r="R19" s="10">
        <f t="shared" ref="R19" si="6">Q19+R18-R15</f>
        <v>-768</v>
      </c>
      <c r="S19" s="10">
        <f>R19+S18-S15</f>
        <v>-768</v>
      </c>
      <c r="T19" s="9">
        <f>N19+T18-T15</f>
        <v>-768</v>
      </c>
      <c r="U19" s="9">
        <f>U18-U15</f>
        <v>-768</v>
      </c>
      <c r="V19" s="10">
        <f>U19+V18-V15</f>
        <v>-768</v>
      </c>
      <c r="W19" s="10">
        <f>V19+W18-W15</f>
        <v>-768</v>
      </c>
      <c r="X19" s="10">
        <f>W19+X18-X15</f>
        <v>-768</v>
      </c>
      <c r="Y19" s="10">
        <f>X19+Y18-Y15</f>
        <v>-768</v>
      </c>
      <c r="Z19" s="9">
        <f>T19+Z18-Z15</f>
        <v>-768</v>
      </c>
      <c r="AA19" s="10">
        <f>Z19+AA18-AA15</f>
        <v>-1042</v>
      </c>
      <c r="AB19" s="10">
        <f>AA19+AB18-AB15</f>
        <v>-1316</v>
      </c>
      <c r="AC19" s="10">
        <f>AB19+AC18-AC15</f>
        <v>-1330</v>
      </c>
      <c r="AD19" s="10">
        <f>AC19+AD18-AD15</f>
        <v>-1349</v>
      </c>
      <c r="AE19" s="9">
        <f>Z19+AE18-AE15</f>
        <v>-1349</v>
      </c>
      <c r="AF19" s="10">
        <f>AE19+AF18-AF15</f>
        <v>-1349</v>
      </c>
      <c r="AG19" s="10">
        <f>AF19+AG18-AG15</f>
        <v>-1377</v>
      </c>
      <c r="AH19" s="10">
        <f>AG19+AH18-AH15</f>
        <v>-1397</v>
      </c>
      <c r="AI19" s="10">
        <f t="shared" ref="AI19:AJ19" si="7">AH19+AI18-AI15</f>
        <v>-1435</v>
      </c>
      <c r="AJ19" s="10">
        <f t="shared" si="7"/>
        <v>-1435</v>
      </c>
      <c r="AK19" s="9">
        <f>AE19+AK18-AK15</f>
        <v>-1435</v>
      </c>
      <c r="AL19" s="11">
        <f>T19+AL18-AL15</f>
        <v>-1435</v>
      </c>
      <c r="AM19" s="93"/>
      <c r="AN19" s="94">
        <f t="shared" si="0"/>
        <v>0</v>
      </c>
      <c r="AO19" s="94">
        <f t="shared" si="1"/>
        <v>0</v>
      </c>
    </row>
    <row r="20" spans="1:41">
      <c r="A20" s="82"/>
      <c r="B20" s="3" t="s">
        <v>9</v>
      </c>
      <c r="C20" s="9"/>
      <c r="D20" s="9"/>
      <c r="E20" s="57">
        <f>E19/(SUM(F15+H15+J15+G15)/20)*1000</f>
        <v>0</v>
      </c>
      <c r="F20" s="57">
        <f>F19/(SUM(G15+K15+J15+H15)/20)*1000</f>
        <v>7992.5994449583723</v>
      </c>
      <c r="G20" s="57">
        <f>G19/(SUM(H15+J15+K15+L15)/20)*1000</f>
        <v>3868.6131386861312</v>
      </c>
      <c r="H20" s="57">
        <f>H19/(SUM(M15+J15+K15+L15)/20)*1000</f>
        <v>-3476.7641996557659</v>
      </c>
      <c r="I20" s="12"/>
      <c r="J20" s="57">
        <f>J19/(SUM(K15+M15+O15+L15)/20)*1000</f>
        <v>-24429.9674267101</v>
      </c>
      <c r="K20" s="57">
        <f>K19/(SUM(L15+P15+O15+M15)/20)*1000</f>
        <v>-212786.88524590165</v>
      </c>
      <c r="L20" s="57">
        <f>L19/(SUM(M15+O15+P15+Q15)/20)*1000</f>
        <v>-197910.44776119402</v>
      </c>
      <c r="M20" s="57">
        <f>M19/(SUM(R15+O15+P15+Q15)/20)*1000</f>
        <v>-158604.65116279072</v>
      </c>
      <c r="N20" s="12"/>
      <c r="O20" s="57">
        <f>O19/(SUM(P15+R15+S15+Q15)/20)*1000</f>
        <v>-158604.65116279072</v>
      </c>
      <c r="P20" s="57">
        <f>P19/(SUM(Q15+S15+V15+R15)/20)*1000</f>
        <v>-244827.58620689658</v>
      </c>
      <c r="Q20" s="57">
        <f>Q19/(SUM(R15+S15+W15+V15)/20)*1000</f>
        <v>-384210.5263157895</v>
      </c>
      <c r="R20" s="57">
        <f>R19/(SUM(T15+U15+V15+W15)/20)*1000</f>
        <v>-17985.948477751754</v>
      </c>
      <c r="S20" s="57" t="e">
        <f>S19/(SUM(S15+V15+W15+X15)/20)*1000</f>
        <v>#DIV/0!</v>
      </c>
      <c r="T20" s="12"/>
      <c r="U20" s="13"/>
      <c r="V20" s="57">
        <f>V19/(SUM(W15+Y15+AA15+X15)/20)*1000</f>
        <v>-56058.394160583943</v>
      </c>
      <c r="W20" s="57">
        <f>V19/(SUM(X15+AA15+AB15+Y15)/20)*1000</f>
        <v>-28029.197080291971</v>
      </c>
      <c r="X20" s="57">
        <f>W19/(SUM(Y15+AA15+AB15+AC15)/20)*1000</f>
        <v>-27330.960854092526</v>
      </c>
      <c r="Y20" s="57">
        <f>X19/(SUM(AA15+AB15+AC15+AD15)/20)*1000</f>
        <v>-26437.177280550775</v>
      </c>
      <c r="Z20" s="12"/>
      <c r="AA20" s="57">
        <f>AA19/(SUM(AB15+AD15+AF15+AC15)/20)*1000</f>
        <v>-67882.736156351792</v>
      </c>
      <c r="AB20" s="57">
        <f>AB19/(SUM(AC15+AF15+AG15+AD15)/20)*1000</f>
        <v>-431475.40983606561</v>
      </c>
      <c r="AC20" s="57">
        <f>AC19/(SUM(AD15+AF15+AG15+AH15)/20)*1000</f>
        <v>-397014.92537313432</v>
      </c>
      <c r="AD20" s="57">
        <f>AD19/(SUM(AF15+AG15+AH15+AI15)/20)*1000</f>
        <v>-313720.93023255817</v>
      </c>
      <c r="AE20" s="12"/>
      <c r="AF20" s="57">
        <f>AF19/(SUM(AG15+AI15+AJ15+AH15)/20)*1000</f>
        <v>-313720.93023255817</v>
      </c>
      <c r="AG20" s="57">
        <f>AG19/(SUM(AH15+AJ15+AM15+AI15)/20)*1000</f>
        <v>-225737.7049180328</v>
      </c>
      <c r="AH20" s="57">
        <f>AH19/(SUM(AI15+AJ15+AN15+AM15)/20)*1000</f>
        <v>-567.26357250172578</v>
      </c>
      <c r="AI20" s="57">
        <f>AI19/(SUM(AK15+AL15+AM15+AN15)/20)*1000</f>
        <v>-574.35610078248521</v>
      </c>
      <c r="AJ20" s="57">
        <f>AJ19/(SUM(AJ15+AM15+AN15+AO15)/20)*1000</f>
        <v>-312.28238161559892</v>
      </c>
      <c r="AK20" s="12"/>
      <c r="AL20" s="13"/>
      <c r="AM20" s="93"/>
      <c r="AN20" s="94">
        <f t="shared" si="0"/>
        <v>0</v>
      </c>
      <c r="AO20" s="94">
        <f t="shared" si="1"/>
        <v>0</v>
      </c>
    </row>
    <row r="21" spans="1:41">
      <c r="A21" s="165" t="s">
        <v>12</v>
      </c>
      <c r="B21" s="1" t="s">
        <v>5</v>
      </c>
      <c r="C21" s="9"/>
      <c r="D21" s="9"/>
      <c r="E21" s="10">
        <v>10000</v>
      </c>
      <c r="F21" s="10">
        <v>19664</v>
      </c>
      <c r="G21" s="10">
        <v>12243</v>
      </c>
      <c r="H21" s="10">
        <v>9174</v>
      </c>
      <c r="I21" s="9">
        <f>SUM(E21:H21)</f>
        <v>51081</v>
      </c>
      <c r="J21" s="10">
        <v>11158</v>
      </c>
      <c r="K21" s="10">
        <v>18263</v>
      </c>
      <c r="L21" s="10">
        <v>19501</v>
      </c>
      <c r="M21" s="10">
        <v>15988</v>
      </c>
      <c r="N21" s="9">
        <f>SUM(J21:M21)</f>
        <v>64910</v>
      </c>
      <c r="O21" s="10">
        <v>8171</v>
      </c>
      <c r="P21" s="10">
        <v>38265</v>
      </c>
      <c r="Q21" s="10">
        <v>53460</v>
      </c>
      <c r="R21" s="10">
        <v>29250</v>
      </c>
      <c r="S21" s="10">
        <v>6455</v>
      </c>
      <c r="T21" s="9">
        <f>SUM(O21:S21)</f>
        <v>135601</v>
      </c>
      <c r="U21" s="11">
        <f>T21+N21+I21+D25</f>
        <v>288530</v>
      </c>
      <c r="V21" s="10">
        <v>3402</v>
      </c>
      <c r="W21" s="10">
        <v>3490</v>
      </c>
      <c r="X21" s="10">
        <v>3522</v>
      </c>
      <c r="Y21" s="10">
        <v>3543</v>
      </c>
      <c r="Z21" s="9">
        <f>SUM(V21:Y21)</f>
        <v>13957</v>
      </c>
      <c r="AA21" s="10">
        <v>10633</v>
      </c>
      <c r="AB21" s="10">
        <v>23427</v>
      </c>
      <c r="AC21" s="10">
        <v>19182</v>
      </c>
      <c r="AD21" s="10">
        <v>17075</v>
      </c>
      <c r="AE21" s="9">
        <f>SUM(AA21:AD21)</f>
        <v>70317</v>
      </c>
      <c r="AF21" s="10">
        <v>9275</v>
      </c>
      <c r="AG21" s="10">
        <v>38310</v>
      </c>
      <c r="AH21" s="10">
        <v>48682</v>
      </c>
      <c r="AI21" s="10">
        <v>30252</v>
      </c>
      <c r="AJ21" s="10">
        <v>11829</v>
      </c>
      <c r="AK21" s="9">
        <f>SUM(AF21:AJ21)</f>
        <v>138348</v>
      </c>
      <c r="AL21" s="11">
        <f>AK21+AE21+Z21</f>
        <v>222622</v>
      </c>
      <c r="AM21" s="94">
        <v>64</v>
      </c>
      <c r="AN21" s="94">
        <f t="shared" si="0"/>
        <v>18465920</v>
      </c>
      <c r="AO21" s="94">
        <f t="shared" si="1"/>
        <v>14247808</v>
      </c>
    </row>
    <row r="22" spans="1:41">
      <c r="A22" s="166"/>
      <c r="B22" s="3" t="s">
        <v>6</v>
      </c>
      <c r="C22" s="9"/>
      <c r="D22" s="9"/>
      <c r="E22" s="10">
        <v>10000</v>
      </c>
      <c r="F22" s="10"/>
      <c r="G22" s="10">
        <v>78918</v>
      </c>
      <c r="H22" s="10"/>
      <c r="I22" s="9">
        <f>SUM(E22:H22)</f>
        <v>88918</v>
      </c>
      <c r="J22" s="10"/>
      <c r="K22" s="10"/>
      <c r="L22" s="10"/>
      <c r="M22" s="10">
        <v>15000</v>
      </c>
      <c r="N22" s="9">
        <f>SUM(J22:M22)</f>
        <v>15000</v>
      </c>
      <c r="O22" s="10"/>
      <c r="P22" s="10"/>
      <c r="Q22" s="96">
        <v>15000</v>
      </c>
      <c r="R22" s="10"/>
      <c r="S22" s="97">
        <v>200000</v>
      </c>
      <c r="T22" s="9">
        <f>SUM(O22:S22)</f>
        <v>215000</v>
      </c>
      <c r="U22" s="11">
        <f>I22+N22+T22</f>
        <v>318918</v>
      </c>
      <c r="V22" s="10"/>
      <c r="W22" s="10"/>
      <c r="X22" s="10"/>
      <c r="Y22" s="10"/>
      <c r="Z22" s="9">
        <f>SUM(V22:Y22)</f>
        <v>0</v>
      </c>
      <c r="AA22" s="10"/>
      <c r="AB22" s="10"/>
      <c r="AC22" s="10"/>
      <c r="AD22" s="10">
        <v>15000</v>
      </c>
      <c r="AE22" s="9">
        <f>SUM(AA22:AD22)</f>
        <v>15000</v>
      </c>
      <c r="AF22" s="10"/>
      <c r="AG22" s="10"/>
      <c r="AH22" s="10"/>
      <c r="AI22" s="10"/>
      <c r="AJ22" s="97">
        <v>155000</v>
      </c>
      <c r="AK22" s="9">
        <f>SUM(AF22:AJ22)</f>
        <v>155000</v>
      </c>
      <c r="AL22" s="11">
        <f>Z22+AE22+AK22</f>
        <v>170000</v>
      </c>
      <c r="AM22" s="93"/>
      <c r="AN22" s="94">
        <f t="shared" si="0"/>
        <v>0</v>
      </c>
      <c r="AO22" s="94">
        <f t="shared" si="1"/>
        <v>0</v>
      </c>
    </row>
    <row r="23" spans="1:41">
      <c r="A23" s="166"/>
      <c r="B23" s="3" t="s">
        <v>10</v>
      </c>
      <c r="C23" s="9">
        <v>29957</v>
      </c>
      <c r="D23" s="9"/>
      <c r="E23" s="10"/>
      <c r="F23" s="10">
        <v>29957</v>
      </c>
      <c r="G23" s="10"/>
      <c r="H23" s="10"/>
      <c r="I23" s="9"/>
      <c r="J23" s="10"/>
      <c r="K23" s="10"/>
      <c r="L23" s="10"/>
      <c r="M23" s="10"/>
      <c r="N23" s="9"/>
      <c r="O23" s="10"/>
      <c r="P23" s="10"/>
      <c r="Q23" s="10"/>
      <c r="R23" s="10"/>
      <c r="S23" s="10"/>
      <c r="T23" s="9"/>
      <c r="U23" s="11"/>
      <c r="V23" s="10"/>
      <c r="W23" s="10"/>
      <c r="X23" s="10"/>
      <c r="Y23" s="10"/>
      <c r="Z23" s="9"/>
      <c r="AA23" s="10"/>
      <c r="AB23" s="10"/>
      <c r="AC23" s="10"/>
      <c r="AD23" s="10"/>
      <c r="AE23" s="9"/>
      <c r="AF23" s="10"/>
      <c r="AG23" s="10"/>
      <c r="AH23" s="10"/>
      <c r="AI23" s="10"/>
      <c r="AJ23" s="10"/>
      <c r="AK23" s="9"/>
      <c r="AL23" s="11"/>
      <c r="AM23" s="93"/>
      <c r="AN23" s="94">
        <f t="shared" si="0"/>
        <v>0</v>
      </c>
      <c r="AO23" s="94">
        <f t="shared" si="1"/>
        <v>0</v>
      </c>
    </row>
    <row r="24" spans="1:41">
      <c r="A24" s="166"/>
      <c r="B24" s="3" t="s">
        <v>7</v>
      </c>
      <c r="C24" s="9"/>
      <c r="D24" s="9"/>
      <c r="E24" s="10">
        <f>E23+E22</f>
        <v>10000</v>
      </c>
      <c r="F24" s="10">
        <f>F23+F22</f>
        <v>29957</v>
      </c>
      <c r="G24" s="10">
        <f>G23+G22</f>
        <v>78918</v>
      </c>
      <c r="H24" s="10">
        <f>H23+H22</f>
        <v>0</v>
      </c>
      <c r="I24" s="9">
        <f>SUM(E24:H24)</f>
        <v>118875</v>
      </c>
      <c r="J24" s="10">
        <f>J23+J22</f>
        <v>0</v>
      </c>
      <c r="K24" s="10">
        <f>K23+K22</f>
        <v>0</v>
      </c>
      <c r="L24" s="10">
        <f>L23+L22</f>
        <v>0</v>
      </c>
      <c r="M24" s="10">
        <f>M23+M22</f>
        <v>15000</v>
      </c>
      <c r="N24" s="9">
        <f>SUM(J24:M24)</f>
        <v>15000</v>
      </c>
      <c r="O24" s="10">
        <f>O23+O22</f>
        <v>0</v>
      </c>
      <c r="P24" s="10">
        <f>P23+P22</f>
        <v>0</v>
      </c>
      <c r="Q24" s="10">
        <f>Q23+Q22</f>
        <v>15000</v>
      </c>
      <c r="R24" s="10">
        <f>R23+R22</f>
        <v>0</v>
      </c>
      <c r="S24" s="10">
        <f>S23+S22</f>
        <v>200000</v>
      </c>
      <c r="T24" s="9">
        <f>SUM(O24:S24)</f>
        <v>215000</v>
      </c>
      <c r="U24" s="11">
        <f>T24+N24+I24+D25</f>
        <v>385813</v>
      </c>
      <c r="V24" s="10">
        <f>V23+V22</f>
        <v>0</v>
      </c>
      <c r="W24" s="10">
        <f>W23+W22</f>
        <v>0</v>
      </c>
      <c r="X24" s="10">
        <f>X23+X22</f>
        <v>0</v>
      </c>
      <c r="Y24" s="10">
        <f>Y23+Y22</f>
        <v>0</v>
      </c>
      <c r="Z24" s="9">
        <f>SUM(V24:Y24)</f>
        <v>0</v>
      </c>
      <c r="AA24" s="10">
        <f>AA23+AA22</f>
        <v>0</v>
      </c>
      <c r="AB24" s="10">
        <f>AB23+AB22</f>
        <v>0</v>
      </c>
      <c r="AC24" s="10">
        <f>AC23+AC22</f>
        <v>0</v>
      </c>
      <c r="AD24" s="10">
        <f>AD23+AD22</f>
        <v>15000</v>
      </c>
      <c r="AE24" s="9">
        <f>SUM(AA24:AD24)</f>
        <v>15000</v>
      </c>
      <c r="AF24" s="10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10">
        <f>AJ23+AJ22</f>
        <v>155000</v>
      </c>
      <c r="AK24" s="9">
        <f>SUM(AF24:AJ24)</f>
        <v>155000</v>
      </c>
      <c r="AL24" s="11">
        <f>AK24+AE24+Z24</f>
        <v>170000</v>
      </c>
      <c r="AM24" s="93"/>
      <c r="AN24" s="94">
        <f t="shared" si="0"/>
        <v>0</v>
      </c>
      <c r="AO24" s="94">
        <f t="shared" si="1"/>
        <v>0</v>
      </c>
    </row>
    <row r="25" spans="1:41">
      <c r="A25" s="167"/>
      <c r="B25" s="2" t="s">
        <v>8</v>
      </c>
      <c r="C25" s="65">
        <v>71571</v>
      </c>
      <c r="D25" s="95">
        <v>36938</v>
      </c>
      <c r="E25" s="81">
        <f>E24-E21</f>
        <v>0</v>
      </c>
      <c r="F25" s="10">
        <f>E25+F24-F21</f>
        <v>10293</v>
      </c>
      <c r="G25" s="10">
        <f>F25+G24-G21</f>
        <v>76968</v>
      </c>
      <c r="H25" s="10">
        <f>G25+H24-H21</f>
        <v>67794</v>
      </c>
      <c r="I25" s="9">
        <f>I24-I21</f>
        <v>67794</v>
      </c>
      <c r="J25" s="10">
        <f>I25+J24-J21</f>
        <v>56636</v>
      </c>
      <c r="K25" s="10">
        <f>J25+K24-K21</f>
        <v>38373</v>
      </c>
      <c r="L25" s="10">
        <f>K25+L24-L21</f>
        <v>18872</v>
      </c>
      <c r="M25" s="10">
        <f>L25+M24-M21</f>
        <v>17884</v>
      </c>
      <c r="N25" s="9">
        <f>I25+N24-N21</f>
        <v>17884</v>
      </c>
      <c r="O25" s="10">
        <f>N25+O24-O21</f>
        <v>9713</v>
      </c>
      <c r="P25" s="10">
        <f>O25+P24-P21</f>
        <v>-28552</v>
      </c>
      <c r="Q25" s="10">
        <f>P25+Q24-Q21</f>
        <v>-67012</v>
      </c>
      <c r="R25" s="10">
        <f t="shared" ref="R25" si="8">Q25+R24-R21</f>
        <v>-96262</v>
      </c>
      <c r="S25" s="10">
        <f>R25+S24-S21</f>
        <v>97283</v>
      </c>
      <c r="T25" s="9">
        <f>N25+T24-T21</f>
        <v>97283</v>
      </c>
      <c r="U25" s="9">
        <f>U24-U21</f>
        <v>97283</v>
      </c>
      <c r="V25" s="10">
        <f>U25+V24-V21</f>
        <v>93881</v>
      </c>
      <c r="W25" s="10">
        <f>V25+W24-W21</f>
        <v>90391</v>
      </c>
      <c r="X25" s="10">
        <f>W25+X24-X21</f>
        <v>86869</v>
      </c>
      <c r="Y25" s="10">
        <f>X25+Y24-Y21</f>
        <v>83326</v>
      </c>
      <c r="Z25" s="9">
        <f>T25+Z24-Z21</f>
        <v>83326</v>
      </c>
      <c r="AA25" s="10">
        <f>Z25+AA24-AA21</f>
        <v>72693</v>
      </c>
      <c r="AB25" s="10">
        <f>AA25+AB24-AB21</f>
        <v>49266</v>
      </c>
      <c r="AC25" s="10">
        <f>AB25+AC24-AC21</f>
        <v>30084</v>
      </c>
      <c r="AD25" s="10">
        <f>AC25+AD24-AD21</f>
        <v>28009</v>
      </c>
      <c r="AE25" s="9">
        <f>Z25+AE24-AE21</f>
        <v>28009</v>
      </c>
      <c r="AF25" s="10">
        <f>AE25+AF24-AF21</f>
        <v>18734</v>
      </c>
      <c r="AG25" s="10">
        <f>AF25+AG24-AG21</f>
        <v>-19576</v>
      </c>
      <c r="AH25" s="10">
        <f>AG25+AH24-AH21</f>
        <v>-68258</v>
      </c>
      <c r="AI25" s="10">
        <f t="shared" ref="AI25:AJ25" si="9">AH25+AI24-AI21</f>
        <v>-98510</v>
      </c>
      <c r="AJ25" s="10">
        <f t="shared" si="9"/>
        <v>44661</v>
      </c>
      <c r="AK25" s="9">
        <f>AE25+AK24-AK21</f>
        <v>44661</v>
      </c>
      <c r="AL25" s="11">
        <f>T25+AL24-AL21</f>
        <v>44661</v>
      </c>
      <c r="AM25" s="93"/>
      <c r="AN25" s="94">
        <f t="shared" si="0"/>
        <v>0</v>
      </c>
      <c r="AO25" s="94">
        <f t="shared" si="1"/>
        <v>0</v>
      </c>
    </row>
    <row r="26" spans="1:41">
      <c r="A26" s="82"/>
      <c r="B26" s="3" t="s">
        <v>9</v>
      </c>
      <c r="C26" s="9"/>
      <c r="D26" s="9"/>
      <c r="E26" s="57">
        <f>E25/(SUM(F21+H21+J21+G21)/20)*1000</f>
        <v>0</v>
      </c>
      <c r="F26" s="57">
        <f>F25/(SUM(G21+K21+J21+H21)/20)*1000</f>
        <v>4049.3331759707303</v>
      </c>
      <c r="G26" s="57">
        <f>G25/(SUM(H21+J21+K21+L21)/20)*1000</f>
        <v>26496.832828421921</v>
      </c>
      <c r="H26" s="57">
        <f>H25/(SUM(M21+J21+K21+L21)/20)*1000</f>
        <v>20888.615005392083</v>
      </c>
      <c r="I26" s="12"/>
      <c r="J26" s="57">
        <f>J25/(SUM(K21+M21+O21+L21)/20)*1000</f>
        <v>18292.395394279993</v>
      </c>
      <c r="K26" s="57">
        <f>K25/(SUM(L21+P21+O21+M21)/20)*1000</f>
        <v>9367.8364357644186</v>
      </c>
      <c r="L26" s="57">
        <f>L25/(SUM(M21+O21+P21+Q21)/20)*1000</f>
        <v>3257.0501536018778</v>
      </c>
      <c r="M26" s="57">
        <f>M25/(SUM(R21+O21+P21+Q21)/20)*1000</f>
        <v>2769.5786164495994</v>
      </c>
      <c r="N26" s="12"/>
      <c r="O26" s="57">
        <f>O25/(SUM(P21+R21+S21+Q21)/20)*1000</f>
        <v>1524.4447932198068</v>
      </c>
      <c r="P26" s="57">
        <f>P25/(SUM(Q21+S21+V21+R21)/20)*1000</f>
        <v>-6168.9370942128398</v>
      </c>
      <c r="Q26" s="57">
        <f>Q25/(SUM(R21+S21+W21+V21)/20)*1000</f>
        <v>-31463.248585581143</v>
      </c>
      <c r="R26" s="57">
        <f>R25/(SUM(T21+U21+V21+W21)/20)*1000</f>
        <v>-4466.6757922431052</v>
      </c>
      <c r="S26" s="57">
        <f>S25/(SUM(S21+V21+W21+X21)/20)*1000</f>
        <v>115339.37992767798</v>
      </c>
      <c r="T26" s="12"/>
      <c r="U26" s="13"/>
      <c r="V26" s="57">
        <f>V25/(SUM(W21+Y21+AA21+X21)/20)*1000</f>
        <v>88617.141778365112</v>
      </c>
      <c r="W26" s="57">
        <f>V25/(SUM(X21+AA21+AB21+Y21)/20)*1000</f>
        <v>45656.413373860181</v>
      </c>
      <c r="X26" s="57">
        <f>W25/(SUM(Y21+AA21+AB21+AC21)/20)*1000</f>
        <v>31836.224355023332</v>
      </c>
      <c r="Y26" s="57">
        <f>X25/(SUM(AA21+AB21+AC21+AD21)/20)*1000</f>
        <v>24707.823143763242</v>
      </c>
      <c r="Z26" s="12"/>
      <c r="AA26" s="57">
        <f>AA25/(SUM(AB21+AD21+AF21+AC21)/20)*1000</f>
        <v>21082.962339941125</v>
      </c>
      <c r="AB26" s="57">
        <f>AB25/(SUM(AC21+AF21+AG21+AD21)/20)*1000</f>
        <v>11752.105150163403</v>
      </c>
      <c r="AC26" s="57">
        <f>AC25/(SUM(AD21+AF21+AG21+AH21)/20)*1000</f>
        <v>5308.5352296589081</v>
      </c>
      <c r="AD26" s="57">
        <f>AD25/(SUM(AF21+AG21+AH21+AI21)/20)*1000</f>
        <v>4427.6353749239242</v>
      </c>
      <c r="AE26" s="12"/>
      <c r="AF26" s="57">
        <f>AF25/(SUM(AG21+AI21+AJ21+AH21)/20)*1000</f>
        <v>2902.8534240313625</v>
      </c>
      <c r="AG26" s="57">
        <f>AG25/(SUM(AH21+AJ21+AM21+AI21)/20)*1000</f>
        <v>-4310.6124830722138</v>
      </c>
      <c r="AH26" s="57">
        <f>AH25/(SUM(AI21+AJ21+AN21+AM21)/20)*1000</f>
        <v>-73.760276938729149</v>
      </c>
      <c r="AI26" s="57">
        <f>AI25/(SUM(AK21+AL21+AM21+AN21)/20)*1000</f>
        <v>-104.64783628833426</v>
      </c>
      <c r="AJ26" s="57">
        <f>AJ25/(SUM(AJ21+AM21+AN21+AO21)/20)*1000</f>
        <v>27.294210856991835</v>
      </c>
      <c r="AK26" s="12"/>
      <c r="AL26" s="13"/>
      <c r="AM26" s="93"/>
      <c r="AN26" s="94">
        <f t="shared" si="0"/>
        <v>0</v>
      </c>
      <c r="AO26" s="94">
        <f t="shared" si="1"/>
        <v>0</v>
      </c>
    </row>
    <row r="27" spans="1:41">
      <c r="A27" s="165" t="s">
        <v>13</v>
      </c>
      <c r="B27" s="1" t="s">
        <v>5</v>
      </c>
      <c r="C27" s="9"/>
      <c r="D27" s="9"/>
      <c r="E27" s="10"/>
      <c r="F27" s="10">
        <v>133</v>
      </c>
      <c r="G27" s="10">
        <v>360</v>
      </c>
      <c r="H27" s="10">
        <v>270</v>
      </c>
      <c r="I27" s="9">
        <f>SUM(E27:H27)</f>
        <v>763</v>
      </c>
      <c r="J27" s="10">
        <v>88</v>
      </c>
      <c r="K27" s="10">
        <v>90</v>
      </c>
      <c r="L27" s="10">
        <v>360</v>
      </c>
      <c r="M27" s="10">
        <v>180</v>
      </c>
      <c r="N27" s="9">
        <f>SUM(J27:M27)</f>
        <v>718</v>
      </c>
      <c r="O27" s="10">
        <v>0</v>
      </c>
      <c r="P27" s="10">
        <v>270</v>
      </c>
      <c r="Q27" s="10">
        <v>270</v>
      </c>
      <c r="R27" s="10">
        <v>0</v>
      </c>
      <c r="S27" s="10">
        <v>0</v>
      </c>
      <c r="T27" s="9">
        <f>SUM(O27:S27)</f>
        <v>540</v>
      </c>
      <c r="U27" s="11">
        <f>T27+N27+I27+D31</f>
        <v>2021</v>
      </c>
      <c r="V27" s="10">
        <v>0</v>
      </c>
      <c r="W27" s="10">
        <v>0</v>
      </c>
      <c r="X27" s="10">
        <v>0</v>
      </c>
      <c r="Y27" s="10">
        <v>0</v>
      </c>
      <c r="Z27" s="9">
        <f>SUM(V27:Y27)</f>
        <v>0</v>
      </c>
      <c r="AA27" s="10">
        <v>147</v>
      </c>
      <c r="AB27" s="10">
        <v>150</v>
      </c>
      <c r="AC27" s="10">
        <v>600</v>
      </c>
      <c r="AD27" s="10">
        <v>300</v>
      </c>
      <c r="AE27" s="9">
        <f>SUM(AA27:AD27)</f>
        <v>1197</v>
      </c>
      <c r="AF27" s="10">
        <v>0</v>
      </c>
      <c r="AG27" s="10">
        <v>450</v>
      </c>
      <c r="AH27" s="10">
        <v>450</v>
      </c>
      <c r="AI27" s="10">
        <v>0</v>
      </c>
      <c r="AJ27" s="10">
        <v>0</v>
      </c>
      <c r="AK27" s="9">
        <f>SUM(AF27:AJ27)</f>
        <v>900</v>
      </c>
      <c r="AL27" s="11">
        <f>AK27+AE27+Z27</f>
        <v>2097</v>
      </c>
      <c r="AM27" s="94">
        <v>128</v>
      </c>
      <c r="AN27" s="94">
        <f t="shared" si="0"/>
        <v>258688</v>
      </c>
      <c r="AO27" s="94">
        <f t="shared" si="1"/>
        <v>268416</v>
      </c>
    </row>
    <row r="28" spans="1:41">
      <c r="A28" s="166"/>
      <c r="B28" s="3" t="s">
        <v>6</v>
      </c>
      <c r="C28" s="9"/>
      <c r="D28" s="9"/>
      <c r="E28" s="10"/>
      <c r="F28" s="10"/>
      <c r="G28" s="10"/>
      <c r="H28" s="10"/>
      <c r="I28" s="9">
        <f>SUM(E28:H28)</f>
        <v>0</v>
      </c>
      <c r="J28" s="10"/>
      <c r="K28" s="10"/>
      <c r="L28" s="10"/>
      <c r="M28" s="10"/>
      <c r="N28" s="9">
        <f>SUM(J28:M28)</f>
        <v>0</v>
      </c>
      <c r="O28" s="10"/>
      <c r="P28" s="10"/>
      <c r="Q28" s="10"/>
      <c r="R28" s="10"/>
      <c r="S28" s="10"/>
      <c r="T28" s="9">
        <f>SUM(O28:S28)</f>
        <v>0</v>
      </c>
      <c r="U28" s="11">
        <f>I28+N28+T28</f>
        <v>0</v>
      </c>
      <c r="V28" s="10"/>
      <c r="W28" s="10"/>
      <c r="X28" s="10"/>
      <c r="Y28" s="10"/>
      <c r="Z28" s="9">
        <f>SUM(V28:Y28)</f>
        <v>0</v>
      </c>
      <c r="AA28" s="10"/>
      <c r="AB28" s="10"/>
      <c r="AC28" s="10"/>
      <c r="AD28" s="10"/>
      <c r="AE28" s="9">
        <f>SUM(AA28:AD28)</f>
        <v>0</v>
      </c>
      <c r="AF28" s="10"/>
      <c r="AG28" s="10"/>
      <c r="AH28" s="10"/>
      <c r="AI28" s="10"/>
      <c r="AJ28" s="10"/>
      <c r="AK28" s="9">
        <f>SUM(AF28:AJ28)</f>
        <v>0</v>
      </c>
      <c r="AL28" s="11">
        <f>Z28+AE28+AK28</f>
        <v>0</v>
      </c>
      <c r="AM28" s="93"/>
      <c r="AN28" s="94">
        <f t="shared" si="0"/>
        <v>0</v>
      </c>
      <c r="AO28" s="94">
        <f t="shared" si="1"/>
        <v>0</v>
      </c>
    </row>
    <row r="29" spans="1:41">
      <c r="A29" s="166"/>
      <c r="B29" s="3" t="s">
        <v>10</v>
      </c>
      <c r="C29" s="9">
        <v>0</v>
      </c>
      <c r="D29" s="9"/>
      <c r="E29" s="10"/>
      <c r="F29" s="10"/>
      <c r="G29" s="10"/>
      <c r="H29" s="10"/>
      <c r="I29" s="9"/>
      <c r="J29" s="10"/>
      <c r="K29" s="10"/>
      <c r="L29" s="10"/>
      <c r="M29" s="10"/>
      <c r="N29" s="9"/>
      <c r="O29" s="10"/>
      <c r="P29" s="10"/>
      <c r="Q29" s="10"/>
      <c r="R29" s="10"/>
      <c r="S29" s="10"/>
      <c r="T29" s="9"/>
      <c r="U29" s="11"/>
      <c r="V29" s="10"/>
      <c r="W29" s="10"/>
      <c r="X29" s="10"/>
      <c r="Y29" s="10"/>
      <c r="Z29" s="9"/>
      <c r="AA29" s="10"/>
      <c r="AB29" s="10"/>
      <c r="AC29" s="10"/>
      <c r="AD29" s="10"/>
      <c r="AE29" s="9"/>
      <c r="AF29" s="10"/>
      <c r="AG29" s="10"/>
      <c r="AH29" s="10"/>
      <c r="AI29" s="10"/>
      <c r="AJ29" s="10"/>
      <c r="AK29" s="9"/>
      <c r="AL29" s="11"/>
      <c r="AM29" s="93"/>
      <c r="AN29" s="94">
        <f t="shared" si="0"/>
        <v>0</v>
      </c>
      <c r="AO29" s="94">
        <f t="shared" si="1"/>
        <v>0</v>
      </c>
    </row>
    <row r="30" spans="1:41">
      <c r="A30" s="166"/>
      <c r="B30" s="3" t="s">
        <v>7</v>
      </c>
      <c r="C30" s="9"/>
      <c r="D30" s="9"/>
      <c r="E30" s="10">
        <f>E29+E28</f>
        <v>0</v>
      </c>
      <c r="F30" s="10">
        <f>F29+F28</f>
        <v>0</v>
      </c>
      <c r="G30" s="10">
        <f>G29+G28</f>
        <v>0</v>
      </c>
      <c r="H30" s="10">
        <f>H29+H28</f>
        <v>0</v>
      </c>
      <c r="I30" s="9">
        <f>SUM(E30:H30)</f>
        <v>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0</v>
      </c>
      <c r="N30" s="9">
        <f>SUM(J30:M30)</f>
        <v>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0</v>
      </c>
      <c r="V30" s="10">
        <f>V29+V28</f>
        <v>0</v>
      </c>
      <c r="W30" s="10">
        <f>W29+W28</f>
        <v>0</v>
      </c>
      <c r="X30" s="10">
        <f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93"/>
      <c r="AN30" s="94">
        <f t="shared" si="0"/>
        <v>0</v>
      </c>
      <c r="AO30" s="94">
        <f t="shared" si="1"/>
        <v>0</v>
      </c>
    </row>
    <row r="31" spans="1:41">
      <c r="A31" s="167"/>
      <c r="B31" s="2" t="s">
        <v>8</v>
      </c>
      <c r="C31" s="65">
        <v>105</v>
      </c>
      <c r="D31" s="95"/>
      <c r="E31" s="81">
        <f>E30-E27</f>
        <v>0</v>
      </c>
      <c r="F31" s="10">
        <f>E31+F30-F27</f>
        <v>-133</v>
      </c>
      <c r="G31" s="10">
        <f>F31+G30-G27</f>
        <v>-493</v>
      </c>
      <c r="H31" s="10">
        <f>G31+H30-H27</f>
        <v>-763</v>
      </c>
      <c r="I31" s="9">
        <f>I30-I27</f>
        <v>-763</v>
      </c>
      <c r="J31" s="10">
        <f>I31+J30-J27</f>
        <v>-851</v>
      </c>
      <c r="K31" s="10">
        <f>J31+K30-K27</f>
        <v>-941</v>
      </c>
      <c r="L31" s="10">
        <f>K31+L30-L27</f>
        <v>-1301</v>
      </c>
      <c r="M31" s="10">
        <f>L31+M30-M27</f>
        <v>-1481</v>
      </c>
      <c r="N31" s="9">
        <f>I31+N30-N27</f>
        <v>-1481</v>
      </c>
      <c r="O31" s="10">
        <f>N31+O30-O27</f>
        <v>-1481</v>
      </c>
      <c r="P31" s="10">
        <f>O31+P30-P27</f>
        <v>-1751</v>
      </c>
      <c r="Q31" s="10">
        <f>P31+Q30-Q27</f>
        <v>-2021</v>
      </c>
      <c r="R31" s="10">
        <f t="shared" ref="R31" si="10">Q31+R30-R27</f>
        <v>-2021</v>
      </c>
      <c r="S31" s="10">
        <f>R31+S30-S27</f>
        <v>-2021</v>
      </c>
      <c r="T31" s="9">
        <f>N31+T30-T27</f>
        <v>-2021</v>
      </c>
      <c r="U31" s="9">
        <f>U30-U27</f>
        <v>-2021</v>
      </c>
      <c r="V31" s="10">
        <f>U31+V30-V27</f>
        <v>-2021</v>
      </c>
      <c r="W31" s="10">
        <f>V31+W30-W27</f>
        <v>-2021</v>
      </c>
      <c r="X31" s="10">
        <f>W31+X30-X27</f>
        <v>-2021</v>
      </c>
      <c r="Y31" s="10">
        <f>X31+Y30-Y27</f>
        <v>-2021</v>
      </c>
      <c r="Z31" s="9">
        <f>T31+Z30-Z27</f>
        <v>-2021</v>
      </c>
      <c r="AA31" s="10">
        <f>Z31+AA30-AA27</f>
        <v>-2168</v>
      </c>
      <c r="AB31" s="10">
        <f>AA31+AB30-AB27</f>
        <v>-2318</v>
      </c>
      <c r="AC31" s="10">
        <f>AB31+AC30-AC27</f>
        <v>-2918</v>
      </c>
      <c r="AD31" s="10">
        <f>AC31+AD30-AD27</f>
        <v>-3218</v>
      </c>
      <c r="AE31" s="9">
        <f>Z31+AE30-AE27</f>
        <v>-3218</v>
      </c>
      <c r="AF31" s="10">
        <f>AE31+AF30-AF27</f>
        <v>-3218</v>
      </c>
      <c r="AG31" s="10">
        <f>AF31+AG30-AG27</f>
        <v>-3668</v>
      </c>
      <c r="AH31" s="10">
        <f>AG31+AH30-AH27</f>
        <v>-4118</v>
      </c>
      <c r="AI31" s="10">
        <f t="shared" ref="AI31:AJ31" si="11">AH31+AI30-AI27</f>
        <v>-4118</v>
      </c>
      <c r="AJ31" s="10">
        <f t="shared" si="11"/>
        <v>-4118</v>
      </c>
      <c r="AK31" s="9">
        <f>AE31+AK30-AK27</f>
        <v>-4118</v>
      </c>
      <c r="AL31" s="11">
        <f>T31+AL30-AL27</f>
        <v>-4118</v>
      </c>
      <c r="AM31" s="93"/>
      <c r="AN31" s="94">
        <f t="shared" si="0"/>
        <v>0</v>
      </c>
      <c r="AO31" s="94">
        <f t="shared" si="1"/>
        <v>0</v>
      </c>
    </row>
    <row r="32" spans="1:41">
      <c r="A32" s="82"/>
      <c r="B32" s="3" t="s">
        <v>9</v>
      </c>
      <c r="C32" s="9"/>
      <c r="D32" s="9"/>
      <c r="E32" s="57">
        <f>E31/(SUM(F27+H27+J27+G27)/20)*1000</f>
        <v>0</v>
      </c>
      <c r="F32" s="57">
        <f>F31/(SUM(G27+K27+J27+H27)/20)*1000</f>
        <v>-3292.0792079207922</v>
      </c>
      <c r="G32" s="57">
        <f>G31/(SUM(H27+J27+K27+L27)/20)*1000</f>
        <v>-12202.970297029702</v>
      </c>
      <c r="H32" s="57">
        <f>H31/(SUM(M27+J27+K27+L27)/20)*1000</f>
        <v>-21253.48189415042</v>
      </c>
      <c r="I32" s="12"/>
      <c r="J32" s="57">
        <f>J31/(SUM(K27+M27+O27+L27)/20)*1000</f>
        <v>-27015.873015873014</v>
      </c>
      <c r="K32" s="57">
        <f>K31/(SUM(L27+P27+O27+M27)/20)*1000</f>
        <v>-23234.567901234564</v>
      </c>
      <c r="L32" s="57">
        <f>L31/(SUM(M27+O27+P27+Q27)/20)*1000</f>
        <v>-36138.888888888883</v>
      </c>
      <c r="M32" s="57">
        <f>M31/(SUM(R27+O27+P27+Q27)/20)*1000</f>
        <v>-54851.851851851854</v>
      </c>
      <c r="N32" s="12"/>
      <c r="O32" s="57">
        <f>O31/(SUM(P27+R27+S27+Q27)/20)*1000</f>
        <v>-54851.851851851854</v>
      </c>
      <c r="P32" s="57">
        <f>P31/(SUM(Q27+S27+V27+R27)/20)*1000</f>
        <v>-129703.70370370369</v>
      </c>
      <c r="Q32" s="57" t="e">
        <f>Q31/(SUM(R27+S27+W27+V27)/20)*1000</f>
        <v>#DIV/0!</v>
      </c>
      <c r="R32" s="57">
        <f>R31/(SUM(T27+U27+V27+W27)/20)*1000</f>
        <v>-15782.897305739943</v>
      </c>
      <c r="S32" s="57" t="e">
        <f>S31/(SUM(S27+V27+W27+X27)/20)*1000</f>
        <v>#DIV/0!</v>
      </c>
      <c r="T32" s="12"/>
      <c r="U32" s="13"/>
      <c r="V32" s="57">
        <f>V31/(SUM(W27+Y27+AA27+X27)/20)*1000</f>
        <v>-274965.98639455781</v>
      </c>
      <c r="W32" s="57">
        <f>V31/(SUM(X27+AA27+AB27+Y27)/20)*1000</f>
        <v>-136094.27609427611</v>
      </c>
      <c r="X32" s="57">
        <f>W31/(SUM(Y27+AA27+AB27+AC27)/20)*1000</f>
        <v>-45061.315496098105</v>
      </c>
      <c r="Y32" s="57">
        <f>X31/(SUM(AA27+AB27+AC27+AD27)/20)*1000</f>
        <v>-33767.752715121132</v>
      </c>
      <c r="Z32" s="12"/>
      <c r="AA32" s="57">
        <f>AA31/(SUM(AB27+AD27+AF27+AC27)/20)*1000</f>
        <v>-41295.238095238099</v>
      </c>
      <c r="AB32" s="57">
        <f>AB31/(SUM(AC27+AF27+AG27+AD27)/20)*1000</f>
        <v>-34340.740740740745</v>
      </c>
      <c r="AC32" s="57">
        <f>AC31/(SUM(AD27+AF27+AG27+AH27)/20)*1000</f>
        <v>-48633.333333333336</v>
      </c>
      <c r="AD32" s="57">
        <f>AD31/(SUM(AF27+AG27+AH27+AI27)/20)*1000</f>
        <v>-71511.111111111109</v>
      </c>
      <c r="AE32" s="12"/>
      <c r="AF32" s="57">
        <f>AF31/(SUM(AG27+AI27+AJ27+AH27)/20)*1000</f>
        <v>-71511.111111111109</v>
      </c>
      <c r="AG32" s="57">
        <f>AG31/(SUM(AH27+AJ27+AM27+AI27)/20)*1000</f>
        <v>-126920.41522491349</v>
      </c>
      <c r="AH32" s="57">
        <f>AH31/(SUM(AI27+AJ27+AN27+AM27)/20)*1000</f>
        <v>-318.21834817012859</v>
      </c>
      <c r="AI32" s="57">
        <f>AI31/(SUM(AK27+AL27+AM27+AN27)/20)*1000</f>
        <v>-314.57567042125487</v>
      </c>
      <c r="AJ32" s="57">
        <f>AJ31/(SUM(AJ27+AM27+AN27+AO27)/20)*1000</f>
        <v>-156.21206603544553</v>
      </c>
      <c r="AK32" s="12"/>
      <c r="AL32" s="13"/>
      <c r="AM32" s="93"/>
      <c r="AN32" s="94">
        <f t="shared" si="0"/>
        <v>0</v>
      </c>
      <c r="AO32" s="94">
        <f t="shared" si="1"/>
        <v>0</v>
      </c>
    </row>
    <row r="33" spans="1:41" s="4" customFormat="1">
      <c r="A33" s="165" t="s">
        <v>16</v>
      </c>
      <c r="B33" s="1" t="s">
        <v>5</v>
      </c>
      <c r="C33" s="9"/>
      <c r="D33" s="9"/>
      <c r="E33" s="10"/>
      <c r="F33" s="10">
        <v>22</v>
      </c>
      <c r="G33" s="10">
        <v>120</v>
      </c>
      <c r="H33" s="10">
        <v>58</v>
      </c>
      <c r="I33" s="9">
        <f>SUM(E33:H33)</f>
        <v>200</v>
      </c>
      <c r="J33" s="10">
        <v>96</v>
      </c>
      <c r="K33" s="10">
        <v>117</v>
      </c>
      <c r="L33" s="10">
        <v>96</v>
      </c>
      <c r="M33" s="10">
        <v>245</v>
      </c>
      <c r="N33" s="9">
        <f>SUM(J33:M33)</f>
        <v>554</v>
      </c>
      <c r="O33" s="10">
        <v>0</v>
      </c>
      <c r="P33" s="10">
        <v>186</v>
      </c>
      <c r="Q33" s="10">
        <v>116</v>
      </c>
      <c r="R33" s="10">
        <v>335</v>
      </c>
      <c r="S33" s="10">
        <v>0</v>
      </c>
      <c r="T33" s="9">
        <f>SUM(O33:S33)</f>
        <v>637</v>
      </c>
      <c r="U33" s="11">
        <f>T33+N33+I33+D37</f>
        <v>1430</v>
      </c>
      <c r="V33" s="10">
        <v>0</v>
      </c>
      <c r="W33" s="10">
        <v>21</v>
      </c>
      <c r="X33" s="10">
        <v>0</v>
      </c>
      <c r="Y33" s="10">
        <v>0</v>
      </c>
      <c r="Z33" s="9">
        <f>SUM(V33:Y33)</f>
        <v>21</v>
      </c>
      <c r="AA33" s="10">
        <v>71</v>
      </c>
      <c r="AB33" s="10">
        <v>83</v>
      </c>
      <c r="AC33" s="10">
        <v>71</v>
      </c>
      <c r="AD33" s="10">
        <v>212</v>
      </c>
      <c r="AE33" s="9">
        <f>SUM(AA33:AD33)</f>
        <v>437</v>
      </c>
      <c r="AF33" s="10">
        <v>0</v>
      </c>
      <c r="AG33" s="10">
        <v>143</v>
      </c>
      <c r="AH33" s="10">
        <v>91</v>
      </c>
      <c r="AI33" s="10">
        <v>288</v>
      </c>
      <c r="AJ33" s="10">
        <v>0</v>
      </c>
      <c r="AK33" s="9">
        <f>SUM(AF33:AJ33)</f>
        <v>522</v>
      </c>
      <c r="AL33" s="11">
        <f>AK33+AE33+Z33</f>
        <v>980</v>
      </c>
      <c r="AM33" s="94">
        <v>128</v>
      </c>
      <c r="AN33" s="94">
        <f t="shared" si="0"/>
        <v>183040</v>
      </c>
      <c r="AO33" s="94">
        <f t="shared" si="1"/>
        <v>125440</v>
      </c>
    </row>
    <row r="34" spans="1:41" s="4" customFormat="1">
      <c r="A34" s="166"/>
      <c r="B34" s="3" t="s">
        <v>6</v>
      </c>
      <c r="C34" s="9"/>
      <c r="D34" s="9"/>
      <c r="E34" s="10"/>
      <c r="F34" s="10"/>
      <c r="G34" s="10"/>
      <c r="H34" s="10"/>
      <c r="I34" s="9">
        <f>SUM(E34:H34)</f>
        <v>0</v>
      </c>
      <c r="J34" s="10"/>
      <c r="K34" s="10"/>
      <c r="L34" s="10"/>
      <c r="M34" s="10"/>
      <c r="N34" s="9">
        <f>SUM(J34:M34)</f>
        <v>0</v>
      </c>
      <c r="O34" s="10"/>
      <c r="P34" s="10"/>
      <c r="Q34" s="10"/>
      <c r="R34" s="10"/>
      <c r="S34" s="10"/>
      <c r="T34" s="9">
        <f>SUM(O34:S34)</f>
        <v>0</v>
      </c>
      <c r="U34" s="11">
        <f>I34+N34+T34</f>
        <v>0</v>
      </c>
      <c r="V34" s="10"/>
      <c r="W34" s="10"/>
      <c r="X34" s="10"/>
      <c r="Y34" s="10"/>
      <c r="Z34" s="9">
        <f>SUM(V34:Y34)</f>
        <v>0</v>
      </c>
      <c r="AA34" s="10"/>
      <c r="AB34" s="10"/>
      <c r="AC34" s="10"/>
      <c r="AD34" s="10"/>
      <c r="AE34" s="9">
        <f>SUM(AA34:AD34)</f>
        <v>0</v>
      </c>
      <c r="AF34" s="10"/>
      <c r="AG34" s="10"/>
      <c r="AH34" s="10"/>
      <c r="AI34" s="10"/>
      <c r="AJ34" s="10"/>
      <c r="AK34" s="9">
        <f>SUM(AF34:AJ34)</f>
        <v>0</v>
      </c>
      <c r="AL34" s="11">
        <f>Z34+AE34+AK34</f>
        <v>0</v>
      </c>
      <c r="AN34" s="94">
        <f t="shared" si="0"/>
        <v>0</v>
      </c>
      <c r="AO34" s="94">
        <f t="shared" si="1"/>
        <v>0</v>
      </c>
    </row>
    <row r="35" spans="1:41" s="4" customFormat="1">
      <c r="A35" s="166"/>
      <c r="B35" s="3" t="s">
        <v>10</v>
      </c>
      <c r="C35" s="9">
        <v>0</v>
      </c>
      <c r="D35" s="9"/>
      <c r="E35" s="10"/>
      <c r="F35" s="10"/>
      <c r="G35" s="10"/>
      <c r="H35" s="10"/>
      <c r="I35" s="9"/>
      <c r="J35" s="10"/>
      <c r="K35" s="10"/>
      <c r="L35" s="10"/>
      <c r="M35" s="10"/>
      <c r="N35" s="9"/>
      <c r="O35" s="10"/>
      <c r="P35" s="10"/>
      <c r="Q35" s="10"/>
      <c r="R35" s="10"/>
      <c r="S35" s="10"/>
      <c r="T35" s="9"/>
      <c r="U35" s="11"/>
      <c r="V35" s="10"/>
      <c r="W35" s="10"/>
      <c r="X35" s="10"/>
      <c r="Y35" s="10"/>
      <c r="Z35" s="9"/>
      <c r="AA35" s="10"/>
      <c r="AB35" s="10"/>
      <c r="AC35" s="10"/>
      <c r="AD35" s="10"/>
      <c r="AE35" s="9"/>
      <c r="AF35" s="10"/>
      <c r="AG35" s="10"/>
      <c r="AH35" s="10"/>
      <c r="AI35" s="10"/>
      <c r="AJ35" s="10"/>
      <c r="AK35" s="9"/>
      <c r="AL35" s="11"/>
      <c r="AN35" s="94">
        <f t="shared" si="0"/>
        <v>0</v>
      </c>
      <c r="AO35" s="94">
        <f t="shared" si="1"/>
        <v>0</v>
      </c>
    </row>
    <row r="36" spans="1:41" s="4" customFormat="1" ht="14.75" customHeight="1">
      <c r="A36" s="166"/>
      <c r="B36" s="3" t="s">
        <v>7</v>
      </c>
      <c r="C36" s="9"/>
      <c r="D36" s="9"/>
      <c r="E36" s="10">
        <f>E35+E34</f>
        <v>0</v>
      </c>
      <c r="F36" s="10">
        <f>F35+F34</f>
        <v>0</v>
      </c>
      <c r="G36" s="10">
        <f>G35+G34</f>
        <v>0</v>
      </c>
      <c r="H36" s="10">
        <f>H35+H34</f>
        <v>0</v>
      </c>
      <c r="I36" s="9">
        <f>SUM(E36:H36)</f>
        <v>0</v>
      </c>
      <c r="J36" s="10">
        <f>J35+J34</f>
        <v>0</v>
      </c>
      <c r="K36" s="10">
        <f>K35+K34</f>
        <v>0</v>
      </c>
      <c r="L36" s="10">
        <f>L35+L34</f>
        <v>0</v>
      </c>
      <c r="M36" s="10">
        <f>M35+M34</f>
        <v>0</v>
      </c>
      <c r="N36" s="9">
        <f>SUM(J36:M36)</f>
        <v>0</v>
      </c>
      <c r="O36" s="10">
        <f>O35+O34</f>
        <v>0</v>
      </c>
      <c r="P36" s="10">
        <f>P35+P34</f>
        <v>0</v>
      </c>
      <c r="Q36" s="10">
        <f>Q35+Q34</f>
        <v>0</v>
      </c>
      <c r="R36" s="10">
        <f>R35+R34</f>
        <v>0</v>
      </c>
      <c r="S36" s="10">
        <f>S35+S34</f>
        <v>0</v>
      </c>
      <c r="T36" s="9">
        <f>SUM(O36:S36)</f>
        <v>0</v>
      </c>
      <c r="U36" s="11">
        <f>T36+N36+I36+D37</f>
        <v>39</v>
      </c>
      <c r="V36" s="10">
        <f>V35+V34</f>
        <v>0</v>
      </c>
      <c r="W36" s="10">
        <f>W35+W34</f>
        <v>0</v>
      </c>
      <c r="X36" s="10">
        <f>X35+X34</f>
        <v>0</v>
      </c>
      <c r="Y36" s="10">
        <f>Y35+Y34</f>
        <v>0</v>
      </c>
      <c r="Z36" s="9">
        <f>SUM(V36:Y36)</f>
        <v>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0</v>
      </c>
      <c r="AN36" s="94">
        <f t="shared" si="0"/>
        <v>0</v>
      </c>
      <c r="AO36" s="94">
        <f t="shared" si="1"/>
        <v>0</v>
      </c>
    </row>
    <row r="37" spans="1:41" s="4" customFormat="1">
      <c r="A37" s="167"/>
      <c r="B37" s="2" t="s">
        <v>8</v>
      </c>
      <c r="C37" s="65">
        <v>54</v>
      </c>
      <c r="D37" s="95">
        <v>39</v>
      </c>
      <c r="E37" s="81">
        <f>E36-E33</f>
        <v>0</v>
      </c>
      <c r="F37" s="10">
        <f>E37+F36-F33</f>
        <v>-22</v>
      </c>
      <c r="G37" s="10">
        <f>F37+G36-G33</f>
        <v>-142</v>
      </c>
      <c r="H37" s="10">
        <f>G37+H36-H33</f>
        <v>-200</v>
      </c>
      <c r="I37" s="9">
        <f>I36-I33</f>
        <v>-200</v>
      </c>
      <c r="J37" s="10">
        <f>I37+J36-J33</f>
        <v>-296</v>
      </c>
      <c r="K37" s="10">
        <f>J37+K36-K33</f>
        <v>-413</v>
      </c>
      <c r="L37" s="10">
        <f>K37+L36-L33</f>
        <v>-509</v>
      </c>
      <c r="M37" s="10">
        <f>L37+M36-M33</f>
        <v>-754</v>
      </c>
      <c r="N37" s="9">
        <f>I37+N36-N33</f>
        <v>-754</v>
      </c>
      <c r="O37" s="10">
        <f>N37+O36-O33</f>
        <v>-754</v>
      </c>
      <c r="P37" s="10">
        <f>O37+P36-P33</f>
        <v>-940</v>
      </c>
      <c r="Q37" s="10">
        <f>P37+Q36-Q33</f>
        <v>-1056</v>
      </c>
      <c r="R37" s="10">
        <f t="shared" ref="R37" si="12">Q37+R36-R33</f>
        <v>-1391</v>
      </c>
      <c r="S37" s="10">
        <f>R37+S36-S33</f>
        <v>-1391</v>
      </c>
      <c r="T37" s="9">
        <f>N37+T36-T33</f>
        <v>-1391</v>
      </c>
      <c r="U37" s="9">
        <f>U36-U33</f>
        <v>-1391</v>
      </c>
      <c r="V37" s="10">
        <f>U37+V36-V33</f>
        <v>-1391</v>
      </c>
      <c r="W37" s="10">
        <f>V37+W36-W33</f>
        <v>-1412</v>
      </c>
      <c r="X37" s="10">
        <f>W37+X36-X33</f>
        <v>-1412</v>
      </c>
      <c r="Y37" s="10">
        <f>X37+Y36-Y33</f>
        <v>-1412</v>
      </c>
      <c r="Z37" s="9">
        <f>T37+Z36-Z33</f>
        <v>-1412</v>
      </c>
      <c r="AA37" s="10">
        <f>Z37+AA36-AA33</f>
        <v>-1483</v>
      </c>
      <c r="AB37" s="10">
        <f>AA37+AB36-AB33</f>
        <v>-1566</v>
      </c>
      <c r="AC37" s="10">
        <f>AB37+AC36-AC33</f>
        <v>-1637</v>
      </c>
      <c r="AD37" s="10">
        <f>AC37+AD36-AD33</f>
        <v>-1849</v>
      </c>
      <c r="AE37" s="9">
        <f>Z37+AE36-AE33</f>
        <v>-1849</v>
      </c>
      <c r="AF37" s="10">
        <f>AE37+AF36-AF33</f>
        <v>-1849</v>
      </c>
      <c r="AG37" s="10">
        <f>AF37+AG36-AG33</f>
        <v>-1992</v>
      </c>
      <c r="AH37" s="10">
        <f>AG37+AH36-AH33</f>
        <v>-2083</v>
      </c>
      <c r="AI37" s="10">
        <f t="shared" ref="AI37:AJ37" si="13">AH37+AI36-AI33</f>
        <v>-2371</v>
      </c>
      <c r="AJ37" s="10">
        <f t="shared" si="13"/>
        <v>-2371</v>
      </c>
      <c r="AK37" s="9">
        <f>AE37+AK36-AK33</f>
        <v>-2371</v>
      </c>
      <c r="AL37" s="11">
        <f>T37+AL36-AL33</f>
        <v>-2371</v>
      </c>
      <c r="AN37" s="94">
        <f t="shared" si="0"/>
        <v>0</v>
      </c>
      <c r="AO37" s="94">
        <f t="shared" si="1"/>
        <v>0</v>
      </c>
    </row>
    <row r="38" spans="1:41" s="4" customFormat="1">
      <c r="A38" s="82"/>
      <c r="B38" s="3" t="s">
        <v>9</v>
      </c>
      <c r="C38" s="9"/>
      <c r="D38" s="9"/>
      <c r="E38" s="57">
        <f>E37/(SUM(F33+H33+J33+G33)/20)*1000</f>
        <v>0</v>
      </c>
      <c r="F38" s="57">
        <f>F37/(SUM(G33+K33+J33+H33)/20)*1000</f>
        <v>-1125.3196930946292</v>
      </c>
      <c r="G38" s="57">
        <f>G37/(SUM(H33+J33+K33+L33)/20)*1000</f>
        <v>-7738.41961852861</v>
      </c>
      <c r="H38" s="57">
        <f>H37/(SUM(M33+J33+K33+L33)/20)*1000</f>
        <v>-7220.2166064981957</v>
      </c>
      <c r="I38" s="12"/>
      <c r="J38" s="57">
        <f>J37/(SUM(K33+M33+O33+L33)/20)*1000</f>
        <v>-12925.764192139737</v>
      </c>
      <c r="K38" s="57">
        <f>K37/(SUM(L33+P33+O33+M33)/20)*1000</f>
        <v>-15673.624288425046</v>
      </c>
      <c r="L38" s="57">
        <f>L37/(SUM(M33+O33+P33+Q33)/20)*1000</f>
        <v>-18610.603290676416</v>
      </c>
      <c r="M38" s="57">
        <f>M37/(SUM(R33+O33+P33+Q33)/20)*1000</f>
        <v>-23673.4693877551</v>
      </c>
      <c r="N38" s="12"/>
      <c r="O38" s="57">
        <f>O37/(SUM(P33+R33+S33+Q33)/20)*1000</f>
        <v>-23673.4693877551</v>
      </c>
      <c r="P38" s="57">
        <f>P37/(SUM(Q33+S33+V33+R33)/20)*1000</f>
        <v>-41685.144124168517</v>
      </c>
      <c r="Q38" s="57">
        <f>Q37/(SUM(R33+S33+W33+V33)/20)*1000</f>
        <v>-59325.84269662921</v>
      </c>
      <c r="R38" s="57">
        <f>R37/(SUM(T33+U33+V33+W33)/20)*1000</f>
        <v>-13323.75478927203</v>
      </c>
      <c r="S38" s="57">
        <f>S37/(SUM(S33+V33+W33+X33)/20)*1000</f>
        <v>-1324761.9047619049</v>
      </c>
      <c r="T38" s="12"/>
      <c r="U38" s="13"/>
      <c r="V38" s="57">
        <f>V37/(SUM(W33+Y33+AA33+X33)/20)*1000</f>
        <v>-302391.30434782611</v>
      </c>
      <c r="W38" s="57">
        <f>V37/(SUM(X33+AA33+AB33+Y33)/20)*1000</f>
        <v>-180649.35064935064</v>
      </c>
      <c r="X38" s="57">
        <f>W37/(SUM(Y33+AA33+AB33+AC33)/20)*1000</f>
        <v>-125511.11111111111</v>
      </c>
      <c r="Y38" s="57">
        <f>X37/(SUM(AA33+AB33+AC33+AD33)/20)*1000</f>
        <v>-64622.425629290621</v>
      </c>
      <c r="Z38" s="12"/>
      <c r="AA38" s="57">
        <f>AA37/(SUM(AB33+AD33+AF33+AC33)/20)*1000</f>
        <v>-81038.251366120225</v>
      </c>
      <c r="AB38" s="57">
        <f>AB37/(SUM(AC33+AF33+AG33+AD33)/20)*1000</f>
        <v>-73521.126760563377</v>
      </c>
      <c r="AC38" s="57">
        <f>AC37/(SUM(AD33+AF33+AG33+AH33)/20)*1000</f>
        <v>-73408.071748878923</v>
      </c>
      <c r="AD38" s="57">
        <f>AD37/(SUM(AF33+AG33+AH33+AI33)/20)*1000</f>
        <v>-70842.911877394625</v>
      </c>
      <c r="AE38" s="12"/>
      <c r="AF38" s="57">
        <f>AF37/(SUM(AG33+AI33+AJ33+AH33)/20)*1000</f>
        <v>-70842.911877394625</v>
      </c>
      <c r="AG38" s="57">
        <f>AG37/(SUM(AH33+AJ33+AM33+AI33)/20)*1000</f>
        <v>-78579.881656804733</v>
      </c>
      <c r="AH38" s="57">
        <f>AH37/(SUM(AI33+AJ33+AN33+AM33)/20)*1000</f>
        <v>-227.08442351299496</v>
      </c>
      <c r="AI38" s="57">
        <f>AI37/(SUM(AK33+AL33+AM33+AN33)/20)*1000</f>
        <v>-256.78236854930412</v>
      </c>
      <c r="AJ38" s="57">
        <f>AJ37/(SUM(AJ33+AM33+AN33+AO33)/20)*1000</f>
        <v>-153.6577146412277</v>
      </c>
      <c r="AK38" s="12"/>
      <c r="AL38" s="13"/>
      <c r="AN38" s="94">
        <f t="shared" si="0"/>
        <v>0</v>
      </c>
      <c r="AO38" s="94">
        <f t="shared" si="1"/>
        <v>0</v>
      </c>
    </row>
    <row r="39" spans="1:41" s="4" customFormat="1">
      <c r="A39" s="165" t="s">
        <v>18</v>
      </c>
      <c r="B39" s="1" t="s">
        <v>5</v>
      </c>
      <c r="C39" s="9"/>
      <c r="D39" s="9"/>
      <c r="E39" s="10">
        <v>3200</v>
      </c>
      <c r="F39" s="10">
        <v>-1090</v>
      </c>
      <c r="G39" s="10">
        <v>5921</v>
      </c>
      <c r="H39" s="10">
        <v>2699</v>
      </c>
      <c r="I39" s="9">
        <f>SUM(E39:H39)</f>
        <v>10730</v>
      </c>
      <c r="J39" s="10">
        <v>3468</v>
      </c>
      <c r="K39" s="10">
        <v>4772</v>
      </c>
      <c r="L39" s="10">
        <v>6070</v>
      </c>
      <c r="M39" s="10">
        <v>5024</v>
      </c>
      <c r="N39" s="9">
        <f>SUM(J39:M39)</f>
        <v>19334</v>
      </c>
      <c r="O39" s="10">
        <v>2638</v>
      </c>
      <c r="P39" s="10">
        <v>6828</v>
      </c>
      <c r="Q39" s="10">
        <v>8101</v>
      </c>
      <c r="R39" s="10">
        <v>6413</v>
      </c>
      <c r="S39" s="10">
        <v>1865</v>
      </c>
      <c r="T39" s="9">
        <f>SUM(O39:S39)</f>
        <v>25845</v>
      </c>
      <c r="U39" s="11">
        <f>T39+N39+I39+D43</f>
        <v>79678</v>
      </c>
      <c r="V39" s="10">
        <v>1512</v>
      </c>
      <c r="W39" s="10">
        <v>2787</v>
      </c>
      <c r="X39" s="10">
        <v>2904</v>
      </c>
      <c r="Y39" s="10">
        <v>2169</v>
      </c>
      <c r="Z39" s="9">
        <f>SUM(V39:Y39)</f>
        <v>9372</v>
      </c>
      <c r="AA39" s="10">
        <v>4783</v>
      </c>
      <c r="AB39" s="10">
        <v>5564</v>
      </c>
      <c r="AC39" s="10">
        <v>5350</v>
      </c>
      <c r="AD39" s="10">
        <v>5097</v>
      </c>
      <c r="AE39" s="9">
        <f>SUM(AA39:AD39)</f>
        <v>20794</v>
      </c>
      <c r="AF39" s="10">
        <v>2952</v>
      </c>
      <c r="AG39" s="10">
        <v>6390</v>
      </c>
      <c r="AH39" s="10">
        <v>6019</v>
      </c>
      <c r="AI39" s="10">
        <v>6446</v>
      </c>
      <c r="AJ39" s="10">
        <v>3822</v>
      </c>
      <c r="AK39" s="9">
        <f>SUM(AF39:AJ39)</f>
        <v>25629</v>
      </c>
      <c r="AL39" s="11">
        <f>AK39+AE39+Z39</f>
        <v>55795</v>
      </c>
      <c r="AM39" s="94">
        <v>128</v>
      </c>
      <c r="AN39" s="94">
        <f t="shared" si="0"/>
        <v>10198784</v>
      </c>
      <c r="AO39" s="94">
        <f t="shared" si="1"/>
        <v>7141760</v>
      </c>
    </row>
    <row r="40" spans="1:41" s="4" customFormat="1">
      <c r="A40" s="166"/>
      <c r="B40" s="3" t="s">
        <v>6</v>
      </c>
      <c r="C40" s="9"/>
      <c r="D40" s="9"/>
      <c r="E40" s="10">
        <v>3200</v>
      </c>
      <c r="F40" s="10"/>
      <c r="G40" s="10">
        <f>22800-18000</f>
        <v>4800</v>
      </c>
      <c r="H40" s="98">
        <v>18000</v>
      </c>
      <c r="I40" s="9">
        <f>SUM(E40:H40)</f>
        <v>26000</v>
      </c>
      <c r="J40" s="10"/>
      <c r="K40" s="10"/>
      <c r="L40" s="10"/>
      <c r="M40" s="10"/>
      <c r="N40" s="9">
        <f>SUM(J40:M40)</f>
        <v>0</v>
      </c>
      <c r="O40" s="96">
        <v>15000</v>
      </c>
      <c r="P40" s="10"/>
      <c r="Q40" s="10"/>
      <c r="R40" s="10"/>
      <c r="S40" s="97">
        <v>60000</v>
      </c>
      <c r="T40" s="9">
        <f>SUM(O40:S40)</f>
        <v>75000</v>
      </c>
      <c r="U40" s="11">
        <f>I40+N40+T40</f>
        <v>101000</v>
      </c>
      <c r="V40" s="10"/>
      <c r="W40" s="10"/>
      <c r="X40" s="10"/>
      <c r="Y40" s="10"/>
      <c r="Z40" s="9">
        <f>SUM(V40:Y40)</f>
        <v>0</v>
      </c>
      <c r="AA40" s="10"/>
      <c r="AB40" s="10"/>
      <c r="AC40" s="10"/>
      <c r="AD40" s="10">
        <v>5000</v>
      </c>
      <c r="AE40" s="9">
        <f>SUM(AA40:AD40)</f>
        <v>5000</v>
      </c>
      <c r="AF40" s="10"/>
      <c r="AG40" s="10"/>
      <c r="AH40" s="10"/>
      <c r="AI40" s="10"/>
      <c r="AJ40" s="97">
        <v>75000</v>
      </c>
      <c r="AK40" s="9">
        <f>SUM(AF40:AJ40)</f>
        <v>75000</v>
      </c>
      <c r="AL40" s="11">
        <f>Z40+AE40+AK40</f>
        <v>80000</v>
      </c>
      <c r="AN40" s="94">
        <f t="shared" si="0"/>
        <v>0</v>
      </c>
      <c r="AO40" s="94">
        <f t="shared" si="1"/>
        <v>0</v>
      </c>
    </row>
    <row r="41" spans="1:41" s="4" customFormat="1">
      <c r="A41" s="166"/>
      <c r="B41" s="3" t="s">
        <v>10</v>
      </c>
      <c r="C41" s="9">
        <v>7500</v>
      </c>
      <c r="D41" s="9"/>
      <c r="E41" s="10"/>
      <c r="F41" s="10">
        <v>7500</v>
      </c>
      <c r="G41" s="10"/>
      <c r="H41" s="10"/>
      <c r="I41" s="9"/>
      <c r="J41" s="10"/>
      <c r="K41" s="10"/>
      <c r="L41" s="10"/>
      <c r="M41" s="10"/>
      <c r="N41" s="9"/>
      <c r="O41" s="10"/>
      <c r="P41" s="10"/>
      <c r="Q41" s="10"/>
      <c r="R41" s="10"/>
      <c r="S41" s="10"/>
      <c r="T41" s="9"/>
      <c r="U41" s="11"/>
      <c r="V41" s="10"/>
      <c r="W41" s="10"/>
      <c r="X41" s="10"/>
      <c r="Y41" s="10"/>
      <c r="Z41" s="9"/>
      <c r="AA41" s="10"/>
      <c r="AB41" s="10"/>
      <c r="AC41" s="10"/>
      <c r="AD41" s="10"/>
      <c r="AE41" s="9"/>
      <c r="AF41" s="10"/>
      <c r="AG41" s="10"/>
      <c r="AH41" s="10"/>
      <c r="AI41" s="10"/>
      <c r="AJ41" s="10"/>
      <c r="AK41" s="9"/>
      <c r="AL41" s="11"/>
      <c r="AN41" s="94">
        <f t="shared" si="0"/>
        <v>0</v>
      </c>
      <c r="AO41" s="94">
        <f t="shared" si="1"/>
        <v>0</v>
      </c>
    </row>
    <row r="42" spans="1:41" s="4" customFormat="1" ht="14.75" customHeight="1">
      <c r="A42" s="166"/>
      <c r="B42" s="3" t="s">
        <v>7</v>
      </c>
      <c r="C42" s="9"/>
      <c r="D42" s="9"/>
      <c r="E42" s="10">
        <f>E41+E40</f>
        <v>3200</v>
      </c>
      <c r="F42" s="10">
        <f>F41+F40</f>
        <v>7500</v>
      </c>
      <c r="G42" s="10">
        <f>G41+G40</f>
        <v>4800</v>
      </c>
      <c r="H42" s="10">
        <f>H41+H40</f>
        <v>18000</v>
      </c>
      <c r="I42" s="9">
        <f>SUM(E42:H42)</f>
        <v>33500</v>
      </c>
      <c r="J42" s="10">
        <f>J41+J40</f>
        <v>0</v>
      </c>
      <c r="K42" s="10">
        <f>K41+K40</f>
        <v>0</v>
      </c>
      <c r="L42" s="10">
        <f>L41+L40</f>
        <v>0</v>
      </c>
      <c r="M42" s="10">
        <f>M41+M40</f>
        <v>0</v>
      </c>
      <c r="N42" s="9">
        <f>SUM(J42:M42)</f>
        <v>0</v>
      </c>
      <c r="O42" s="10">
        <f>O41+O40</f>
        <v>15000</v>
      </c>
      <c r="P42" s="10">
        <f>P41+P40</f>
        <v>0</v>
      </c>
      <c r="Q42" s="10">
        <f>Q41+Q40</f>
        <v>0</v>
      </c>
      <c r="R42" s="10">
        <f>R41+R40</f>
        <v>0</v>
      </c>
      <c r="S42" s="10">
        <f>S41+S40</f>
        <v>60000</v>
      </c>
      <c r="T42" s="9">
        <f>SUM(O42:S42)</f>
        <v>75000</v>
      </c>
      <c r="U42" s="11">
        <f>T42+N42+I42+D43</f>
        <v>132269</v>
      </c>
      <c r="V42" s="10">
        <f>V41+V40</f>
        <v>0</v>
      </c>
      <c r="W42" s="10">
        <f>W41+W40</f>
        <v>0</v>
      </c>
      <c r="X42" s="10">
        <f>X41+X40</f>
        <v>0</v>
      </c>
      <c r="Y42" s="10">
        <f>Y41+Y40</f>
        <v>0</v>
      </c>
      <c r="Z42" s="9">
        <f>SUM(V42:Y42)</f>
        <v>0</v>
      </c>
      <c r="AA42" s="10">
        <f>AA41+AA40</f>
        <v>0</v>
      </c>
      <c r="AB42" s="10">
        <f>AB41+AB40</f>
        <v>0</v>
      </c>
      <c r="AC42" s="10">
        <f>AC41+AC40</f>
        <v>0</v>
      </c>
      <c r="AD42" s="10">
        <f>AD41+AD40</f>
        <v>5000</v>
      </c>
      <c r="AE42" s="9">
        <f>SUM(AA42:AD42)</f>
        <v>5000</v>
      </c>
      <c r="AF42" s="10">
        <f>AF41+AF40</f>
        <v>0</v>
      </c>
      <c r="AG42" s="10">
        <f>AG41+AG40</f>
        <v>0</v>
      </c>
      <c r="AH42" s="10">
        <f>AH41+AH40</f>
        <v>0</v>
      </c>
      <c r="AI42" s="10">
        <f>AI41+AI40</f>
        <v>0</v>
      </c>
      <c r="AJ42" s="10">
        <f>AJ41+AJ40</f>
        <v>75000</v>
      </c>
      <c r="AK42" s="9">
        <f>SUM(AF42:AJ42)</f>
        <v>75000</v>
      </c>
      <c r="AL42" s="11">
        <f>AK42+AE42+Z42</f>
        <v>80000</v>
      </c>
      <c r="AN42" s="94">
        <f t="shared" si="0"/>
        <v>0</v>
      </c>
      <c r="AO42" s="94">
        <f t="shared" si="1"/>
        <v>0</v>
      </c>
    </row>
    <row r="43" spans="1:41" s="4" customFormat="1">
      <c r="A43" s="167"/>
      <c r="B43" s="2" t="s">
        <v>8</v>
      </c>
      <c r="C43" s="65">
        <v>25542</v>
      </c>
      <c r="D43" s="95">
        <v>23769</v>
      </c>
      <c r="E43" s="81">
        <f>E42-E39</f>
        <v>0</v>
      </c>
      <c r="F43" s="10">
        <f>E43+F42-F39</f>
        <v>8590</v>
      </c>
      <c r="G43" s="10">
        <f>F43+G42-G39</f>
        <v>7469</v>
      </c>
      <c r="H43" s="10">
        <f>G43+H42-H39</f>
        <v>22770</v>
      </c>
      <c r="I43" s="9">
        <f>I42-I39</f>
        <v>22770</v>
      </c>
      <c r="J43" s="10">
        <f>I43+J42-J39</f>
        <v>19302</v>
      </c>
      <c r="K43" s="10">
        <f>J43+K42-K39</f>
        <v>14530</v>
      </c>
      <c r="L43" s="10">
        <f>K43+L42-L39</f>
        <v>8460</v>
      </c>
      <c r="M43" s="10">
        <f>L43+M42-M39</f>
        <v>3436</v>
      </c>
      <c r="N43" s="9">
        <f>I43+N42-N39</f>
        <v>3436</v>
      </c>
      <c r="O43" s="10">
        <f>N43+O42-O39</f>
        <v>15798</v>
      </c>
      <c r="P43" s="10">
        <f>O43+P42-P39</f>
        <v>8970</v>
      </c>
      <c r="Q43" s="10">
        <f>P43+Q42-Q39</f>
        <v>869</v>
      </c>
      <c r="R43" s="10">
        <f t="shared" ref="R43" si="14">Q43+R42-R39</f>
        <v>-5544</v>
      </c>
      <c r="S43" s="10">
        <f>R43+S42-S39</f>
        <v>52591</v>
      </c>
      <c r="T43" s="9">
        <f>N43+T42-T39</f>
        <v>52591</v>
      </c>
      <c r="U43" s="9">
        <f>U42-U39</f>
        <v>52591</v>
      </c>
      <c r="V43" s="10">
        <f>U43+V42-V39</f>
        <v>51079</v>
      </c>
      <c r="W43" s="10">
        <f>V43+W42-W39</f>
        <v>48292</v>
      </c>
      <c r="X43" s="10">
        <f>W43+X42-X39</f>
        <v>45388</v>
      </c>
      <c r="Y43" s="10">
        <f>X43+Y42-Y39</f>
        <v>43219</v>
      </c>
      <c r="Z43" s="9">
        <f>T43+Z42-Z39</f>
        <v>43219</v>
      </c>
      <c r="AA43" s="10">
        <f>Z43+AA42-AA39</f>
        <v>38436</v>
      </c>
      <c r="AB43" s="10">
        <f>AA43+AB42-AB39</f>
        <v>32872</v>
      </c>
      <c r="AC43" s="10">
        <f>AB43+AC42-AC39</f>
        <v>27522</v>
      </c>
      <c r="AD43" s="10">
        <f>AC43+AD42-AD39</f>
        <v>27425</v>
      </c>
      <c r="AE43" s="9">
        <f>Z43+AE42-AE39</f>
        <v>27425</v>
      </c>
      <c r="AF43" s="10">
        <f>AE43+AF42-AF39</f>
        <v>24473</v>
      </c>
      <c r="AG43" s="10">
        <f>AF43+AG42-AG39</f>
        <v>18083</v>
      </c>
      <c r="AH43" s="10">
        <f>AG43+AH42-AH39</f>
        <v>12064</v>
      </c>
      <c r="AI43" s="10">
        <f t="shared" ref="AI43:AJ43" si="15">AH43+AI42-AI39</f>
        <v>5618</v>
      </c>
      <c r="AJ43" s="10">
        <f t="shared" si="15"/>
        <v>76796</v>
      </c>
      <c r="AK43" s="9">
        <f>AE43+AK42-AK39</f>
        <v>76796</v>
      </c>
      <c r="AL43" s="11">
        <f>T43+AL42-AL39</f>
        <v>76796</v>
      </c>
      <c r="AN43" s="94">
        <f t="shared" si="0"/>
        <v>0</v>
      </c>
      <c r="AO43" s="94">
        <f t="shared" si="1"/>
        <v>0</v>
      </c>
    </row>
    <row r="44" spans="1:41" s="4" customFormat="1">
      <c r="A44" s="82"/>
      <c r="B44" s="3" t="s">
        <v>9</v>
      </c>
      <c r="C44" s="9"/>
      <c r="D44" s="9"/>
      <c r="E44" s="57">
        <f>E43/(SUM(F39+H39+J39+G39)/20)*1000</f>
        <v>0</v>
      </c>
      <c r="F44" s="57">
        <f>F43/(SUM(G39+K39+J39+H39)/20)*1000</f>
        <v>10189.798339264531</v>
      </c>
      <c r="G44" s="57">
        <f>G43/(SUM(H39+J39+K39+L39)/20)*1000</f>
        <v>8782.4093127167962</v>
      </c>
      <c r="H44" s="57">
        <f>H43/(SUM(M39+J39+K39+L39)/20)*1000</f>
        <v>23554.360194476052</v>
      </c>
      <c r="I44" s="12"/>
      <c r="J44" s="57">
        <f>J43/(SUM(K39+M39+O39+L39)/20)*1000</f>
        <v>20862.516212710765</v>
      </c>
      <c r="K44" s="57">
        <f>K43/(SUM(L39+P39+O39+M39)/20)*1000</f>
        <v>14134.241245136187</v>
      </c>
      <c r="L44" s="57">
        <f>L43/(SUM(M39+O39+P39+Q39)/20)*1000</f>
        <v>7489.7082909123101</v>
      </c>
      <c r="M44" s="57">
        <f>M43/(SUM(R39+O39+P39+Q39)/20)*1000</f>
        <v>2865.7214345287739</v>
      </c>
      <c r="N44" s="12"/>
      <c r="O44" s="57">
        <f>O43/(SUM(P39+R39+S39+Q39)/20)*1000</f>
        <v>13614.857586073169</v>
      </c>
      <c r="P44" s="57">
        <f>P43/(SUM(Q39+S39+V39+R39)/20)*1000</f>
        <v>10027.388072215081</v>
      </c>
      <c r="Q44" s="57">
        <f>Q43/(SUM(R39+S39+W39+V39)/20)*1000</f>
        <v>1381.8875725530731</v>
      </c>
      <c r="R44" s="57">
        <f>R43/(SUM(T39+U39+V39+W39)/20)*1000</f>
        <v>-1009.6337710112729</v>
      </c>
      <c r="S44" s="57">
        <f>S43/(SUM(S39+V39+W39+X39)/20)*1000</f>
        <v>115992.501102779</v>
      </c>
      <c r="T44" s="12"/>
      <c r="U44" s="13"/>
      <c r="V44" s="57">
        <f>V43/(SUM(W39+Y39+AA39+X39)/20)*1000</f>
        <v>80802.024835877557</v>
      </c>
      <c r="W44" s="57">
        <f>V43/(SUM(X39+AA39+AB39+Y39)/20)*1000</f>
        <v>66250.324254215302</v>
      </c>
      <c r="X44" s="57">
        <f>W43/(SUM(Y39+AA39+AB39+AC39)/20)*1000</f>
        <v>54060.226127840593</v>
      </c>
      <c r="Y44" s="57">
        <f>X43/(SUM(AA39+AB39+AC39+AD39)/20)*1000</f>
        <v>43654.900452053473</v>
      </c>
      <c r="Z44" s="12"/>
      <c r="AA44" s="57">
        <f>AA43/(SUM(AB39+AD39+AF39+AC39)/20)*1000</f>
        <v>40537.889574434426</v>
      </c>
      <c r="AB44" s="57">
        <f>AB43/(SUM(AC39+AF39+AG39+AD39)/20)*1000</f>
        <v>33222.497347010962</v>
      </c>
      <c r="AC44" s="57">
        <f>AC43/(SUM(AD39+AF39+AG39+AH39)/20)*1000</f>
        <v>26905.85589989246</v>
      </c>
      <c r="AD44" s="57">
        <f>AD43/(SUM(AF39+AG39+AH39+AI39)/20)*1000</f>
        <v>25152.473976246161</v>
      </c>
      <c r="AE44" s="12"/>
      <c r="AF44" s="57">
        <f>AF43/(SUM(AG39+AI39+AJ39+AH39)/20)*1000</f>
        <v>21583.983772103897</v>
      </c>
      <c r="AG44" s="57">
        <f>AG43/(SUM(AH39+AJ39+AM39+AI39)/20)*1000</f>
        <v>22032.287541882426</v>
      </c>
      <c r="AH44" s="57">
        <f>AH43/(SUM(AI39+AJ39+AN39+AM39)/20)*1000</f>
        <v>23.633631692261279</v>
      </c>
      <c r="AI44" s="57">
        <f>AI43/(SUM(AK39+AL39+AM39+AN39)/20)*1000</f>
        <v>10.929603857305832</v>
      </c>
      <c r="AJ44" s="57">
        <f>AJ43/(SUM(AJ39+AM39+AN39+AO39)/20)*1000</f>
        <v>88.553750832973293</v>
      </c>
      <c r="AK44" s="12"/>
      <c r="AL44" s="13"/>
      <c r="AN44" s="94">
        <f t="shared" si="0"/>
        <v>0</v>
      </c>
      <c r="AO44" s="94">
        <f t="shared" si="1"/>
        <v>0</v>
      </c>
    </row>
    <row r="45" spans="1:41">
      <c r="A45" s="165" t="s">
        <v>95</v>
      </c>
      <c r="B45" s="1" t="s">
        <v>5</v>
      </c>
      <c r="C45" s="9"/>
      <c r="D45" s="9"/>
      <c r="E45" s="10"/>
      <c r="F45" s="10">
        <v>0</v>
      </c>
      <c r="G45" s="10">
        <v>0</v>
      </c>
      <c r="H45" s="10">
        <v>0</v>
      </c>
      <c r="I45" s="9">
        <f>SUM(E45:H45)</f>
        <v>0</v>
      </c>
      <c r="J45" s="10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9">
        <f>SUM(O45:S45)</f>
        <v>0</v>
      </c>
      <c r="U45" s="11">
        <f>T45+N45+I45+D49</f>
        <v>0</v>
      </c>
      <c r="V45" s="10">
        <v>0</v>
      </c>
      <c r="W45" s="10">
        <v>0</v>
      </c>
      <c r="X45" s="10">
        <v>0</v>
      </c>
      <c r="Y45" s="10">
        <v>0</v>
      </c>
      <c r="Z45" s="9">
        <f>SUM(V45:Y45)</f>
        <v>0</v>
      </c>
      <c r="AA45" s="83">
        <v>0</v>
      </c>
      <c r="AB45" s="83">
        <v>0</v>
      </c>
      <c r="AC45" s="83">
        <v>0</v>
      </c>
      <c r="AD45" s="83">
        <v>0</v>
      </c>
      <c r="AE45" s="9">
        <f>SUM(AA45:AD45)</f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9">
        <f>SUM(AF45:AJ45)</f>
        <v>0</v>
      </c>
      <c r="AL45" s="11">
        <f>AK45+AE45+Z45</f>
        <v>0</v>
      </c>
      <c r="AM45" s="94">
        <v>256</v>
      </c>
      <c r="AN45" s="94">
        <f t="shared" si="0"/>
        <v>0</v>
      </c>
      <c r="AO45" s="94">
        <f t="shared" si="1"/>
        <v>0</v>
      </c>
    </row>
    <row r="46" spans="1:41">
      <c r="A46" s="166"/>
      <c r="B46" s="3" t="s">
        <v>6</v>
      </c>
      <c r="C46" s="9"/>
      <c r="D46" s="9"/>
      <c r="E46" s="10"/>
      <c r="F46" s="10"/>
      <c r="G46" s="10"/>
      <c r="H46" s="10"/>
      <c r="I46" s="9">
        <f>SUM(E46:H46)</f>
        <v>0</v>
      </c>
      <c r="J46" s="10"/>
      <c r="K46" s="10"/>
      <c r="L46" s="10"/>
      <c r="M46" s="10"/>
      <c r="N46" s="9">
        <f>SUM(J46:M46)</f>
        <v>0</v>
      </c>
      <c r="O46" s="10"/>
      <c r="P46" s="10"/>
      <c r="Q46" s="10"/>
      <c r="R46" s="10"/>
      <c r="S46" s="10"/>
      <c r="T46" s="9">
        <f>SUM(O46:S46)</f>
        <v>0</v>
      </c>
      <c r="U46" s="11">
        <f>I46+N46+T46</f>
        <v>0</v>
      </c>
      <c r="V46" s="10"/>
      <c r="W46" s="10"/>
      <c r="X46" s="10"/>
      <c r="Y46" s="10"/>
      <c r="Z46" s="9">
        <f>SUM(V46:Y46)</f>
        <v>0</v>
      </c>
      <c r="AA46" s="10"/>
      <c r="AB46" s="10"/>
      <c r="AC46" s="10"/>
      <c r="AD46" s="10"/>
      <c r="AE46" s="9">
        <f>SUM(AA46:AD46)</f>
        <v>0</v>
      </c>
      <c r="AF46" s="10"/>
      <c r="AG46" s="10"/>
      <c r="AH46" s="10"/>
      <c r="AI46" s="10"/>
      <c r="AJ46" s="10"/>
      <c r="AK46" s="9">
        <f>SUM(AF46:AJ46)</f>
        <v>0</v>
      </c>
      <c r="AL46" s="11">
        <f>Z46+AE46+AK46</f>
        <v>0</v>
      </c>
      <c r="AM46" s="93"/>
      <c r="AN46" s="94">
        <f t="shared" si="0"/>
        <v>0</v>
      </c>
      <c r="AO46" s="94">
        <f t="shared" si="1"/>
        <v>0</v>
      </c>
    </row>
    <row r="47" spans="1:41">
      <c r="A47" s="166"/>
      <c r="B47" s="3" t="s">
        <v>10</v>
      </c>
      <c r="C47" s="9">
        <v>0</v>
      </c>
      <c r="D47" s="9"/>
      <c r="E47" s="10"/>
      <c r="F47" s="10"/>
      <c r="G47" s="10"/>
      <c r="H47" s="10"/>
      <c r="I47" s="9"/>
      <c r="J47" s="10"/>
      <c r="K47" s="10"/>
      <c r="L47" s="10"/>
      <c r="M47" s="10"/>
      <c r="N47" s="9"/>
      <c r="O47" s="10"/>
      <c r="P47" s="10"/>
      <c r="Q47" s="10"/>
      <c r="R47" s="10"/>
      <c r="S47" s="10"/>
      <c r="T47" s="9"/>
      <c r="U47" s="11"/>
      <c r="V47" s="10"/>
      <c r="W47" s="10"/>
      <c r="X47" s="10"/>
      <c r="Y47" s="10"/>
      <c r="Z47" s="9"/>
      <c r="AA47" s="10"/>
      <c r="AB47" s="10"/>
      <c r="AC47" s="10"/>
      <c r="AD47" s="10"/>
      <c r="AE47" s="9"/>
      <c r="AF47" s="10"/>
      <c r="AG47" s="10"/>
      <c r="AH47" s="10"/>
      <c r="AI47" s="10"/>
      <c r="AJ47" s="10"/>
      <c r="AK47" s="9"/>
      <c r="AL47" s="11"/>
      <c r="AM47" s="93"/>
      <c r="AN47" s="94">
        <f t="shared" si="0"/>
        <v>0</v>
      </c>
      <c r="AO47" s="94">
        <f t="shared" si="1"/>
        <v>0</v>
      </c>
    </row>
    <row r="48" spans="1:41">
      <c r="A48" s="166"/>
      <c r="B48" s="3" t="s">
        <v>7</v>
      </c>
      <c r="C48" s="9"/>
      <c r="D48" s="9"/>
      <c r="E48" s="10">
        <f>E47+E46</f>
        <v>0</v>
      </c>
      <c r="F48" s="10">
        <f>F47+F46</f>
        <v>0</v>
      </c>
      <c r="G48" s="10">
        <f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0</v>
      </c>
      <c r="V48" s="10">
        <f>V47+V46</f>
        <v>0</v>
      </c>
      <c r="W48" s="10">
        <f>W47+W46</f>
        <v>0</v>
      </c>
      <c r="X48" s="10">
        <f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93"/>
      <c r="AN48" s="94">
        <f t="shared" si="0"/>
        <v>0</v>
      </c>
      <c r="AO48" s="94">
        <f t="shared" si="1"/>
        <v>0</v>
      </c>
    </row>
    <row r="49" spans="1:41">
      <c r="A49" s="167"/>
      <c r="B49" s="2" t="s">
        <v>8</v>
      </c>
      <c r="C49" s="65">
        <v>0</v>
      </c>
      <c r="D49" s="95">
        <v>0</v>
      </c>
      <c r="E49" s="81">
        <f>E48-E45</f>
        <v>0</v>
      </c>
      <c r="F49" s="10">
        <f>E49+F48-F45</f>
        <v>0</v>
      </c>
      <c r="G49" s="10">
        <f>F49+G48-G45</f>
        <v>0</v>
      </c>
      <c r="H49" s="10">
        <f>G49+H48-H45</f>
        <v>0</v>
      </c>
      <c r="I49" s="9">
        <f>I48-I45</f>
        <v>0</v>
      </c>
      <c r="J49" s="10">
        <f>I49+J48-J45</f>
        <v>0</v>
      </c>
      <c r="K49" s="10">
        <f>J49+K48-K45</f>
        <v>0</v>
      </c>
      <c r="L49" s="10">
        <f>K49+L48-L45</f>
        <v>0</v>
      </c>
      <c r="M49" s="10">
        <f>L49+M48-M45</f>
        <v>0</v>
      </c>
      <c r="N49" s="9">
        <f>I49+N48-N45</f>
        <v>0</v>
      </c>
      <c r="O49" s="10">
        <f>N49+O48-O45</f>
        <v>0</v>
      </c>
      <c r="P49" s="10">
        <f>O49+P48-P45</f>
        <v>0</v>
      </c>
      <c r="Q49" s="10">
        <f>P49+Q48-Q45</f>
        <v>0</v>
      </c>
      <c r="R49" s="10">
        <f t="shared" ref="R49" si="16">Q49+R48-R45</f>
        <v>0</v>
      </c>
      <c r="S49" s="10">
        <f>R49+S48-S45</f>
        <v>0</v>
      </c>
      <c r="T49" s="9">
        <f>N49+T48-T45</f>
        <v>0</v>
      </c>
      <c r="U49" s="9">
        <f>U48-U45</f>
        <v>0</v>
      </c>
      <c r="V49" s="10">
        <f>U49+V48-V45</f>
        <v>0</v>
      </c>
      <c r="W49" s="10">
        <f>V49+W48-W45</f>
        <v>0</v>
      </c>
      <c r="X49" s="10">
        <f>W49+X48-X45</f>
        <v>0</v>
      </c>
      <c r="Y49" s="10">
        <f>X49+Y48-Y45</f>
        <v>0</v>
      </c>
      <c r="Z49" s="9">
        <f>T49+Z48-Z45</f>
        <v>0</v>
      </c>
      <c r="AA49" s="10">
        <f>Z49+AA48-AA45</f>
        <v>0</v>
      </c>
      <c r="AB49" s="10">
        <f>AA49+AB48-AB45</f>
        <v>0</v>
      </c>
      <c r="AC49" s="10">
        <f>AB49+AC48-AC45</f>
        <v>0</v>
      </c>
      <c r="AD49" s="10">
        <f>AC49+AD48-AD45</f>
        <v>0</v>
      </c>
      <c r="AE49" s="9">
        <f>Z49+AE48-AE45</f>
        <v>0</v>
      </c>
      <c r="AF49" s="10">
        <f>AE49+AF48-AF45</f>
        <v>0</v>
      </c>
      <c r="AG49" s="10">
        <f>AF49+AG48-AG45</f>
        <v>0</v>
      </c>
      <c r="AH49" s="10">
        <f>AG49+AH48-AH45</f>
        <v>0</v>
      </c>
      <c r="AI49" s="10">
        <f t="shared" ref="AI49:AJ49" si="17">AH49+AI48-AI45</f>
        <v>0</v>
      </c>
      <c r="AJ49" s="10">
        <f t="shared" si="17"/>
        <v>0</v>
      </c>
      <c r="AK49" s="9">
        <f>AE49+AK48-AK45</f>
        <v>0</v>
      </c>
      <c r="AL49" s="11">
        <f>T49+AL48-AL45</f>
        <v>0</v>
      </c>
      <c r="AM49" s="93"/>
      <c r="AN49" s="94">
        <f t="shared" si="0"/>
        <v>0</v>
      </c>
      <c r="AO49" s="94">
        <f t="shared" si="1"/>
        <v>0</v>
      </c>
    </row>
    <row r="50" spans="1:41">
      <c r="A50" s="82"/>
      <c r="B50" s="3" t="s">
        <v>9</v>
      </c>
      <c r="C50" s="9"/>
      <c r="D50" s="9"/>
      <c r="E50" s="57" t="e">
        <f>E49/(SUM(F45+H45+J45+G45)/20)*1000</f>
        <v>#DIV/0!</v>
      </c>
      <c r="F50" s="57" t="e">
        <f>F49/(SUM(G45+K45+J45+H45)/20)*1000</f>
        <v>#DIV/0!</v>
      </c>
      <c r="G50" s="57" t="e">
        <f>G49/(SUM(H45+J45+K45+L45)/20)*1000</f>
        <v>#DIV/0!</v>
      </c>
      <c r="H50" s="57" t="e">
        <f>H49/(SUM(M45+J45+K45+L45)/20)*1000</f>
        <v>#DIV/0!</v>
      </c>
      <c r="I50" s="12"/>
      <c r="J50" s="57" t="e">
        <f>J49/(SUM(K45+M45+O45+L45)/20)*1000</f>
        <v>#DIV/0!</v>
      </c>
      <c r="K50" s="57" t="e">
        <f>K49/(SUM(L45+P45+O45+M45)/20)*1000</f>
        <v>#DIV/0!</v>
      </c>
      <c r="L50" s="57" t="e">
        <f>L49/(SUM(M45+O45+P45+Q45)/20)*1000</f>
        <v>#DIV/0!</v>
      </c>
      <c r="M50" s="57" t="e">
        <f>M49/(SUM(R45+O45+P45+Q45)/20)*1000</f>
        <v>#DIV/0!</v>
      </c>
      <c r="N50" s="12"/>
      <c r="O50" s="57" t="e">
        <f>O49/(SUM(P45+R45+S45+Q45)/20)*1000</f>
        <v>#DIV/0!</v>
      </c>
      <c r="P50" s="57" t="e">
        <f>P49/(SUM(Q45+S45+V45+R45)/20)*1000</f>
        <v>#DIV/0!</v>
      </c>
      <c r="Q50" s="57" t="e">
        <f>Q49/(SUM(R45+S45+W45+V45)/20)*1000</f>
        <v>#DIV/0!</v>
      </c>
      <c r="R50" s="57" t="e">
        <f>R49/(SUM(T45+U45+V45+W45)/20)*1000</f>
        <v>#DIV/0!</v>
      </c>
      <c r="S50" s="57" t="e">
        <f>S49/(SUM(S45+V45+W45+X45)/20)*1000</f>
        <v>#DIV/0!</v>
      </c>
      <c r="T50" s="12"/>
      <c r="U50" s="13"/>
      <c r="V50" s="57" t="e">
        <f>V49/(SUM(W45+Y45+AA45+X45)/20)*1000</f>
        <v>#DIV/0!</v>
      </c>
      <c r="W50" s="57" t="e">
        <f>V49/(SUM(X45+AA45+AB45+Y45)/20)*1000</f>
        <v>#DIV/0!</v>
      </c>
      <c r="X50" s="57" t="e">
        <f>W49/(SUM(Y45+AA45+AB45+AC45)/20)*1000</f>
        <v>#DIV/0!</v>
      </c>
      <c r="Y50" s="57" t="e">
        <f>X49/(SUM(AA45+AB45+AC45+AD45)/20)*1000</f>
        <v>#DIV/0!</v>
      </c>
      <c r="Z50" s="12"/>
      <c r="AA50" s="57" t="e">
        <f>AA49/(SUM(AB45+AD45+AF45+AC45)/20)*1000</f>
        <v>#DIV/0!</v>
      </c>
      <c r="AB50" s="57" t="e">
        <f>AB49/(SUM(AC45+AF45+AG45+AD45)/20)*1000</f>
        <v>#DIV/0!</v>
      </c>
      <c r="AC50" s="57" t="e">
        <f>AC49/(SUM(AD45+AF45+AG45+AH45)/20)*1000</f>
        <v>#DIV/0!</v>
      </c>
      <c r="AD50" s="57" t="e">
        <f>AD49/(SUM(AF45+AG45+AH45+AI45)/20)*1000</f>
        <v>#DIV/0!</v>
      </c>
      <c r="AE50" s="12"/>
      <c r="AF50" s="57" t="e">
        <f>AF49/(SUM(AG45+AI45+AJ45+AH45)/20)*1000</f>
        <v>#DIV/0!</v>
      </c>
      <c r="AG50" s="57">
        <f>AG49/(SUM(AH45+AJ45+AM45+AI45)/20)*1000</f>
        <v>0</v>
      </c>
      <c r="AH50" s="57">
        <f>AH49/(SUM(AI45+AJ45+AN45+AM45)/20)*1000</f>
        <v>0</v>
      </c>
      <c r="AI50" s="57">
        <f>AI49/(SUM(AK45+AL45+AM45+AN45)/20)*1000</f>
        <v>0</v>
      </c>
      <c r="AJ50" s="57">
        <f>AJ49/(SUM(AJ45+AM45+AN45+AO45)/20)*1000</f>
        <v>0</v>
      </c>
      <c r="AK50" s="12"/>
      <c r="AL50" s="13"/>
      <c r="AM50" s="93"/>
      <c r="AN50" s="94">
        <f t="shared" si="0"/>
        <v>0</v>
      </c>
      <c r="AO50" s="94">
        <f t="shared" si="1"/>
        <v>0</v>
      </c>
    </row>
    <row r="51" spans="1:41">
      <c r="A51" s="165" t="s">
        <v>96</v>
      </c>
      <c r="B51" s="1" t="s">
        <v>5</v>
      </c>
      <c r="C51" s="9"/>
      <c r="D51" s="9"/>
      <c r="E51" s="10">
        <v>400</v>
      </c>
      <c r="F51" s="10">
        <v>0</v>
      </c>
      <c r="G51" s="10">
        <v>0</v>
      </c>
      <c r="H51" s="10">
        <v>0</v>
      </c>
      <c r="I51" s="9">
        <f>SUM(E51:H51)</f>
        <v>400</v>
      </c>
      <c r="J51" s="10">
        <v>0</v>
      </c>
      <c r="K51" s="10">
        <v>0</v>
      </c>
      <c r="L51" s="10">
        <v>0</v>
      </c>
      <c r="M51" s="10">
        <v>0</v>
      </c>
      <c r="N51" s="9">
        <f>SUM(J51:M51)</f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9">
        <f>SUM(O51:S51)</f>
        <v>0</v>
      </c>
      <c r="U51" s="11">
        <f>T51+N51+I51+D55</f>
        <v>401</v>
      </c>
      <c r="V51" s="10">
        <v>0</v>
      </c>
      <c r="W51" s="10">
        <v>0</v>
      </c>
      <c r="X51" s="10">
        <v>0</v>
      </c>
      <c r="Y51" s="10">
        <v>0</v>
      </c>
      <c r="Z51" s="9">
        <f>SUM(V51:Y51)</f>
        <v>0</v>
      </c>
      <c r="AA51" s="10">
        <v>0</v>
      </c>
      <c r="AB51" s="10">
        <v>0</v>
      </c>
      <c r="AC51" s="10">
        <v>0</v>
      </c>
      <c r="AD51" s="10">
        <v>0</v>
      </c>
      <c r="AE51" s="9">
        <f>SUM(AA51:AD51)</f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9">
        <f>SUM(AF51:AJ51)</f>
        <v>0</v>
      </c>
      <c r="AL51" s="11">
        <f>AK51+AE51+Z51</f>
        <v>0</v>
      </c>
      <c r="AM51" s="94">
        <v>256</v>
      </c>
      <c r="AN51" s="94">
        <f t="shared" si="0"/>
        <v>102656</v>
      </c>
      <c r="AO51" s="94">
        <f t="shared" si="1"/>
        <v>0</v>
      </c>
    </row>
    <row r="52" spans="1:41">
      <c r="A52" s="166"/>
      <c r="B52" s="3" t="s">
        <v>6</v>
      </c>
      <c r="C52" s="9"/>
      <c r="D52" s="9"/>
      <c r="E52" s="10">
        <v>400</v>
      </c>
      <c r="F52" s="10"/>
      <c r="G52" s="10"/>
      <c r="H52" s="10"/>
      <c r="I52" s="9">
        <f>SUM(E52:H52)</f>
        <v>400</v>
      </c>
      <c r="J52" s="10"/>
      <c r="K52" s="10"/>
      <c r="L52" s="10"/>
      <c r="M52" s="10"/>
      <c r="N52" s="9">
        <f>SUM(J52:M52)</f>
        <v>0</v>
      </c>
      <c r="O52" s="10"/>
      <c r="P52" s="10"/>
      <c r="Q52" s="10"/>
      <c r="R52" s="10"/>
      <c r="S52" s="10"/>
      <c r="T52" s="9">
        <f>SUM(O52:S52)</f>
        <v>0</v>
      </c>
      <c r="U52" s="11">
        <f>I52+N52+T52</f>
        <v>400</v>
      </c>
      <c r="V52" s="10"/>
      <c r="W52" s="10"/>
      <c r="X52" s="10"/>
      <c r="Y52" s="10"/>
      <c r="Z52" s="9">
        <f>SUM(V52:Y52)</f>
        <v>0</v>
      </c>
      <c r="AA52" s="10"/>
      <c r="AB52" s="10"/>
      <c r="AC52" s="10"/>
      <c r="AD52" s="10"/>
      <c r="AE52" s="9">
        <f>SUM(AA52:AD52)</f>
        <v>0</v>
      </c>
      <c r="AF52" s="10"/>
      <c r="AG52" s="10"/>
      <c r="AH52" s="10"/>
      <c r="AI52" s="10"/>
      <c r="AJ52" s="10"/>
      <c r="AK52" s="9">
        <f>SUM(AF52:AJ52)</f>
        <v>0</v>
      </c>
      <c r="AL52" s="11">
        <f>Z52+AE52+AK52</f>
        <v>0</v>
      </c>
      <c r="AM52" s="93"/>
      <c r="AN52" s="94">
        <f t="shared" si="0"/>
        <v>0</v>
      </c>
      <c r="AO52" s="94">
        <f t="shared" si="1"/>
        <v>0</v>
      </c>
    </row>
    <row r="53" spans="1:41">
      <c r="A53" s="166"/>
      <c r="B53" s="3" t="s">
        <v>10</v>
      </c>
      <c r="C53" s="9">
        <v>0</v>
      </c>
      <c r="D53" s="9"/>
      <c r="E53" s="10"/>
      <c r="F53" s="10"/>
      <c r="G53" s="10"/>
      <c r="H53" s="10"/>
      <c r="I53" s="9"/>
      <c r="J53" s="10"/>
      <c r="K53" s="10"/>
      <c r="L53" s="10"/>
      <c r="M53" s="10"/>
      <c r="N53" s="9"/>
      <c r="O53" s="10"/>
      <c r="P53" s="10"/>
      <c r="Q53" s="10"/>
      <c r="R53" s="10"/>
      <c r="S53" s="10"/>
      <c r="T53" s="9"/>
      <c r="U53" s="11"/>
      <c r="V53" s="10"/>
      <c r="W53" s="10"/>
      <c r="X53" s="10"/>
      <c r="Y53" s="10"/>
      <c r="Z53" s="9"/>
      <c r="AA53" s="10"/>
      <c r="AB53" s="10"/>
      <c r="AC53" s="10"/>
      <c r="AD53" s="10"/>
      <c r="AE53" s="9"/>
      <c r="AF53" s="10"/>
      <c r="AG53" s="10"/>
      <c r="AH53" s="10"/>
      <c r="AI53" s="10"/>
      <c r="AJ53" s="10"/>
      <c r="AK53" s="9"/>
      <c r="AL53" s="11"/>
      <c r="AM53" s="93"/>
      <c r="AN53" s="94">
        <f t="shared" si="0"/>
        <v>0</v>
      </c>
      <c r="AO53" s="94">
        <f t="shared" si="1"/>
        <v>0</v>
      </c>
    </row>
    <row r="54" spans="1:41">
      <c r="A54" s="166"/>
      <c r="B54" s="3" t="s">
        <v>7</v>
      </c>
      <c r="C54" s="9"/>
      <c r="D54" s="9"/>
      <c r="E54" s="10">
        <f>E53+E52</f>
        <v>400</v>
      </c>
      <c r="F54" s="10">
        <f>F53+F52</f>
        <v>0</v>
      </c>
      <c r="G54" s="10">
        <f>G53+G52</f>
        <v>0</v>
      </c>
      <c r="H54" s="10">
        <f>H53+H52</f>
        <v>0</v>
      </c>
      <c r="I54" s="9">
        <f>SUM(E54:H54)</f>
        <v>400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401</v>
      </c>
      <c r="V54" s="10">
        <f>V53+V52</f>
        <v>0</v>
      </c>
      <c r="W54" s="10">
        <f>W53+W52</f>
        <v>0</v>
      </c>
      <c r="X54" s="10">
        <f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93"/>
      <c r="AN54" s="94">
        <f t="shared" si="0"/>
        <v>0</v>
      </c>
      <c r="AO54" s="94">
        <f t="shared" si="1"/>
        <v>0</v>
      </c>
    </row>
    <row r="55" spans="1:41">
      <c r="A55" s="167"/>
      <c r="B55" s="2" t="s">
        <v>8</v>
      </c>
      <c r="C55" s="65">
        <v>0</v>
      </c>
      <c r="D55" s="95">
        <v>1</v>
      </c>
      <c r="E55" s="81">
        <f>E54-E51</f>
        <v>0</v>
      </c>
      <c r="F55" s="10">
        <f>E55+F54-F51</f>
        <v>0</v>
      </c>
      <c r="G55" s="10">
        <f>F55+G54-G51</f>
        <v>0</v>
      </c>
      <c r="H55" s="10">
        <f>G55+H54-H51</f>
        <v>0</v>
      </c>
      <c r="I55" s="9">
        <f>I54-I51</f>
        <v>0</v>
      </c>
      <c r="J55" s="10">
        <f>I55+J54-J51</f>
        <v>0</v>
      </c>
      <c r="K55" s="10">
        <f>J55+K54-K51</f>
        <v>0</v>
      </c>
      <c r="L55" s="10">
        <f>K55+L54-L51</f>
        <v>0</v>
      </c>
      <c r="M55" s="10">
        <f>L55+M54-M51</f>
        <v>0</v>
      </c>
      <c r="N55" s="9">
        <f>I55+N54-N51</f>
        <v>0</v>
      </c>
      <c r="O55" s="10">
        <f>N55+O54-O51</f>
        <v>0</v>
      </c>
      <c r="P55" s="10">
        <f>O55+P54-P51</f>
        <v>0</v>
      </c>
      <c r="Q55" s="10">
        <f>P55+Q54-Q51</f>
        <v>0</v>
      </c>
      <c r="R55" s="10">
        <f t="shared" ref="R55" si="18">Q55+R54-R51</f>
        <v>0</v>
      </c>
      <c r="S55" s="10">
        <f>R55+S54-S51</f>
        <v>0</v>
      </c>
      <c r="T55" s="9">
        <f>N55+T54-T51</f>
        <v>0</v>
      </c>
      <c r="U55" s="9">
        <f>U54-U51</f>
        <v>0</v>
      </c>
      <c r="V55" s="10">
        <f>U55+V54-V51</f>
        <v>0</v>
      </c>
      <c r="W55" s="10">
        <f>V55+W54-W51</f>
        <v>0</v>
      </c>
      <c r="X55" s="10">
        <f>W55+X54-X51</f>
        <v>0</v>
      </c>
      <c r="Y55" s="10">
        <f>X55+Y54-Y51</f>
        <v>0</v>
      </c>
      <c r="Z55" s="9">
        <f>T55+Z54-Z51</f>
        <v>0</v>
      </c>
      <c r="AA55" s="10">
        <f>Z55+AA54-AA51</f>
        <v>0</v>
      </c>
      <c r="AB55" s="10">
        <f>AA55+AB54-AB51</f>
        <v>0</v>
      </c>
      <c r="AC55" s="10">
        <f>AB55+AC54-AC51</f>
        <v>0</v>
      </c>
      <c r="AD55" s="10">
        <f>AC55+AD54-AD51</f>
        <v>0</v>
      </c>
      <c r="AE55" s="9">
        <f>Z55+AE54-AE51</f>
        <v>0</v>
      </c>
      <c r="AF55" s="10">
        <f>AE55+AF54-AF51</f>
        <v>0</v>
      </c>
      <c r="AG55" s="10">
        <f>AF55+AG54-AG51</f>
        <v>0</v>
      </c>
      <c r="AH55" s="10">
        <f>AG55+AH54-AH51</f>
        <v>0</v>
      </c>
      <c r="AI55" s="10">
        <f t="shared" ref="AI55:AJ55" si="19">AH55+AI54-AI51</f>
        <v>0</v>
      </c>
      <c r="AJ55" s="10">
        <f t="shared" si="19"/>
        <v>0</v>
      </c>
      <c r="AK55" s="9">
        <f>AE55+AK54-AK51</f>
        <v>0</v>
      </c>
      <c r="AL55" s="11">
        <f>T55+AL54-AL51</f>
        <v>0</v>
      </c>
      <c r="AM55" s="93"/>
      <c r="AN55" s="94">
        <f t="shared" si="0"/>
        <v>0</v>
      </c>
      <c r="AO55" s="94">
        <f t="shared" si="1"/>
        <v>0</v>
      </c>
    </row>
    <row r="56" spans="1:41">
      <c r="A56" s="82"/>
      <c r="B56" s="3" t="s">
        <v>9</v>
      </c>
      <c r="C56" s="9"/>
      <c r="D56" s="9"/>
      <c r="E56" s="57" t="e">
        <f>E55/(SUM(F51+H51+J51+G51)/20)*1000</f>
        <v>#DIV/0!</v>
      </c>
      <c r="F56" s="57" t="e">
        <f>F55/(SUM(G51+K51+J51+H51)/20)*1000</f>
        <v>#DIV/0!</v>
      </c>
      <c r="G56" s="57" t="e">
        <f>G55/(SUM(H51+J51+K51+L51)/20)*1000</f>
        <v>#DIV/0!</v>
      </c>
      <c r="H56" s="57" t="e">
        <f>H55/(SUM(M51+J51+K51+L51)/20)*1000</f>
        <v>#DIV/0!</v>
      </c>
      <c r="I56" s="12"/>
      <c r="J56" s="57" t="e">
        <f>J55/(SUM(K51+M51+O51+L51)/20)*1000</f>
        <v>#DIV/0!</v>
      </c>
      <c r="K56" s="57" t="e">
        <f>K55/(SUM(L51+P51+O51+M51)/20)*1000</f>
        <v>#DIV/0!</v>
      </c>
      <c r="L56" s="57" t="e">
        <f>L55/(SUM(M51+O51+P51+Q51)/20)*1000</f>
        <v>#DIV/0!</v>
      </c>
      <c r="M56" s="57" t="e">
        <f>M55/(SUM(R51+O51+P51+Q51)/20)*1000</f>
        <v>#DIV/0!</v>
      </c>
      <c r="N56" s="12"/>
      <c r="O56" s="57" t="e">
        <f>O55/(SUM(P51+R51+S51+Q51)/20)*1000</f>
        <v>#DIV/0!</v>
      </c>
      <c r="P56" s="57" t="e">
        <f>P55/(SUM(Q51+S51+V51+R51)/20)*1000</f>
        <v>#DIV/0!</v>
      </c>
      <c r="Q56" s="57" t="e">
        <f>Q55/(SUM(R51+S51+W51+V51)/20)*1000</f>
        <v>#DIV/0!</v>
      </c>
      <c r="R56" s="57">
        <f>R55/(SUM(T51+U51+V51+W51)/20)*1000</f>
        <v>0</v>
      </c>
      <c r="S56" s="57" t="e">
        <f>S55/(SUM(S51+V51+W51+X51)/20)*1000</f>
        <v>#DIV/0!</v>
      </c>
      <c r="T56" s="12"/>
      <c r="U56" s="13"/>
      <c r="V56" s="57" t="e">
        <f>V55/(SUM(W51+Y51+AA51+X51)/20)*1000</f>
        <v>#DIV/0!</v>
      </c>
      <c r="W56" s="57" t="e">
        <f>V55/(SUM(X51+AA51+AB51+Y51)/20)*1000</f>
        <v>#DIV/0!</v>
      </c>
      <c r="X56" s="57" t="e">
        <f>W55/(SUM(Y51+AA51+AB51+AC51)/20)*1000</f>
        <v>#DIV/0!</v>
      </c>
      <c r="Y56" s="57" t="e">
        <f>X55/(SUM(AA51+AB51+AC51+AD51)/20)*1000</f>
        <v>#DIV/0!</v>
      </c>
      <c r="Z56" s="12"/>
      <c r="AA56" s="57" t="e">
        <f>AA55/(SUM(AB51+AD51+AF51+AC51)/20)*1000</f>
        <v>#DIV/0!</v>
      </c>
      <c r="AB56" s="57" t="e">
        <f>AB55/(SUM(AC51+AF51+AG51+AD51)/20)*1000</f>
        <v>#DIV/0!</v>
      </c>
      <c r="AC56" s="57" t="e">
        <f>AC55/(SUM(AD51+AF51+AG51+AH51)/20)*1000</f>
        <v>#DIV/0!</v>
      </c>
      <c r="AD56" s="57" t="e">
        <f>AD55/(SUM(AF51+AG51+AH51+AI51)/20)*1000</f>
        <v>#DIV/0!</v>
      </c>
      <c r="AE56" s="12"/>
      <c r="AF56" s="57" t="e">
        <f>AF55/(SUM(AG51+AI51+AJ51+AH51)/20)*1000</f>
        <v>#DIV/0!</v>
      </c>
      <c r="AG56" s="57">
        <f>AG55/(SUM(AH51+AJ51+AM51+AI51)/20)*1000</f>
        <v>0</v>
      </c>
      <c r="AH56" s="57">
        <f>AH55/(SUM(AI51+AJ51+AN51+AM51)/20)*1000</f>
        <v>0</v>
      </c>
      <c r="AI56" s="57">
        <f>AI55/(SUM(AK51+AL51+AM51+AN51)/20)*1000</f>
        <v>0</v>
      </c>
      <c r="AJ56" s="57">
        <f>AJ55/(SUM(AJ51+AM51+AN51+AO51)/20)*1000</f>
        <v>0</v>
      </c>
      <c r="AK56" s="12"/>
      <c r="AL56" s="13"/>
      <c r="AM56" s="93"/>
      <c r="AN56" s="94">
        <f t="shared" si="0"/>
        <v>0</v>
      </c>
      <c r="AO56" s="94">
        <f t="shared" si="1"/>
        <v>0</v>
      </c>
    </row>
    <row r="57" spans="1:41">
      <c r="A57" s="165" t="s">
        <v>98</v>
      </c>
      <c r="B57" s="1" t="s">
        <v>5</v>
      </c>
      <c r="C57" s="9"/>
      <c r="D57" s="9"/>
      <c r="E57" s="10"/>
      <c r="F57" s="10">
        <v>-39</v>
      </c>
      <c r="G57" s="10">
        <v>0</v>
      </c>
      <c r="H57" s="10">
        <v>0</v>
      </c>
      <c r="I57" s="9">
        <f>SUM(E57:H57)</f>
        <v>-39</v>
      </c>
      <c r="J57" s="10">
        <v>0</v>
      </c>
      <c r="K57" s="10">
        <v>0</v>
      </c>
      <c r="L57" s="10">
        <v>0</v>
      </c>
      <c r="M57" s="10">
        <v>0</v>
      </c>
      <c r="N57" s="9">
        <f>SUM(J57:M57)</f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9">
        <f>SUM(O57:S57)</f>
        <v>0</v>
      </c>
      <c r="U57" s="11">
        <f>T57+N57+I57+D61</f>
        <v>-39</v>
      </c>
      <c r="V57" s="10">
        <v>0</v>
      </c>
      <c r="W57" s="10">
        <v>0</v>
      </c>
      <c r="X57" s="10">
        <v>0</v>
      </c>
      <c r="Y57" s="10">
        <v>0</v>
      </c>
      <c r="Z57" s="9">
        <f>SUM(V57:Y57)</f>
        <v>0</v>
      </c>
      <c r="AA57" s="83">
        <v>0</v>
      </c>
      <c r="AB57" s="83">
        <v>0</v>
      </c>
      <c r="AC57" s="83">
        <v>0</v>
      </c>
      <c r="AD57" s="83">
        <v>0</v>
      </c>
      <c r="AE57" s="9">
        <f>SUM(AA57:AD57)</f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9">
        <f>SUM(AF57:AJ57)</f>
        <v>0</v>
      </c>
      <c r="AL57" s="11">
        <f>AK57+AE57+Z57</f>
        <v>0</v>
      </c>
      <c r="AM57" s="94">
        <v>128</v>
      </c>
      <c r="AN57" s="94">
        <f t="shared" si="0"/>
        <v>-4992</v>
      </c>
      <c r="AO57" s="94">
        <f t="shared" si="1"/>
        <v>0</v>
      </c>
    </row>
    <row r="58" spans="1:41">
      <c r="A58" s="166"/>
      <c r="B58" s="3" t="s">
        <v>6</v>
      </c>
      <c r="C58" s="9"/>
      <c r="D58" s="9"/>
      <c r="E58" s="10"/>
      <c r="F58" s="10"/>
      <c r="G58" s="10"/>
      <c r="H58" s="10"/>
      <c r="I58" s="9">
        <f>SUM(E58:H58)</f>
        <v>0</v>
      </c>
      <c r="J58" s="10"/>
      <c r="K58" s="10"/>
      <c r="L58" s="10"/>
      <c r="M58" s="10"/>
      <c r="N58" s="9">
        <f>SUM(J58:M58)</f>
        <v>0</v>
      </c>
      <c r="O58" s="10"/>
      <c r="P58" s="10"/>
      <c r="Q58" s="10"/>
      <c r="R58" s="10"/>
      <c r="S58" s="10"/>
      <c r="T58" s="9">
        <f>SUM(O58:S58)</f>
        <v>0</v>
      </c>
      <c r="U58" s="11">
        <f>I58+N58+T58</f>
        <v>0</v>
      </c>
      <c r="V58" s="10"/>
      <c r="W58" s="10"/>
      <c r="X58" s="10"/>
      <c r="Y58" s="10"/>
      <c r="Z58" s="9">
        <f>SUM(V58:Y58)</f>
        <v>0</v>
      </c>
      <c r="AA58" s="10"/>
      <c r="AB58" s="10"/>
      <c r="AC58" s="10"/>
      <c r="AD58" s="10"/>
      <c r="AE58" s="9">
        <f>SUM(AA58:AD58)</f>
        <v>0</v>
      </c>
      <c r="AF58" s="10"/>
      <c r="AG58" s="10"/>
      <c r="AH58" s="10"/>
      <c r="AI58" s="10"/>
      <c r="AJ58" s="10"/>
      <c r="AK58" s="9">
        <f>SUM(AF58:AJ58)</f>
        <v>0</v>
      </c>
      <c r="AL58" s="11">
        <f>Z58+AE58+AK58</f>
        <v>0</v>
      </c>
      <c r="AM58" s="93"/>
      <c r="AN58" s="94">
        <f t="shared" si="0"/>
        <v>0</v>
      </c>
      <c r="AO58" s="94">
        <f t="shared" si="1"/>
        <v>0</v>
      </c>
    </row>
    <row r="59" spans="1:41">
      <c r="A59" s="166"/>
      <c r="B59" s="3" t="s">
        <v>10</v>
      </c>
      <c r="C59" s="9">
        <v>0</v>
      </c>
      <c r="D59" s="9"/>
      <c r="E59" s="10"/>
      <c r="F59" s="10"/>
      <c r="G59" s="10"/>
      <c r="H59" s="10"/>
      <c r="I59" s="9"/>
      <c r="J59" s="10"/>
      <c r="K59" s="10"/>
      <c r="L59" s="10"/>
      <c r="M59" s="10"/>
      <c r="N59" s="9"/>
      <c r="O59" s="10"/>
      <c r="P59" s="10"/>
      <c r="Q59" s="10"/>
      <c r="R59" s="10"/>
      <c r="S59" s="10"/>
      <c r="T59" s="9"/>
      <c r="U59" s="11"/>
      <c r="V59" s="10"/>
      <c r="W59" s="10"/>
      <c r="X59" s="10"/>
      <c r="Y59" s="10"/>
      <c r="Z59" s="9"/>
      <c r="AA59" s="10"/>
      <c r="AB59" s="10"/>
      <c r="AC59" s="10"/>
      <c r="AD59" s="10"/>
      <c r="AE59" s="9"/>
      <c r="AF59" s="10"/>
      <c r="AG59" s="10"/>
      <c r="AH59" s="10"/>
      <c r="AI59" s="10"/>
      <c r="AJ59" s="10"/>
      <c r="AK59" s="9"/>
      <c r="AL59" s="11"/>
      <c r="AM59" s="93"/>
      <c r="AN59" s="94">
        <f t="shared" si="0"/>
        <v>0</v>
      </c>
      <c r="AO59" s="94">
        <f t="shared" si="1"/>
        <v>0</v>
      </c>
    </row>
    <row r="60" spans="1:41">
      <c r="A60" s="166"/>
      <c r="B60" s="3" t="s">
        <v>7</v>
      </c>
      <c r="C60" s="9"/>
      <c r="D60" s="9"/>
      <c r="E60" s="10">
        <f>E59+E58</f>
        <v>0</v>
      </c>
      <c r="F60" s="10">
        <f>F59+F58</f>
        <v>0</v>
      </c>
      <c r="G60" s="10">
        <f>G59+G58</f>
        <v>0</v>
      </c>
      <c r="H60" s="10">
        <f>H59+H58</f>
        <v>0</v>
      </c>
      <c r="I60" s="9">
        <f>SUM(E60:H60)</f>
        <v>0</v>
      </c>
      <c r="J60" s="10">
        <f>J59+J58</f>
        <v>0</v>
      </c>
      <c r="K60" s="10">
        <f>K59+K58</f>
        <v>0</v>
      </c>
      <c r="L60" s="10">
        <f>L59+L58</f>
        <v>0</v>
      </c>
      <c r="M60" s="10">
        <f>M59+M58</f>
        <v>0</v>
      </c>
      <c r="N60" s="9">
        <f>SUM(J60:M60)</f>
        <v>0</v>
      </c>
      <c r="O60" s="10">
        <f>O59+O58</f>
        <v>0</v>
      </c>
      <c r="P60" s="10">
        <f>P59+P58</f>
        <v>0</v>
      </c>
      <c r="Q60" s="10">
        <f>Q59+Q58</f>
        <v>0</v>
      </c>
      <c r="R60" s="10">
        <f>R59+R58</f>
        <v>0</v>
      </c>
      <c r="S60" s="10">
        <f>S59+S58</f>
        <v>0</v>
      </c>
      <c r="T60" s="9">
        <f>SUM(O60:S60)</f>
        <v>0</v>
      </c>
      <c r="U60" s="11">
        <f>T60+N60+I60+D61</f>
        <v>0</v>
      </c>
      <c r="V60" s="10">
        <f>V59+V58</f>
        <v>0</v>
      </c>
      <c r="W60" s="10">
        <f>W59+W58</f>
        <v>0</v>
      </c>
      <c r="X60" s="10">
        <f>X59+X58</f>
        <v>0</v>
      </c>
      <c r="Y60" s="10">
        <f>Y59+Y58</f>
        <v>0</v>
      </c>
      <c r="Z60" s="9">
        <f>SUM(V60:Y60)</f>
        <v>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0</v>
      </c>
      <c r="AM60" s="93"/>
      <c r="AN60" s="94">
        <f t="shared" si="0"/>
        <v>0</v>
      </c>
      <c r="AO60" s="94">
        <f t="shared" si="1"/>
        <v>0</v>
      </c>
    </row>
    <row r="61" spans="1:41">
      <c r="A61" s="167"/>
      <c r="B61" s="2" t="s">
        <v>8</v>
      </c>
      <c r="C61" s="65">
        <v>39</v>
      </c>
      <c r="D61" s="95"/>
      <c r="E61" s="81">
        <f>E60-E57</f>
        <v>0</v>
      </c>
      <c r="F61" s="10">
        <f>E61+F60-F57</f>
        <v>39</v>
      </c>
      <c r="G61" s="10">
        <f>F61+G60-G57</f>
        <v>39</v>
      </c>
      <c r="H61" s="10">
        <f>G61+H60-H57</f>
        <v>39</v>
      </c>
      <c r="I61" s="9">
        <f>I60-I57</f>
        <v>39</v>
      </c>
      <c r="J61" s="10">
        <f>I61+J60-J57</f>
        <v>39</v>
      </c>
      <c r="K61" s="10">
        <f>J61+K60-K57</f>
        <v>39</v>
      </c>
      <c r="L61" s="10">
        <f>K61+L60-L57</f>
        <v>39</v>
      </c>
      <c r="M61" s="10">
        <f>L61+M60-M57</f>
        <v>39</v>
      </c>
      <c r="N61" s="9">
        <f>I61+N60-N57</f>
        <v>39</v>
      </c>
      <c r="O61" s="10">
        <f>N61+O60-O57</f>
        <v>39</v>
      </c>
      <c r="P61" s="10">
        <f>O61+P60-P57</f>
        <v>39</v>
      </c>
      <c r="Q61" s="10">
        <f>P61+Q60-Q57</f>
        <v>39</v>
      </c>
      <c r="R61" s="10">
        <f t="shared" ref="R61" si="20">Q61+R60-R57</f>
        <v>39</v>
      </c>
      <c r="S61" s="10">
        <f>R61+S60-S57</f>
        <v>39</v>
      </c>
      <c r="T61" s="9">
        <f>N61+T60-T57</f>
        <v>39</v>
      </c>
      <c r="U61" s="9">
        <f>U60-U57</f>
        <v>39</v>
      </c>
      <c r="V61" s="10">
        <f>U61+V60-V57</f>
        <v>39</v>
      </c>
      <c r="W61" s="10">
        <f>V61+W60-W57</f>
        <v>39</v>
      </c>
      <c r="X61" s="10">
        <f>W61+X60-X57</f>
        <v>39</v>
      </c>
      <c r="Y61" s="10">
        <f>X61+Y60-Y57</f>
        <v>39</v>
      </c>
      <c r="Z61" s="9">
        <f>T61+Z60-Z57</f>
        <v>39</v>
      </c>
      <c r="AA61" s="10">
        <f>Z61+AA60-AA57</f>
        <v>39</v>
      </c>
      <c r="AB61" s="10">
        <f>AA61+AB60-AB57</f>
        <v>39</v>
      </c>
      <c r="AC61" s="10">
        <f>AB61+AC60-AC57</f>
        <v>39</v>
      </c>
      <c r="AD61" s="10">
        <f>AC61+AD60-AD57</f>
        <v>39</v>
      </c>
      <c r="AE61" s="9">
        <f>Z61+AE60-AE57</f>
        <v>39</v>
      </c>
      <c r="AF61" s="10">
        <f>AE61+AF60-AF57</f>
        <v>39</v>
      </c>
      <c r="AG61" s="10">
        <f>AF61+AG60-AG57</f>
        <v>39</v>
      </c>
      <c r="AH61" s="10">
        <f>AG61+AH60-AH57</f>
        <v>39</v>
      </c>
      <c r="AI61" s="10">
        <f t="shared" ref="AI61:AJ61" si="21">AH61+AI60-AI57</f>
        <v>39</v>
      </c>
      <c r="AJ61" s="10">
        <f t="shared" si="21"/>
        <v>39</v>
      </c>
      <c r="AK61" s="9">
        <f>AE61+AK60-AK57</f>
        <v>39</v>
      </c>
      <c r="AL61" s="11">
        <f>T61+AL60-AL57</f>
        <v>39</v>
      </c>
      <c r="AM61" s="93"/>
      <c r="AN61" s="94">
        <f t="shared" si="0"/>
        <v>0</v>
      </c>
      <c r="AO61" s="94">
        <f t="shared" si="1"/>
        <v>0</v>
      </c>
    </row>
    <row r="62" spans="1:41">
      <c r="A62" s="82"/>
      <c r="B62" s="3" t="s">
        <v>9</v>
      </c>
      <c r="C62" s="9"/>
      <c r="D62" s="9"/>
      <c r="E62" s="57">
        <f>E61/(SUM(F57+H57+J57+G57)/20)*1000</f>
        <v>0</v>
      </c>
      <c r="F62" s="57" t="e">
        <f>F61/(SUM(G57+K57+J57+H57)/20)*1000</f>
        <v>#DIV/0!</v>
      </c>
      <c r="G62" s="57" t="e">
        <f>G61/(SUM(H57+J57+K57+L57)/20)*1000</f>
        <v>#DIV/0!</v>
      </c>
      <c r="H62" s="57" t="e">
        <f>H61/(SUM(M57+J57+K57+L57)/20)*1000</f>
        <v>#DIV/0!</v>
      </c>
      <c r="I62" s="12"/>
      <c r="J62" s="57" t="e">
        <f>J61/(SUM(K57+M57+O57+L57)/20)*1000</f>
        <v>#DIV/0!</v>
      </c>
      <c r="K62" s="57" t="e">
        <f>K61/(SUM(L57+P57+O57+M57)/20)*1000</f>
        <v>#DIV/0!</v>
      </c>
      <c r="L62" s="57" t="e">
        <f>L61/(SUM(M57+O57+P57+Q57)/20)*1000</f>
        <v>#DIV/0!</v>
      </c>
      <c r="M62" s="57" t="e">
        <f>M61/(SUM(R57+O57+P57+Q57)/20)*1000</f>
        <v>#DIV/0!</v>
      </c>
      <c r="N62" s="12"/>
      <c r="O62" s="57" t="e">
        <f>O61/(SUM(P57+R57+S57+Q57)/20)*1000</f>
        <v>#DIV/0!</v>
      </c>
      <c r="P62" s="57" t="e">
        <f>P61/(SUM(Q57+S57+V57+R57)/20)*1000</f>
        <v>#DIV/0!</v>
      </c>
      <c r="Q62" s="57" t="e">
        <f>Q61/(SUM(R57+S57+W57+V57)/20)*1000</f>
        <v>#DIV/0!</v>
      </c>
      <c r="R62" s="57">
        <f>R61/(SUM(T57+U57+V57+W57)/20)*1000</f>
        <v>-20000</v>
      </c>
      <c r="S62" s="57" t="e">
        <f>S61/(SUM(S57+V57+W57+X57)/20)*1000</f>
        <v>#DIV/0!</v>
      </c>
      <c r="T62" s="12"/>
      <c r="U62" s="13"/>
      <c r="V62" s="57" t="e">
        <f>V61/(SUM(W57+Y57+AA57+X57)/20)*1000</f>
        <v>#DIV/0!</v>
      </c>
      <c r="W62" s="57" t="e">
        <f>V61/(SUM(X57+AA57+AB57+Y57)/20)*1000</f>
        <v>#DIV/0!</v>
      </c>
      <c r="X62" s="57" t="e">
        <f>W61/(SUM(Y57+AA57+AB57+AC57)/20)*1000</f>
        <v>#DIV/0!</v>
      </c>
      <c r="Y62" s="57" t="e">
        <f>X61/(SUM(AA57+AB57+AC57+AD57)/20)*1000</f>
        <v>#DIV/0!</v>
      </c>
      <c r="Z62" s="12"/>
      <c r="AA62" s="57" t="e">
        <f>AA61/(SUM(AB57+AD57+AF57+AC57)/20)*1000</f>
        <v>#DIV/0!</v>
      </c>
      <c r="AB62" s="57" t="e">
        <f>AB61/(SUM(AC57+AF57+AG57+AD57)/20)*1000</f>
        <v>#DIV/0!</v>
      </c>
      <c r="AC62" s="57" t="e">
        <f>AC61/(SUM(AD57+AF57+AG57+AH57)/20)*1000</f>
        <v>#DIV/0!</v>
      </c>
      <c r="AD62" s="57" t="e">
        <f>AD61/(SUM(AF57+AG57+AH57+AI57)/20)*1000</f>
        <v>#DIV/0!</v>
      </c>
      <c r="AE62" s="12"/>
      <c r="AF62" s="57" t="e">
        <f>AF61/(SUM(AG57+AI57+AJ57+AH57)/20)*1000</f>
        <v>#DIV/0!</v>
      </c>
      <c r="AG62" s="57">
        <f>AG61/(SUM(AH57+AJ57+AM57+AI57)/20)*1000</f>
        <v>6093.75</v>
      </c>
      <c r="AH62" s="57">
        <f>AH61/(SUM(AI57+AJ57+AN57+AM57)/20)*1000</f>
        <v>-160.36184210526315</v>
      </c>
      <c r="AI62" s="57">
        <f>AI61/(SUM(AK57+AL57+AM57+AN57)/20)*1000</f>
        <v>-160.36184210526315</v>
      </c>
      <c r="AJ62" s="57">
        <f>AJ61/(SUM(AJ57+AM57+AN57+AO57)/20)*1000</f>
        <v>-160.36184210526315</v>
      </c>
      <c r="AK62" s="12"/>
      <c r="AL62" s="13"/>
      <c r="AM62" s="93"/>
      <c r="AN62" s="94">
        <f t="shared" si="0"/>
        <v>0</v>
      </c>
      <c r="AO62" s="94">
        <f t="shared" si="1"/>
        <v>0</v>
      </c>
    </row>
    <row r="63" spans="1:41">
      <c r="A63" s="165" t="s">
        <v>99</v>
      </c>
      <c r="B63" s="1" t="s">
        <v>5</v>
      </c>
      <c r="C63" s="9"/>
      <c r="D63" s="9"/>
      <c r="E63" s="10"/>
      <c r="F63" s="10">
        <v>2</v>
      </c>
      <c r="G63" s="10">
        <v>0</v>
      </c>
      <c r="H63" s="10">
        <v>0</v>
      </c>
      <c r="I63" s="9">
        <f>SUM(E63:H63)</f>
        <v>2</v>
      </c>
      <c r="J63" s="10">
        <v>0</v>
      </c>
      <c r="K63" s="10">
        <v>1</v>
      </c>
      <c r="L63" s="10">
        <v>0</v>
      </c>
      <c r="M63" s="10">
        <v>0</v>
      </c>
      <c r="N63" s="9">
        <f>SUM(J63:M63)</f>
        <v>1</v>
      </c>
      <c r="O63" s="10">
        <v>0</v>
      </c>
      <c r="P63" s="10">
        <v>1</v>
      </c>
      <c r="Q63" s="10">
        <v>0</v>
      </c>
      <c r="R63" s="10">
        <v>0</v>
      </c>
      <c r="S63" s="10">
        <v>0</v>
      </c>
      <c r="T63" s="9">
        <f>SUM(O63:S63)</f>
        <v>1</v>
      </c>
      <c r="U63" s="11">
        <f>T63+N63+I63+D67</f>
        <v>54</v>
      </c>
      <c r="V63" s="10">
        <v>0</v>
      </c>
      <c r="W63" s="10">
        <v>0</v>
      </c>
      <c r="X63" s="10">
        <v>0</v>
      </c>
      <c r="Y63" s="10">
        <v>0</v>
      </c>
      <c r="Z63" s="9">
        <f>SUM(V63:Y63)</f>
        <v>0</v>
      </c>
      <c r="AA63" s="10">
        <v>0</v>
      </c>
      <c r="AB63" s="10">
        <v>1</v>
      </c>
      <c r="AC63" s="10">
        <v>0</v>
      </c>
      <c r="AD63" s="10">
        <v>0</v>
      </c>
      <c r="AE63" s="9">
        <f>SUM(AA63:AD63)</f>
        <v>1</v>
      </c>
      <c r="AF63" s="10">
        <v>0</v>
      </c>
      <c r="AG63" s="10">
        <v>1</v>
      </c>
      <c r="AH63" s="10">
        <v>0</v>
      </c>
      <c r="AI63" s="10">
        <v>0</v>
      </c>
      <c r="AJ63" s="10">
        <v>0</v>
      </c>
      <c r="AK63" s="9">
        <f>SUM(AF63:AJ63)</f>
        <v>1</v>
      </c>
      <c r="AL63" s="11">
        <f>AK63+AE63+Z63</f>
        <v>2</v>
      </c>
      <c r="AM63" s="94">
        <v>128</v>
      </c>
      <c r="AN63" s="94">
        <f t="shared" si="0"/>
        <v>6912</v>
      </c>
      <c r="AO63" s="94">
        <f t="shared" si="1"/>
        <v>256</v>
      </c>
    </row>
    <row r="64" spans="1:41">
      <c r="A64" s="166"/>
      <c r="B64" s="3" t="s">
        <v>6</v>
      </c>
      <c r="C64" s="9"/>
      <c r="D64" s="9"/>
      <c r="E64" s="10"/>
      <c r="F64" s="10"/>
      <c r="G64" s="10"/>
      <c r="H64" s="10"/>
      <c r="I64" s="9">
        <f>SUM(E64:H64)</f>
        <v>0</v>
      </c>
      <c r="J64" s="10"/>
      <c r="K64" s="10"/>
      <c r="L64" s="10"/>
      <c r="M64" s="10"/>
      <c r="N64" s="9">
        <f>SUM(J64:M64)</f>
        <v>0</v>
      </c>
      <c r="O64" s="10"/>
      <c r="P64" s="10"/>
      <c r="Q64" s="10"/>
      <c r="R64" s="10"/>
      <c r="S64" s="10"/>
      <c r="T64" s="9">
        <f>SUM(O64:S64)</f>
        <v>0</v>
      </c>
      <c r="U64" s="11">
        <f>I64+N64+T64</f>
        <v>0</v>
      </c>
      <c r="V64" s="10"/>
      <c r="W64" s="10"/>
      <c r="X64" s="10"/>
      <c r="Y64" s="10"/>
      <c r="Z64" s="9">
        <f>SUM(V64:Y64)</f>
        <v>0</v>
      </c>
      <c r="AA64" s="10"/>
      <c r="AB64" s="10"/>
      <c r="AC64" s="10"/>
      <c r="AD64" s="10"/>
      <c r="AE64" s="9">
        <f>SUM(AA64:AD64)</f>
        <v>0</v>
      </c>
      <c r="AF64" s="10"/>
      <c r="AG64" s="10"/>
      <c r="AH64" s="10"/>
      <c r="AI64" s="10"/>
      <c r="AJ64" s="10"/>
      <c r="AK64" s="9">
        <f>SUM(AF64:AJ64)</f>
        <v>0</v>
      </c>
      <c r="AL64" s="11">
        <f>Z64+AE64+AK64</f>
        <v>0</v>
      </c>
      <c r="AM64" s="93"/>
      <c r="AN64" s="94">
        <f t="shared" si="0"/>
        <v>0</v>
      </c>
      <c r="AO64" s="94">
        <f t="shared" si="1"/>
        <v>0</v>
      </c>
    </row>
    <row r="65" spans="1:41">
      <c r="A65" s="166"/>
      <c r="B65" s="3" t="s">
        <v>10</v>
      </c>
      <c r="C65" s="9">
        <v>0</v>
      </c>
      <c r="D65" s="9"/>
      <c r="E65" s="10"/>
      <c r="F65" s="10"/>
      <c r="G65" s="10"/>
      <c r="H65" s="10"/>
      <c r="I65" s="9"/>
      <c r="J65" s="10"/>
      <c r="K65" s="10"/>
      <c r="L65" s="10"/>
      <c r="M65" s="10"/>
      <c r="N65" s="9"/>
      <c r="O65" s="10"/>
      <c r="P65" s="10"/>
      <c r="Q65" s="10"/>
      <c r="R65" s="10"/>
      <c r="S65" s="10"/>
      <c r="T65" s="9"/>
      <c r="U65" s="11"/>
      <c r="V65" s="10"/>
      <c r="W65" s="10"/>
      <c r="X65" s="10"/>
      <c r="Y65" s="10"/>
      <c r="Z65" s="9"/>
      <c r="AA65" s="10"/>
      <c r="AB65" s="10"/>
      <c r="AC65" s="10"/>
      <c r="AD65" s="10"/>
      <c r="AE65" s="9"/>
      <c r="AF65" s="10"/>
      <c r="AG65" s="10"/>
      <c r="AH65" s="10"/>
      <c r="AI65" s="10"/>
      <c r="AJ65" s="10"/>
      <c r="AK65" s="9"/>
      <c r="AL65" s="11"/>
      <c r="AM65" s="93"/>
      <c r="AN65" s="94">
        <f t="shared" si="0"/>
        <v>0</v>
      </c>
      <c r="AO65" s="94">
        <f t="shared" si="1"/>
        <v>0</v>
      </c>
    </row>
    <row r="66" spans="1:41">
      <c r="A66" s="166"/>
      <c r="B66" s="3" t="s">
        <v>7</v>
      </c>
      <c r="C66" s="9"/>
      <c r="D66" s="9"/>
      <c r="E66" s="10">
        <f>E65+E64</f>
        <v>0</v>
      </c>
      <c r="F66" s="10">
        <f>F65+F64</f>
        <v>0</v>
      </c>
      <c r="G66" s="10">
        <f>G65+G64</f>
        <v>0</v>
      </c>
      <c r="H66" s="10">
        <f>H65+H64</f>
        <v>0</v>
      </c>
      <c r="I66" s="9">
        <f>SUM(E66:H66)</f>
        <v>0</v>
      </c>
      <c r="J66" s="10">
        <f>J65+J64</f>
        <v>0</v>
      </c>
      <c r="K66" s="10">
        <f>K65+K64</f>
        <v>0</v>
      </c>
      <c r="L66" s="10">
        <f>L65+L64</f>
        <v>0</v>
      </c>
      <c r="M66" s="10">
        <f>M65+M64</f>
        <v>0</v>
      </c>
      <c r="N66" s="9">
        <f>SUM(J66:M66)</f>
        <v>0</v>
      </c>
      <c r="O66" s="10">
        <f>O65+O64</f>
        <v>0</v>
      </c>
      <c r="P66" s="10">
        <f>P65+P64</f>
        <v>0</v>
      </c>
      <c r="Q66" s="10">
        <f>Q65+Q64</f>
        <v>0</v>
      </c>
      <c r="R66" s="10">
        <f>R65+R64</f>
        <v>0</v>
      </c>
      <c r="S66" s="10">
        <f>S65+S64</f>
        <v>0</v>
      </c>
      <c r="T66" s="9">
        <f>SUM(O66:S66)</f>
        <v>0</v>
      </c>
      <c r="U66" s="11">
        <f>T66+N66+I66+D67</f>
        <v>50</v>
      </c>
      <c r="V66" s="10">
        <f>V65+V64</f>
        <v>0</v>
      </c>
      <c r="W66" s="10">
        <f>W65+W64</f>
        <v>0</v>
      </c>
      <c r="X66" s="10">
        <f>X65+X64</f>
        <v>0</v>
      </c>
      <c r="Y66" s="10">
        <f>Y65+Y64</f>
        <v>0</v>
      </c>
      <c r="Z66" s="9">
        <f>SUM(V66:Y66)</f>
        <v>0</v>
      </c>
      <c r="AA66" s="10">
        <f>AA65+AA64</f>
        <v>0</v>
      </c>
      <c r="AB66" s="10">
        <f>AB65+AB64</f>
        <v>0</v>
      </c>
      <c r="AC66" s="10">
        <f>AC65+AC64</f>
        <v>0</v>
      </c>
      <c r="AD66" s="10">
        <f>AD65+AD64</f>
        <v>0</v>
      </c>
      <c r="AE66" s="9">
        <f>SUM(AA66:AD66)</f>
        <v>0</v>
      </c>
      <c r="AF66" s="10">
        <f>AF65+AF64</f>
        <v>0</v>
      </c>
      <c r="AG66" s="10">
        <f>AG65+AG64</f>
        <v>0</v>
      </c>
      <c r="AH66" s="10">
        <f>AH65+AH64</f>
        <v>0</v>
      </c>
      <c r="AI66" s="10">
        <f>AI65+AI64</f>
        <v>0</v>
      </c>
      <c r="AJ66" s="10">
        <f>AJ65+AJ64</f>
        <v>0</v>
      </c>
      <c r="AK66" s="9">
        <f>SUM(AF66:AJ66)</f>
        <v>0</v>
      </c>
      <c r="AL66" s="11">
        <f>AK66+AE66+Z66</f>
        <v>0</v>
      </c>
      <c r="AM66" s="93"/>
      <c r="AN66" s="94">
        <f t="shared" si="0"/>
        <v>0</v>
      </c>
      <c r="AO66" s="94">
        <f t="shared" si="1"/>
        <v>0</v>
      </c>
    </row>
    <row r="67" spans="1:41">
      <c r="A67" s="167"/>
      <c r="B67" s="2" t="s">
        <v>8</v>
      </c>
      <c r="C67" s="65">
        <v>2</v>
      </c>
      <c r="D67" s="95">
        <v>50</v>
      </c>
      <c r="E67" s="81">
        <f>E66-E63</f>
        <v>0</v>
      </c>
      <c r="F67" s="10">
        <f>E67+F66-F63</f>
        <v>-2</v>
      </c>
      <c r="G67" s="10">
        <f>F67+G66-G63</f>
        <v>-2</v>
      </c>
      <c r="H67" s="10">
        <f>G67+H66-H63</f>
        <v>-2</v>
      </c>
      <c r="I67" s="9">
        <f>I66-I63</f>
        <v>-2</v>
      </c>
      <c r="J67" s="10">
        <f>I67+J66-J63</f>
        <v>-2</v>
      </c>
      <c r="K67" s="10">
        <f>J67+K66-K63</f>
        <v>-3</v>
      </c>
      <c r="L67" s="10">
        <f>K67+L66-L63</f>
        <v>-3</v>
      </c>
      <c r="M67" s="10">
        <f>L67+M66-M63</f>
        <v>-3</v>
      </c>
      <c r="N67" s="9">
        <f>I67+N66-N63</f>
        <v>-3</v>
      </c>
      <c r="O67" s="10">
        <f>N67+O66-O63</f>
        <v>-3</v>
      </c>
      <c r="P67" s="10">
        <f>O67+P66-P63</f>
        <v>-4</v>
      </c>
      <c r="Q67" s="10">
        <f>P67+Q66-Q63</f>
        <v>-4</v>
      </c>
      <c r="R67" s="10">
        <f t="shared" ref="R67" si="22">Q67+R66-R63</f>
        <v>-4</v>
      </c>
      <c r="S67" s="10">
        <f>R67+S66-S63</f>
        <v>-4</v>
      </c>
      <c r="T67" s="9">
        <f>N67+T66-T63</f>
        <v>-4</v>
      </c>
      <c r="U67" s="9">
        <f>U66-U63</f>
        <v>-4</v>
      </c>
      <c r="V67" s="10">
        <f>U67+V66-V63</f>
        <v>-4</v>
      </c>
      <c r="W67" s="10">
        <f>V67+W66-W63</f>
        <v>-4</v>
      </c>
      <c r="X67" s="10">
        <f>W67+X66-X63</f>
        <v>-4</v>
      </c>
      <c r="Y67" s="10">
        <f>X67+Y66-Y63</f>
        <v>-4</v>
      </c>
      <c r="Z67" s="9">
        <f>T67+Z66-Z63</f>
        <v>-4</v>
      </c>
      <c r="AA67" s="10">
        <f>Z67+AA66-AA63</f>
        <v>-4</v>
      </c>
      <c r="AB67" s="10">
        <f>AA67+AB66-AB63</f>
        <v>-5</v>
      </c>
      <c r="AC67" s="10">
        <f>AB67+AC66-AC63</f>
        <v>-5</v>
      </c>
      <c r="AD67" s="10">
        <f>AC67+AD66-AD63</f>
        <v>-5</v>
      </c>
      <c r="AE67" s="9">
        <f>Z67+AE66-AE63</f>
        <v>-5</v>
      </c>
      <c r="AF67" s="10">
        <f>AE67+AF66-AF63</f>
        <v>-5</v>
      </c>
      <c r="AG67" s="10">
        <f>AF67+AG66-AG63</f>
        <v>-6</v>
      </c>
      <c r="AH67" s="10">
        <f>AG67+AH66-AH63</f>
        <v>-6</v>
      </c>
      <c r="AI67" s="10">
        <f t="shared" ref="AI67:AJ67" si="23">AH67+AI66-AI63</f>
        <v>-6</v>
      </c>
      <c r="AJ67" s="10">
        <f t="shared" si="23"/>
        <v>-6</v>
      </c>
      <c r="AK67" s="9">
        <f>AE67+AK66-AK63</f>
        <v>-6</v>
      </c>
      <c r="AL67" s="11">
        <f>T67+AL66-AL63</f>
        <v>-6</v>
      </c>
      <c r="AM67" s="93"/>
      <c r="AN67" s="94">
        <f t="shared" si="0"/>
        <v>0</v>
      </c>
      <c r="AO67" s="94">
        <f t="shared" si="1"/>
        <v>0</v>
      </c>
    </row>
    <row r="68" spans="1:41">
      <c r="A68" s="82"/>
      <c r="B68" s="3" t="s">
        <v>9</v>
      </c>
      <c r="C68" s="9"/>
      <c r="D68" s="9"/>
      <c r="E68" s="57">
        <f>E67/(SUM(F63+H63+J63+G63)/20)*1000</f>
        <v>0</v>
      </c>
      <c r="F68" s="57">
        <f>F67/(SUM(G63+K63+J63+H63)/20)*1000</f>
        <v>-40000</v>
      </c>
      <c r="G68" s="57">
        <f>G67/(SUM(H63+J63+K63+L63)/20)*1000</f>
        <v>-40000</v>
      </c>
      <c r="H68" s="57">
        <f>H67/(SUM(M63+J63+K63+L63)/20)*1000</f>
        <v>-40000</v>
      </c>
      <c r="I68" s="12"/>
      <c r="J68" s="57">
        <f>J67/(SUM(K63+M63+O63+L63)/20)*1000</f>
        <v>-40000</v>
      </c>
      <c r="K68" s="57">
        <f>K67/(SUM(L63+P63+O63+M63)/20)*1000</f>
        <v>-60000</v>
      </c>
      <c r="L68" s="57">
        <f>L67/(SUM(M63+O63+P63+Q63)/20)*1000</f>
        <v>-60000</v>
      </c>
      <c r="M68" s="57">
        <f>M67/(SUM(R63+O63+P63+Q63)/20)*1000</f>
        <v>-60000</v>
      </c>
      <c r="N68" s="12"/>
      <c r="O68" s="57">
        <f>O67/(SUM(P63+R63+S63+Q63)/20)*1000</f>
        <v>-60000</v>
      </c>
      <c r="P68" s="57" t="e">
        <f>P67/(SUM(Q63+S63+V63+R63)/20)*1000</f>
        <v>#DIV/0!</v>
      </c>
      <c r="Q68" s="57" t="e">
        <f>Q67/(SUM(R63+S63+W63+V63)/20)*1000</f>
        <v>#DIV/0!</v>
      </c>
      <c r="R68" s="57">
        <f>R67/(SUM(T63+U63+V63+W63)/20)*1000</f>
        <v>-1454.5454545454545</v>
      </c>
      <c r="S68" s="57" t="e">
        <f>S67/(SUM(S63+V63+W63+X63)/20)*1000</f>
        <v>#DIV/0!</v>
      </c>
      <c r="T68" s="12"/>
      <c r="U68" s="13"/>
      <c r="V68" s="57" t="e">
        <f>V67/(SUM(W63+Y63+AA63+X63)/20)*1000</f>
        <v>#DIV/0!</v>
      </c>
      <c r="W68" s="57">
        <f>V67/(SUM(X63+AA63+AB63+Y63)/20)*1000</f>
        <v>-80000</v>
      </c>
      <c r="X68" s="57">
        <f>W67/(SUM(Y63+AA63+AB63+AC63)/20)*1000</f>
        <v>-80000</v>
      </c>
      <c r="Y68" s="57">
        <f>Y67/(SUM(AA63+AB63+AC63+AD63)/20)*1000</f>
        <v>-80000</v>
      </c>
      <c r="Z68" s="12"/>
      <c r="AA68" s="57">
        <f>AA67/(SUM(AB63+AD63+AF63+AC63)/20)*1000</f>
        <v>-80000</v>
      </c>
      <c r="AB68" s="57">
        <f>AB67/(SUM(AC63+AF63+AG63+AD63)/20)*1000</f>
        <v>-100000</v>
      </c>
      <c r="AC68" s="57">
        <f>AC67/(SUM(AD63+AF63+AG63+AH63)/20)*1000</f>
        <v>-100000</v>
      </c>
      <c r="AD68" s="57">
        <f>AD67/(SUM(AF63+AG63+AH63+AI63)/20)*1000</f>
        <v>-100000</v>
      </c>
      <c r="AE68" s="12"/>
      <c r="AF68" s="57">
        <f>AF67/(SUM(AG63+AI63+AJ63+AH63)/20)*1000</f>
        <v>-100000</v>
      </c>
      <c r="AG68" s="57">
        <f>AG67/(SUM(AH63+AJ63+AM63+AI63)/20)*1000</f>
        <v>-937.5</v>
      </c>
      <c r="AH68" s="57">
        <f>AH67/(SUM(AI63+AJ63+AN63+AM63)/20)*1000</f>
        <v>-17.045454545454543</v>
      </c>
      <c r="AI68" s="57">
        <f>AI67/(SUM(AK63+AL63+AM63+AN63)/20)*1000</f>
        <v>-17.038193951441148</v>
      </c>
      <c r="AJ68" s="57">
        <f>AJ67/(SUM(AJ63+AM63+AN63+AO63)/20)*1000</f>
        <v>-16.44736842105263</v>
      </c>
      <c r="AK68" s="12"/>
      <c r="AL68" s="13"/>
      <c r="AM68" s="93"/>
      <c r="AN68" s="94">
        <f t="shared" ref="AN68:AN131" si="24">AM68*U68</f>
        <v>0</v>
      </c>
      <c r="AO68" s="94">
        <f t="shared" ref="AO68:AO131" si="25">AM68*AL68</f>
        <v>0</v>
      </c>
    </row>
    <row r="69" spans="1:41">
      <c r="A69" s="165" t="s">
        <v>100</v>
      </c>
      <c r="B69" s="1" t="s">
        <v>5</v>
      </c>
      <c r="C69" s="9"/>
      <c r="D69" s="9"/>
      <c r="E69" s="10">
        <v>1000</v>
      </c>
      <c r="F69" s="10">
        <v>429</v>
      </c>
      <c r="G69" s="10">
        <v>12804</v>
      </c>
      <c r="H69" s="10">
        <v>25741</v>
      </c>
      <c r="I69" s="9">
        <f>SUM(E69:H69)</f>
        <v>39974</v>
      </c>
      <c r="J69" s="10">
        <v>14242</v>
      </c>
      <c r="K69" s="10">
        <v>34511</v>
      </c>
      <c r="L69" s="10">
        <v>23326</v>
      </c>
      <c r="M69" s="10">
        <v>17989</v>
      </c>
      <c r="N69" s="9">
        <f>SUM(J69:M69)</f>
        <v>90068</v>
      </c>
      <c r="O69" s="10">
        <v>8586</v>
      </c>
      <c r="P69" s="10">
        <v>45463</v>
      </c>
      <c r="Q69" s="10">
        <v>32180</v>
      </c>
      <c r="R69" s="10">
        <v>26224</v>
      </c>
      <c r="S69" s="10">
        <v>20748</v>
      </c>
      <c r="T69" s="9">
        <f>SUM(O69:S69)</f>
        <v>133201</v>
      </c>
      <c r="U69" s="11">
        <f>T69+N69+I69+D73</f>
        <v>346982</v>
      </c>
      <c r="V69" s="10">
        <v>7875</v>
      </c>
      <c r="W69" s="10">
        <v>19764</v>
      </c>
      <c r="X69" s="10">
        <v>12635</v>
      </c>
      <c r="Y69" s="10">
        <v>13044</v>
      </c>
      <c r="Z69" s="9">
        <f>SUM(V69:Y69)</f>
        <v>53318</v>
      </c>
      <c r="AA69" s="10">
        <v>14012</v>
      </c>
      <c r="AB69" s="10">
        <v>32510</v>
      </c>
      <c r="AC69" s="10">
        <v>22744</v>
      </c>
      <c r="AD69" s="10">
        <v>16258</v>
      </c>
      <c r="AE69" s="9">
        <f>SUM(AA69:AD69)</f>
        <v>85524</v>
      </c>
      <c r="AF69" s="10">
        <v>13644</v>
      </c>
      <c r="AG69" s="10">
        <v>42977</v>
      </c>
      <c r="AH69" s="10">
        <v>30092</v>
      </c>
      <c r="AI69" s="10">
        <v>23886</v>
      </c>
      <c r="AJ69" s="10">
        <v>46519</v>
      </c>
      <c r="AK69" s="9">
        <f>SUM(AF69:AJ69)</f>
        <v>157118</v>
      </c>
      <c r="AL69" s="11">
        <f>AK69+AE69+Z69</f>
        <v>295960</v>
      </c>
      <c r="AM69" s="94">
        <v>128</v>
      </c>
      <c r="AN69" s="94">
        <f t="shared" si="24"/>
        <v>44413696</v>
      </c>
      <c r="AO69" s="94">
        <f t="shared" si="25"/>
        <v>37882880</v>
      </c>
    </row>
    <row r="70" spans="1:41">
      <c r="A70" s="166"/>
      <c r="B70" s="3" t="s">
        <v>6</v>
      </c>
      <c r="C70" s="9"/>
      <c r="D70" s="9"/>
      <c r="E70" s="10">
        <v>1000</v>
      </c>
      <c r="F70" s="10"/>
      <c r="G70" s="10">
        <v>104445</v>
      </c>
      <c r="H70" s="10"/>
      <c r="I70" s="9">
        <f>SUM(E70:H70)</f>
        <v>105445</v>
      </c>
      <c r="J70" s="10"/>
      <c r="K70" s="10"/>
      <c r="L70" s="10"/>
      <c r="M70" s="99">
        <v>38000</v>
      </c>
      <c r="N70" s="9">
        <f>SUM(J70:M70)</f>
        <v>38000</v>
      </c>
      <c r="O70" s="10"/>
      <c r="P70" s="10"/>
      <c r="Q70" s="96">
        <v>51000</v>
      </c>
      <c r="R70" s="97">
        <v>165000</v>
      </c>
      <c r="S70" s="97">
        <v>60000</v>
      </c>
      <c r="T70" s="9">
        <f>SUM(O70:S70)</f>
        <v>276000</v>
      </c>
      <c r="U70" s="11">
        <f>I70+N70+T70</f>
        <v>419445</v>
      </c>
      <c r="V70" s="10"/>
      <c r="W70" s="10"/>
      <c r="X70" s="10"/>
      <c r="Y70" s="10"/>
      <c r="Z70" s="9">
        <f>SUM(V70:Y70)</f>
        <v>0</v>
      </c>
      <c r="AA70" s="10"/>
      <c r="AB70" s="10"/>
      <c r="AC70" s="10"/>
      <c r="AD70" s="10"/>
      <c r="AE70" s="9">
        <f>SUM(AA70:AD70)</f>
        <v>0</v>
      </c>
      <c r="AF70" s="10"/>
      <c r="AG70" s="10"/>
      <c r="AH70" s="10"/>
      <c r="AI70" s="10"/>
      <c r="AJ70" s="97">
        <v>200000</v>
      </c>
      <c r="AK70" s="9">
        <f>SUM(AF70:AJ70)</f>
        <v>200000</v>
      </c>
      <c r="AL70" s="11">
        <f>Z70+AE70+AK70</f>
        <v>200000</v>
      </c>
      <c r="AM70" s="93"/>
      <c r="AN70" s="94">
        <f t="shared" si="24"/>
        <v>0</v>
      </c>
      <c r="AO70" s="94">
        <f t="shared" si="25"/>
        <v>0</v>
      </c>
    </row>
    <row r="71" spans="1:41">
      <c r="A71" s="166"/>
      <c r="B71" s="3" t="s">
        <v>10</v>
      </c>
      <c r="C71" s="9">
        <v>36206</v>
      </c>
      <c r="D71" s="9"/>
      <c r="E71" s="10"/>
      <c r="F71" s="10">
        <v>36206</v>
      </c>
      <c r="G71" s="10"/>
      <c r="H71" s="10"/>
      <c r="I71" s="9"/>
      <c r="J71" s="10"/>
      <c r="K71" s="10"/>
      <c r="L71" s="10"/>
      <c r="M71" s="10"/>
      <c r="N71" s="9"/>
      <c r="O71" s="10"/>
      <c r="P71" s="10"/>
      <c r="Q71" s="10"/>
      <c r="R71" s="10"/>
      <c r="S71" s="10"/>
      <c r="T71" s="9"/>
      <c r="U71" s="11"/>
      <c r="V71" s="10"/>
      <c r="W71" s="10"/>
      <c r="X71" s="10"/>
      <c r="Y71" s="10"/>
      <c r="Z71" s="9"/>
      <c r="AA71" s="10"/>
      <c r="AB71" s="10"/>
      <c r="AC71" s="10"/>
      <c r="AD71" s="10"/>
      <c r="AE71" s="9"/>
      <c r="AF71" s="10"/>
      <c r="AG71" s="10"/>
      <c r="AH71" s="10"/>
      <c r="AI71" s="10"/>
      <c r="AJ71" s="10"/>
      <c r="AK71" s="9"/>
      <c r="AL71" s="11"/>
      <c r="AM71" s="93"/>
      <c r="AN71" s="94">
        <f t="shared" si="24"/>
        <v>0</v>
      </c>
      <c r="AO71" s="94">
        <f t="shared" si="25"/>
        <v>0</v>
      </c>
    </row>
    <row r="72" spans="1:41">
      <c r="A72" s="166"/>
      <c r="B72" s="3" t="s">
        <v>7</v>
      </c>
      <c r="C72" s="9"/>
      <c r="D72" s="9"/>
      <c r="E72" s="10">
        <f>E71+E70</f>
        <v>1000</v>
      </c>
      <c r="F72" s="10">
        <f>F71+F70</f>
        <v>36206</v>
      </c>
      <c r="G72" s="10">
        <f>G71+G70</f>
        <v>104445</v>
      </c>
      <c r="H72" s="10">
        <f>H71+H70</f>
        <v>0</v>
      </c>
      <c r="I72" s="9">
        <f>SUM(E72:H72)</f>
        <v>141651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38000</v>
      </c>
      <c r="N72" s="9">
        <f>SUM(J72:M72)</f>
        <v>38000</v>
      </c>
      <c r="O72" s="10">
        <f>O71+O70</f>
        <v>0</v>
      </c>
      <c r="P72" s="10">
        <f>P71+P70</f>
        <v>0</v>
      </c>
      <c r="Q72" s="10">
        <f>Q71+Q70</f>
        <v>51000</v>
      </c>
      <c r="R72" s="10">
        <f>R71+R70</f>
        <v>165000</v>
      </c>
      <c r="S72" s="10">
        <f>S71+S70</f>
        <v>60000</v>
      </c>
      <c r="T72" s="9">
        <f>SUM(O72:S72)</f>
        <v>276000</v>
      </c>
      <c r="U72" s="11">
        <f>T72+N72+I72+D73</f>
        <v>539390</v>
      </c>
      <c r="V72" s="10">
        <f>V71+V70</f>
        <v>0</v>
      </c>
      <c r="W72" s="10">
        <f>W71+W70</f>
        <v>0</v>
      </c>
      <c r="X72" s="10">
        <f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200000</v>
      </c>
      <c r="AK72" s="9">
        <f>SUM(AF72:AJ72)</f>
        <v>200000</v>
      </c>
      <c r="AL72" s="11">
        <f>AK72+AE72+Z72</f>
        <v>200000</v>
      </c>
      <c r="AM72" s="93"/>
      <c r="AN72" s="94">
        <f t="shared" si="24"/>
        <v>0</v>
      </c>
      <c r="AO72" s="94">
        <f t="shared" si="25"/>
        <v>0</v>
      </c>
    </row>
    <row r="73" spans="1:41">
      <c r="A73" s="167"/>
      <c r="B73" s="2" t="s">
        <v>8</v>
      </c>
      <c r="C73" s="65">
        <v>93794</v>
      </c>
      <c r="D73" s="95">
        <v>83739</v>
      </c>
      <c r="E73" s="81">
        <f>E72-E69</f>
        <v>0</v>
      </c>
      <c r="F73" s="10">
        <f>E73+F72-F69</f>
        <v>35777</v>
      </c>
      <c r="G73" s="10">
        <f>F73+G72-G69</f>
        <v>127418</v>
      </c>
      <c r="H73" s="10">
        <f>G73+H72-H69</f>
        <v>101677</v>
      </c>
      <c r="I73" s="9">
        <f>I72-I69</f>
        <v>101677</v>
      </c>
      <c r="J73" s="10">
        <f>I73+J72-J69</f>
        <v>87435</v>
      </c>
      <c r="K73" s="10">
        <f>J73+K72-K69</f>
        <v>52924</v>
      </c>
      <c r="L73" s="10">
        <f>K73+L72-L69</f>
        <v>29598</v>
      </c>
      <c r="M73" s="10">
        <f>L73+M72-M69</f>
        <v>49609</v>
      </c>
      <c r="N73" s="9">
        <f>I73+N72-N69</f>
        <v>49609</v>
      </c>
      <c r="O73" s="10">
        <f>N73+O72-O69</f>
        <v>41023</v>
      </c>
      <c r="P73" s="10">
        <f>O73+P72-P69</f>
        <v>-4440</v>
      </c>
      <c r="Q73" s="10">
        <f>P73+Q72-Q69</f>
        <v>14380</v>
      </c>
      <c r="R73" s="10">
        <f t="shared" ref="R73" si="26">Q73+R72-R69</f>
        <v>153156</v>
      </c>
      <c r="S73" s="10">
        <f>R73+S72-S69</f>
        <v>192408</v>
      </c>
      <c r="T73" s="9">
        <f>N73+T72-T69</f>
        <v>192408</v>
      </c>
      <c r="U73" s="9">
        <f>U72-U69</f>
        <v>192408</v>
      </c>
      <c r="V73" s="10">
        <f>U73+V72-V69</f>
        <v>184533</v>
      </c>
      <c r="W73" s="10">
        <f>V73+W72-W69</f>
        <v>164769</v>
      </c>
      <c r="X73" s="10">
        <f>W73+X72-X69</f>
        <v>152134</v>
      </c>
      <c r="Y73" s="10">
        <f>X73+Y72-Y69</f>
        <v>139090</v>
      </c>
      <c r="Z73" s="9">
        <f>T73+Z72-Z69</f>
        <v>139090</v>
      </c>
      <c r="AA73" s="10">
        <f>Z73+AA72-AA69</f>
        <v>125078</v>
      </c>
      <c r="AB73" s="10">
        <f>AA73+AB72-AB69</f>
        <v>92568</v>
      </c>
      <c r="AC73" s="10">
        <f>AB73+AC72-AC69</f>
        <v>69824</v>
      </c>
      <c r="AD73" s="10">
        <f>AC73+AD72-AD69</f>
        <v>53566</v>
      </c>
      <c r="AE73" s="9">
        <f>Z73+AE72-AE69</f>
        <v>53566</v>
      </c>
      <c r="AF73" s="10">
        <f>AE73+AF72-AF69</f>
        <v>39922</v>
      </c>
      <c r="AG73" s="10">
        <f>AF73+AG72-AG69</f>
        <v>-3055</v>
      </c>
      <c r="AH73" s="10">
        <f>AG73+AH72-AH69</f>
        <v>-33147</v>
      </c>
      <c r="AI73" s="10">
        <f t="shared" ref="AI73:AJ73" si="27">AH73+AI72-AI69</f>
        <v>-57033</v>
      </c>
      <c r="AJ73" s="10">
        <f t="shared" si="27"/>
        <v>96448</v>
      </c>
      <c r="AK73" s="9">
        <f>AE73+AK72-AK69</f>
        <v>96448</v>
      </c>
      <c r="AL73" s="11">
        <f>T73+AL72-AL69</f>
        <v>96448</v>
      </c>
      <c r="AM73" s="93"/>
      <c r="AN73" s="94">
        <f t="shared" si="24"/>
        <v>0</v>
      </c>
      <c r="AO73" s="94">
        <f t="shared" si="25"/>
        <v>0</v>
      </c>
    </row>
    <row r="74" spans="1:41">
      <c r="A74" s="82"/>
      <c r="B74" s="3" t="s">
        <v>9</v>
      </c>
      <c r="C74" s="9"/>
      <c r="D74" s="9"/>
      <c r="E74" s="57">
        <f>E73/(SUM(F69+H69+J69+G69)/20)*1000</f>
        <v>0</v>
      </c>
      <c r="F74" s="57">
        <f>F73/(SUM(G69+K69+J69+H69)/20)*1000</f>
        <v>8196.5222570963833</v>
      </c>
      <c r="G74" s="57">
        <f>G73/(SUM(H69+J69+K69+L69)/20)*1000</f>
        <v>26051.523205888367</v>
      </c>
      <c r="H74" s="57">
        <f>H73/(SUM(M69+J69+K69+L69)/20)*1000</f>
        <v>22577.830083936584</v>
      </c>
      <c r="I74" s="12"/>
      <c r="J74" s="57">
        <f>J73/(SUM(K69+M69+O69+L69)/20)*1000</f>
        <v>20716.248874567595</v>
      </c>
      <c r="K74" s="57">
        <f>K73/(SUM(L69+P69+O69+M69)/20)*1000</f>
        <v>11099.366637305482</v>
      </c>
      <c r="L74" s="57">
        <f>L73/(SUM(M69+O69+P69+Q69)/20)*1000</f>
        <v>5680.0168876777525</v>
      </c>
      <c r="M74" s="57">
        <f>M73/(SUM(R69+O69+P69+Q69)/20)*1000</f>
        <v>8823.063857789477</v>
      </c>
      <c r="N74" s="12"/>
      <c r="O74" s="57">
        <f>O73/(SUM(P69+R69+S69+Q69)/20)*1000</f>
        <v>6583.9585924647918</v>
      </c>
      <c r="P74" s="57">
        <f>P73/(SUM(Q69+S69+V69+R69)/20)*1000</f>
        <v>-1020.3729876934744</v>
      </c>
      <c r="Q74" s="57">
        <f>Q73/(SUM(R69+S69+W69+V69)/20)*1000</f>
        <v>3854.6595006098296</v>
      </c>
      <c r="R74" s="57">
        <f>R73/(SUM(T69+U69+V69+W69)/20)*1000</f>
        <v>6031.8773113413754</v>
      </c>
      <c r="S74" s="57">
        <f>S73/(SUM(S69+V69+W69+X69)/20)*1000</f>
        <v>63061.846547146932</v>
      </c>
      <c r="T74" s="12"/>
      <c r="U74" s="13"/>
      <c r="V74" s="57">
        <f>V73/(SUM(W69+Y69+AA69+X69)/20)*1000</f>
        <v>62074.846522580105</v>
      </c>
      <c r="W74" s="57">
        <f>V73/(SUM(X69+AA69+AB69+Y69)/20)*1000</f>
        <v>51116.466530934471</v>
      </c>
      <c r="X74" s="57">
        <f>W73/(SUM(Y69+AA69+AB69+AC69)/20)*1000</f>
        <v>40036.204592394606</v>
      </c>
      <c r="Y74" s="57">
        <f>Y73/(SUM(AA69+AB69+AC69+AD69)/20)*1000</f>
        <v>32526.542257144192</v>
      </c>
      <c r="Z74" s="12"/>
      <c r="AA74" s="57">
        <f>AA73/(SUM(AB69+AD69+AF69+AC69)/20)*1000</f>
        <v>29376.203673258489</v>
      </c>
      <c r="AB74" s="57">
        <f>AB73/(SUM(AC69+AF69+AG69+AD69)/20)*1000</f>
        <v>19361.032387605494</v>
      </c>
      <c r="AC74" s="57">
        <f>AC73/(SUM(AD69+AF69+AG69+AH69)/20)*1000</f>
        <v>13561.876644880596</v>
      </c>
      <c r="AD74" s="57">
        <f>AD73/(SUM(AF69+AG69+AH69+AI69)/20)*1000</f>
        <v>9686.5251946220124</v>
      </c>
      <c r="AE74" s="12"/>
      <c r="AF74" s="57">
        <f>AF73/(SUM(AG69+AI69+AJ69+AH69)/20)*1000</f>
        <v>5565.0501136094354</v>
      </c>
      <c r="AG74" s="57">
        <f>AG73/(SUM(AH69+AJ69+AM69+AI69)/20)*1000</f>
        <v>-607.20496894409939</v>
      </c>
      <c r="AH74" s="57">
        <f>AH73/(SUM(AI69+AJ69+AN69+AM69)/20)*1000</f>
        <v>-14.902809712628715</v>
      </c>
      <c r="AI74" s="57">
        <f>AI73/(SUM(AK69+AL69+AM69+AN69)/20)*1000</f>
        <v>-25.423195031384157</v>
      </c>
      <c r="AJ74" s="57">
        <f>AJ73/(SUM(AJ69+AM69+AN69+AO69)/20)*1000</f>
        <v>23.425850115194056</v>
      </c>
      <c r="AK74" s="12"/>
      <c r="AL74" s="13"/>
      <c r="AM74" s="93"/>
      <c r="AN74" s="94">
        <f t="shared" si="24"/>
        <v>0</v>
      </c>
      <c r="AO74" s="94">
        <f t="shared" si="25"/>
        <v>0</v>
      </c>
    </row>
    <row r="75" spans="1:41">
      <c r="A75" s="165" t="s">
        <v>101</v>
      </c>
      <c r="B75" s="1" t="s">
        <v>5</v>
      </c>
      <c r="C75" s="9"/>
      <c r="D75" s="9"/>
      <c r="E75" s="10"/>
      <c r="F75" s="10">
        <v>-2</v>
      </c>
      <c r="G75" s="10">
        <v>0</v>
      </c>
      <c r="H75" s="10">
        <v>0</v>
      </c>
      <c r="I75" s="9">
        <f>SUM(E75:H75)</f>
        <v>-2</v>
      </c>
      <c r="J75" s="10">
        <v>0</v>
      </c>
      <c r="K75" s="10">
        <v>0</v>
      </c>
      <c r="L75" s="10">
        <v>0</v>
      </c>
      <c r="M75" s="10">
        <v>0</v>
      </c>
      <c r="N75" s="9">
        <f>SUM(J75:M75)</f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9">
        <f>SUM(O75:S75)</f>
        <v>0</v>
      </c>
      <c r="U75" s="11">
        <f>T75+N75+I75+D79</f>
        <v>-2</v>
      </c>
      <c r="V75" s="10">
        <v>0</v>
      </c>
      <c r="W75" s="10">
        <v>0</v>
      </c>
      <c r="X75" s="10">
        <v>0</v>
      </c>
      <c r="Y75" s="10">
        <v>0</v>
      </c>
      <c r="Z75" s="9">
        <f>SUM(V75:Y75)</f>
        <v>0</v>
      </c>
      <c r="AA75" s="10">
        <v>0</v>
      </c>
      <c r="AB75" s="10">
        <v>0</v>
      </c>
      <c r="AC75" s="10">
        <v>0</v>
      </c>
      <c r="AD75" s="10">
        <v>0</v>
      </c>
      <c r="AE75" s="9">
        <f>SUM(AA75:AD75)</f>
        <v>0</v>
      </c>
      <c r="AF75" s="10">
        <v>0</v>
      </c>
      <c r="AG75" s="10">
        <v>0</v>
      </c>
      <c r="AH75" s="10">
        <v>0</v>
      </c>
      <c r="AI75" s="10">
        <v>0</v>
      </c>
      <c r="AJ75" s="10">
        <v>0</v>
      </c>
      <c r="AK75" s="9">
        <f>SUM(AF75:AJ75)</f>
        <v>0</v>
      </c>
      <c r="AL75" s="11">
        <f>AK75+AE75+Z75</f>
        <v>0</v>
      </c>
      <c r="AM75" s="94">
        <v>256</v>
      </c>
      <c r="AN75" s="94">
        <f t="shared" si="24"/>
        <v>-512</v>
      </c>
      <c r="AO75" s="94">
        <f t="shared" si="25"/>
        <v>0</v>
      </c>
    </row>
    <row r="76" spans="1:41">
      <c r="A76" s="166"/>
      <c r="B76" s="3" t="s">
        <v>6</v>
      </c>
      <c r="C76" s="9"/>
      <c r="D76" s="9"/>
      <c r="E76" s="10"/>
      <c r="F76" s="10"/>
      <c r="G76" s="10"/>
      <c r="H76" s="10"/>
      <c r="I76" s="9">
        <f>SUM(E76:H76)</f>
        <v>0</v>
      </c>
      <c r="J76" s="10"/>
      <c r="K76" s="10"/>
      <c r="L76" s="10"/>
      <c r="M76" s="10"/>
      <c r="N76" s="9">
        <f>SUM(J76:M76)</f>
        <v>0</v>
      </c>
      <c r="O76" s="10"/>
      <c r="P76" s="10"/>
      <c r="Q76" s="10"/>
      <c r="R76" s="10"/>
      <c r="S76" s="10"/>
      <c r="T76" s="9">
        <f>SUM(O76:S76)</f>
        <v>0</v>
      </c>
      <c r="U76" s="11">
        <f>I76+N76+T76</f>
        <v>0</v>
      </c>
      <c r="V76" s="10"/>
      <c r="W76" s="10"/>
      <c r="X76" s="10"/>
      <c r="Y76" s="10"/>
      <c r="Z76" s="9">
        <f>SUM(V76:Y76)</f>
        <v>0</v>
      </c>
      <c r="AA76" s="10"/>
      <c r="AB76" s="10"/>
      <c r="AC76" s="10"/>
      <c r="AD76" s="10"/>
      <c r="AE76" s="9">
        <f>SUM(AA76:AD76)</f>
        <v>0</v>
      </c>
      <c r="AF76" s="10"/>
      <c r="AG76" s="10"/>
      <c r="AH76" s="10"/>
      <c r="AI76" s="10"/>
      <c r="AJ76" s="10"/>
      <c r="AK76" s="9">
        <f>SUM(AF76:AJ76)</f>
        <v>0</v>
      </c>
      <c r="AL76" s="11">
        <f>Z76+AE76+AK76</f>
        <v>0</v>
      </c>
      <c r="AM76" s="93"/>
      <c r="AN76" s="94">
        <f t="shared" si="24"/>
        <v>0</v>
      </c>
      <c r="AO76" s="94">
        <f t="shared" si="25"/>
        <v>0</v>
      </c>
    </row>
    <row r="77" spans="1:41">
      <c r="A77" s="166"/>
      <c r="B77" s="3" t="s">
        <v>10</v>
      </c>
      <c r="C77" s="9">
        <v>0</v>
      </c>
      <c r="D77" s="9"/>
      <c r="E77" s="10"/>
      <c r="F77" s="10"/>
      <c r="G77" s="10"/>
      <c r="H77" s="10"/>
      <c r="I77" s="9"/>
      <c r="J77" s="10"/>
      <c r="K77" s="10"/>
      <c r="L77" s="10"/>
      <c r="M77" s="10"/>
      <c r="N77" s="9"/>
      <c r="O77" s="10"/>
      <c r="P77" s="10"/>
      <c r="Q77" s="10"/>
      <c r="R77" s="10"/>
      <c r="S77" s="10"/>
      <c r="T77" s="9"/>
      <c r="U77" s="11"/>
      <c r="V77" s="10"/>
      <c r="W77" s="10"/>
      <c r="X77" s="10"/>
      <c r="Y77" s="10"/>
      <c r="Z77" s="9"/>
      <c r="AA77" s="10"/>
      <c r="AB77" s="10"/>
      <c r="AC77" s="10"/>
      <c r="AD77" s="10"/>
      <c r="AE77" s="9"/>
      <c r="AF77" s="10"/>
      <c r="AG77" s="10"/>
      <c r="AH77" s="10"/>
      <c r="AI77" s="10"/>
      <c r="AJ77" s="10"/>
      <c r="AK77" s="9"/>
      <c r="AL77" s="11"/>
      <c r="AM77" s="93"/>
      <c r="AN77" s="94">
        <f t="shared" si="24"/>
        <v>0</v>
      </c>
      <c r="AO77" s="94">
        <f t="shared" si="25"/>
        <v>0</v>
      </c>
    </row>
    <row r="78" spans="1:41">
      <c r="A78" s="166"/>
      <c r="B78" s="3" t="s">
        <v>7</v>
      </c>
      <c r="C78" s="9"/>
      <c r="D78" s="9"/>
      <c r="E78" s="10">
        <f>E77+E76</f>
        <v>0</v>
      </c>
      <c r="F78" s="10">
        <f>F77+F76</f>
        <v>0</v>
      </c>
      <c r="G78" s="10">
        <f>G77+G76</f>
        <v>0</v>
      </c>
      <c r="H78" s="10">
        <f>H77+H76</f>
        <v>0</v>
      </c>
      <c r="I78" s="9">
        <f>SUM(E78:H78)</f>
        <v>0</v>
      </c>
      <c r="J78" s="10">
        <f>J77+J76</f>
        <v>0</v>
      </c>
      <c r="K78" s="10">
        <f>K77+K76</f>
        <v>0</v>
      </c>
      <c r="L78" s="10">
        <f>L77+L76</f>
        <v>0</v>
      </c>
      <c r="M78" s="10">
        <f>M77+M76</f>
        <v>0</v>
      </c>
      <c r="N78" s="9">
        <f>SUM(J78:M78)</f>
        <v>0</v>
      </c>
      <c r="O78" s="10">
        <f>O77+O76</f>
        <v>0</v>
      </c>
      <c r="P78" s="10">
        <f>P77+P76</f>
        <v>0</v>
      </c>
      <c r="Q78" s="10">
        <f>Q77+Q76</f>
        <v>0</v>
      </c>
      <c r="R78" s="10">
        <f>R77+R76</f>
        <v>0</v>
      </c>
      <c r="S78" s="10">
        <f>S77+S76</f>
        <v>0</v>
      </c>
      <c r="T78" s="9">
        <f>SUM(O78:S78)</f>
        <v>0</v>
      </c>
      <c r="U78" s="11">
        <f>T78+N78+I78+D79</f>
        <v>0</v>
      </c>
      <c r="V78" s="10">
        <f>V77+V76</f>
        <v>0</v>
      </c>
      <c r="W78" s="10">
        <f>W77+W76</f>
        <v>0</v>
      </c>
      <c r="X78" s="10">
        <f>X77+X76</f>
        <v>0</v>
      </c>
      <c r="Y78" s="10">
        <f>Y77+Y76</f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93"/>
      <c r="AN78" s="94">
        <f t="shared" si="24"/>
        <v>0</v>
      </c>
      <c r="AO78" s="94">
        <f t="shared" si="25"/>
        <v>0</v>
      </c>
    </row>
    <row r="79" spans="1:41">
      <c r="A79" s="167"/>
      <c r="B79" s="2" t="s">
        <v>8</v>
      </c>
      <c r="C79" s="65">
        <v>2</v>
      </c>
      <c r="D79" s="95"/>
      <c r="E79" s="10">
        <f>E78-E75</f>
        <v>0</v>
      </c>
      <c r="F79" s="10">
        <f>E79+F78-F75</f>
        <v>2</v>
      </c>
      <c r="G79" s="10">
        <f>F79+G78-G75</f>
        <v>2</v>
      </c>
      <c r="H79" s="10">
        <f>G79+H78-H75</f>
        <v>2</v>
      </c>
      <c r="I79" s="9">
        <f>I78-I75</f>
        <v>2</v>
      </c>
      <c r="J79" s="10">
        <f>I79+J78-J75</f>
        <v>2</v>
      </c>
      <c r="K79" s="10">
        <f>J79+K78-K75</f>
        <v>2</v>
      </c>
      <c r="L79" s="10">
        <f>K79+L78-L75</f>
        <v>2</v>
      </c>
      <c r="M79" s="10">
        <f>L79+M78-M75</f>
        <v>2</v>
      </c>
      <c r="N79" s="9">
        <f>I79+N78-N75</f>
        <v>2</v>
      </c>
      <c r="O79" s="10">
        <f>N79+O78-O75</f>
        <v>2</v>
      </c>
      <c r="P79" s="10">
        <f>O79+P78-P75</f>
        <v>2</v>
      </c>
      <c r="Q79" s="10">
        <f>P79+Q78-Q75</f>
        <v>2</v>
      </c>
      <c r="R79" s="10">
        <f t="shared" ref="R79" si="28">Q79+R78-R75</f>
        <v>2</v>
      </c>
      <c r="S79" s="10">
        <f>R79+S78-S75</f>
        <v>2</v>
      </c>
      <c r="T79" s="9">
        <f>N79+T78-T75</f>
        <v>2</v>
      </c>
      <c r="U79" s="9">
        <f>U78-U75</f>
        <v>2</v>
      </c>
      <c r="V79" s="10">
        <f>U79+V78-V75</f>
        <v>2</v>
      </c>
      <c r="W79" s="10">
        <f>V79+W78-W75</f>
        <v>2</v>
      </c>
      <c r="X79" s="10">
        <f>W79+X78-X75</f>
        <v>2</v>
      </c>
      <c r="Y79" s="10">
        <f>X79+Y78-Y75</f>
        <v>2</v>
      </c>
      <c r="Z79" s="9">
        <f>T79+Z78-Z75</f>
        <v>2</v>
      </c>
      <c r="AA79" s="10">
        <f>Z79+AA78-AA75</f>
        <v>2</v>
      </c>
      <c r="AB79" s="10">
        <f>AA79+AB78-AB75</f>
        <v>2</v>
      </c>
      <c r="AC79" s="10">
        <f>AB79+AC78-AC75</f>
        <v>2</v>
      </c>
      <c r="AD79" s="10">
        <f>AC79+AD78-AD75</f>
        <v>2</v>
      </c>
      <c r="AE79" s="9">
        <f>Z79+AE78-AE75</f>
        <v>2</v>
      </c>
      <c r="AF79" s="10">
        <f>AE79+AF78-AF75</f>
        <v>2</v>
      </c>
      <c r="AG79" s="10">
        <f>AF79+AG78-AG75</f>
        <v>2</v>
      </c>
      <c r="AH79" s="10">
        <f>AG79+AH78-AH75</f>
        <v>2</v>
      </c>
      <c r="AI79" s="10">
        <f t="shared" ref="AI79:AJ79" si="29">AH79+AI78-AI75</f>
        <v>2</v>
      </c>
      <c r="AJ79" s="10">
        <f t="shared" si="29"/>
        <v>2</v>
      </c>
      <c r="AK79" s="9">
        <f>AE79+AK78-AK75</f>
        <v>2</v>
      </c>
      <c r="AL79" s="11">
        <f>T79+AL78-AL75</f>
        <v>2</v>
      </c>
      <c r="AM79" s="93"/>
      <c r="AN79" s="94">
        <f t="shared" si="24"/>
        <v>0</v>
      </c>
      <c r="AO79" s="94">
        <f t="shared" si="25"/>
        <v>0</v>
      </c>
    </row>
    <row r="80" spans="1:41">
      <c r="A80" s="82"/>
      <c r="B80" s="3" t="s">
        <v>9</v>
      </c>
      <c r="C80" s="9"/>
      <c r="D80" s="9"/>
      <c r="E80" s="57">
        <f>E79/(SUM(F75+H75+J75+G75)/20)*1000</f>
        <v>0</v>
      </c>
      <c r="F80" s="57" t="e">
        <f>F79/(SUM(G75+K75+J75+H75)/20)*1000</f>
        <v>#DIV/0!</v>
      </c>
      <c r="G80" s="57" t="e">
        <f>G79/(SUM(H75+J75+K75+L75)/20)*1000</f>
        <v>#DIV/0!</v>
      </c>
      <c r="H80" s="57" t="e">
        <f>H79/(SUM(M75+J75+K75+L75)/20)*1000</f>
        <v>#DIV/0!</v>
      </c>
      <c r="I80" s="12"/>
      <c r="J80" s="57" t="e">
        <f>J79/(SUM(K75+M75+O75+L75)/20)*1000</f>
        <v>#DIV/0!</v>
      </c>
      <c r="K80" s="57" t="e">
        <f>K79/(SUM(L75+P75+O75+M75)/20)*1000</f>
        <v>#DIV/0!</v>
      </c>
      <c r="L80" s="57" t="e">
        <f>L79/(SUM(M75+O75+P75+Q75)/20)*1000</f>
        <v>#DIV/0!</v>
      </c>
      <c r="M80" s="57" t="e">
        <f>M79/(SUM(R75+O75+P75+Q75)/20)*1000</f>
        <v>#DIV/0!</v>
      </c>
      <c r="N80" s="12"/>
      <c r="O80" s="57" t="e">
        <f>O79/(SUM(P75+R75+S75+Q75)/20)*1000</f>
        <v>#DIV/0!</v>
      </c>
      <c r="P80" s="57" t="e">
        <f>P79/(SUM(Q75+S75+V75+R75)/20)*1000</f>
        <v>#DIV/0!</v>
      </c>
      <c r="Q80" s="57" t="e">
        <f>Q79/(SUM(R75+S75+W75+V75)/20)*1000</f>
        <v>#DIV/0!</v>
      </c>
      <c r="R80" s="57">
        <f>R79/(SUM(T75+U75+V75+W75)/20)*1000</f>
        <v>-20000</v>
      </c>
      <c r="S80" s="57" t="e">
        <f>S79/(SUM(S75+V75+W75+X75)/20)*1000</f>
        <v>#DIV/0!</v>
      </c>
      <c r="T80" s="12"/>
      <c r="U80" s="13"/>
      <c r="V80" s="57" t="e">
        <f>V79/(SUM(W75+Y75+AA75+X75)/20)*1000</f>
        <v>#DIV/0!</v>
      </c>
      <c r="W80" s="57" t="e">
        <f>V79/(SUM(X75+AA75+AB75+Y75)/20)*1000</f>
        <v>#DIV/0!</v>
      </c>
      <c r="X80" s="57" t="e">
        <f>W79/(SUM(Y75+AA75+AB75+AC75)/20)*1000</f>
        <v>#DIV/0!</v>
      </c>
      <c r="Y80" s="57" t="e">
        <f>Y79/(SUM(AA75+AB75+AC75+AD75)/20)*1000</f>
        <v>#DIV/0!</v>
      </c>
      <c r="Z80" s="12"/>
      <c r="AA80" s="57" t="e">
        <f>AA79/(SUM(AB75+AD75+AF75+AC75)/20)*1000</f>
        <v>#DIV/0!</v>
      </c>
      <c r="AB80" s="57" t="e">
        <f>AB79/(SUM(AC75+AF75+AG75+AD75)/20)*1000</f>
        <v>#DIV/0!</v>
      </c>
      <c r="AC80" s="57" t="e">
        <f>AC79/(SUM(AD75+AF75+AG75+AH75)/20)*1000</f>
        <v>#DIV/0!</v>
      </c>
      <c r="AD80" s="57" t="e">
        <f>AD79/(SUM(AF75+AG75+AH75+AI75)/20)*1000</f>
        <v>#DIV/0!</v>
      </c>
      <c r="AE80" s="12"/>
      <c r="AF80" s="57" t="e">
        <f>AF79/(SUM(AG75+AI75+AJ75+AH75)/20)*1000</f>
        <v>#DIV/0!</v>
      </c>
      <c r="AG80" s="57">
        <f>AG79/(SUM(AH75+AJ75+AM75+AI75)/20)*1000</f>
        <v>156.25</v>
      </c>
      <c r="AH80" s="57">
        <f>AH79/(SUM(AI75+AJ75+AN75+AM75)/20)*1000</f>
        <v>-156.25</v>
      </c>
      <c r="AI80" s="57">
        <f>AI79/(SUM(AK75+AL75+AM75+AN75)/20)*1000</f>
        <v>-156.25</v>
      </c>
      <c r="AJ80" s="57">
        <f>AJ79/(SUM(AJ75+AM75+AN75+AO75)/20)*1000</f>
        <v>-156.25</v>
      </c>
      <c r="AK80" s="12"/>
      <c r="AL80" s="13"/>
      <c r="AM80" s="93"/>
      <c r="AN80" s="94">
        <f t="shared" si="24"/>
        <v>0</v>
      </c>
      <c r="AO80" s="94">
        <f t="shared" si="25"/>
        <v>0</v>
      </c>
    </row>
    <row r="81" spans="1:41">
      <c r="A81" s="165" t="s">
        <v>102</v>
      </c>
      <c r="B81" s="1" t="s">
        <v>5</v>
      </c>
      <c r="C81" s="9"/>
      <c r="D81" s="9"/>
      <c r="E81" s="10"/>
      <c r="F81" s="10">
        <v>0</v>
      </c>
      <c r="G81" s="10">
        <v>0</v>
      </c>
      <c r="H81" s="10">
        <v>0</v>
      </c>
      <c r="I81" s="9">
        <f>SUM(E81:H81)</f>
        <v>0</v>
      </c>
      <c r="J81" s="10">
        <v>0</v>
      </c>
      <c r="K81" s="10">
        <v>0</v>
      </c>
      <c r="L81" s="10">
        <v>0</v>
      </c>
      <c r="M81" s="10">
        <v>0</v>
      </c>
      <c r="N81" s="9">
        <f>SUM(J81:M81)</f>
        <v>0</v>
      </c>
      <c r="O81" s="10">
        <v>0</v>
      </c>
      <c r="P81" s="10">
        <v>0</v>
      </c>
      <c r="Q81" s="10">
        <v>0</v>
      </c>
      <c r="R81" s="10">
        <v>0</v>
      </c>
      <c r="S81" s="10">
        <v>0</v>
      </c>
      <c r="T81" s="9">
        <f>SUM(O81:S81)</f>
        <v>0</v>
      </c>
      <c r="U81" s="11">
        <f>T81+N81+I81+D85</f>
        <v>496</v>
      </c>
      <c r="V81" s="10">
        <v>0</v>
      </c>
      <c r="W81" s="10">
        <v>0</v>
      </c>
      <c r="X81" s="10">
        <v>0</v>
      </c>
      <c r="Y81" s="10">
        <v>0</v>
      </c>
      <c r="Z81" s="9">
        <f>SUM(V81:Y81)</f>
        <v>0</v>
      </c>
      <c r="AA81" s="10">
        <v>0</v>
      </c>
      <c r="AB81" s="10">
        <v>0</v>
      </c>
      <c r="AC81" s="10">
        <v>0</v>
      </c>
      <c r="AD81" s="10">
        <v>0</v>
      </c>
      <c r="AE81" s="9">
        <f>SUM(AA81:AD81)</f>
        <v>0</v>
      </c>
      <c r="AF81" s="10">
        <v>0</v>
      </c>
      <c r="AG81" s="10">
        <v>0</v>
      </c>
      <c r="AH81" s="10">
        <v>0</v>
      </c>
      <c r="AI81" s="10">
        <v>0</v>
      </c>
      <c r="AJ81" s="10">
        <v>0</v>
      </c>
      <c r="AK81" s="9">
        <f>SUM(AF81:AJ81)</f>
        <v>0</v>
      </c>
      <c r="AL81" s="11">
        <f>AK81+AE81+Z81</f>
        <v>0</v>
      </c>
      <c r="AM81" s="94">
        <v>256</v>
      </c>
      <c r="AN81" s="94">
        <f t="shared" si="24"/>
        <v>126976</v>
      </c>
      <c r="AO81" s="94">
        <f t="shared" si="25"/>
        <v>0</v>
      </c>
    </row>
    <row r="82" spans="1:41">
      <c r="A82" s="166"/>
      <c r="B82" s="3" t="s">
        <v>6</v>
      </c>
      <c r="C82" s="9"/>
      <c r="D82" s="9"/>
      <c r="E82" s="10"/>
      <c r="F82" s="10"/>
      <c r="G82" s="10"/>
      <c r="H82" s="10"/>
      <c r="I82" s="9">
        <f>SUM(E82:H82)</f>
        <v>0</v>
      </c>
      <c r="J82" s="10"/>
      <c r="K82" s="10"/>
      <c r="L82" s="10"/>
      <c r="M82" s="10"/>
      <c r="N82" s="9">
        <f>SUM(J82:M82)</f>
        <v>0</v>
      </c>
      <c r="O82" s="10"/>
      <c r="P82" s="10"/>
      <c r="Q82" s="10"/>
      <c r="R82" s="10"/>
      <c r="S82" s="10"/>
      <c r="T82" s="9">
        <f>SUM(O82:S82)</f>
        <v>0</v>
      </c>
      <c r="U82" s="11">
        <f>I82+N82+T82</f>
        <v>0</v>
      </c>
      <c r="V82" s="10"/>
      <c r="W82" s="10"/>
      <c r="X82" s="10"/>
      <c r="Y82" s="10"/>
      <c r="Z82" s="9">
        <f>SUM(V82:Y82)</f>
        <v>0</v>
      </c>
      <c r="AA82" s="10"/>
      <c r="AB82" s="10"/>
      <c r="AC82" s="10"/>
      <c r="AD82" s="10"/>
      <c r="AE82" s="9">
        <f>SUM(AA82:AD82)</f>
        <v>0</v>
      </c>
      <c r="AF82" s="10"/>
      <c r="AG82" s="10"/>
      <c r="AH82" s="10"/>
      <c r="AI82" s="10"/>
      <c r="AJ82" s="10"/>
      <c r="AK82" s="9">
        <f>SUM(AF82:AJ82)</f>
        <v>0</v>
      </c>
      <c r="AL82" s="11">
        <f>Z82+AE82+AK82</f>
        <v>0</v>
      </c>
      <c r="AM82" s="93"/>
      <c r="AN82" s="94">
        <f t="shared" si="24"/>
        <v>0</v>
      </c>
      <c r="AO82" s="94">
        <f t="shared" si="25"/>
        <v>0</v>
      </c>
    </row>
    <row r="83" spans="1:41">
      <c r="A83" s="166"/>
      <c r="B83" s="3" t="s">
        <v>10</v>
      </c>
      <c r="C83" s="9">
        <v>0</v>
      </c>
      <c r="D83" s="9"/>
      <c r="E83" s="10"/>
      <c r="F83" s="10"/>
      <c r="G83" s="10"/>
      <c r="H83" s="10"/>
      <c r="I83" s="9"/>
      <c r="J83" s="10"/>
      <c r="K83" s="10"/>
      <c r="L83" s="10"/>
      <c r="M83" s="10"/>
      <c r="N83" s="9"/>
      <c r="O83" s="10"/>
      <c r="P83" s="10"/>
      <c r="Q83" s="10"/>
      <c r="R83" s="10"/>
      <c r="S83" s="10"/>
      <c r="T83" s="9"/>
      <c r="U83" s="11"/>
      <c r="V83" s="10"/>
      <c r="W83" s="10"/>
      <c r="X83" s="10"/>
      <c r="Y83" s="10"/>
      <c r="Z83" s="9"/>
      <c r="AA83" s="10"/>
      <c r="AB83" s="10"/>
      <c r="AC83" s="10"/>
      <c r="AD83" s="10"/>
      <c r="AE83" s="9"/>
      <c r="AF83" s="10"/>
      <c r="AG83" s="10"/>
      <c r="AH83" s="10"/>
      <c r="AI83" s="10"/>
      <c r="AJ83" s="10"/>
      <c r="AK83" s="9"/>
      <c r="AL83" s="11"/>
      <c r="AM83" s="93"/>
      <c r="AN83" s="94">
        <f t="shared" si="24"/>
        <v>0</v>
      </c>
      <c r="AO83" s="94">
        <f t="shared" si="25"/>
        <v>0</v>
      </c>
    </row>
    <row r="84" spans="1:41">
      <c r="A84" s="166"/>
      <c r="B84" s="3" t="s">
        <v>7</v>
      </c>
      <c r="C84" s="9"/>
      <c r="D84" s="9"/>
      <c r="E84" s="10">
        <f>E83+E82</f>
        <v>0</v>
      </c>
      <c r="F84" s="10">
        <f>F83+F82</f>
        <v>0</v>
      </c>
      <c r="G84" s="10">
        <f>G83+G82</f>
        <v>0</v>
      </c>
      <c r="H84" s="10">
        <f>H83+H82</f>
        <v>0</v>
      </c>
      <c r="I84" s="9">
        <f>SUM(E84:H84)</f>
        <v>0</v>
      </c>
      <c r="J84" s="10">
        <f>J83+J82</f>
        <v>0</v>
      </c>
      <c r="K84" s="10">
        <f>K83+K82</f>
        <v>0</v>
      </c>
      <c r="L84" s="10">
        <f>L83+L82</f>
        <v>0</v>
      </c>
      <c r="M84" s="10">
        <f>M83+M82</f>
        <v>0</v>
      </c>
      <c r="N84" s="9">
        <f>SUM(J84:M84)</f>
        <v>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0</v>
      </c>
      <c r="T84" s="9">
        <f>SUM(O84:S84)</f>
        <v>0</v>
      </c>
      <c r="U84" s="11">
        <f>T84+N84+I84+D85</f>
        <v>496</v>
      </c>
      <c r="V84" s="10">
        <f>V83+V82</f>
        <v>0</v>
      </c>
      <c r="W84" s="10">
        <f>W83+W82</f>
        <v>0</v>
      </c>
      <c r="X84" s="10">
        <f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93"/>
      <c r="AN84" s="94">
        <f t="shared" si="24"/>
        <v>0</v>
      </c>
      <c r="AO84" s="94">
        <f t="shared" si="25"/>
        <v>0</v>
      </c>
    </row>
    <row r="85" spans="1:41">
      <c r="A85" s="167"/>
      <c r="B85" s="2" t="s">
        <v>8</v>
      </c>
      <c r="C85" s="65">
        <v>0</v>
      </c>
      <c r="D85" s="95">
        <v>496</v>
      </c>
      <c r="E85" s="10">
        <f>E84-E81</f>
        <v>0</v>
      </c>
      <c r="F85" s="10">
        <f>E85+F84-F81</f>
        <v>0</v>
      </c>
      <c r="G85" s="10">
        <f>F85+G84-G81</f>
        <v>0</v>
      </c>
      <c r="H85" s="10">
        <f>G85+H84-H81</f>
        <v>0</v>
      </c>
      <c r="I85" s="9">
        <f>I84-I81</f>
        <v>0</v>
      </c>
      <c r="J85" s="10">
        <f>I85+J84-J81</f>
        <v>0</v>
      </c>
      <c r="K85" s="10">
        <f>J85+K84-K81</f>
        <v>0</v>
      </c>
      <c r="L85" s="10">
        <f>K85+L84-L81</f>
        <v>0</v>
      </c>
      <c r="M85" s="10">
        <f>L85+M84-M81</f>
        <v>0</v>
      </c>
      <c r="N85" s="9">
        <f>I85+N84-N81</f>
        <v>0</v>
      </c>
      <c r="O85" s="10">
        <f>N85+O84-O81</f>
        <v>0</v>
      </c>
      <c r="P85" s="10">
        <f>O85+P84-P81</f>
        <v>0</v>
      </c>
      <c r="Q85" s="10">
        <f>P85+Q84-Q81</f>
        <v>0</v>
      </c>
      <c r="R85" s="10">
        <f t="shared" ref="R85" si="30">Q85+R84-R81</f>
        <v>0</v>
      </c>
      <c r="S85" s="10">
        <f>R85+S84-S81</f>
        <v>0</v>
      </c>
      <c r="T85" s="9">
        <f>N85+T84-T81</f>
        <v>0</v>
      </c>
      <c r="U85" s="9">
        <f>U84-U81</f>
        <v>0</v>
      </c>
      <c r="V85" s="10">
        <f>U85+V84-V81</f>
        <v>0</v>
      </c>
      <c r="W85" s="10">
        <f>V85+W84-W81</f>
        <v>0</v>
      </c>
      <c r="X85" s="10">
        <f>W85+X84-X81</f>
        <v>0</v>
      </c>
      <c r="Y85" s="10">
        <f>X85+Y84-Y81</f>
        <v>0</v>
      </c>
      <c r="Z85" s="9">
        <f>T85+Z84-Z81</f>
        <v>0</v>
      </c>
      <c r="AA85" s="10">
        <f>Z85+AA84-AA81</f>
        <v>0</v>
      </c>
      <c r="AB85" s="10">
        <f>AA85+AB84-AB81</f>
        <v>0</v>
      </c>
      <c r="AC85" s="10">
        <f>AB85+AC84-AC81</f>
        <v>0</v>
      </c>
      <c r="AD85" s="10">
        <f>AC85+AD84-AD81</f>
        <v>0</v>
      </c>
      <c r="AE85" s="9">
        <f>Z85+AE84-AE81</f>
        <v>0</v>
      </c>
      <c r="AF85" s="10">
        <f>AE85+AF84-AF81</f>
        <v>0</v>
      </c>
      <c r="AG85" s="10">
        <f>AF85+AG84-AG81</f>
        <v>0</v>
      </c>
      <c r="AH85" s="10">
        <f>AG85+AH84-AH81</f>
        <v>0</v>
      </c>
      <c r="AI85" s="10">
        <f t="shared" ref="AI85:AJ85" si="31">AH85+AI84-AI81</f>
        <v>0</v>
      </c>
      <c r="AJ85" s="10">
        <f t="shared" si="31"/>
        <v>0</v>
      </c>
      <c r="AK85" s="9">
        <f>AE85+AK84-AK81</f>
        <v>0</v>
      </c>
      <c r="AL85" s="11">
        <f>T85+AL84-AL81</f>
        <v>0</v>
      </c>
      <c r="AM85" s="93"/>
      <c r="AN85" s="94">
        <f t="shared" si="24"/>
        <v>0</v>
      </c>
      <c r="AO85" s="94">
        <f t="shared" si="25"/>
        <v>0</v>
      </c>
    </row>
    <row r="86" spans="1:41">
      <c r="A86" s="82"/>
      <c r="B86" s="3" t="s">
        <v>9</v>
      </c>
      <c r="C86" s="9"/>
      <c r="D86" s="9"/>
      <c r="E86" s="57" t="e">
        <f>E85/(SUM(F81+H81+J81+G81)/20)*1000</f>
        <v>#DIV/0!</v>
      </c>
      <c r="F86" s="57" t="e">
        <f>F85/(SUM(G81+K81+J81+H81)/20)*1000</f>
        <v>#DIV/0!</v>
      </c>
      <c r="G86" s="57" t="e">
        <f>G85/(SUM(H81+J81+K81+L81)/20)*1000</f>
        <v>#DIV/0!</v>
      </c>
      <c r="H86" s="57" t="e">
        <f>H85/(SUM(M81+J81+K81+L81)/20)*1000</f>
        <v>#DIV/0!</v>
      </c>
      <c r="I86" s="12"/>
      <c r="J86" s="57" t="e">
        <f>J85/(SUM(K81+M81+O81+L81)/20)*1000</f>
        <v>#DIV/0!</v>
      </c>
      <c r="K86" s="57" t="e">
        <f>K85/(SUM(L81+P81+O81+M81)/20)*1000</f>
        <v>#DIV/0!</v>
      </c>
      <c r="L86" s="57" t="e">
        <f>L85/(SUM(M81+O81+P81+Q81)/20)*1000</f>
        <v>#DIV/0!</v>
      </c>
      <c r="M86" s="57" t="e">
        <f>M85/(SUM(R81+O81+P81+Q81)/20)*1000</f>
        <v>#DIV/0!</v>
      </c>
      <c r="N86" s="12"/>
      <c r="O86" s="57" t="e">
        <f>O85/(SUM(P81+R81+S81+Q81)/20)*1000</f>
        <v>#DIV/0!</v>
      </c>
      <c r="P86" s="57" t="e">
        <f>P85/(SUM(Q81+S81+V81+R81)/20)*1000</f>
        <v>#DIV/0!</v>
      </c>
      <c r="Q86" s="57" t="e">
        <f>Q85/(SUM(R81+S81+W81+V81)/20)*1000</f>
        <v>#DIV/0!</v>
      </c>
      <c r="R86" s="57">
        <f>R85/(SUM(T81+U81+V81+W81)/20)*1000</f>
        <v>0</v>
      </c>
      <c r="S86" s="57" t="e">
        <f>S85/(SUM(S81+V81+W81+X81)/20)*1000</f>
        <v>#DIV/0!</v>
      </c>
      <c r="T86" s="12"/>
      <c r="U86" s="13"/>
      <c r="V86" s="57" t="e">
        <f>V85/(SUM(W81+Y81+AA81+X81)/20)*1000</f>
        <v>#DIV/0!</v>
      </c>
      <c r="W86" s="57" t="e">
        <f>V85/(SUM(X81+AA81+AB81+Y81)/20)*1000</f>
        <v>#DIV/0!</v>
      </c>
      <c r="X86" s="57" t="e">
        <f>W85/(SUM(Y81+AA81+AB81+AC81)/20)*1000</f>
        <v>#DIV/0!</v>
      </c>
      <c r="Y86" s="57" t="e">
        <f>Y85/(SUM(AA81+AB81+AC81+AD81)/20)*1000</f>
        <v>#DIV/0!</v>
      </c>
      <c r="Z86" s="12"/>
      <c r="AA86" s="57" t="e">
        <f>AA85/(SUM(AB81+AD81+AF81+AC81)/20)*1000</f>
        <v>#DIV/0!</v>
      </c>
      <c r="AB86" s="57" t="e">
        <f>AB85/(SUM(AC81+AF81+AG81+AD81)/20)*1000</f>
        <v>#DIV/0!</v>
      </c>
      <c r="AC86" s="57" t="e">
        <f>AC85/(SUM(AD81+AF81+AG81+AH81)/20)*1000</f>
        <v>#DIV/0!</v>
      </c>
      <c r="AD86" s="57" t="e">
        <f>AD85/(SUM(AF81+AG81+AH81+AI81)/20)*1000</f>
        <v>#DIV/0!</v>
      </c>
      <c r="AE86" s="12"/>
      <c r="AF86" s="57" t="e">
        <f>AF85/(SUM(AG81+AI81+AJ81+AH81)/20)*1000</f>
        <v>#DIV/0!</v>
      </c>
      <c r="AG86" s="57">
        <f>AG85/(SUM(AH81+AJ81+AM81+AI81)/20)*1000</f>
        <v>0</v>
      </c>
      <c r="AH86" s="57">
        <f>AH85/(SUM(AI81+AJ81+AN81+AM81)/20)*1000</f>
        <v>0</v>
      </c>
      <c r="AI86" s="57">
        <f>AI85/(SUM(AK81+AL81+AM81+AN81)/20)*1000</f>
        <v>0</v>
      </c>
      <c r="AJ86" s="57">
        <f>AJ85/(SUM(AJ81+AM81+AN81+AO81)/20)*1000</f>
        <v>0</v>
      </c>
      <c r="AK86" s="12"/>
      <c r="AL86" s="13"/>
      <c r="AM86" s="93"/>
      <c r="AN86" s="94">
        <f t="shared" si="24"/>
        <v>0</v>
      </c>
      <c r="AO86" s="94">
        <f t="shared" si="25"/>
        <v>0</v>
      </c>
    </row>
    <row r="87" spans="1:41">
      <c r="A87" s="165" t="s">
        <v>104</v>
      </c>
      <c r="B87" s="1" t="s">
        <v>5</v>
      </c>
      <c r="C87" s="9"/>
      <c r="D87" s="9"/>
      <c r="E87" s="10"/>
      <c r="F87" s="10">
        <v>-1</v>
      </c>
      <c r="G87" s="10">
        <v>0</v>
      </c>
      <c r="H87" s="10">
        <v>0</v>
      </c>
      <c r="I87" s="9">
        <f>SUM(E87:H87)</f>
        <v>-1</v>
      </c>
      <c r="J87" s="10">
        <v>0</v>
      </c>
      <c r="K87" s="10">
        <v>0</v>
      </c>
      <c r="L87" s="10">
        <v>0</v>
      </c>
      <c r="M87" s="10">
        <v>0</v>
      </c>
      <c r="N87" s="9">
        <f>SUM(J87:M87)</f>
        <v>0</v>
      </c>
      <c r="O87" s="10">
        <v>0</v>
      </c>
      <c r="P87" s="10">
        <v>0</v>
      </c>
      <c r="Q87" s="10">
        <v>0</v>
      </c>
      <c r="R87" s="10">
        <v>0</v>
      </c>
      <c r="S87" s="10">
        <v>0</v>
      </c>
      <c r="T87" s="9">
        <f>SUM(O87:S87)</f>
        <v>0</v>
      </c>
      <c r="U87" s="11">
        <f>T87+N87+I87+D91</f>
        <v>-1</v>
      </c>
      <c r="V87" s="10">
        <v>0</v>
      </c>
      <c r="W87" s="10">
        <v>0</v>
      </c>
      <c r="X87" s="10">
        <v>0</v>
      </c>
      <c r="Y87" s="10">
        <v>0</v>
      </c>
      <c r="Z87" s="9">
        <f>SUM(V87:Y87)</f>
        <v>0</v>
      </c>
      <c r="AA87" s="83">
        <v>0</v>
      </c>
      <c r="AB87" s="83">
        <v>0</v>
      </c>
      <c r="AC87" s="83">
        <v>0</v>
      </c>
      <c r="AD87" s="83">
        <v>0</v>
      </c>
      <c r="AE87" s="9">
        <f>SUM(AA87:AD87)</f>
        <v>0</v>
      </c>
      <c r="AF87" s="10">
        <v>0</v>
      </c>
      <c r="AG87" s="10">
        <v>0</v>
      </c>
      <c r="AH87" s="10">
        <v>0</v>
      </c>
      <c r="AI87" s="10">
        <v>0</v>
      </c>
      <c r="AJ87" s="10">
        <v>0</v>
      </c>
      <c r="AK87" s="9">
        <f>SUM(AF87:AJ87)</f>
        <v>0</v>
      </c>
      <c r="AL87" s="11">
        <f>AK87+AE87+Z87</f>
        <v>0</v>
      </c>
      <c r="AM87" s="94">
        <v>32</v>
      </c>
      <c r="AN87" s="94">
        <f t="shared" si="24"/>
        <v>-32</v>
      </c>
      <c r="AO87" s="94">
        <f t="shared" si="25"/>
        <v>0</v>
      </c>
    </row>
    <row r="88" spans="1:41">
      <c r="A88" s="166"/>
      <c r="B88" s="3" t="s">
        <v>6</v>
      </c>
      <c r="C88" s="9"/>
      <c r="D88" s="9"/>
      <c r="E88" s="10"/>
      <c r="F88" s="10"/>
      <c r="G88" s="10"/>
      <c r="H88" s="10"/>
      <c r="I88" s="9">
        <f>SUM(E88:H88)</f>
        <v>0</v>
      </c>
      <c r="J88" s="10"/>
      <c r="K88" s="10"/>
      <c r="L88" s="10"/>
      <c r="M88" s="10"/>
      <c r="N88" s="9">
        <f>SUM(J88:M88)</f>
        <v>0</v>
      </c>
      <c r="O88" s="10"/>
      <c r="P88" s="10"/>
      <c r="Q88" s="10"/>
      <c r="R88" s="10"/>
      <c r="S88" s="10"/>
      <c r="T88" s="9">
        <f>SUM(O88:S88)</f>
        <v>0</v>
      </c>
      <c r="U88" s="11">
        <f>I88+N88+T88</f>
        <v>0</v>
      </c>
      <c r="V88" s="10"/>
      <c r="W88" s="10"/>
      <c r="X88" s="10"/>
      <c r="Y88" s="10"/>
      <c r="Z88" s="9">
        <f>SUM(V88:Y88)</f>
        <v>0</v>
      </c>
      <c r="AA88" s="10"/>
      <c r="AB88" s="10"/>
      <c r="AC88" s="10"/>
      <c r="AD88" s="10"/>
      <c r="AE88" s="9">
        <f>SUM(AA88:AD88)</f>
        <v>0</v>
      </c>
      <c r="AF88" s="10"/>
      <c r="AG88" s="10"/>
      <c r="AH88" s="10"/>
      <c r="AI88" s="10"/>
      <c r="AJ88" s="10"/>
      <c r="AK88" s="9">
        <f>SUM(AF88:AJ88)</f>
        <v>0</v>
      </c>
      <c r="AL88" s="11">
        <f>Z88+AE88+AK88</f>
        <v>0</v>
      </c>
      <c r="AM88" s="93"/>
      <c r="AN88" s="94">
        <f t="shared" si="24"/>
        <v>0</v>
      </c>
      <c r="AO88" s="94">
        <f t="shared" si="25"/>
        <v>0</v>
      </c>
    </row>
    <row r="89" spans="1:41">
      <c r="A89" s="166"/>
      <c r="B89" s="3" t="s">
        <v>10</v>
      </c>
      <c r="C89" s="9">
        <v>0</v>
      </c>
      <c r="D89" s="9"/>
      <c r="E89" s="10"/>
      <c r="F89" s="10"/>
      <c r="G89" s="10"/>
      <c r="H89" s="10"/>
      <c r="I89" s="9"/>
      <c r="J89" s="10"/>
      <c r="K89" s="10"/>
      <c r="L89" s="10"/>
      <c r="M89" s="10"/>
      <c r="N89" s="9"/>
      <c r="O89" s="10"/>
      <c r="P89" s="10"/>
      <c r="Q89" s="10"/>
      <c r="R89" s="10"/>
      <c r="S89" s="10"/>
      <c r="T89" s="9"/>
      <c r="U89" s="11"/>
      <c r="V89" s="10"/>
      <c r="W89" s="10"/>
      <c r="X89" s="10"/>
      <c r="Y89" s="10"/>
      <c r="Z89" s="9"/>
      <c r="AA89" s="10"/>
      <c r="AB89" s="10"/>
      <c r="AC89" s="10"/>
      <c r="AD89" s="10"/>
      <c r="AE89" s="9"/>
      <c r="AF89" s="10"/>
      <c r="AG89" s="10"/>
      <c r="AH89" s="10"/>
      <c r="AI89" s="10"/>
      <c r="AJ89" s="10"/>
      <c r="AK89" s="9"/>
      <c r="AL89" s="11"/>
      <c r="AM89" s="93"/>
      <c r="AN89" s="94">
        <f t="shared" si="24"/>
        <v>0</v>
      </c>
      <c r="AO89" s="94">
        <f t="shared" si="25"/>
        <v>0</v>
      </c>
    </row>
    <row r="90" spans="1:41">
      <c r="A90" s="166"/>
      <c r="B90" s="3" t="s">
        <v>7</v>
      </c>
      <c r="C90" s="9"/>
      <c r="D90" s="9"/>
      <c r="E90" s="10">
        <f>E89+E88</f>
        <v>0</v>
      </c>
      <c r="F90" s="10">
        <f>F89+F88</f>
        <v>0</v>
      </c>
      <c r="G90" s="10">
        <f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93"/>
      <c r="AN90" s="94">
        <f t="shared" si="24"/>
        <v>0</v>
      </c>
      <c r="AO90" s="94">
        <f t="shared" si="25"/>
        <v>0</v>
      </c>
    </row>
    <row r="91" spans="1:41">
      <c r="A91" s="167"/>
      <c r="B91" s="2" t="s">
        <v>8</v>
      </c>
      <c r="C91" s="65">
        <v>1</v>
      </c>
      <c r="D91" s="95"/>
      <c r="E91" s="10">
        <f>E90-E87</f>
        <v>0</v>
      </c>
      <c r="F91" s="10">
        <f>E91+F90-F87</f>
        <v>1</v>
      </c>
      <c r="G91" s="10">
        <f>F91+G90-G87</f>
        <v>1</v>
      </c>
      <c r="H91" s="10">
        <f>G91+H90-H87</f>
        <v>1</v>
      </c>
      <c r="I91" s="9">
        <f>I90-I87</f>
        <v>1</v>
      </c>
      <c r="J91" s="10">
        <f>I91+J90-J87</f>
        <v>1</v>
      </c>
      <c r="K91" s="10">
        <f>J91+K90-K87</f>
        <v>1</v>
      </c>
      <c r="L91" s="10">
        <f>K91+L90-L87</f>
        <v>1</v>
      </c>
      <c r="M91" s="10">
        <f>L91+M90-M87</f>
        <v>1</v>
      </c>
      <c r="N91" s="9">
        <f>I91+N90-N87</f>
        <v>1</v>
      </c>
      <c r="O91" s="10">
        <f>N91+O90-O87</f>
        <v>1</v>
      </c>
      <c r="P91" s="10">
        <f>O91+P90-P87</f>
        <v>1</v>
      </c>
      <c r="Q91" s="10">
        <f>P91+Q90-Q87</f>
        <v>1</v>
      </c>
      <c r="R91" s="10">
        <f t="shared" ref="R91" si="32">Q91+R90-R87</f>
        <v>1</v>
      </c>
      <c r="S91" s="10">
        <f>R91+S90-S87</f>
        <v>1</v>
      </c>
      <c r="T91" s="9">
        <f>N91+T90-T87</f>
        <v>1</v>
      </c>
      <c r="U91" s="9">
        <f>U90-U87</f>
        <v>1</v>
      </c>
      <c r="V91" s="10">
        <f>U91+V90-V87</f>
        <v>1</v>
      </c>
      <c r="W91" s="10">
        <f>V91+W90-W87</f>
        <v>1</v>
      </c>
      <c r="X91" s="10">
        <f>W91+X90-X87</f>
        <v>1</v>
      </c>
      <c r="Y91" s="10">
        <f>X91+Y90-Y87</f>
        <v>1</v>
      </c>
      <c r="Z91" s="9">
        <f>T91+Z90-Z87</f>
        <v>1</v>
      </c>
      <c r="AA91" s="10">
        <f>Z91+AA90-AA87</f>
        <v>1</v>
      </c>
      <c r="AB91" s="10">
        <f>AA91+AB90-AB87</f>
        <v>1</v>
      </c>
      <c r="AC91" s="10">
        <f>AB91+AC90-AC87</f>
        <v>1</v>
      </c>
      <c r="AD91" s="10">
        <f>AC91+AD90-AD87</f>
        <v>1</v>
      </c>
      <c r="AE91" s="9">
        <f>Z91+AE90-AE87</f>
        <v>1</v>
      </c>
      <c r="AF91" s="10">
        <f>AE91+AF90-AF87</f>
        <v>1</v>
      </c>
      <c r="AG91" s="10">
        <f>AF91+AG90-AG87</f>
        <v>1</v>
      </c>
      <c r="AH91" s="10">
        <f>AG91+AH90-AH87</f>
        <v>1</v>
      </c>
      <c r="AI91" s="10">
        <f t="shared" ref="AI91:AJ91" si="33">AH91+AI90-AI87</f>
        <v>1</v>
      </c>
      <c r="AJ91" s="10">
        <f t="shared" si="33"/>
        <v>1</v>
      </c>
      <c r="AK91" s="9">
        <f>AE91+AK90-AK87</f>
        <v>1</v>
      </c>
      <c r="AL91" s="11">
        <f>T91+AL90-AL87</f>
        <v>1</v>
      </c>
      <c r="AM91" s="93"/>
      <c r="AN91" s="94">
        <f t="shared" si="24"/>
        <v>0</v>
      </c>
      <c r="AO91" s="94">
        <f t="shared" si="25"/>
        <v>0</v>
      </c>
    </row>
    <row r="92" spans="1:41">
      <c r="A92" s="82"/>
      <c r="B92" s="3" t="s">
        <v>9</v>
      </c>
      <c r="C92" s="9"/>
      <c r="D92" s="9"/>
      <c r="E92" s="57">
        <f>E91/(SUM(F87+H87+J87+G87)/20)*1000</f>
        <v>0</v>
      </c>
      <c r="F92" s="57" t="e">
        <f>F91/(SUM(G87+K87+J87+H87)/20)*1000</f>
        <v>#DIV/0!</v>
      </c>
      <c r="G92" s="57" t="e">
        <f>G91/(SUM(H87+J87+K87+L87)/20)*1000</f>
        <v>#DIV/0!</v>
      </c>
      <c r="H92" s="57" t="e">
        <f>H91/(SUM(M87+J87+K87+L87)/20)*1000</f>
        <v>#DIV/0!</v>
      </c>
      <c r="I92" s="12"/>
      <c r="J92" s="57" t="e">
        <f>J91/(SUM(K87+M87+O87+L87)/20)*1000</f>
        <v>#DIV/0!</v>
      </c>
      <c r="K92" s="57" t="e">
        <f>K91/(SUM(L87+P87+O87+M87)/20)*1000</f>
        <v>#DIV/0!</v>
      </c>
      <c r="L92" s="57" t="e">
        <f>L91/(SUM(M87+O87+P87+Q87)/20)*1000</f>
        <v>#DIV/0!</v>
      </c>
      <c r="M92" s="57" t="e">
        <f>M91/(SUM(R87+O87+P87+Q87)/20)*1000</f>
        <v>#DIV/0!</v>
      </c>
      <c r="N92" s="12"/>
      <c r="O92" s="57" t="e">
        <f>O91/(SUM(P87+R87+S87+Q87)/20)*1000</f>
        <v>#DIV/0!</v>
      </c>
      <c r="P92" s="57" t="e">
        <f>P91/(SUM(Q87+S87+V87+R87)/20)*1000</f>
        <v>#DIV/0!</v>
      </c>
      <c r="Q92" s="57" t="e">
        <f>Q91/(SUM(R87+S87+W87+V87)/20)*1000</f>
        <v>#DIV/0!</v>
      </c>
      <c r="R92" s="57">
        <f>R91/(SUM(T87+U87+V87+W87)/20)*1000</f>
        <v>-20000</v>
      </c>
      <c r="S92" s="57" t="e">
        <f>S91/(SUM(S87+V87+W87+X87)/20)*1000</f>
        <v>#DIV/0!</v>
      </c>
      <c r="T92" s="12"/>
      <c r="U92" s="13"/>
      <c r="V92" s="57" t="e">
        <f>V91/(SUM(W87+Y87+AA87+X87)/20)*1000</f>
        <v>#DIV/0!</v>
      </c>
      <c r="W92" s="57" t="e">
        <f>V91/(SUM(X87+AA87+AB87+Y87)/20)*1000</f>
        <v>#DIV/0!</v>
      </c>
      <c r="X92" s="57" t="e">
        <f>W91/(SUM(Y87+AA87+AB87+AC87)/20)*1000</f>
        <v>#DIV/0!</v>
      </c>
      <c r="Y92" s="57" t="e">
        <f>Y91/(SUM(AA87+AB87+AC87+AD87)/20)*1000</f>
        <v>#DIV/0!</v>
      </c>
      <c r="Z92" s="12"/>
      <c r="AA92" s="57" t="e">
        <f>AA91/(SUM(AB87+AD87+AF87+AC87)/20)*1000</f>
        <v>#DIV/0!</v>
      </c>
      <c r="AB92" s="57" t="e">
        <f>AB91/(SUM(AC87+AF87+AG87+AD87)/20)*1000</f>
        <v>#DIV/0!</v>
      </c>
      <c r="AC92" s="57" t="e">
        <f>AC91/(SUM(AD87+AF87+AG87+AH87)/20)*1000</f>
        <v>#DIV/0!</v>
      </c>
      <c r="AD92" s="57" t="e">
        <f>AD91/(SUM(AF87+AG87+AH87+AI87)/20)*1000</f>
        <v>#DIV/0!</v>
      </c>
      <c r="AE92" s="12"/>
      <c r="AF92" s="57" t="e">
        <f>AF91/(SUM(AG87+AI87+AJ87+AH87)/20)*1000</f>
        <v>#DIV/0!</v>
      </c>
      <c r="AG92" s="57">
        <f>AG91/(SUM(AH87+AJ87+AM87+AI87)/20)*1000</f>
        <v>625</v>
      </c>
      <c r="AH92" s="57" t="e">
        <f>AH91/(SUM(AI87+AJ87+AN87+AM87)/20)*1000</f>
        <v>#DIV/0!</v>
      </c>
      <c r="AI92" s="57" t="e">
        <f>AI91/(SUM(AK87+AL87+AM87+AN87)/20)*1000</f>
        <v>#DIV/0!</v>
      </c>
      <c r="AJ92" s="57" t="e">
        <f>AJ91/(SUM(AJ87+AM87+AN87+AO87)/20)*1000</f>
        <v>#DIV/0!</v>
      </c>
      <c r="AK92" s="12"/>
      <c r="AL92" s="13"/>
      <c r="AM92" s="93"/>
      <c r="AN92" s="94">
        <f t="shared" si="24"/>
        <v>0</v>
      </c>
      <c r="AO92" s="94">
        <f t="shared" si="25"/>
        <v>0</v>
      </c>
    </row>
    <row r="93" spans="1:41">
      <c r="A93" s="165" t="s">
        <v>105</v>
      </c>
      <c r="B93" s="1" t="s">
        <v>5</v>
      </c>
      <c r="C93" s="9"/>
      <c r="D93" s="9"/>
      <c r="E93" s="10"/>
      <c r="F93" s="10">
        <v>-14899</v>
      </c>
      <c r="G93" s="10">
        <v>5906</v>
      </c>
      <c r="H93" s="10">
        <v>6904</v>
      </c>
      <c r="I93" s="9">
        <f>SUM(E93:H93)</f>
        <v>-2089</v>
      </c>
      <c r="J93" s="10">
        <v>8789</v>
      </c>
      <c r="K93" s="10">
        <v>21678</v>
      </c>
      <c r="L93" s="10">
        <v>9316</v>
      </c>
      <c r="M93" s="10">
        <v>7890</v>
      </c>
      <c r="N93" s="9">
        <f>SUM(J93:M93)</f>
        <v>47673</v>
      </c>
      <c r="O93" s="10">
        <v>7051</v>
      </c>
      <c r="P93" s="10">
        <v>10116</v>
      </c>
      <c r="Q93" s="10">
        <v>11683</v>
      </c>
      <c r="R93" s="10">
        <v>11665</v>
      </c>
      <c r="S93" s="10">
        <v>10303</v>
      </c>
      <c r="T93" s="9">
        <f>SUM(O93:S93)</f>
        <v>50818</v>
      </c>
      <c r="U93" s="11">
        <f>T93+N93+I93+D97</f>
        <v>147051</v>
      </c>
      <c r="V93" s="10">
        <v>3799</v>
      </c>
      <c r="W93" s="10">
        <v>3579</v>
      </c>
      <c r="X93" s="10">
        <v>5096</v>
      </c>
      <c r="Y93" s="10">
        <v>5321</v>
      </c>
      <c r="Z93" s="9">
        <f>SUM(V93:Y93)</f>
        <v>17795</v>
      </c>
      <c r="AA93" s="10">
        <v>8093</v>
      </c>
      <c r="AB93" s="10">
        <v>21988</v>
      </c>
      <c r="AC93" s="10">
        <v>8588</v>
      </c>
      <c r="AD93" s="10">
        <v>8774</v>
      </c>
      <c r="AE93" s="9">
        <f>SUM(AA93:AD93)</f>
        <v>47443</v>
      </c>
      <c r="AF93" s="10">
        <v>8140</v>
      </c>
      <c r="AG93" s="10">
        <v>10801</v>
      </c>
      <c r="AH93" s="10">
        <v>10987</v>
      </c>
      <c r="AI93" s="10">
        <v>10951</v>
      </c>
      <c r="AJ93" s="10">
        <v>19815</v>
      </c>
      <c r="AK93" s="9">
        <f>SUM(AF93:AJ93)</f>
        <v>60694</v>
      </c>
      <c r="AL93" s="11">
        <f>AK93+AE93+Z93</f>
        <v>125932</v>
      </c>
      <c r="AM93" s="94">
        <v>32</v>
      </c>
      <c r="AN93" s="94">
        <f t="shared" si="24"/>
        <v>4705632</v>
      </c>
      <c r="AO93" s="94">
        <f t="shared" si="25"/>
        <v>4029824</v>
      </c>
    </row>
    <row r="94" spans="1:41">
      <c r="A94" s="166"/>
      <c r="B94" s="3" t="s">
        <v>6</v>
      </c>
      <c r="C94" s="9"/>
      <c r="D94" s="9"/>
      <c r="E94" s="10"/>
      <c r="F94" s="10"/>
      <c r="G94" s="10">
        <v>53750</v>
      </c>
      <c r="H94" s="10"/>
      <c r="I94" s="9">
        <f>SUM(E94:H94)</f>
        <v>53750</v>
      </c>
      <c r="J94" s="10"/>
      <c r="K94" s="10"/>
      <c r="L94" s="10"/>
      <c r="M94" s="10"/>
      <c r="N94" s="9">
        <f>SUM(J94:M94)</f>
        <v>0</v>
      </c>
      <c r="O94" s="10"/>
      <c r="P94" s="10"/>
      <c r="Q94" s="96">
        <v>10000</v>
      </c>
      <c r="R94" s="10"/>
      <c r="S94" s="97">
        <v>80000</v>
      </c>
      <c r="T94" s="9">
        <f>SUM(O94:S94)</f>
        <v>90000</v>
      </c>
      <c r="U94" s="11">
        <f>I94+N94+T94</f>
        <v>143750</v>
      </c>
      <c r="V94" s="10"/>
      <c r="W94" s="10"/>
      <c r="X94" s="10"/>
      <c r="Y94" s="10"/>
      <c r="Z94" s="9">
        <f>SUM(V94:Y94)</f>
        <v>0</v>
      </c>
      <c r="AA94" s="10"/>
      <c r="AB94" s="10"/>
      <c r="AC94" s="10"/>
      <c r="AD94" s="10">
        <v>10000</v>
      </c>
      <c r="AE94" s="9">
        <f>SUM(AA94:AD94)</f>
        <v>10000</v>
      </c>
      <c r="AF94" s="10"/>
      <c r="AG94" s="10"/>
      <c r="AH94" s="10"/>
      <c r="AI94" s="10"/>
      <c r="AJ94" s="97">
        <v>70000</v>
      </c>
      <c r="AK94" s="9">
        <f>SUM(AF94:AJ94)</f>
        <v>70000</v>
      </c>
      <c r="AL94" s="11">
        <f>Z94+AE94+AK94</f>
        <v>80000</v>
      </c>
      <c r="AM94" s="93"/>
      <c r="AN94" s="94">
        <f t="shared" si="24"/>
        <v>0</v>
      </c>
      <c r="AO94" s="94">
        <f t="shared" si="25"/>
        <v>0</v>
      </c>
    </row>
    <row r="95" spans="1:41">
      <c r="A95" s="166"/>
      <c r="B95" s="3" t="s">
        <v>10</v>
      </c>
      <c r="C95" s="9">
        <v>27250</v>
      </c>
      <c r="D95" s="9"/>
      <c r="E95" s="10"/>
      <c r="F95" s="10">
        <v>27250</v>
      </c>
      <c r="G95" s="10"/>
      <c r="H95" s="10"/>
      <c r="I95" s="9"/>
      <c r="J95" s="10"/>
      <c r="K95" s="10"/>
      <c r="L95" s="10"/>
      <c r="M95" s="10"/>
      <c r="N95" s="9"/>
      <c r="O95" s="10"/>
      <c r="P95" s="10"/>
      <c r="Q95" s="10"/>
      <c r="R95" s="10"/>
      <c r="S95" s="10"/>
      <c r="T95" s="9"/>
      <c r="U95" s="11"/>
      <c r="V95" s="10"/>
      <c r="W95" s="10"/>
      <c r="X95" s="10"/>
      <c r="Y95" s="10"/>
      <c r="Z95" s="9"/>
      <c r="AA95" s="10"/>
      <c r="AB95" s="10"/>
      <c r="AC95" s="10"/>
      <c r="AD95" s="10"/>
      <c r="AE95" s="9"/>
      <c r="AF95" s="10"/>
      <c r="AG95" s="10"/>
      <c r="AH95" s="10"/>
      <c r="AI95" s="10"/>
      <c r="AJ95" s="10"/>
      <c r="AK95" s="9"/>
      <c r="AL95" s="11"/>
      <c r="AM95" s="93"/>
      <c r="AN95" s="94">
        <f t="shared" si="24"/>
        <v>0</v>
      </c>
      <c r="AO95" s="94">
        <f t="shared" si="25"/>
        <v>0</v>
      </c>
    </row>
    <row r="96" spans="1:41">
      <c r="A96" s="166"/>
      <c r="B96" s="3" t="s">
        <v>7</v>
      </c>
      <c r="C96" s="9"/>
      <c r="D96" s="9"/>
      <c r="E96" s="10">
        <f>E95+E94</f>
        <v>0</v>
      </c>
      <c r="F96" s="10">
        <f>F95+F94</f>
        <v>27250</v>
      </c>
      <c r="G96" s="10">
        <f>G95+G94</f>
        <v>53750</v>
      </c>
      <c r="H96" s="10">
        <f>H95+H94</f>
        <v>0</v>
      </c>
      <c r="I96" s="9">
        <f>SUM(E96:H96)</f>
        <v>81000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0</v>
      </c>
      <c r="N96" s="9">
        <f>SUM(J96:M96)</f>
        <v>0</v>
      </c>
      <c r="O96" s="10">
        <f>O95+O94</f>
        <v>0</v>
      </c>
      <c r="P96" s="10">
        <f>P95+P94</f>
        <v>0</v>
      </c>
      <c r="Q96" s="10">
        <f>Q95+Q94</f>
        <v>10000</v>
      </c>
      <c r="R96" s="10">
        <f>R95+R94</f>
        <v>0</v>
      </c>
      <c r="S96" s="10">
        <f>S95+S94</f>
        <v>80000</v>
      </c>
      <c r="T96" s="9">
        <f>SUM(O96:S96)</f>
        <v>90000</v>
      </c>
      <c r="U96" s="11">
        <f>T96+N96+I96+D97</f>
        <v>221649</v>
      </c>
      <c r="V96" s="10">
        <f>V95+V94</f>
        <v>0</v>
      </c>
      <c r="W96" s="10">
        <f>W95+W94</f>
        <v>0</v>
      </c>
      <c r="X96" s="10">
        <f>X95+X94</f>
        <v>0</v>
      </c>
      <c r="Y96" s="10">
        <f>Y95+Y94</f>
        <v>0</v>
      </c>
      <c r="Z96" s="9">
        <f>SUM(V96:Y96)</f>
        <v>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10000</v>
      </c>
      <c r="AE96" s="9">
        <f>SUM(AA96:AD96)</f>
        <v>10000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70000</v>
      </c>
      <c r="AK96" s="9">
        <f>SUM(AF96:AJ96)</f>
        <v>70000</v>
      </c>
      <c r="AL96" s="11">
        <f>AK96+AE96+Z96</f>
        <v>80000</v>
      </c>
      <c r="AM96" s="93"/>
      <c r="AN96" s="94">
        <f t="shared" si="24"/>
        <v>0</v>
      </c>
      <c r="AO96" s="94">
        <f t="shared" si="25"/>
        <v>0</v>
      </c>
    </row>
    <row r="97" spans="1:41">
      <c r="A97" s="167"/>
      <c r="B97" s="2" t="s">
        <v>8</v>
      </c>
      <c r="C97" s="65">
        <v>66630</v>
      </c>
      <c r="D97" s="95">
        <v>50649</v>
      </c>
      <c r="E97" s="81">
        <f>E96-E93</f>
        <v>0</v>
      </c>
      <c r="F97" s="10">
        <f>E97+F96-F93</f>
        <v>42149</v>
      </c>
      <c r="G97" s="10">
        <f>F97+G96-G93</f>
        <v>89993</v>
      </c>
      <c r="H97" s="10">
        <f>G97+H96-H93</f>
        <v>83089</v>
      </c>
      <c r="I97" s="9">
        <f>I96-I93</f>
        <v>83089</v>
      </c>
      <c r="J97" s="10">
        <f>I97+J96-J93</f>
        <v>74300</v>
      </c>
      <c r="K97" s="10">
        <f>J97+K96-K93</f>
        <v>52622</v>
      </c>
      <c r="L97" s="10">
        <f>K97+L96-L93</f>
        <v>43306</v>
      </c>
      <c r="M97" s="10">
        <f>L97+M96-M93</f>
        <v>35416</v>
      </c>
      <c r="N97" s="9">
        <f>I97+N96-N93</f>
        <v>35416</v>
      </c>
      <c r="O97" s="10">
        <f>N97+O96-O93</f>
        <v>28365</v>
      </c>
      <c r="P97" s="10">
        <f>O97+P96-P93</f>
        <v>18249</v>
      </c>
      <c r="Q97" s="10">
        <f>P97+Q96-Q93</f>
        <v>16566</v>
      </c>
      <c r="R97" s="10">
        <f t="shared" ref="R97" si="34">Q97+R96-R93</f>
        <v>4901</v>
      </c>
      <c r="S97" s="10">
        <f>R97+S96-S93</f>
        <v>74598</v>
      </c>
      <c r="T97" s="9">
        <f>N97+T96-T93</f>
        <v>74598</v>
      </c>
      <c r="U97" s="9">
        <f>U96-U93</f>
        <v>74598</v>
      </c>
      <c r="V97" s="10">
        <f>U97+V96-V93</f>
        <v>70799</v>
      </c>
      <c r="W97" s="10">
        <f>V97+W96-W93</f>
        <v>67220</v>
      </c>
      <c r="X97" s="10">
        <f>W97+X96-X93</f>
        <v>62124</v>
      </c>
      <c r="Y97" s="10">
        <f>X97+Y96-Y93</f>
        <v>56803</v>
      </c>
      <c r="Z97" s="9">
        <f>T97+Z96-Z93</f>
        <v>56803</v>
      </c>
      <c r="AA97" s="10">
        <f>Z97+AA96-AA93</f>
        <v>48710</v>
      </c>
      <c r="AB97" s="10">
        <f>AA97+AB96-AB93</f>
        <v>26722</v>
      </c>
      <c r="AC97" s="10">
        <f>AB97+AC96-AC93</f>
        <v>18134</v>
      </c>
      <c r="AD97" s="10">
        <f>AC97+AD96-AD93</f>
        <v>19360</v>
      </c>
      <c r="AE97" s="9">
        <f>Z97+AE96-AE93</f>
        <v>19360</v>
      </c>
      <c r="AF97" s="10">
        <f>AE97+AF96-AF93</f>
        <v>11220</v>
      </c>
      <c r="AG97" s="10">
        <f>AF97+AG96-AG93</f>
        <v>419</v>
      </c>
      <c r="AH97" s="10">
        <f>AG97+AH96-AH93</f>
        <v>-10568</v>
      </c>
      <c r="AI97" s="10">
        <f t="shared" ref="AI97:AJ97" si="35">AH97+AI96-AI93</f>
        <v>-21519</v>
      </c>
      <c r="AJ97" s="10">
        <f t="shared" si="35"/>
        <v>28666</v>
      </c>
      <c r="AK97" s="9">
        <f>AE97+AK96-AK93</f>
        <v>28666</v>
      </c>
      <c r="AL97" s="11">
        <f>T97+AL96-AL93</f>
        <v>28666</v>
      </c>
      <c r="AM97" s="93"/>
      <c r="AN97" s="94">
        <f t="shared" si="24"/>
        <v>0</v>
      </c>
      <c r="AO97" s="94">
        <f t="shared" si="25"/>
        <v>0</v>
      </c>
    </row>
    <row r="98" spans="1:41">
      <c r="A98" s="82"/>
      <c r="B98" s="3" t="s">
        <v>9</v>
      </c>
      <c r="C98" s="9"/>
      <c r="D98" s="9"/>
      <c r="E98" s="57">
        <f>E97/(SUM(F93+H93+J93+G93)/20)*1000</f>
        <v>0</v>
      </c>
      <c r="F98" s="57">
        <f>F97/(SUM(G93+K93+J93+H93)/20)*1000</f>
        <v>19478.706934399335</v>
      </c>
      <c r="G98" s="57">
        <f>G97/(SUM(H93+J93+K93+L93)/20)*1000</f>
        <v>38551.631075031597</v>
      </c>
      <c r="H98" s="57">
        <f>H97/(SUM(M93+J93+K93+L93)/20)*1000</f>
        <v>34857.886015144839</v>
      </c>
      <c r="I98" s="12"/>
      <c r="J98" s="57">
        <f>J97/(SUM(K93+M93+O93+L93)/20)*1000</f>
        <v>32350.059867203654</v>
      </c>
      <c r="K98" s="57">
        <f>K97/(SUM(L93+P93+O93+M93)/20)*1000</f>
        <v>30618.217787216712</v>
      </c>
      <c r="L98" s="57">
        <f>L97/(SUM(M93+O93+P93+Q93)/20)*1000</f>
        <v>23574.305933587373</v>
      </c>
      <c r="M98" s="57">
        <f>M97/(SUM(R93+O93+P93+Q93)/20)*1000</f>
        <v>17482.907565099347</v>
      </c>
      <c r="N98" s="12"/>
      <c r="O98" s="57">
        <f>O97/(SUM(P93+R93+S93+Q93)/20)*1000</f>
        <v>12961.820549729247</v>
      </c>
      <c r="P98" s="57">
        <f>P97/(SUM(Q93+S93+V93+R93)/20)*1000</f>
        <v>9745.7943925233649</v>
      </c>
      <c r="Q98" s="57">
        <f>Q97/(SUM(R93+S93+W93+V93)/20)*1000</f>
        <v>11290.124718871397</v>
      </c>
      <c r="R98" s="57">
        <f>R97/(SUM(T93+U93+V93+W93)/20)*1000</f>
        <v>477.57092673705336</v>
      </c>
      <c r="S98" s="57">
        <f>S97/(SUM(S93+V93+W93+X93)/20)*1000</f>
        <v>65502.9196118892</v>
      </c>
      <c r="T98" s="12"/>
      <c r="U98" s="13"/>
      <c r="V98" s="57">
        <f>V97/(SUM(W93+Y93+AA93+X93)/20)*1000</f>
        <v>64103.399882294354</v>
      </c>
      <c r="W98" s="57">
        <f>V97/(SUM(X93+AA93+AB93+Y93)/20)*1000</f>
        <v>34964.195762753719</v>
      </c>
      <c r="X98" s="57">
        <f>W97/(SUM(Y93+AA93+AB93+AC93)/20)*1000</f>
        <v>30561.491248010912</v>
      </c>
      <c r="Y98" s="57">
        <f>Y97/(SUM(AA93+AB93+AC93+AD93)/20)*1000</f>
        <v>23945.787576670951</v>
      </c>
      <c r="Z98" s="12"/>
      <c r="AA98" s="57">
        <f>AA97/(SUM(AB93+AD93+AF93+AC93)/20)*1000</f>
        <v>20513.792377342597</v>
      </c>
      <c r="AB98" s="57">
        <f>AB97/(SUM(AC93+AF93+AG93+AD93)/20)*1000</f>
        <v>14721.648348621326</v>
      </c>
      <c r="AC98" s="57">
        <f>AC97/(SUM(AD93+AF93+AG93+AH93)/20)*1000</f>
        <v>9371.0919332334252</v>
      </c>
      <c r="AD98" s="57">
        <f>AD97/(SUM(AF93+AG93+AH93+AI93)/20)*1000</f>
        <v>9471.8559651654887</v>
      </c>
      <c r="AE98" s="12"/>
      <c r="AF98" s="57">
        <f>AF97/(SUM(AG93+AI93+AJ93+AH93)/20)*1000</f>
        <v>4269.8938234958332</v>
      </c>
      <c r="AG98" s="57">
        <f>AG97/(SUM(AH93+AJ93+AM93+AI93)/20)*1000</f>
        <v>200.55043675960275</v>
      </c>
      <c r="AH98" s="57">
        <f>AH97/(SUM(AI93+AJ93+AN93+AM93)/20)*1000</f>
        <v>-44.624326760872641</v>
      </c>
      <c r="AI98" s="57">
        <f>AI97/(SUM(AK93+AL93+AM93+AN93)/20)*1000</f>
        <v>-87.971072851364084</v>
      </c>
      <c r="AJ98" s="57">
        <f>AJ97/(SUM(AJ93+AM93+AN93+AO93)/20)*1000</f>
        <v>65.482599517115503</v>
      </c>
      <c r="AK98" s="12"/>
      <c r="AL98" s="13"/>
      <c r="AM98" s="93"/>
      <c r="AN98" s="94">
        <f t="shared" si="24"/>
        <v>0</v>
      </c>
      <c r="AO98" s="94">
        <f t="shared" si="25"/>
        <v>0</v>
      </c>
    </row>
    <row r="99" spans="1:41">
      <c r="A99" s="165" t="s">
        <v>106</v>
      </c>
      <c r="B99" s="1" t="s">
        <v>5</v>
      </c>
      <c r="C99" s="9"/>
      <c r="D99" s="9"/>
      <c r="E99" s="10"/>
      <c r="F99" s="10">
        <v>100</v>
      </c>
      <c r="G99" s="10">
        <v>0</v>
      </c>
      <c r="H99" s="10">
        <v>0</v>
      </c>
      <c r="I99" s="9">
        <f>SUM(E99:H99)</f>
        <v>100</v>
      </c>
      <c r="J99" s="10">
        <v>0</v>
      </c>
      <c r="K99" s="10">
        <v>200</v>
      </c>
      <c r="L99" s="10">
        <v>0</v>
      </c>
      <c r="M99" s="10">
        <v>0</v>
      </c>
      <c r="N99" s="9">
        <f>SUM(J99:M99)</f>
        <v>200</v>
      </c>
      <c r="O99" s="10">
        <v>0</v>
      </c>
      <c r="P99" s="10">
        <v>0</v>
      </c>
      <c r="Q99" s="10">
        <v>0</v>
      </c>
      <c r="R99" s="10">
        <v>0</v>
      </c>
      <c r="S99" s="10">
        <v>0</v>
      </c>
      <c r="T99" s="9">
        <f>SUM(O99:S99)</f>
        <v>0</v>
      </c>
      <c r="U99" s="11">
        <f>T99+N99+I99+D103</f>
        <v>300</v>
      </c>
      <c r="V99" s="10">
        <v>0</v>
      </c>
      <c r="W99" s="10">
        <v>0</v>
      </c>
      <c r="X99" s="10">
        <v>0</v>
      </c>
      <c r="Y99" s="10">
        <v>0</v>
      </c>
      <c r="Z99" s="9">
        <f>SUM(V99:Y99)</f>
        <v>0</v>
      </c>
      <c r="AA99" s="10">
        <v>0</v>
      </c>
      <c r="AB99" s="10">
        <v>0</v>
      </c>
      <c r="AC99" s="10">
        <v>0</v>
      </c>
      <c r="AD99" s="10">
        <v>0</v>
      </c>
      <c r="AE99" s="9">
        <f>SUM(AA99:AD99)</f>
        <v>0</v>
      </c>
      <c r="AF99" s="10">
        <v>0</v>
      </c>
      <c r="AG99" s="10">
        <v>0</v>
      </c>
      <c r="AH99" s="10">
        <v>0</v>
      </c>
      <c r="AI99" s="10">
        <v>0</v>
      </c>
      <c r="AJ99" s="10">
        <v>0</v>
      </c>
      <c r="AK99" s="9">
        <f>SUM(AF99:AJ99)</f>
        <v>0</v>
      </c>
      <c r="AL99" s="11">
        <f>AK99+AE99+Z99</f>
        <v>0</v>
      </c>
      <c r="AM99" s="94">
        <v>64</v>
      </c>
      <c r="AN99" s="94">
        <f t="shared" si="24"/>
        <v>19200</v>
      </c>
      <c r="AO99" s="94">
        <f t="shared" si="25"/>
        <v>0</v>
      </c>
    </row>
    <row r="100" spans="1:41">
      <c r="A100" s="166"/>
      <c r="B100" s="3" t="s">
        <v>6</v>
      </c>
      <c r="C100" s="9"/>
      <c r="D100" s="9"/>
      <c r="E100" s="10"/>
      <c r="F100" s="10"/>
      <c r="G100" s="10"/>
      <c r="H100" s="10"/>
      <c r="I100" s="9">
        <f>SUM(E100:H100)</f>
        <v>0</v>
      </c>
      <c r="J100" s="10"/>
      <c r="K100" s="10"/>
      <c r="L100" s="10"/>
      <c r="M100" s="10"/>
      <c r="N100" s="9">
        <f>SUM(J100:M100)</f>
        <v>0</v>
      </c>
      <c r="O100" s="10"/>
      <c r="P100" s="10"/>
      <c r="Q100" s="10"/>
      <c r="R100" s="10"/>
      <c r="S100" s="10"/>
      <c r="T100" s="9">
        <f>SUM(O100:S100)</f>
        <v>0</v>
      </c>
      <c r="U100" s="11">
        <f>I100+N100+T100</f>
        <v>0</v>
      </c>
      <c r="V100" s="10"/>
      <c r="W100" s="10"/>
      <c r="X100" s="10"/>
      <c r="Y100" s="10"/>
      <c r="Z100" s="9">
        <f>SUM(V100:Y100)</f>
        <v>0</v>
      </c>
      <c r="AA100" s="10"/>
      <c r="AB100" s="10"/>
      <c r="AC100" s="10"/>
      <c r="AD100" s="10"/>
      <c r="AE100" s="9">
        <f>SUM(AA100:AD100)</f>
        <v>0</v>
      </c>
      <c r="AF100" s="10"/>
      <c r="AG100" s="10"/>
      <c r="AH100" s="10"/>
      <c r="AI100" s="10"/>
      <c r="AJ100" s="10"/>
      <c r="AK100" s="9">
        <f>SUM(AF100:AJ100)</f>
        <v>0</v>
      </c>
      <c r="AL100" s="11">
        <f>Z100+AE100+AK100</f>
        <v>0</v>
      </c>
      <c r="AM100" s="93"/>
      <c r="AN100" s="94">
        <f t="shared" si="24"/>
        <v>0</v>
      </c>
      <c r="AO100" s="94">
        <f t="shared" si="25"/>
        <v>0</v>
      </c>
    </row>
    <row r="101" spans="1:41">
      <c r="A101" s="166"/>
      <c r="B101" s="3" t="s">
        <v>10</v>
      </c>
      <c r="C101" s="9">
        <v>0</v>
      </c>
      <c r="D101" s="9"/>
      <c r="E101" s="10"/>
      <c r="F101" s="10"/>
      <c r="G101" s="10"/>
      <c r="H101" s="10"/>
      <c r="I101" s="9"/>
      <c r="J101" s="10"/>
      <c r="K101" s="10"/>
      <c r="L101" s="10"/>
      <c r="M101" s="10"/>
      <c r="N101" s="9"/>
      <c r="O101" s="10"/>
      <c r="P101" s="10"/>
      <c r="Q101" s="10"/>
      <c r="R101" s="10"/>
      <c r="S101" s="10"/>
      <c r="T101" s="9"/>
      <c r="U101" s="11"/>
      <c r="V101" s="10"/>
      <c r="W101" s="10"/>
      <c r="X101" s="10"/>
      <c r="Y101" s="10"/>
      <c r="Z101" s="9"/>
      <c r="AA101" s="10"/>
      <c r="AB101" s="10"/>
      <c r="AC101" s="10"/>
      <c r="AD101" s="10"/>
      <c r="AE101" s="9"/>
      <c r="AF101" s="10"/>
      <c r="AG101" s="10"/>
      <c r="AH101" s="10"/>
      <c r="AI101" s="10"/>
      <c r="AJ101" s="10"/>
      <c r="AK101" s="9"/>
      <c r="AL101" s="11"/>
      <c r="AM101" s="93"/>
      <c r="AN101" s="94">
        <f t="shared" si="24"/>
        <v>0</v>
      </c>
      <c r="AO101" s="94">
        <f t="shared" si="25"/>
        <v>0</v>
      </c>
    </row>
    <row r="102" spans="1:41">
      <c r="A102" s="166"/>
      <c r="B102" s="3" t="s">
        <v>7</v>
      </c>
      <c r="C102" s="9"/>
      <c r="D102" s="9"/>
      <c r="E102" s="10">
        <f>E101+E100</f>
        <v>0</v>
      </c>
      <c r="F102" s="10">
        <f>F101+F100</f>
        <v>0</v>
      </c>
      <c r="G102" s="10">
        <f>G101+G100</f>
        <v>0</v>
      </c>
      <c r="H102" s="10">
        <f>H101+H100</f>
        <v>0</v>
      </c>
      <c r="I102" s="9">
        <f>SUM(E102:H102)</f>
        <v>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0</v>
      </c>
      <c r="N102" s="9">
        <f>SUM(J102:M102)</f>
        <v>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0</v>
      </c>
      <c r="T102" s="9">
        <f>SUM(O102:S102)</f>
        <v>0</v>
      </c>
      <c r="U102" s="11">
        <f>T102+N102+I102+D103</f>
        <v>0</v>
      </c>
      <c r="V102" s="10">
        <f>V101+V100</f>
        <v>0</v>
      </c>
      <c r="W102" s="10">
        <f>W101+W100</f>
        <v>0</v>
      </c>
      <c r="X102" s="10">
        <f>X101+X100</f>
        <v>0</v>
      </c>
      <c r="Y102" s="10">
        <f>Y101+Y100</f>
        <v>0</v>
      </c>
      <c r="Z102" s="9">
        <f>SUM(V102:Y102)</f>
        <v>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0</v>
      </c>
      <c r="AM102" s="93"/>
      <c r="AN102" s="94">
        <f t="shared" si="24"/>
        <v>0</v>
      </c>
      <c r="AO102" s="94">
        <f t="shared" si="25"/>
        <v>0</v>
      </c>
    </row>
    <row r="103" spans="1:41">
      <c r="A103" s="167"/>
      <c r="B103" s="2" t="s">
        <v>8</v>
      </c>
      <c r="C103" s="65">
        <v>0</v>
      </c>
      <c r="D103" s="95"/>
      <c r="E103" s="10">
        <f>E102-E99</f>
        <v>0</v>
      </c>
      <c r="F103" s="10">
        <f>E103+F102-F99</f>
        <v>-100</v>
      </c>
      <c r="G103" s="10">
        <f>F103+G102-G99</f>
        <v>-100</v>
      </c>
      <c r="H103" s="10">
        <f>G103+H102-H99</f>
        <v>-100</v>
      </c>
      <c r="I103" s="9">
        <f>I102-I99</f>
        <v>-100</v>
      </c>
      <c r="J103" s="10">
        <f>I103+J102-J99</f>
        <v>-100</v>
      </c>
      <c r="K103" s="10">
        <f>J103+K102-K99</f>
        <v>-300</v>
      </c>
      <c r="L103" s="10">
        <f>K103+L102-L99</f>
        <v>-300</v>
      </c>
      <c r="M103" s="10">
        <f>L103+M102-M99</f>
        <v>-300</v>
      </c>
      <c r="N103" s="9">
        <f>I103+N102-N99</f>
        <v>-300</v>
      </c>
      <c r="O103" s="10">
        <f>N103+O102-O99</f>
        <v>-300</v>
      </c>
      <c r="P103" s="10">
        <f>O103+P102-P99</f>
        <v>-300</v>
      </c>
      <c r="Q103" s="10">
        <f>P103+Q102-Q99</f>
        <v>-300</v>
      </c>
      <c r="R103" s="10">
        <f t="shared" ref="R103" si="36">Q103+R102-R99</f>
        <v>-300</v>
      </c>
      <c r="S103" s="10">
        <f>R103+S102-S99</f>
        <v>-300</v>
      </c>
      <c r="T103" s="9">
        <f>N103+T102-T99</f>
        <v>-300</v>
      </c>
      <c r="U103" s="9">
        <f>U102-U99</f>
        <v>-300</v>
      </c>
      <c r="V103" s="10">
        <f>U103+V102-V99</f>
        <v>-300</v>
      </c>
      <c r="W103" s="10">
        <f>V103+W102-W99</f>
        <v>-300</v>
      </c>
      <c r="X103" s="10">
        <f>W103+X102-X99</f>
        <v>-300</v>
      </c>
      <c r="Y103" s="10">
        <f>X103+Y102-Y99</f>
        <v>-300</v>
      </c>
      <c r="Z103" s="9">
        <f>T103+Z102-Z99</f>
        <v>-300</v>
      </c>
      <c r="AA103" s="10">
        <f>Z103+AA102-AA99</f>
        <v>-300</v>
      </c>
      <c r="AB103" s="10">
        <f>AA103+AB102-AB99</f>
        <v>-300</v>
      </c>
      <c r="AC103" s="10">
        <f>AB103+AC102-AC99</f>
        <v>-300</v>
      </c>
      <c r="AD103" s="10">
        <f>AC103+AD102-AD99</f>
        <v>-300</v>
      </c>
      <c r="AE103" s="9">
        <f>Z103+AE102-AE99</f>
        <v>-300</v>
      </c>
      <c r="AF103" s="10">
        <f>AE103+AF102-AF99</f>
        <v>-300</v>
      </c>
      <c r="AG103" s="10">
        <f>AF103+AG102-AG99</f>
        <v>-300</v>
      </c>
      <c r="AH103" s="10">
        <f>AG103+AH102-AH99</f>
        <v>-300</v>
      </c>
      <c r="AI103" s="10">
        <f t="shared" ref="AI103:AJ103" si="37">AH103+AI102-AI99</f>
        <v>-300</v>
      </c>
      <c r="AJ103" s="10">
        <f t="shared" si="37"/>
        <v>-300</v>
      </c>
      <c r="AK103" s="9">
        <f>AE103+AK102-AK99</f>
        <v>-300</v>
      </c>
      <c r="AL103" s="11">
        <f>T103+AL102-AL99</f>
        <v>-300</v>
      </c>
      <c r="AM103" s="93"/>
      <c r="AN103" s="94">
        <f t="shared" si="24"/>
        <v>0</v>
      </c>
      <c r="AO103" s="94">
        <f t="shared" si="25"/>
        <v>0</v>
      </c>
    </row>
    <row r="104" spans="1:41">
      <c r="A104" s="82"/>
      <c r="B104" s="3" t="s">
        <v>9</v>
      </c>
      <c r="C104" s="9"/>
      <c r="D104" s="9"/>
      <c r="E104" s="57">
        <f>E103/(SUM(F99+H99+J99+G99)/20)*1000</f>
        <v>0</v>
      </c>
      <c r="F104" s="57">
        <f>F103/(SUM(G99+K99+J99+H99)/20)*1000</f>
        <v>-10000</v>
      </c>
      <c r="G104" s="57">
        <f>G103/(SUM(H99+J99+K99+L99)/20)*1000</f>
        <v>-10000</v>
      </c>
      <c r="H104" s="57">
        <f>H103/(SUM(M99+J99+K99+L99)/20)*1000</f>
        <v>-10000</v>
      </c>
      <c r="I104" s="12"/>
      <c r="J104" s="57">
        <f>J103/(SUM(K99+M99+O99+L99)/20)*1000</f>
        <v>-10000</v>
      </c>
      <c r="K104" s="57" t="e">
        <f>K103/(SUM(L99+P99+O99+M99)/20)*1000</f>
        <v>#DIV/0!</v>
      </c>
      <c r="L104" s="57" t="e">
        <f>L103/(SUM(M99+O99+P99+Q99)/20)*1000</f>
        <v>#DIV/0!</v>
      </c>
      <c r="M104" s="57" t="e">
        <f>M103/(SUM(R99+O99+P99+Q99)/20)*1000</f>
        <v>#DIV/0!</v>
      </c>
      <c r="N104" s="12"/>
      <c r="O104" s="57" t="e">
        <f>O103/(SUM(P99+R99+S99+Q99)/20)*1000</f>
        <v>#DIV/0!</v>
      </c>
      <c r="P104" s="57" t="e">
        <f>P103/(SUM(Q99+S99+V99+R99)/20)*1000</f>
        <v>#DIV/0!</v>
      </c>
      <c r="Q104" s="57" t="e">
        <f>Q103/(SUM(R99+S99+W99+V99)/20)*1000</f>
        <v>#DIV/0!</v>
      </c>
      <c r="R104" s="57">
        <f>R103/(SUM(T99+U99+V99+W99)/20)*1000</f>
        <v>-20000</v>
      </c>
      <c r="S104" s="57" t="e">
        <f>S103/(SUM(S99+V99+W99+X99)/20)*1000</f>
        <v>#DIV/0!</v>
      </c>
      <c r="T104" s="12"/>
      <c r="U104" s="13"/>
      <c r="V104" s="57" t="e">
        <f>V103/(SUM(W99+Y99+AA99+X99)/20)*1000</f>
        <v>#DIV/0!</v>
      </c>
      <c r="W104" s="57" t="e">
        <f>V103/(SUM(X99+AA99+AB99+Y99)/20)*1000</f>
        <v>#DIV/0!</v>
      </c>
      <c r="X104" s="57" t="e">
        <f>W103/(SUM(Y99+AA99+AB99+AC99)/20)*1000</f>
        <v>#DIV/0!</v>
      </c>
      <c r="Y104" s="57" t="e">
        <f>Y103/(SUM(AA99+AB99+AC99+AD99)/20)*1000</f>
        <v>#DIV/0!</v>
      </c>
      <c r="Z104" s="12"/>
      <c r="AA104" s="57" t="e">
        <f>AA103/(SUM(AB99+AD99+AF99+AC99)/20)*1000</f>
        <v>#DIV/0!</v>
      </c>
      <c r="AB104" s="57" t="e">
        <f>AB103/(SUM(AC99+AF99+AG99+AD99)/20)*1000</f>
        <v>#DIV/0!</v>
      </c>
      <c r="AC104" s="57" t="e">
        <f>AC103/(SUM(AD99+AF99+AG99+AH99)/20)*1000</f>
        <v>#DIV/0!</v>
      </c>
      <c r="AD104" s="57" t="e">
        <f>AD103/(SUM(AF99+AG99+AH99+AI99)/20)*1000</f>
        <v>#DIV/0!</v>
      </c>
      <c r="AE104" s="12"/>
      <c r="AF104" s="57" t="e">
        <f>AF103/(SUM(AG99+AI99+AJ99+AH99)/20)*1000</f>
        <v>#DIV/0!</v>
      </c>
      <c r="AG104" s="57">
        <f>AG103/(SUM(AH99+AJ99+AM99+AI99)/20)*1000</f>
        <v>-93750</v>
      </c>
      <c r="AH104" s="57">
        <f>AH103/(SUM(AI99+AJ99+AN99+AM99)/20)*1000</f>
        <v>-311.46179401993351</v>
      </c>
      <c r="AI104" s="57">
        <f>AI103/(SUM(AK99+AL99+AM99+AN99)/20)*1000</f>
        <v>-311.46179401993351</v>
      </c>
      <c r="AJ104" s="57">
        <f>AJ103/(SUM(AJ99+AM99+AN99+AO99)/20)*1000</f>
        <v>-311.46179401993351</v>
      </c>
      <c r="AK104" s="12"/>
      <c r="AL104" s="13"/>
      <c r="AM104" s="93"/>
      <c r="AN104" s="94">
        <f t="shared" si="24"/>
        <v>0</v>
      </c>
      <c r="AO104" s="94">
        <f t="shared" si="25"/>
        <v>0</v>
      </c>
    </row>
    <row r="105" spans="1:41">
      <c r="A105" s="165" t="s">
        <v>107</v>
      </c>
      <c r="B105" s="1" t="s">
        <v>5</v>
      </c>
      <c r="C105" s="9"/>
      <c r="D105" s="9"/>
      <c r="E105" s="10">
        <v>12000</v>
      </c>
      <c r="F105" s="10">
        <v>-87934</v>
      </c>
      <c r="G105" s="10">
        <v>33639</v>
      </c>
      <c r="H105" s="10">
        <v>36907</v>
      </c>
      <c r="I105" s="9">
        <f>SUM(E105:H105)</f>
        <v>-5388</v>
      </c>
      <c r="J105" s="10">
        <v>47759</v>
      </c>
      <c r="K105" s="10">
        <v>58214</v>
      </c>
      <c r="L105" s="10">
        <v>58401</v>
      </c>
      <c r="M105" s="10">
        <v>51005</v>
      </c>
      <c r="N105" s="9">
        <f>SUM(J105:M105)</f>
        <v>215379</v>
      </c>
      <c r="O105" s="10">
        <v>21911</v>
      </c>
      <c r="P105" s="10">
        <v>71693</v>
      </c>
      <c r="Q105" s="10">
        <v>68168</v>
      </c>
      <c r="R105" s="10">
        <v>61415</v>
      </c>
      <c r="S105" s="10">
        <v>56415</v>
      </c>
      <c r="T105" s="9">
        <f>SUM(O105:S105)</f>
        <v>279602</v>
      </c>
      <c r="U105" s="11">
        <f>T105+N105+I105+D109</f>
        <v>668552</v>
      </c>
      <c r="V105" s="10">
        <v>9915</v>
      </c>
      <c r="W105" s="10">
        <v>17574</v>
      </c>
      <c r="X105" s="10">
        <v>17307</v>
      </c>
      <c r="Y105" s="10">
        <v>18019</v>
      </c>
      <c r="Z105" s="9">
        <f>SUM(V105:Y105)</f>
        <v>62815</v>
      </c>
      <c r="AA105" s="10">
        <v>41787</v>
      </c>
      <c r="AB105" s="10">
        <v>55871</v>
      </c>
      <c r="AC105" s="10">
        <v>54358</v>
      </c>
      <c r="AD105" s="10">
        <v>48533</v>
      </c>
      <c r="AE105" s="9">
        <f>SUM(AA105:AD105)</f>
        <v>200549</v>
      </c>
      <c r="AF105" s="10">
        <v>28077</v>
      </c>
      <c r="AG105" s="10">
        <v>71494</v>
      </c>
      <c r="AH105" s="10">
        <v>64839</v>
      </c>
      <c r="AI105" s="10">
        <v>57687</v>
      </c>
      <c r="AJ105" s="10">
        <v>90417</v>
      </c>
      <c r="AK105" s="9">
        <f>SUM(AF105:AJ105)</f>
        <v>312514</v>
      </c>
      <c r="AL105" s="11">
        <f>AK105+AE105+Z105</f>
        <v>575878</v>
      </c>
      <c r="AM105" s="94">
        <v>64</v>
      </c>
      <c r="AN105" s="94">
        <f t="shared" si="24"/>
        <v>42787328</v>
      </c>
      <c r="AO105" s="94">
        <f t="shared" si="25"/>
        <v>36856192</v>
      </c>
    </row>
    <row r="106" spans="1:41">
      <c r="A106" s="166"/>
      <c r="B106" s="3" t="s">
        <v>6</v>
      </c>
      <c r="C106" s="9"/>
      <c r="D106" s="9"/>
      <c r="E106" s="10">
        <v>12000</v>
      </c>
      <c r="F106" s="10"/>
      <c r="G106" s="10">
        <v>163139</v>
      </c>
      <c r="H106" s="10"/>
      <c r="I106" s="9">
        <f>SUM(E106:H106)</f>
        <v>175139</v>
      </c>
      <c r="J106" s="10"/>
      <c r="K106" s="10"/>
      <c r="L106" s="10"/>
      <c r="M106" s="99">
        <v>38000</v>
      </c>
      <c r="N106" s="9">
        <f>SUM(J106:M106)</f>
        <v>38000</v>
      </c>
      <c r="O106" s="10"/>
      <c r="P106" s="10"/>
      <c r="Q106" s="96">
        <v>60000</v>
      </c>
      <c r="R106" s="10"/>
      <c r="S106" s="97">
        <v>240000</v>
      </c>
      <c r="T106" s="9">
        <f>SUM(O106:S106)</f>
        <v>300000</v>
      </c>
      <c r="U106" s="11">
        <f>I106+N106+T106</f>
        <v>513139</v>
      </c>
      <c r="V106" s="10"/>
      <c r="W106" s="10"/>
      <c r="X106" s="10"/>
      <c r="Y106" s="10"/>
      <c r="Z106" s="9">
        <f>SUM(V106:Y106)</f>
        <v>0</v>
      </c>
      <c r="AA106" s="10"/>
      <c r="AB106" s="10"/>
      <c r="AC106" s="10"/>
      <c r="AD106" s="10"/>
      <c r="AE106" s="9">
        <f>SUM(AA106:AD106)</f>
        <v>0</v>
      </c>
      <c r="AF106" s="10"/>
      <c r="AG106" s="10"/>
      <c r="AH106" s="10"/>
      <c r="AI106" s="100">
        <v>500000</v>
      </c>
      <c r="AJ106" s="97">
        <v>270000</v>
      </c>
      <c r="AK106" s="9">
        <f>SUM(AF106:AJ106)</f>
        <v>770000</v>
      </c>
      <c r="AL106" s="11">
        <f>Z106+AE106+AK106</f>
        <v>770000</v>
      </c>
      <c r="AM106" s="93"/>
      <c r="AN106" s="94">
        <f t="shared" si="24"/>
        <v>0</v>
      </c>
      <c r="AO106" s="94">
        <f t="shared" si="25"/>
        <v>0</v>
      </c>
    </row>
    <row r="107" spans="1:41">
      <c r="A107" s="166"/>
      <c r="B107" s="3" t="s">
        <v>10</v>
      </c>
      <c r="C107" s="9">
        <v>23000</v>
      </c>
      <c r="D107" s="9"/>
      <c r="E107" s="10"/>
      <c r="F107" s="10">
        <v>23000</v>
      </c>
      <c r="G107" s="10"/>
      <c r="H107" s="10"/>
      <c r="I107" s="9"/>
      <c r="J107" s="10"/>
      <c r="K107" s="10"/>
      <c r="L107" s="10"/>
      <c r="M107" s="10"/>
      <c r="N107" s="9"/>
      <c r="O107" s="10"/>
      <c r="P107" s="10"/>
      <c r="Q107" s="10"/>
      <c r="R107" s="10"/>
      <c r="S107" s="10"/>
      <c r="T107" s="9"/>
      <c r="U107" s="11"/>
      <c r="V107" s="10"/>
      <c r="W107" s="10"/>
      <c r="X107" s="10"/>
      <c r="Y107" s="10"/>
      <c r="Z107" s="9"/>
      <c r="AA107" s="10"/>
      <c r="AB107" s="10"/>
      <c r="AC107" s="10"/>
      <c r="AD107" s="10"/>
      <c r="AE107" s="9"/>
      <c r="AF107" s="10"/>
      <c r="AG107" s="10"/>
      <c r="AH107" s="10"/>
      <c r="AI107" s="10"/>
      <c r="AJ107" s="10"/>
      <c r="AK107" s="9"/>
      <c r="AL107" s="11"/>
      <c r="AM107" s="93"/>
      <c r="AN107" s="94">
        <f t="shared" si="24"/>
        <v>0</v>
      </c>
      <c r="AO107" s="94">
        <f t="shared" si="25"/>
        <v>0</v>
      </c>
    </row>
    <row r="108" spans="1:41">
      <c r="A108" s="166"/>
      <c r="B108" s="3" t="s">
        <v>7</v>
      </c>
      <c r="C108" s="9"/>
      <c r="D108" s="9"/>
      <c r="E108" s="10">
        <f>E107+E106</f>
        <v>12000</v>
      </c>
      <c r="F108" s="10">
        <f>F107+F106</f>
        <v>23000</v>
      </c>
      <c r="G108" s="10">
        <f>G107+G106</f>
        <v>163139</v>
      </c>
      <c r="H108" s="10">
        <f>H107+H106</f>
        <v>0</v>
      </c>
      <c r="I108" s="9">
        <f>SUM(E108:H108)</f>
        <v>198139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38000</v>
      </c>
      <c r="N108" s="9">
        <f>SUM(J108:M108)</f>
        <v>38000</v>
      </c>
      <c r="O108" s="10">
        <f>O107+O106</f>
        <v>0</v>
      </c>
      <c r="P108" s="10">
        <f>P107+P106</f>
        <v>0</v>
      </c>
      <c r="Q108" s="10">
        <f>Q107+Q106</f>
        <v>60000</v>
      </c>
      <c r="R108" s="10">
        <f>R107+R106</f>
        <v>0</v>
      </c>
      <c r="S108" s="10">
        <f>S107+S106</f>
        <v>240000</v>
      </c>
      <c r="T108" s="9">
        <f>SUM(O108:S108)</f>
        <v>300000</v>
      </c>
      <c r="U108" s="11">
        <f>T108+N108+I108+D109</f>
        <v>715098</v>
      </c>
      <c r="V108" s="10">
        <f>V107+V106</f>
        <v>0</v>
      </c>
      <c r="W108" s="10">
        <f>W107+W106</f>
        <v>0</v>
      </c>
      <c r="X108" s="10">
        <f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500000</v>
      </c>
      <c r="AJ108" s="10">
        <f>AJ107+AJ106</f>
        <v>270000</v>
      </c>
      <c r="AK108" s="9">
        <f>SUM(AF108:AJ108)</f>
        <v>770000</v>
      </c>
      <c r="AL108" s="11">
        <f>AK108+AE108+Z108</f>
        <v>770000</v>
      </c>
      <c r="AM108" s="93"/>
      <c r="AN108" s="94">
        <f t="shared" si="24"/>
        <v>0</v>
      </c>
      <c r="AO108" s="94">
        <f t="shared" si="25"/>
        <v>0</v>
      </c>
    </row>
    <row r="109" spans="1:41">
      <c r="A109" s="167"/>
      <c r="B109" s="2" t="s">
        <v>8</v>
      </c>
      <c r="C109" s="65">
        <v>184523</v>
      </c>
      <c r="D109" s="95">
        <v>178959</v>
      </c>
      <c r="E109" s="81">
        <f>E108-E105</f>
        <v>0</v>
      </c>
      <c r="F109" s="10">
        <f>E109+F108-F105</f>
        <v>110934</v>
      </c>
      <c r="G109" s="10">
        <f>F109+G108-G105</f>
        <v>240434</v>
      </c>
      <c r="H109" s="10">
        <f>G109+H108-H105</f>
        <v>203527</v>
      </c>
      <c r="I109" s="9">
        <f>I108-I105</f>
        <v>203527</v>
      </c>
      <c r="J109" s="10">
        <f>I109+J108-J105</f>
        <v>155768</v>
      </c>
      <c r="K109" s="10">
        <f>J109+K108-K105</f>
        <v>97554</v>
      </c>
      <c r="L109" s="10">
        <f>K109+L108-L105</f>
        <v>39153</v>
      </c>
      <c r="M109" s="10">
        <f>L109+M108-M105</f>
        <v>26148</v>
      </c>
      <c r="N109" s="9">
        <f>I109+N108-N105</f>
        <v>26148</v>
      </c>
      <c r="O109" s="10">
        <f>N109+O108-O105</f>
        <v>4237</v>
      </c>
      <c r="P109" s="10">
        <f>O109+P108-P105</f>
        <v>-67456</v>
      </c>
      <c r="Q109" s="10">
        <f>P109+Q108-Q105</f>
        <v>-75624</v>
      </c>
      <c r="R109" s="10">
        <f t="shared" ref="R109" si="38">Q109+R108-R105</f>
        <v>-137039</v>
      </c>
      <c r="S109" s="10">
        <f>R109+S108-S105</f>
        <v>46546</v>
      </c>
      <c r="T109" s="9">
        <f>N109+T108-T105</f>
        <v>46546</v>
      </c>
      <c r="U109" s="9">
        <f>U108-U105</f>
        <v>46546</v>
      </c>
      <c r="V109" s="10">
        <f>U109+V108-V105</f>
        <v>36631</v>
      </c>
      <c r="W109" s="10">
        <f>V109+W108-W105</f>
        <v>19057</v>
      </c>
      <c r="X109" s="10">
        <f>W109+X108-X105</f>
        <v>1750</v>
      </c>
      <c r="Y109" s="10">
        <f>X109+Y108-Y105</f>
        <v>-16269</v>
      </c>
      <c r="Z109" s="9">
        <f>T109+Z108-Z105</f>
        <v>-16269</v>
      </c>
      <c r="AA109" s="10">
        <f>Z109+AA108-AA105</f>
        <v>-58056</v>
      </c>
      <c r="AB109" s="10">
        <f>AA109+AB108-AB105</f>
        <v>-113927</v>
      </c>
      <c r="AC109" s="10">
        <f>AB109+AC108-AC105</f>
        <v>-168285</v>
      </c>
      <c r="AD109" s="10">
        <f>AC109+AD108-AD105</f>
        <v>-216818</v>
      </c>
      <c r="AE109" s="9">
        <f>Z109+AE108-AE105</f>
        <v>-216818</v>
      </c>
      <c r="AF109" s="10">
        <f>AE109+AF108-AF105</f>
        <v>-244895</v>
      </c>
      <c r="AG109" s="10">
        <f>AF109+AG108-AG105</f>
        <v>-316389</v>
      </c>
      <c r="AH109" s="10">
        <f>AG109+AH108-AH105</f>
        <v>-381228</v>
      </c>
      <c r="AI109" s="10">
        <f t="shared" ref="AI109:AJ109" si="39">AH109+AI108-AI105</f>
        <v>61085</v>
      </c>
      <c r="AJ109" s="10">
        <f t="shared" si="39"/>
        <v>240668</v>
      </c>
      <c r="AK109" s="9">
        <f>AE109+AK108-AK105</f>
        <v>240668</v>
      </c>
      <c r="AL109" s="11">
        <f>T109+AL108-AL105</f>
        <v>240668</v>
      </c>
      <c r="AM109" s="93"/>
      <c r="AN109" s="94">
        <f t="shared" si="24"/>
        <v>0</v>
      </c>
      <c r="AO109" s="94">
        <f t="shared" si="25"/>
        <v>0</v>
      </c>
    </row>
    <row r="110" spans="1:41">
      <c r="A110" s="82"/>
      <c r="B110" s="3" t="s">
        <v>9</v>
      </c>
      <c r="C110" s="9"/>
      <c r="D110" s="9"/>
      <c r="E110" s="57">
        <f>E109/(SUM(F105+H105+J105+G105)/20)*1000</f>
        <v>0</v>
      </c>
      <c r="F110" s="57">
        <f>F109/(SUM(G105+K105+J105+H105)/20)*1000</f>
        <v>12569.071884612986</v>
      </c>
      <c r="G110" s="57">
        <f>G109/(SUM(H105+J105+K105+L105)/20)*1000</f>
        <v>23890.38210263264</v>
      </c>
      <c r="H110" s="57">
        <f>H109/(SUM(M105+J105+K105+L105)/20)*1000</f>
        <v>18899.428449384573</v>
      </c>
      <c r="I110" s="12"/>
      <c r="J110" s="57">
        <f>J109/(SUM(K105+M105+O105+L105)/20)*1000</f>
        <v>16437.205523107041</v>
      </c>
      <c r="K110" s="57">
        <f>K109/(SUM(L105+P105+O105+M105)/20)*1000</f>
        <v>9610.7580907344454</v>
      </c>
      <c r="L110" s="57">
        <f>L109/(SUM(M105+O105+P105+Q105)/20)*1000</f>
        <v>3680.1909980871992</v>
      </c>
      <c r="M110" s="57">
        <f>M109/(SUM(R105+O105+P105+Q105)/20)*1000</f>
        <v>2343.1472263169449</v>
      </c>
      <c r="N110" s="12"/>
      <c r="O110" s="57">
        <f>O109/(SUM(P105+R105+S105+Q105)/20)*1000</f>
        <v>328.84345980263186</v>
      </c>
      <c r="P110" s="57">
        <f>P109/(SUM(Q105+S105+V105+R105)/20)*1000</f>
        <v>-6886.3219898628477</v>
      </c>
      <c r="Q110" s="57">
        <f>Q109/(SUM(R105+S105+W105+V105)/20)*1000</f>
        <v>-10407.998954025283</v>
      </c>
      <c r="R110" s="57">
        <f>R109/(SUM(T105+U105+V105+W105)/20)*1000</f>
        <v>-2809.2037763813196</v>
      </c>
      <c r="S110" s="57">
        <f>S109/(SUM(S105+V105+W105+X105)/20)*1000</f>
        <v>9197.8144668069672</v>
      </c>
      <c r="T110" s="12"/>
      <c r="U110" s="13"/>
      <c r="V110" s="57">
        <f>V109/(SUM(W105+Y105+AA105+X105)/20)*1000</f>
        <v>7737.2817810259057</v>
      </c>
      <c r="W110" s="57">
        <f>V109/(SUM(X105+AA105+AB105+Y105)/20)*1000</f>
        <v>5509.0837995548336</v>
      </c>
      <c r="X110" s="57">
        <f>W109/(SUM(Y105+AA105+AB105+AC105)/20)*1000</f>
        <v>2241.5385067780162</v>
      </c>
      <c r="Y110" s="57">
        <f>Y109/(SUM(AA105+AB105+AC105+AD105)/20)*1000</f>
        <v>-1622.4463846740696</v>
      </c>
      <c r="Z110" s="12"/>
      <c r="AA110" s="57">
        <f>AA109/(SUM(AB105+AD105+AF105+AC105)/20)*1000</f>
        <v>-6214.548354465609</v>
      </c>
      <c r="AB110" s="57">
        <f>AB109/(SUM(AC105+AF105+AG105+AD105)/20)*1000</f>
        <v>-11254.16127470834</v>
      </c>
      <c r="AC110" s="57">
        <f>AC109/(SUM(AD105+AF105+AG105+AH105)/20)*1000</f>
        <v>-15805.638128513265</v>
      </c>
      <c r="AD110" s="57">
        <f>AD109/(SUM(AF105+AG105+AH105+AI105)/20)*1000</f>
        <v>-19524.622124567195</v>
      </c>
      <c r="AE110" s="12"/>
      <c r="AF110" s="57">
        <f>AF109/(SUM(AG105+AI105+AJ105+AH105)/20)*1000</f>
        <v>-17219.630357513262</v>
      </c>
      <c r="AG110" s="57">
        <f>AG109/(SUM(AH105+AJ105+AM105+AI105)/20)*1000</f>
        <v>-29706.911040482235</v>
      </c>
      <c r="AH110" s="57">
        <f>AH109/(SUM(AI105+AJ105+AN105+AM105)/20)*1000</f>
        <v>-177.58173796338582</v>
      </c>
      <c r="AI110" s="57">
        <f>AI109/(SUM(AK105+AL105+AM105+AN105)/20)*1000</f>
        <v>27.972022208004326</v>
      </c>
      <c r="AJ110" s="57">
        <f>AJ109/(SUM(AJ105+AM105+AN105+AO105)/20)*1000</f>
        <v>60.367721920790103</v>
      </c>
      <c r="AK110" s="12"/>
      <c r="AL110" s="13"/>
      <c r="AM110" s="93"/>
      <c r="AN110" s="94">
        <f t="shared" si="24"/>
        <v>0</v>
      </c>
      <c r="AO110" s="94">
        <f t="shared" si="25"/>
        <v>0</v>
      </c>
    </row>
    <row r="111" spans="1:41">
      <c r="A111" s="165" t="s">
        <v>108</v>
      </c>
      <c r="B111" s="1" t="s">
        <v>5</v>
      </c>
      <c r="C111" s="9"/>
      <c r="D111" s="9"/>
      <c r="E111" s="10">
        <v>5000</v>
      </c>
      <c r="F111" s="10">
        <v>-13359</v>
      </c>
      <c r="G111" s="10">
        <v>12896</v>
      </c>
      <c r="H111" s="10">
        <v>11431</v>
      </c>
      <c r="I111" s="9">
        <f>SUM(E111:H111)</f>
        <v>15968</v>
      </c>
      <c r="J111" s="10">
        <v>18766</v>
      </c>
      <c r="K111" s="10">
        <v>25767</v>
      </c>
      <c r="L111" s="10">
        <v>30757</v>
      </c>
      <c r="M111" s="10">
        <v>26074</v>
      </c>
      <c r="N111" s="9">
        <f>SUM(J111:M111)</f>
        <v>101364</v>
      </c>
      <c r="O111" s="10">
        <v>17087</v>
      </c>
      <c r="P111" s="10">
        <v>31892</v>
      </c>
      <c r="Q111" s="10">
        <v>40695</v>
      </c>
      <c r="R111" s="10">
        <v>37675</v>
      </c>
      <c r="S111" s="10">
        <v>27795</v>
      </c>
      <c r="T111" s="9">
        <f>SUM(O111:S111)</f>
        <v>155144</v>
      </c>
      <c r="U111" s="11">
        <f>T111+N111+I111+D115</f>
        <v>335398</v>
      </c>
      <c r="V111" s="10">
        <v>14450</v>
      </c>
      <c r="W111" s="10">
        <v>13919</v>
      </c>
      <c r="X111" s="10">
        <v>17890</v>
      </c>
      <c r="Y111" s="10">
        <v>17276</v>
      </c>
      <c r="Z111" s="9">
        <f>SUM(V111:Y111)</f>
        <v>63535</v>
      </c>
      <c r="AA111" s="10">
        <v>16421</v>
      </c>
      <c r="AB111" s="10">
        <v>24361</v>
      </c>
      <c r="AC111" s="10">
        <v>27110</v>
      </c>
      <c r="AD111" s="10">
        <v>23829</v>
      </c>
      <c r="AE111" s="9">
        <f>SUM(AA111:AD111)</f>
        <v>91721</v>
      </c>
      <c r="AF111" s="10">
        <v>17365</v>
      </c>
      <c r="AG111" s="10">
        <v>29069</v>
      </c>
      <c r="AH111" s="10">
        <v>35552</v>
      </c>
      <c r="AI111" s="10">
        <v>32739</v>
      </c>
      <c r="AJ111" s="10">
        <v>59121</v>
      </c>
      <c r="AK111" s="9">
        <f>SUM(AF111:AJ111)</f>
        <v>173846</v>
      </c>
      <c r="AL111" s="11">
        <f>AK111+AE111+Z111</f>
        <v>329102</v>
      </c>
      <c r="AM111" s="94">
        <v>64</v>
      </c>
      <c r="AN111" s="94">
        <f t="shared" si="24"/>
        <v>21465472</v>
      </c>
      <c r="AO111" s="94">
        <f t="shared" si="25"/>
        <v>21062528</v>
      </c>
    </row>
    <row r="112" spans="1:41">
      <c r="A112" s="166"/>
      <c r="B112" s="3" t="s">
        <v>6</v>
      </c>
      <c r="C112" s="9"/>
      <c r="D112" s="9"/>
      <c r="E112" s="10">
        <v>5000</v>
      </c>
      <c r="F112" s="10"/>
      <c r="G112" s="10">
        <v>145000</v>
      </c>
      <c r="H112" s="10"/>
      <c r="I112" s="9">
        <f>SUM(E112:H112)</f>
        <v>150000</v>
      </c>
      <c r="J112" s="10"/>
      <c r="K112" s="10"/>
      <c r="L112" s="10"/>
      <c r="M112" s="10"/>
      <c r="N112" s="9">
        <f>SUM(J112:M112)</f>
        <v>0</v>
      </c>
      <c r="O112" s="10"/>
      <c r="P112" s="10"/>
      <c r="Q112" s="96">
        <v>60000</v>
      </c>
      <c r="R112" s="10"/>
      <c r="S112" s="97">
        <v>270000</v>
      </c>
      <c r="T112" s="9">
        <f>SUM(O112:S112)</f>
        <v>330000</v>
      </c>
      <c r="U112" s="11">
        <f>I112+N112+T112</f>
        <v>480000</v>
      </c>
      <c r="V112" s="10"/>
      <c r="W112" s="10"/>
      <c r="X112" s="10"/>
      <c r="Y112" s="10"/>
      <c r="Z112" s="9">
        <f>SUM(V112:Y112)</f>
        <v>0</v>
      </c>
      <c r="AA112" s="10"/>
      <c r="AB112" s="10"/>
      <c r="AC112" s="10"/>
      <c r="AD112" s="10"/>
      <c r="AE112" s="9">
        <f>SUM(AA112:AD112)</f>
        <v>0</v>
      </c>
      <c r="AF112" s="10"/>
      <c r="AG112" s="10"/>
      <c r="AH112" s="10"/>
      <c r="AI112" s="100">
        <v>150000</v>
      </c>
      <c r="AJ112" s="97">
        <v>200000</v>
      </c>
      <c r="AK112" s="9">
        <f>SUM(AF112:AJ112)</f>
        <v>350000</v>
      </c>
      <c r="AL112" s="11">
        <f>Z112+AE112+AK112</f>
        <v>350000</v>
      </c>
      <c r="AM112" s="93"/>
      <c r="AN112" s="94">
        <f t="shared" si="24"/>
        <v>0</v>
      </c>
      <c r="AO112" s="94">
        <f t="shared" si="25"/>
        <v>0</v>
      </c>
    </row>
    <row r="113" spans="1:41">
      <c r="A113" s="166"/>
      <c r="B113" s="3" t="s">
        <v>10</v>
      </c>
      <c r="C113" s="9">
        <v>11593</v>
      </c>
      <c r="D113" s="9"/>
      <c r="E113" s="10"/>
      <c r="F113" s="10">
        <v>11593</v>
      </c>
      <c r="G113" s="10"/>
      <c r="H113" s="10"/>
      <c r="I113" s="9"/>
      <c r="J113" s="10"/>
      <c r="K113" s="10"/>
      <c r="L113" s="10"/>
      <c r="M113" s="10"/>
      <c r="N113" s="9"/>
      <c r="O113" s="10"/>
      <c r="P113" s="10"/>
      <c r="Q113" s="10"/>
      <c r="R113" s="10"/>
      <c r="S113" s="10"/>
      <c r="T113" s="9"/>
      <c r="U113" s="11"/>
      <c r="V113" s="10"/>
      <c r="W113" s="10"/>
      <c r="X113" s="10"/>
      <c r="Y113" s="10"/>
      <c r="Z113" s="9"/>
      <c r="AA113" s="10"/>
      <c r="AB113" s="10"/>
      <c r="AC113" s="10"/>
      <c r="AD113" s="10"/>
      <c r="AE113" s="9"/>
      <c r="AF113" s="10"/>
      <c r="AG113" s="10"/>
      <c r="AH113" s="10"/>
      <c r="AI113" s="10"/>
      <c r="AJ113" s="10"/>
      <c r="AK113" s="9"/>
      <c r="AL113" s="11"/>
      <c r="AM113" s="93"/>
      <c r="AN113" s="94">
        <f t="shared" si="24"/>
        <v>0</v>
      </c>
      <c r="AO113" s="94">
        <f t="shared" si="25"/>
        <v>0</v>
      </c>
    </row>
    <row r="114" spans="1:41">
      <c r="A114" s="166"/>
      <c r="B114" s="3" t="s">
        <v>7</v>
      </c>
      <c r="C114" s="9"/>
      <c r="D114" s="9"/>
      <c r="E114" s="10">
        <f>E113+E112</f>
        <v>5000</v>
      </c>
      <c r="F114" s="10">
        <f>F113+F112</f>
        <v>11593</v>
      </c>
      <c r="G114" s="10">
        <f>G113+G112</f>
        <v>145000</v>
      </c>
      <c r="H114" s="10">
        <f>H113+H112</f>
        <v>0</v>
      </c>
      <c r="I114" s="9">
        <f>SUM(E114:H114)</f>
        <v>161593</v>
      </c>
      <c r="J114" s="10">
        <f>J113+J112</f>
        <v>0</v>
      </c>
      <c r="K114" s="10">
        <f>K113+K112</f>
        <v>0</v>
      </c>
      <c r="L114" s="10">
        <f>L113+L112</f>
        <v>0</v>
      </c>
      <c r="M114" s="10">
        <f>M113+M112</f>
        <v>0</v>
      </c>
      <c r="N114" s="9">
        <f>SUM(J114:M114)</f>
        <v>0</v>
      </c>
      <c r="O114" s="10">
        <f>O113+O112</f>
        <v>0</v>
      </c>
      <c r="P114" s="10">
        <f>P113+P112</f>
        <v>0</v>
      </c>
      <c r="Q114" s="10">
        <f>Q113+Q112</f>
        <v>60000</v>
      </c>
      <c r="R114" s="10">
        <f>R113+R112</f>
        <v>0</v>
      </c>
      <c r="S114" s="10">
        <f>S113+S112</f>
        <v>270000</v>
      </c>
      <c r="T114" s="9">
        <f>SUM(O114:S114)</f>
        <v>330000</v>
      </c>
      <c r="U114" s="11">
        <f>T114+N114+I114+D115</f>
        <v>554515</v>
      </c>
      <c r="V114" s="10">
        <f>V113+V112</f>
        <v>0</v>
      </c>
      <c r="W114" s="10">
        <f>W113+W112</f>
        <v>0</v>
      </c>
      <c r="X114" s="10">
        <f>X113+X112</f>
        <v>0</v>
      </c>
      <c r="Y114" s="10">
        <f>Y113+Y112</f>
        <v>0</v>
      </c>
      <c r="Z114" s="9">
        <f>SUM(V114:Y114)</f>
        <v>0</v>
      </c>
      <c r="AA114" s="10">
        <f>AA113+AA112</f>
        <v>0</v>
      </c>
      <c r="AB114" s="10">
        <f>AB113+AB112</f>
        <v>0</v>
      </c>
      <c r="AC114" s="10">
        <f>AC113+AC112</f>
        <v>0</v>
      </c>
      <c r="AD114" s="10">
        <f>AD113+AD112</f>
        <v>0</v>
      </c>
      <c r="AE114" s="9">
        <f>SUM(AA114:AD114)</f>
        <v>0</v>
      </c>
      <c r="AF114" s="10">
        <f>AF113+AF112</f>
        <v>0</v>
      </c>
      <c r="AG114" s="10">
        <f>AG113+AG112</f>
        <v>0</v>
      </c>
      <c r="AH114" s="10">
        <f>AH113+AH112</f>
        <v>0</v>
      </c>
      <c r="AI114" s="10">
        <f>AI113+AI112</f>
        <v>150000</v>
      </c>
      <c r="AJ114" s="10">
        <f>AJ113+AJ112</f>
        <v>200000</v>
      </c>
      <c r="AK114" s="9">
        <f>SUM(AF114:AJ114)</f>
        <v>350000</v>
      </c>
      <c r="AL114" s="11">
        <f>AK114+AE114+Z114</f>
        <v>350000</v>
      </c>
      <c r="AM114" s="93"/>
      <c r="AN114" s="94">
        <f t="shared" si="24"/>
        <v>0</v>
      </c>
      <c r="AO114" s="94">
        <f t="shared" si="25"/>
        <v>0</v>
      </c>
    </row>
    <row r="115" spans="1:41">
      <c r="A115" s="167"/>
      <c r="B115" s="2" t="s">
        <v>8</v>
      </c>
      <c r="C115" s="65">
        <v>56948</v>
      </c>
      <c r="D115" s="95">
        <v>62922</v>
      </c>
      <c r="E115" s="81">
        <f>E114-E111</f>
        <v>0</v>
      </c>
      <c r="F115" s="10">
        <f>E115+F114-F111</f>
        <v>24952</v>
      </c>
      <c r="G115" s="10">
        <f>F115+G114-G111</f>
        <v>157056</v>
      </c>
      <c r="H115" s="10">
        <f>G115+H114-H111</f>
        <v>145625</v>
      </c>
      <c r="I115" s="9">
        <f>I114-I111</f>
        <v>145625</v>
      </c>
      <c r="J115" s="10">
        <f>I115+J114-J111</f>
        <v>126859</v>
      </c>
      <c r="K115" s="10">
        <f>J115+K114-K111</f>
        <v>101092</v>
      </c>
      <c r="L115" s="10">
        <f>K115+L114-L111</f>
        <v>70335</v>
      </c>
      <c r="M115" s="10">
        <f>L115+M114-M111</f>
        <v>44261</v>
      </c>
      <c r="N115" s="9">
        <f>I115+N114-N111</f>
        <v>44261</v>
      </c>
      <c r="O115" s="10">
        <f>N115+O114-O111</f>
        <v>27174</v>
      </c>
      <c r="P115" s="10">
        <f>O115+P114-P111</f>
        <v>-4718</v>
      </c>
      <c r="Q115" s="10">
        <f>P115+Q114-Q111</f>
        <v>14587</v>
      </c>
      <c r="R115" s="10">
        <f t="shared" ref="R115" si="40">Q115+R114-R111</f>
        <v>-23088</v>
      </c>
      <c r="S115" s="10">
        <f>R115+S114-S111</f>
        <v>219117</v>
      </c>
      <c r="T115" s="9">
        <f>N115+T114-T111</f>
        <v>219117</v>
      </c>
      <c r="U115" s="9">
        <f>U114-U111</f>
        <v>219117</v>
      </c>
      <c r="V115" s="10">
        <f>U115+V114-V111</f>
        <v>204667</v>
      </c>
      <c r="W115" s="10">
        <f>V115+W114-W111</f>
        <v>190748</v>
      </c>
      <c r="X115" s="10">
        <f>W115+X114-X111</f>
        <v>172858</v>
      </c>
      <c r="Y115" s="10">
        <f>X115+Y114-Y111</f>
        <v>155582</v>
      </c>
      <c r="Z115" s="9">
        <f>T115+Z114-Z111</f>
        <v>155582</v>
      </c>
      <c r="AA115" s="10">
        <f>Z115+AA114-AA111</f>
        <v>139161</v>
      </c>
      <c r="AB115" s="10">
        <f>AA115+AB114-AB111</f>
        <v>114800</v>
      </c>
      <c r="AC115" s="10">
        <f>AB115+AC114-AC111</f>
        <v>87690</v>
      </c>
      <c r="AD115" s="10">
        <f>AC115+AD114-AD111</f>
        <v>63861</v>
      </c>
      <c r="AE115" s="9">
        <f>Z115+AE114-AE111</f>
        <v>63861</v>
      </c>
      <c r="AF115" s="10">
        <f>AE115+AF114-AF111</f>
        <v>46496</v>
      </c>
      <c r="AG115" s="10">
        <f>AF115+AG114-AG111</f>
        <v>17427</v>
      </c>
      <c r="AH115" s="10">
        <f>AG115+AH114-AH111</f>
        <v>-18125</v>
      </c>
      <c r="AI115" s="10">
        <f t="shared" ref="AI115:AJ115" si="41">AH115+AI114-AI111</f>
        <v>99136</v>
      </c>
      <c r="AJ115" s="10">
        <f t="shared" si="41"/>
        <v>240015</v>
      </c>
      <c r="AK115" s="9">
        <f>AE115+AK114-AK111</f>
        <v>240015</v>
      </c>
      <c r="AL115" s="11">
        <f>T115+AL114-AL111</f>
        <v>240015</v>
      </c>
      <c r="AM115" s="93"/>
      <c r="AN115" s="94">
        <f t="shared" si="24"/>
        <v>0</v>
      </c>
      <c r="AO115" s="94">
        <f t="shared" si="25"/>
        <v>0</v>
      </c>
    </row>
    <row r="116" spans="1:41">
      <c r="A116" s="82"/>
      <c r="B116" s="3" t="s">
        <v>9</v>
      </c>
      <c r="C116" s="9"/>
      <c r="D116" s="9"/>
      <c r="E116" s="57">
        <f>E115/(SUM(F111+H111+J111+G111)/20)*1000</f>
        <v>0</v>
      </c>
      <c r="F116" s="57">
        <f>F115/(SUM(G111+K111+J111+H111)/20)*1000</f>
        <v>7247.168167295963</v>
      </c>
      <c r="G116" s="57">
        <f>G115/(SUM(H111+J111+K111+L111)/20)*1000</f>
        <v>36220.984536617427</v>
      </c>
      <c r="H116" s="57">
        <f>H115/(SUM(M111+J111+K111+L111)/20)*1000</f>
        <v>28733.080778185547</v>
      </c>
      <c r="I116" s="12"/>
      <c r="J116" s="57">
        <f>J115/(SUM(K111+M111+O111+L111)/20)*1000</f>
        <v>25451.97371720921</v>
      </c>
      <c r="K116" s="57">
        <f>K115/(SUM(L111+P111+O111+M111)/20)*1000</f>
        <v>19108.212834325677</v>
      </c>
      <c r="L116" s="57">
        <f>L115/(SUM(M111+O111+P111+Q111)/20)*1000</f>
        <v>12153.125755952587</v>
      </c>
      <c r="M116" s="57">
        <f>M115/(SUM(R111+O111+P111+Q111)/20)*1000</f>
        <v>6951.134284525202</v>
      </c>
      <c r="N116" s="12"/>
      <c r="O116" s="57">
        <f>O115/(SUM(P111+R111+S111+Q111)/20)*1000</f>
        <v>3936.63486820661</v>
      </c>
      <c r="P116" s="57">
        <f>P115/(SUM(Q111+S111+V111+R111)/20)*1000</f>
        <v>-782.32392322679596</v>
      </c>
      <c r="Q116" s="57">
        <f>Q115/(SUM(R111+S111+W111+V111)/20)*1000</f>
        <v>3108.9419111456859</v>
      </c>
      <c r="R116" s="57">
        <f>R115/(SUM(T111+U111+V111+W111)/20)*1000</f>
        <v>-889.86357968900256</v>
      </c>
      <c r="S116" s="57">
        <f>S115/(SUM(S111+V111+W111+X111)/20)*1000</f>
        <v>59177.627136954114</v>
      </c>
      <c r="T116" s="12"/>
      <c r="U116" s="13"/>
      <c r="V116" s="57">
        <f>V115/(SUM(W111+Y111+AA111+X111)/20)*1000</f>
        <v>62488.016364913135</v>
      </c>
      <c r="W116" s="57">
        <f>V115/(SUM(X111+AA111+AB111+Y111)/20)*1000</f>
        <v>53896.61347237583</v>
      </c>
      <c r="X116" s="57">
        <f>W115/(SUM(Y111+AA111+AB111+AC111)/20)*1000</f>
        <v>44793.349614878833</v>
      </c>
      <c r="Y116" s="57">
        <f>Y115/(SUM(AA111+AB111+AC111+AD111)/20)*1000</f>
        <v>33925.055330840267</v>
      </c>
      <c r="Z116" s="12"/>
      <c r="AA116" s="57">
        <f>AA115/(SUM(AB111+AD111+AF111+AC111)/20)*1000</f>
        <v>30035.288404467708</v>
      </c>
      <c r="AB116" s="57">
        <f>AB115/(SUM(AC111+AF111+AG111+AD111)/20)*1000</f>
        <v>23579.431669970116</v>
      </c>
      <c r="AC116" s="57">
        <f>AC115/(SUM(AD111+AF111+AG111+AH111)/20)*1000</f>
        <v>16574.209705618297</v>
      </c>
      <c r="AD116" s="57">
        <f>AD115/(SUM(AF111+AG111+AH111+AI111)/20)*1000</f>
        <v>11132.882981041621</v>
      </c>
      <c r="AE116" s="12"/>
      <c r="AF116" s="57">
        <f>AF115/(SUM(AG111+AI111+AJ111+AH111)/20)*1000</f>
        <v>5942.7023089065124</v>
      </c>
      <c r="AG116" s="57">
        <f>AG115/(SUM(AH111+AJ111+AM111+AI111)/20)*1000</f>
        <v>2734.1617245599173</v>
      </c>
      <c r="AH116" s="57">
        <f>AH115/(SUM(AI111+AJ111+AN111+AM111)/20)*1000</f>
        <v>-16.815574571251556</v>
      </c>
      <c r="AI116" s="57">
        <f>AI115/(SUM(AK111+AL111+AM111+AN111)/20)*1000</f>
        <v>90.252927785094315</v>
      </c>
      <c r="AJ116" s="57">
        <f>AJ115/(SUM(AJ111+AM111+AN111+AO111)/20)*1000</f>
        <v>112.71700630130871</v>
      </c>
      <c r="AK116" s="12"/>
      <c r="AL116" s="13"/>
      <c r="AM116" s="93"/>
      <c r="AN116" s="94">
        <f t="shared" si="24"/>
        <v>0</v>
      </c>
      <c r="AO116" s="94">
        <f t="shared" si="25"/>
        <v>0</v>
      </c>
    </row>
    <row r="117" spans="1:41">
      <c r="A117" s="165" t="s">
        <v>118</v>
      </c>
      <c r="B117" s="1" t="s">
        <v>5</v>
      </c>
      <c r="C117" s="9"/>
      <c r="D117" s="9"/>
      <c r="E117" s="10"/>
      <c r="F117" s="10">
        <v>-69</v>
      </c>
      <c r="G117" s="10">
        <v>0</v>
      </c>
      <c r="H117" s="10">
        <v>0</v>
      </c>
      <c r="I117" s="9">
        <f>SUM(E117:H117)</f>
        <v>-69</v>
      </c>
      <c r="J117" s="10">
        <v>0</v>
      </c>
      <c r="K117" s="10">
        <v>0</v>
      </c>
      <c r="L117" s="10">
        <v>0</v>
      </c>
      <c r="M117" s="10">
        <v>0</v>
      </c>
      <c r="N117" s="9">
        <f>SUM(J117:M117)</f>
        <v>0</v>
      </c>
      <c r="O117" s="10">
        <v>0</v>
      </c>
      <c r="P117" s="10">
        <v>0</v>
      </c>
      <c r="Q117" s="10">
        <v>0</v>
      </c>
      <c r="R117" s="10">
        <v>0</v>
      </c>
      <c r="S117" s="10">
        <v>0</v>
      </c>
      <c r="T117" s="9">
        <f>SUM(O117:S117)</f>
        <v>0</v>
      </c>
      <c r="U117" s="11">
        <f>T117+N117+I117+D121</f>
        <v>45</v>
      </c>
      <c r="V117" s="10">
        <v>0</v>
      </c>
      <c r="W117" s="10">
        <v>0</v>
      </c>
      <c r="X117" s="10">
        <v>0</v>
      </c>
      <c r="Y117" s="10">
        <v>0</v>
      </c>
      <c r="Z117" s="9">
        <f>SUM(V117:Y117)</f>
        <v>0</v>
      </c>
      <c r="AA117" s="10">
        <v>0</v>
      </c>
      <c r="AB117" s="10">
        <v>0</v>
      </c>
      <c r="AC117" s="10">
        <v>0</v>
      </c>
      <c r="AD117" s="10">
        <v>0</v>
      </c>
      <c r="AE117" s="9">
        <f>SUM(AA117:AD117)</f>
        <v>0</v>
      </c>
      <c r="AF117" s="10">
        <v>0</v>
      </c>
      <c r="AG117" s="10">
        <v>0</v>
      </c>
      <c r="AH117" s="10">
        <v>0</v>
      </c>
      <c r="AI117" s="10">
        <v>0</v>
      </c>
      <c r="AJ117" s="10">
        <v>0</v>
      </c>
      <c r="AK117" s="9">
        <f>SUM(AF117:AJ117)</f>
        <v>0</v>
      </c>
      <c r="AL117" s="11">
        <f>AK117+AE117+Z117</f>
        <v>0</v>
      </c>
      <c r="AM117" s="94">
        <v>64</v>
      </c>
      <c r="AN117" s="94">
        <f t="shared" si="24"/>
        <v>2880</v>
      </c>
      <c r="AO117" s="94">
        <f t="shared" si="25"/>
        <v>0</v>
      </c>
    </row>
    <row r="118" spans="1:41">
      <c r="A118" s="166"/>
      <c r="B118" s="3" t="s">
        <v>6</v>
      </c>
      <c r="C118" s="9"/>
      <c r="D118" s="9"/>
      <c r="E118" s="10"/>
      <c r="F118" s="10"/>
      <c r="G118" s="10"/>
      <c r="H118" s="10"/>
      <c r="I118" s="9">
        <f>SUM(E118:H118)</f>
        <v>0</v>
      </c>
      <c r="J118" s="10"/>
      <c r="K118" s="10"/>
      <c r="L118" s="10"/>
      <c r="M118" s="10"/>
      <c r="N118" s="10">
        <f>SUM(J118:M118)</f>
        <v>0</v>
      </c>
      <c r="O118" s="10"/>
      <c r="P118" s="10"/>
      <c r="Q118" s="10"/>
      <c r="R118" s="10"/>
      <c r="S118" s="10"/>
      <c r="T118" s="9">
        <f>SUM(O118:S118)</f>
        <v>0</v>
      </c>
      <c r="U118" s="11">
        <f>I118+N118+T118</f>
        <v>0</v>
      </c>
      <c r="V118" s="10"/>
      <c r="W118" s="10"/>
      <c r="X118" s="10"/>
      <c r="Y118" s="10"/>
      <c r="Z118" s="9">
        <f>SUM(V118:Y118)</f>
        <v>0</v>
      </c>
      <c r="AA118" s="10"/>
      <c r="AB118" s="10"/>
      <c r="AC118" s="10"/>
      <c r="AD118" s="10"/>
      <c r="AE118" s="9">
        <f>SUM(AA118:AD118)</f>
        <v>0</v>
      </c>
      <c r="AF118" s="10"/>
      <c r="AG118" s="10"/>
      <c r="AH118" s="10"/>
      <c r="AI118" s="10"/>
      <c r="AJ118" s="10"/>
      <c r="AK118" s="9">
        <f>SUM(AF118:AJ118)</f>
        <v>0</v>
      </c>
      <c r="AL118" s="11">
        <f>Z118+AE118+AK118</f>
        <v>0</v>
      </c>
      <c r="AM118" s="93"/>
      <c r="AN118" s="94">
        <f t="shared" si="24"/>
        <v>0</v>
      </c>
      <c r="AO118" s="94">
        <f t="shared" si="25"/>
        <v>0</v>
      </c>
    </row>
    <row r="119" spans="1:41">
      <c r="A119" s="166"/>
      <c r="B119" s="3" t="s">
        <v>10</v>
      </c>
      <c r="C119" s="9">
        <v>0</v>
      </c>
      <c r="D119" s="9"/>
      <c r="E119" s="10"/>
      <c r="F119" s="10"/>
      <c r="G119" s="10"/>
      <c r="H119" s="10"/>
      <c r="I119" s="9"/>
      <c r="J119" s="10"/>
      <c r="K119" s="10"/>
      <c r="L119" s="10"/>
      <c r="M119" s="10"/>
      <c r="N119" s="9"/>
      <c r="O119" s="10"/>
      <c r="P119" s="10"/>
      <c r="Q119" s="10"/>
      <c r="R119" s="10"/>
      <c r="S119" s="10"/>
      <c r="T119" s="9"/>
      <c r="U119" s="11"/>
      <c r="V119" s="10"/>
      <c r="W119" s="10"/>
      <c r="X119" s="10"/>
      <c r="Y119" s="10"/>
      <c r="Z119" s="9"/>
      <c r="AA119" s="10"/>
      <c r="AB119" s="10"/>
      <c r="AC119" s="10"/>
      <c r="AD119" s="10"/>
      <c r="AE119" s="9"/>
      <c r="AF119" s="10"/>
      <c r="AG119" s="10"/>
      <c r="AH119" s="10"/>
      <c r="AI119" s="10"/>
      <c r="AJ119" s="10"/>
      <c r="AK119" s="9"/>
      <c r="AL119" s="11"/>
      <c r="AM119" s="93"/>
      <c r="AN119" s="94">
        <f t="shared" si="24"/>
        <v>0</v>
      </c>
      <c r="AO119" s="94">
        <f t="shared" si="25"/>
        <v>0</v>
      </c>
    </row>
    <row r="120" spans="1:41">
      <c r="A120" s="166"/>
      <c r="B120" s="3" t="s">
        <v>7</v>
      </c>
      <c r="C120" s="9"/>
      <c r="D120" s="9"/>
      <c r="E120" s="10">
        <f>E119+E118</f>
        <v>0</v>
      </c>
      <c r="F120" s="10">
        <f>F119+F118</f>
        <v>0</v>
      </c>
      <c r="G120" s="10">
        <f>G119+G118</f>
        <v>0</v>
      </c>
      <c r="H120" s="10">
        <f>H119+H118</f>
        <v>0</v>
      </c>
      <c r="I120" s="9">
        <f>SUM(E120:H120)</f>
        <v>0</v>
      </c>
      <c r="J120" s="10">
        <f>J119+J118</f>
        <v>0</v>
      </c>
      <c r="K120" s="10">
        <f>K119+K118</f>
        <v>0</v>
      </c>
      <c r="L120" s="10">
        <f>L119+L118</f>
        <v>0</v>
      </c>
      <c r="M120" s="10">
        <f>M119+M118</f>
        <v>0</v>
      </c>
      <c r="N120" s="9">
        <f>SUM(J120:M120)</f>
        <v>0</v>
      </c>
      <c r="O120" s="10">
        <f>O119+O118</f>
        <v>0</v>
      </c>
      <c r="P120" s="10">
        <f>P119+P118</f>
        <v>0</v>
      </c>
      <c r="Q120" s="10">
        <f>Q119+Q118</f>
        <v>0</v>
      </c>
      <c r="R120" s="10">
        <f>R119+R118</f>
        <v>0</v>
      </c>
      <c r="S120" s="10">
        <f>S119+S118</f>
        <v>0</v>
      </c>
      <c r="T120" s="9">
        <f>SUM(O120:S120)</f>
        <v>0</v>
      </c>
      <c r="U120" s="11">
        <f>T120+N120+I120+D121</f>
        <v>114</v>
      </c>
      <c r="V120" s="10">
        <f>V119+V118</f>
        <v>0</v>
      </c>
      <c r="W120" s="10">
        <f>W119+W118</f>
        <v>0</v>
      </c>
      <c r="X120" s="10">
        <f>X119+X118</f>
        <v>0</v>
      </c>
      <c r="Y120" s="10">
        <f>Y119+Y118</f>
        <v>0</v>
      </c>
      <c r="Z120" s="9">
        <f>SUM(V120:Y120)</f>
        <v>0</v>
      </c>
      <c r="AA120" s="10">
        <f>AA119+AA118</f>
        <v>0</v>
      </c>
      <c r="AB120" s="10">
        <f>AB119+AB118</f>
        <v>0</v>
      </c>
      <c r="AC120" s="10">
        <f>AC119+AC118</f>
        <v>0</v>
      </c>
      <c r="AD120" s="10">
        <f>AD119+AD118</f>
        <v>0</v>
      </c>
      <c r="AE120" s="9">
        <f>SUM(AA120:AD120)</f>
        <v>0</v>
      </c>
      <c r="AF120" s="10">
        <f>AF119+AF118</f>
        <v>0</v>
      </c>
      <c r="AG120" s="10">
        <f>AG119+AG118</f>
        <v>0</v>
      </c>
      <c r="AH120" s="10">
        <f>AH119+AH118</f>
        <v>0</v>
      </c>
      <c r="AI120" s="10">
        <f>AI119+AI118</f>
        <v>0</v>
      </c>
      <c r="AJ120" s="10">
        <f>AJ119+AJ118</f>
        <v>0</v>
      </c>
      <c r="AK120" s="9">
        <f>SUM(AF120:AJ120)</f>
        <v>0</v>
      </c>
      <c r="AL120" s="11">
        <f>AK120+AE120+Z120</f>
        <v>0</v>
      </c>
      <c r="AM120" s="93"/>
      <c r="AN120" s="94">
        <f t="shared" si="24"/>
        <v>0</v>
      </c>
      <c r="AO120" s="94">
        <f t="shared" si="25"/>
        <v>0</v>
      </c>
    </row>
    <row r="121" spans="1:41">
      <c r="A121" s="167"/>
      <c r="B121" s="2" t="s">
        <v>8</v>
      </c>
      <c r="C121" s="65">
        <v>69</v>
      </c>
      <c r="D121" s="95">
        <v>114</v>
      </c>
      <c r="E121" s="10">
        <f>E120-E117</f>
        <v>0</v>
      </c>
      <c r="F121" s="10">
        <f>E121+F120-F117</f>
        <v>69</v>
      </c>
      <c r="G121" s="10">
        <f>F121+G120-G117</f>
        <v>69</v>
      </c>
      <c r="H121" s="10">
        <f>G121+H120-H117</f>
        <v>69</v>
      </c>
      <c r="I121" s="9">
        <f>I120-I117</f>
        <v>69</v>
      </c>
      <c r="J121" s="10">
        <f>I121+J120-J117</f>
        <v>69</v>
      </c>
      <c r="K121" s="10">
        <f>J121+K120-K117</f>
        <v>69</v>
      </c>
      <c r="L121" s="10">
        <f>K121+L120-L117</f>
        <v>69</v>
      </c>
      <c r="M121" s="10">
        <f>L121+M120-M117</f>
        <v>69</v>
      </c>
      <c r="N121" s="9">
        <f>I121+N120-N117</f>
        <v>69</v>
      </c>
      <c r="O121" s="10">
        <f>N121+O120-O117</f>
        <v>69</v>
      </c>
      <c r="P121" s="10">
        <f>O121+P120-P117</f>
        <v>69</v>
      </c>
      <c r="Q121" s="10">
        <f>P121+Q120-Q117</f>
        <v>69</v>
      </c>
      <c r="R121" s="10">
        <f t="shared" ref="R121" si="42">Q121+R120-R117</f>
        <v>69</v>
      </c>
      <c r="S121" s="10">
        <f>R121+S120-S117</f>
        <v>69</v>
      </c>
      <c r="T121" s="9">
        <f>N121+T120-T117</f>
        <v>69</v>
      </c>
      <c r="U121" s="9">
        <f>U120-U117</f>
        <v>69</v>
      </c>
      <c r="V121" s="10">
        <f>U121+V120-V117</f>
        <v>69</v>
      </c>
      <c r="W121" s="10">
        <f>V121+W120-W117</f>
        <v>69</v>
      </c>
      <c r="X121" s="10">
        <f>W121+X120-X117</f>
        <v>69</v>
      </c>
      <c r="Y121" s="10">
        <f>X121+Y120-Y117</f>
        <v>69</v>
      </c>
      <c r="Z121" s="9">
        <f>T121+Z120-Z117</f>
        <v>69</v>
      </c>
      <c r="AA121" s="10">
        <f>Z121+AA120-AA117</f>
        <v>69</v>
      </c>
      <c r="AB121" s="10">
        <f>AA121+AB120-AB117</f>
        <v>69</v>
      </c>
      <c r="AC121" s="10">
        <f>AB121+AC120-AC117</f>
        <v>69</v>
      </c>
      <c r="AD121" s="10">
        <f>AC121+AD120-AD117</f>
        <v>69</v>
      </c>
      <c r="AE121" s="9">
        <f>Z121+AE120-AE117</f>
        <v>69</v>
      </c>
      <c r="AF121" s="10">
        <f>AE121+AF120-AF117</f>
        <v>69</v>
      </c>
      <c r="AG121" s="10">
        <f>AF121+AG120-AG117</f>
        <v>69</v>
      </c>
      <c r="AH121" s="10">
        <f>AG121+AH120-AH117</f>
        <v>69</v>
      </c>
      <c r="AI121" s="10">
        <f t="shared" ref="AI121:AJ121" si="43">AH121+AI120-AI117</f>
        <v>69</v>
      </c>
      <c r="AJ121" s="10">
        <f t="shared" si="43"/>
        <v>69</v>
      </c>
      <c r="AK121" s="9">
        <f>AE121+AK120-AK117</f>
        <v>69</v>
      </c>
      <c r="AL121" s="11">
        <f>T121+AL120-AL117</f>
        <v>69</v>
      </c>
      <c r="AM121" s="93"/>
      <c r="AN121" s="94">
        <f t="shared" si="24"/>
        <v>0</v>
      </c>
      <c r="AO121" s="94">
        <f t="shared" si="25"/>
        <v>0</v>
      </c>
    </row>
    <row r="122" spans="1:41">
      <c r="A122" s="82"/>
      <c r="B122" s="3" t="s">
        <v>9</v>
      </c>
      <c r="C122" s="9"/>
      <c r="D122" s="9"/>
      <c r="E122" s="57">
        <f>E121/(SUM(F117+H117+J117+G117)/20)*1000</f>
        <v>0</v>
      </c>
      <c r="F122" s="57" t="e">
        <f>F121/(SUM(G117+K117+J117+H117)/20)*1000</f>
        <v>#DIV/0!</v>
      </c>
      <c r="G122" s="57" t="e">
        <f>G121/(SUM(H117+J117+K117+L117)/20)*1000</f>
        <v>#DIV/0!</v>
      </c>
      <c r="H122" s="57" t="e">
        <f>H121/(SUM(M117+J117+K117+L117)/20)*1000</f>
        <v>#DIV/0!</v>
      </c>
      <c r="I122" s="12"/>
      <c r="J122" s="57" t="e">
        <f>J121/(SUM(K117+M117+O117+L117)/20)*1000</f>
        <v>#DIV/0!</v>
      </c>
      <c r="K122" s="57" t="e">
        <f>K121/(SUM(L117+P117+O117+M117)/20)*1000</f>
        <v>#DIV/0!</v>
      </c>
      <c r="L122" s="57" t="e">
        <f>L121/(SUM(M117+O117+P117+Q117)/20)*1000</f>
        <v>#DIV/0!</v>
      </c>
      <c r="M122" s="57" t="e">
        <f>M121/(SUM(R117+O117+P117+Q117)/20)*1000</f>
        <v>#DIV/0!</v>
      </c>
      <c r="N122" s="12"/>
      <c r="O122" s="57" t="e">
        <f>O121/(SUM(P117+R117+S117+Q117)/20)*1000</f>
        <v>#DIV/0!</v>
      </c>
      <c r="P122" s="57" t="e">
        <f>P121/(SUM(Q117+S117+V117+R117)/20)*1000</f>
        <v>#DIV/0!</v>
      </c>
      <c r="Q122" s="57" t="e">
        <f>Q121/(SUM(R117+S117+W117+V117)/20)*1000</f>
        <v>#DIV/0!</v>
      </c>
      <c r="R122" s="57">
        <f>R121/(SUM(T117+U117+V117+W117)/20)*1000</f>
        <v>30666.666666666668</v>
      </c>
      <c r="S122" s="57" t="e">
        <f>S121/(SUM(S117+V117+W117+X117)/20)*1000</f>
        <v>#DIV/0!</v>
      </c>
      <c r="T122" s="12"/>
      <c r="U122" s="13"/>
      <c r="V122" s="57" t="e">
        <f>V121/(SUM(W117+Y117+AA117+X117)/20)*1000</f>
        <v>#DIV/0!</v>
      </c>
      <c r="W122" s="57" t="e">
        <f>V121/(SUM(X117+AA117+AB117+Y117)/20)*1000</f>
        <v>#DIV/0!</v>
      </c>
      <c r="X122" s="57" t="e">
        <f>W121/(SUM(Y117+AA117+AB117+AC117)/20)*1000</f>
        <v>#DIV/0!</v>
      </c>
      <c r="Y122" s="57" t="e">
        <f>Y121/(SUM(AA117+AB117+AC117+AD117)/20)*1000</f>
        <v>#DIV/0!</v>
      </c>
      <c r="Z122" s="12"/>
      <c r="AA122" s="57" t="e">
        <f>AA121/(SUM(AB117+AD117+AF117+AC117)/20)*1000</f>
        <v>#DIV/0!</v>
      </c>
      <c r="AB122" s="57" t="e">
        <f>AB121/(SUM(AC117+AF117+AG117+AD117)/20)*1000</f>
        <v>#DIV/0!</v>
      </c>
      <c r="AC122" s="57" t="e">
        <f>AC121/(SUM(AD117+AF117+AG117+AH117)/20)*1000</f>
        <v>#DIV/0!</v>
      </c>
      <c r="AD122" s="57" t="e">
        <f>AD121/(SUM(AF117+AG117+AH117+AI117)/20)*1000</f>
        <v>#DIV/0!</v>
      </c>
      <c r="AE122" s="12"/>
      <c r="AF122" s="57" t="e">
        <f>AF121/(SUM(AG117+AI117+AJ117+AH117)/20)*1000</f>
        <v>#DIV/0!</v>
      </c>
      <c r="AG122" s="57">
        <f>AG121/(SUM(AH117+AJ117+AM117+AI117)/20)*1000</f>
        <v>21562.5</v>
      </c>
      <c r="AH122" s="57">
        <f>AH121/(SUM(AI117+AJ117+AN117+AM117)/20)*1000</f>
        <v>468.75000000000006</v>
      </c>
      <c r="AI122" s="57">
        <f>AI121/(SUM(AK117+AL117+AM117+AN117)/20)*1000</f>
        <v>468.75000000000006</v>
      </c>
      <c r="AJ122" s="57">
        <f>AJ121/(SUM(AJ117+AM117+AN117+AO117)/20)*1000</f>
        <v>468.75000000000006</v>
      </c>
      <c r="AK122" s="12"/>
      <c r="AL122" s="13"/>
      <c r="AM122" s="93"/>
      <c r="AN122" s="94">
        <f t="shared" si="24"/>
        <v>0</v>
      </c>
      <c r="AO122" s="94">
        <f t="shared" si="25"/>
        <v>0</v>
      </c>
    </row>
    <row r="123" spans="1:41">
      <c r="A123" s="165" t="s">
        <v>109</v>
      </c>
      <c r="B123" s="1" t="s">
        <v>5</v>
      </c>
      <c r="C123" s="9"/>
      <c r="D123" s="9"/>
      <c r="E123" s="10"/>
      <c r="F123" s="10">
        <v>-1</v>
      </c>
      <c r="G123" s="10">
        <v>0</v>
      </c>
      <c r="H123" s="10">
        <v>0</v>
      </c>
      <c r="I123" s="9">
        <f>SUM(E123:H123)</f>
        <v>-1</v>
      </c>
      <c r="J123" s="10">
        <v>0</v>
      </c>
      <c r="K123" s="10">
        <v>0</v>
      </c>
      <c r="L123" s="10">
        <v>0</v>
      </c>
      <c r="M123" s="10">
        <v>0</v>
      </c>
      <c r="N123" s="9">
        <f>SUM(J123:M123)</f>
        <v>0</v>
      </c>
      <c r="O123" s="10">
        <v>0</v>
      </c>
      <c r="P123" s="10">
        <v>0</v>
      </c>
      <c r="Q123" s="10">
        <v>0</v>
      </c>
      <c r="R123" s="10">
        <v>0</v>
      </c>
      <c r="S123" s="10">
        <v>0</v>
      </c>
      <c r="T123" s="9">
        <f>SUM(O123:S123)</f>
        <v>0</v>
      </c>
      <c r="U123" s="11">
        <f>T123+N123+I123+D127</f>
        <v>37</v>
      </c>
      <c r="V123" s="10">
        <v>0</v>
      </c>
      <c r="W123" s="10">
        <v>0</v>
      </c>
      <c r="X123" s="10">
        <v>0</v>
      </c>
      <c r="Y123" s="10">
        <v>0</v>
      </c>
      <c r="Z123" s="9">
        <f>SUM(V123:Y123)</f>
        <v>0</v>
      </c>
      <c r="AA123" s="10">
        <v>0</v>
      </c>
      <c r="AB123" s="10">
        <v>0</v>
      </c>
      <c r="AC123" s="10">
        <v>0</v>
      </c>
      <c r="AD123" s="10">
        <v>0</v>
      </c>
      <c r="AE123" s="9">
        <f>SUM(AA123:AD123)</f>
        <v>0</v>
      </c>
      <c r="AF123" s="10">
        <v>0</v>
      </c>
      <c r="AG123" s="10">
        <v>0</v>
      </c>
      <c r="AH123" s="10">
        <v>0</v>
      </c>
      <c r="AI123" s="10">
        <v>0</v>
      </c>
      <c r="AJ123" s="10">
        <v>0</v>
      </c>
      <c r="AK123" s="9">
        <f>SUM(AF123:AJ123)</f>
        <v>0</v>
      </c>
      <c r="AL123" s="11">
        <f>AK123+AE123+Z123</f>
        <v>0</v>
      </c>
      <c r="AM123" s="94">
        <v>128</v>
      </c>
      <c r="AN123" s="94">
        <f t="shared" si="24"/>
        <v>4736</v>
      </c>
      <c r="AO123" s="94">
        <f t="shared" si="25"/>
        <v>0</v>
      </c>
    </row>
    <row r="124" spans="1:41">
      <c r="A124" s="166"/>
      <c r="B124" s="3" t="s">
        <v>6</v>
      </c>
      <c r="C124" s="9"/>
      <c r="D124" s="9"/>
      <c r="E124" s="10"/>
      <c r="F124" s="10"/>
      <c r="G124" s="10"/>
      <c r="H124" s="10"/>
      <c r="I124" s="9">
        <f>SUM(E124:H124)</f>
        <v>0</v>
      </c>
      <c r="J124" s="10"/>
      <c r="K124" s="10"/>
      <c r="L124" s="10"/>
      <c r="M124" s="10"/>
      <c r="N124" s="9">
        <f>SUM(J124:M124)</f>
        <v>0</v>
      </c>
      <c r="O124" s="10"/>
      <c r="P124" s="10"/>
      <c r="Q124" s="10"/>
      <c r="R124" s="10"/>
      <c r="S124" s="10"/>
      <c r="T124" s="9">
        <f>SUM(O124:S124)</f>
        <v>0</v>
      </c>
      <c r="U124" s="11">
        <f>I124+N124+T124</f>
        <v>0</v>
      </c>
      <c r="V124" s="10"/>
      <c r="W124" s="10"/>
      <c r="X124" s="10"/>
      <c r="Y124" s="10"/>
      <c r="Z124" s="9">
        <f>SUM(V124:Y124)</f>
        <v>0</v>
      </c>
      <c r="AA124" s="10"/>
      <c r="AB124" s="10"/>
      <c r="AC124" s="10"/>
      <c r="AD124" s="10"/>
      <c r="AE124" s="9">
        <f>SUM(AA124:AD124)</f>
        <v>0</v>
      </c>
      <c r="AF124" s="10"/>
      <c r="AG124" s="10"/>
      <c r="AH124" s="10"/>
      <c r="AI124" s="10"/>
      <c r="AJ124" s="10"/>
      <c r="AK124" s="9">
        <f>SUM(AF124:AJ124)</f>
        <v>0</v>
      </c>
      <c r="AL124" s="11">
        <f>Z124+AE124+AK124</f>
        <v>0</v>
      </c>
      <c r="AM124" s="93"/>
      <c r="AN124" s="94">
        <f t="shared" si="24"/>
        <v>0</v>
      </c>
      <c r="AO124" s="94">
        <f t="shared" si="25"/>
        <v>0</v>
      </c>
    </row>
    <row r="125" spans="1:41">
      <c r="A125" s="166"/>
      <c r="B125" s="3" t="s">
        <v>10</v>
      </c>
      <c r="C125" s="9">
        <v>0</v>
      </c>
      <c r="D125" s="9"/>
      <c r="E125" s="10"/>
      <c r="F125" s="10"/>
      <c r="G125" s="10"/>
      <c r="H125" s="10"/>
      <c r="I125" s="9"/>
      <c r="J125" s="10"/>
      <c r="K125" s="10"/>
      <c r="L125" s="10"/>
      <c r="M125" s="10"/>
      <c r="N125" s="9"/>
      <c r="O125" s="10"/>
      <c r="P125" s="10"/>
      <c r="Q125" s="10"/>
      <c r="R125" s="10"/>
      <c r="S125" s="10"/>
      <c r="T125" s="9"/>
      <c r="U125" s="11"/>
      <c r="V125" s="10"/>
      <c r="W125" s="10"/>
      <c r="X125" s="10"/>
      <c r="Y125" s="10"/>
      <c r="Z125" s="9"/>
      <c r="AA125" s="10"/>
      <c r="AB125" s="10"/>
      <c r="AC125" s="10"/>
      <c r="AD125" s="10"/>
      <c r="AE125" s="9"/>
      <c r="AF125" s="10"/>
      <c r="AG125" s="10"/>
      <c r="AH125" s="10"/>
      <c r="AI125" s="10"/>
      <c r="AJ125" s="10"/>
      <c r="AK125" s="9"/>
      <c r="AL125" s="11"/>
      <c r="AM125" s="93"/>
      <c r="AN125" s="94">
        <f t="shared" si="24"/>
        <v>0</v>
      </c>
      <c r="AO125" s="94">
        <f t="shared" si="25"/>
        <v>0</v>
      </c>
    </row>
    <row r="126" spans="1:41">
      <c r="A126" s="166"/>
      <c r="B126" s="3" t="s">
        <v>7</v>
      </c>
      <c r="C126" s="9"/>
      <c r="D126" s="9"/>
      <c r="E126" s="10">
        <f>E125+E124</f>
        <v>0</v>
      </c>
      <c r="F126" s="10">
        <f>F125+F124</f>
        <v>0</v>
      </c>
      <c r="G126" s="10">
        <f>G125+G124</f>
        <v>0</v>
      </c>
      <c r="H126" s="10">
        <f>H125+H124</f>
        <v>0</v>
      </c>
      <c r="I126" s="9">
        <f>SUM(E126:H126)</f>
        <v>0</v>
      </c>
      <c r="J126" s="10">
        <f>J125+J124</f>
        <v>0</v>
      </c>
      <c r="K126" s="10">
        <f>K125+K124</f>
        <v>0</v>
      </c>
      <c r="L126" s="10">
        <f>L125+L124</f>
        <v>0</v>
      </c>
      <c r="M126" s="10">
        <f>M125+M124</f>
        <v>0</v>
      </c>
      <c r="N126" s="9">
        <f>SUM(J126:M126)</f>
        <v>0</v>
      </c>
      <c r="O126" s="10">
        <f>O125+O124</f>
        <v>0</v>
      </c>
      <c r="P126" s="10">
        <f>P125+P124</f>
        <v>0</v>
      </c>
      <c r="Q126" s="10">
        <f>Q125+Q124</f>
        <v>0</v>
      </c>
      <c r="R126" s="10">
        <f>R125+R124</f>
        <v>0</v>
      </c>
      <c r="S126" s="10">
        <f>S125+S124</f>
        <v>0</v>
      </c>
      <c r="T126" s="9">
        <f>SUM(O126:S126)</f>
        <v>0</v>
      </c>
      <c r="U126" s="11">
        <f>T126+N126+I126+D127</f>
        <v>38</v>
      </c>
      <c r="V126" s="10">
        <f>V125+V124</f>
        <v>0</v>
      </c>
      <c r="W126" s="10">
        <f>W125+W124</f>
        <v>0</v>
      </c>
      <c r="X126" s="10">
        <f>X125+X124</f>
        <v>0</v>
      </c>
      <c r="Y126" s="10">
        <f>Y125+Y124</f>
        <v>0</v>
      </c>
      <c r="Z126" s="9">
        <f>SUM(V126:Y126)</f>
        <v>0</v>
      </c>
      <c r="AA126" s="10">
        <f>AA125+AA124</f>
        <v>0</v>
      </c>
      <c r="AB126" s="10">
        <f>AB125+AB124</f>
        <v>0</v>
      </c>
      <c r="AC126" s="10">
        <f>AC125+AC124</f>
        <v>0</v>
      </c>
      <c r="AD126" s="10">
        <f>AD125+AD124</f>
        <v>0</v>
      </c>
      <c r="AE126" s="9">
        <f>SUM(AA126:AD126)</f>
        <v>0</v>
      </c>
      <c r="AF126" s="10">
        <f>AF125+AF124</f>
        <v>0</v>
      </c>
      <c r="AG126" s="10">
        <f>AG125+AG124</f>
        <v>0</v>
      </c>
      <c r="AH126" s="10">
        <f>AH125+AH124</f>
        <v>0</v>
      </c>
      <c r="AI126" s="10">
        <f>AI125+AI124</f>
        <v>0</v>
      </c>
      <c r="AJ126" s="10">
        <f>AJ125+AJ124</f>
        <v>0</v>
      </c>
      <c r="AK126" s="9">
        <f>SUM(AF126:AJ126)</f>
        <v>0</v>
      </c>
      <c r="AL126" s="11">
        <f>AK126+AE126+Z126</f>
        <v>0</v>
      </c>
      <c r="AM126" s="93"/>
      <c r="AN126" s="94">
        <f t="shared" si="24"/>
        <v>0</v>
      </c>
      <c r="AO126" s="94">
        <f t="shared" si="25"/>
        <v>0</v>
      </c>
    </row>
    <row r="127" spans="1:41">
      <c r="A127" s="167"/>
      <c r="B127" s="2" t="s">
        <v>8</v>
      </c>
      <c r="C127" s="65">
        <v>1</v>
      </c>
      <c r="D127" s="95">
        <v>38</v>
      </c>
      <c r="E127" s="10">
        <f>E126-E123</f>
        <v>0</v>
      </c>
      <c r="F127" s="10">
        <f>E127+F126-F123</f>
        <v>1</v>
      </c>
      <c r="G127" s="10">
        <f>F127+G126-G123</f>
        <v>1</v>
      </c>
      <c r="H127" s="10">
        <f>G127+H126-H123</f>
        <v>1</v>
      </c>
      <c r="I127" s="9">
        <f>I126-I123</f>
        <v>1</v>
      </c>
      <c r="J127" s="10">
        <f>I127+J126-J123</f>
        <v>1</v>
      </c>
      <c r="K127" s="10">
        <f>J127+K126-K123</f>
        <v>1</v>
      </c>
      <c r="L127" s="10">
        <f>K127+L126-L123</f>
        <v>1</v>
      </c>
      <c r="M127" s="10">
        <f>L127+M126-M123</f>
        <v>1</v>
      </c>
      <c r="N127" s="9">
        <f>I127+N126-N123</f>
        <v>1</v>
      </c>
      <c r="O127" s="10">
        <f>N127+O126-O123</f>
        <v>1</v>
      </c>
      <c r="P127" s="10">
        <f>O127+P126-P123</f>
        <v>1</v>
      </c>
      <c r="Q127" s="10">
        <f>P127+Q126-Q123</f>
        <v>1</v>
      </c>
      <c r="R127" s="10">
        <f t="shared" ref="R127" si="44">Q127+R126-R123</f>
        <v>1</v>
      </c>
      <c r="S127" s="10">
        <f>R127+S126-S123</f>
        <v>1</v>
      </c>
      <c r="T127" s="9">
        <f>N127+T126-T123</f>
        <v>1</v>
      </c>
      <c r="U127" s="9">
        <f>U126-U123</f>
        <v>1</v>
      </c>
      <c r="V127" s="10">
        <f>U127+V126-V123</f>
        <v>1</v>
      </c>
      <c r="W127" s="10">
        <f>V127+W126-W123</f>
        <v>1</v>
      </c>
      <c r="X127" s="10">
        <f>W127+X126-X123</f>
        <v>1</v>
      </c>
      <c r="Y127" s="10">
        <f>X127+Y126-Y123</f>
        <v>1</v>
      </c>
      <c r="Z127" s="9">
        <f>T127+Z126-Z123</f>
        <v>1</v>
      </c>
      <c r="AA127" s="10">
        <f>Z127+AA126-AA123</f>
        <v>1</v>
      </c>
      <c r="AB127" s="10">
        <f>AA127+AB126-AB123</f>
        <v>1</v>
      </c>
      <c r="AC127" s="10">
        <f>AB127+AC126-AC123</f>
        <v>1</v>
      </c>
      <c r="AD127" s="10">
        <f>AC127+AD126-AD123</f>
        <v>1</v>
      </c>
      <c r="AE127" s="9">
        <f>Z127+AE126-AE123</f>
        <v>1</v>
      </c>
      <c r="AF127" s="10">
        <f>AE127+AF126-AF123</f>
        <v>1</v>
      </c>
      <c r="AG127" s="10">
        <f>AF127+AG126-AG123</f>
        <v>1</v>
      </c>
      <c r="AH127" s="10">
        <f>AG127+AH126-AH123</f>
        <v>1</v>
      </c>
      <c r="AI127" s="10">
        <f t="shared" ref="AI127:AJ127" si="45">AH127+AI126-AI123</f>
        <v>1</v>
      </c>
      <c r="AJ127" s="10">
        <f t="shared" si="45"/>
        <v>1</v>
      </c>
      <c r="AK127" s="9">
        <f>AE127+AK126-AK123</f>
        <v>1</v>
      </c>
      <c r="AL127" s="11">
        <f>T127+AL126-AL123</f>
        <v>1</v>
      </c>
      <c r="AM127" s="93"/>
      <c r="AN127" s="94">
        <f t="shared" si="24"/>
        <v>0</v>
      </c>
      <c r="AO127" s="94">
        <f t="shared" si="25"/>
        <v>0</v>
      </c>
    </row>
    <row r="128" spans="1:41">
      <c r="A128" s="82"/>
      <c r="B128" s="3" t="s">
        <v>9</v>
      </c>
      <c r="C128" s="9"/>
      <c r="D128" s="9"/>
      <c r="E128" s="57">
        <f>E127/(SUM(F123+H123+J123+G123)/20)*1000</f>
        <v>0</v>
      </c>
      <c r="F128" s="57" t="e">
        <f>F127/(SUM(G123+K123+J123+H123)/20)*1000</f>
        <v>#DIV/0!</v>
      </c>
      <c r="G128" s="57" t="e">
        <f>G127/(SUM(H123+J123+K123+L123)/20)*1000</f>
        <v>#DIV/0!</v>
      </c>
      <c r="H128" s="57" t="e">
        <f>H127/(SUM(M123+J123+K123+L123)/20)*1000</f>
        <v>#DIV/0!</v>
      </c>
      <c r="I128" s="12"/>
      <c r="J128" s="57" t="e">
        <f>J127/(SUM(K123+M123+O123+L123)/20)*1000</f>
        <v>#DIV/0!</v>
      </c>
      <c r="K128" s="57" t="e">
        <f>K127/(SUM(L123+P123+O123+M123)/20)*1000</f>
        <v>#DIV/0!</v>
      </c>
      <c r="L128" s="57" t="e">
        <f>L127/(SUM(M123+O123+P123+Q123)/20)*1000</f>
        <v>#DIV/0!</v>
      </c>
      <c r="M128" s="57" t="e">
        <f>M127/(SUM(R123+O123+P123+Q123)/20)*1000</f>
        <v>#DIV/0!</v>
      </c>
      <c r="N128" s="12"/>
      <c r="O128" s="57" t="e">
        <f>O127/(SUM(P123+R123+S123+Q123)/20)*1000</f>
        <v>#DIV/0!</v>
      </c>
      <c r="P128" s="57" t="e">
        <f>P127/(SUM(Q123+S123+V123+R123)/20)*1000</f>
        <v>#DIV/0!</v>
      </c>
      <c r="Q128" s="57" t="e">
        <f>Q127/(SUM(R123+S123+W123+V123)/20)*1000</f>
        <v>#DIV/0!</v>
      </c>
      <c r="R128" s="57">
        <f>R127/(SUM(T123+U123+V123+W123)/20)*1000</f>
        <v>540.54054054054041</v>
      </c>
      <c r="S128" s="57" t="e">
        <f>S127/(SUM(S123+V123+W123+X123)/20)*1000</f>
        <v>#DIV/0!</v>
      </c>
      <c r="T128" s="12"/>
      <c r="U128" s="13"/>
      <c r="V128" s="57" t="e">
        <f>V127/(SUM(W123+Y123+AA123+X123)/20)*1000</f>
        <v>#DIV/0!</v>
      </c>
      <c r="W128" s="57" t="e">
        <f>V127/(SUM(X123+AA123+AB123+Y123)/20)*1000</f>
        <v>#DIV/0!</v>
      </c>
      <c r="X128" s="57" t="e">
        <f>W127/(SUM(Y123+AA123+AB123+AC123)/20)*1000</f>
        <v>#DIV/0!</v>
      </c>
      <c r="Y128" s="57" t="e">
        <f>Y127/(SUM(AA123+AB123+AC123+AD123)/20)*1000</f>
        <v>#DIV/0!</v>
      </c>
      <c r="Z128" s="12"/>
      <c r="AA128" s="57" t="e">
        <f>AA127/(SUM(AB123+AD123+AF123+AC123)/20)*1000</f>
        <v>#DIV/0!</v>
      </c>
      <c r="AB128" s="57" t="e">
        <f>AB127/(SUM(AC123+AF123+AG123+AD123)/20)*1000</f>
        <v>#DIV/0!</v>
      </c>
      <c r="AC128" s="57" t="e">
        <f>AC127/(SUM(AD123+AF123+AG123+AH123)/20)*1000</f>
        <v>#DIV/0!</v>
      </c>
      <c r="AD128" s="57" t="e">
        <f>AD127/(SUM(AF123+AG123+AH123+AI123)/20)*1000</f>
        <v>#DIV/0!</v>
      </c>
      <c r="AE128" s="12"/>
      <c r="AF128" s="57" t="e">
        <f>AF127/(SUM(AG123+AI123+AJ123+AH123)/20)*1000</f>
        <v>#DIV/0!</v>
      </c>
      <c r="AG128" s="57">
        <f>AG127/(SUM(AH123+AJ123+AM123+AI123)/20)*1000</f>
        <v>156.25</v>
      </c>
      <c r="AH128" s="57">
        <f>AH127/(SUM(AI123+AJ123+AN123+AM123)/20)*1000</f>
        <v>4.1118421052631575</v>
      </c>
      <c r="AI128" s="57">
        <f>AI127/(SUM(AK123+AL123+AM123+AN123)/20)*1000</f>
        <v>4.1118421052631575</v>
      </c>
      <c r="AJ128" s="57">
        <f>AJ127/(SUM(AJ123+AM123+AN123+AO123)/20)*1000</f>
        <v>4.1118421052631575</v>
      </c>
      <c r="AK128" s="12"/>
      <c r="AL128" s="13"/>
      <c r="AM128" s="93"/>
      <c r="AN128" s="94">
        <f t="shared" si="24"/>
        <v>0</v>
      </c>
      <c r="AO128" s="94">
        <f t="shared" si="25"/>
        <v>0</v>
      </c>
    </row>
    <row r="129" spans="1:41">
      <c r="A129" s="165" t="s">
        <v>119</v>
      </c>
      <c r="B129" s="1" t="s">
        <v>5</v>
      </c>
      <c r="C129" s="9"/>
      <c r="D129" s="9"/>
      <c r="E129" s="10"/>
      <c r="F129" s="10">
        <v>0</v>
      </c>
      <c r="G129" s="10">
        <v>0</v>
      </c>
      <c r="H129" s="10">
        <v>0</v>
      </c>
      <c r="I129" s="9">
        <f>SUM(E129:H129)</f>
        <v>0</v>
      </c>
      <c r="J129" s="10">
        <v>0</v>
      </c>
      <c r="K129" s="10">
        <v>0</v>
      </c>
      <c r="L129" s="10">
        <v>0</v>
      </c>
      <c r="M129" s="10">
        <v>0</v>
      </c>
      <c r="N129" s="9">
        <f>SUM(J129:M129)</f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9">
        <f>SUM(O129:S129)</f>
        <v>0</v>
      </c>
      <c r="U129" s="11">
        <f>T129+N129+I129+D133</f>
        <v>0</v>
      </c>
      <c r="V129" s="10">
        <v>0</v>
      </c>
      <c r="W129" s="10">
        <v>0</v>
      </c>
      <c r="X129" s="10">
        <v>0</v>
      </c>
      <c r="Y129" s="10">
        <v>0</v>
      </c>
      <c r="Z129" s="9">
        <f>SUM(V129:Y129)</f>
        <v>0</v>
      </c>
      <c r="AA129" s="10">
        <v>0</v>
      </c>
      <c r="AB129" s="10">
        <v>0</v>
      </c>
      <c r="AC129" s="10">
        <v>0</v>
      </c>
      <c r="AD129" s="10">
        <v>0</v>
      </c>
      <c r="AE129" s="9">
        <f>SUM(AA129:AD129)</f>
        <v>0</v>
      </c>
      <c r="AF129" s="10">
        <v>0</v>
      </c>
      <c r="AG129" s="10">
        <v>0</v>
      </c>
      <c r="AH129" s="10">
        <v>0</v>
      </c>
      <c r="AI129" s="10">
        <v>0</v>
      </c>
      <c r="AJ129" s="10">
        <v>0</v>
      </c>
      <c r="AK129" s="9">
        <f>SUM(AF129:AJ129)</f>
        <v>0</v>
      </c>
      <c r="AL129" s="11">
        <f>AK129+AE129+Z129</f>
        <v>0</v>
      </c>
      <c r="AM129" s="94">
        <v>64</v>
      </c>
      <c r="AN129" s="94">
        <f t="shared" si="24"/>
        <v>0</v>
      </c>
      <c r="AO129" s="94">
        <f t="shared" si="25"/>
        <v>0</v>
      </c>
    </row>
    <row r="130" spans="1:41">
      <c r="A130" s="166"/>
      <c r="B130" s="3" t="s">
        <v>6</v>
      </c>
      <c r="C130" s="9"/>
      <c r="D130" s="9"/>
      <c r="E130" s="10"/>
      <c r="F130" s="10"/>
      <c r="G130" s="10"/>
      <c r="H130" s="10"/>
      <c r="I130" s="9">
        <f>SUM(E130:H130)</f>
        <v>0</v>
      </c>
      <c r="J130" s="10"/>
      <c r="K130" s="10"/>
      <c r="L130" s="10"/>
      <c r="M130" s="10"/>
      <c r="N130" s="9">
        <f>SUM(J130:M130)</f>
        <v>0</v>
      </c>
      <c r="O130" s="10"/>
      <c r="P130" s="10"/>
      <c r="Q130" s="10"/>
      <c r="R130" s="10"/>
      <c r="S130" s="10"/>
      <c r="T130" s="9">
        <f>SUM(O130:S130)</f>
        <v>0</v>
      </c>
      <c r="U130" s="11">
        <f>I130+N130+T130</f>
        <v>0</v>
      </c>
      <c r="V130" s="10"/>
      <c r="W130" s="10"/>
      <c r="X130" s="10"/>
      <c r="Y130" s="10"/>
      <c r="Z130" s="9">
        <f>SUM(V130:Y130)</f>
        <v>0</v>
      </c>
      <c r="AA130" s="10"/>
      <c r="AB130" s="10"/>
      <c r="AC130" s="10"/>
      <c r="AD130" s="10"/>
      <c r="AE130" s="9">
        <f>SUM(AA130:AD130)</f>
        <v>0</v>
      </c>
      <c r="AF130" s="10"/>
      <c r="AG130" s="10"/>
      <c r="AH130" s="10"/>
      <c r="AI130" s="10"/>
      <c r="AJ130" s="10"/>
      <c r="AK130" s="9">
        <f>SUM(AF130:AJ130)</f>
        <v>0</v>
      </c>
      <c r="AL130" s="11">
        <f>Z130+AE130+AK130</f>
        <v>0</v>
      </c>
      <c r="AM130" s="93"/>
      <c r="AN130" s="94">
        <f t="shared" si="24"/>
        <v>0</v>
      </c>
      <c r="AO130" s="94">
        <f t="shared" si="25"/>
        <v>0</v>
      </c>
    </row>
    <row r="131" spans="1:41">
      <c r="A131" s="166"/>
      <c r="B131" s="3" t="s">
        <v>10</v>
      </c>
      <c r="C131" s="9">
        <v>0</v>
      </c>
      <c r="D131" s="9"/>
      <c r="E131" s="10"/>
      <c r="F131" s="10"/>
      <c r="G131" s="10"/>
      <c r="H131" s="10"/>
      <c r="I131" s="9"/>
      <c r="J131" s="10"/>
      <c r="K131" s="10"/>
      <c r="L131" s="10"/>
      <c r="M131" s="10"/>
      <c r="N131" s="9"/>
      <c r="O131" s="10"/>
      <c r="P131" s="10"/>
      <c r="Q131" s="10"/>
      <c r="R131" s="10"/>
      <c r="S131" s="10"/>
      <c r="T131" s="9"/>
      <c r="U131" s="11"/>
      <c r="V131" s="10"/>
      <c r="W131" s="10"/>
      <c r="X131" s="10"/>
      <c r="Y131" s="10"/>
      <c r="Z131" s="9"/>
      <c r="AA131" s="10"/>
      <c r="AB131" s="10"/>
      <c r="AC131" s="10"/>
      <c r="AD131" s="10"/>
      <c r="AE131" s="9"/>
      <c r="AF131" s="10"/>
      <c r="AG131" s="10"/>
      <c r="AH131" s="10"/>
      <c r="AI131" s="10"/>
      <c r="AJ131" s="10"/>
      <c r="AK131" s="9"/>
      <c r="AL131" s="11"/>
      <c r="AM131" s="93"/>
      <c r="AN131" s="94">
        <f t="shared" si="24"/>
        <v>0</v>
      </c>
      <c r="AO131" s="94">
        <f t="shared" si="25"/>
        <v>0</v>
      </c>
    </row>
    <row r="132" spans="1:41">
      <c r="A132" s="166"/>
      <c r="B132" s="3" t="s">
        <v>7</v>
      </c>
      <c r="C132" s="9"/>
      <c r="D132" s="9"/>
      <c r="E132" s="10">
        <f>E131+E130</f>
        <v>0</v>
      </c>
      <c r="F132" s="10">
        <f>F131+F130</f>
        <v>0</v>
      </c>
      <c r="G132" s="10">
        <f>G131+G130</f>
        <v>0</v>
      </c>
      <c r="H132" s="10">
        <f>H131+H130</f>
        <v>0</v>
      </c>
      <c r="I132" s="9">
        <f>SUM(E132:H132)</f>
        <v>0</v>
      </c>
      <c r="J132" s="10">
        <f>J131+J130</f>
        <v>0</v>
      </c>
      <c r="K132" s="10">
        <f>K131+K130</f>
        <v>0</v>
      </c>
      <c r="L132" s="10">
        <f>L131+L130</f>
        <v>0</v>
      </c>
      <c r="M132" s="10">
        <f>M131+M130</f>
        <v>0</v>
      </c>
      <c r="N132" s="9">
        <f>SUM(J132:M132)</f>
        <v>0</v>
      </c>
      <c r="O132" s="10">
        <f>O131+O130</f>
        <v>0</v>
      </c>
      <c r="P132" s="10">
        <f>P131+P130</f>
        <v>0</v>
      </c>
      <c r="Q132" s="10">
        <f>Q131+Q130</f>
        <v>0</v>
      </c>
      <c r="R132" s="10">
        <f>R131+R130</f>
        <v>0</v>
      </c>
      <c r="S132" s="10">
        <f>S131+S130</f>
        <v>0</v>
      </c>
      <c r="T132" s="9">
        <f>SUM(O132:S132)</f>
        <v>0</v>
      </c>
      <c r="U132" s="11">
        <f>T132+N132+I132+D133</f>
        <v>0</v>
      </c>
      <c r="V132" s="10">
        <f>V131+V130</f>
        <v>0</v>
      </c>
      <c r="W132" s="10">
        <f>W131+W130</f>
        <v>0</v>
      </c>
      <c r="X132" s="10">
        <f>X131+X130</f>
        <v>0</v>
      </c>
      <c r="Y132" s="10">
        <f>Y131+Y130</f>
        <v>0</v>
      </c>
      <c r="Z132" s="9">
        <f>SUM(V132:Y132)</f>
        <v>0</v>
      </c>
      <c r="AA132" s="10">
        <f>AA131+AA130</f>
        <v>0</v>
      </c>
      <c r="AB132" s="10">
        <f>AB131+AB130</f>
        <v>0</v>
      </c>
      <c r="AC132" s="10">
        <f>AC131+AC130</f>
        <v>0</v>
      </c>
      <c r="AD132" s="10">
        <f>AD131+AD130</f>
        <v>0</v>
      </c>
      <c r="AE132" s="9">
        <f>SUM(AA132:AD132)</f>
        <v>0</v>
      </c>
      <c r="AF132" s="10">
        <f>AF131+AF130</f>
        <v>0</v>
      </c>
      <c r="AG132" s="10">
        <f>AG131+AG130</f>
        <v>0</v>
      </c>
      <c r="AH132" s="10">
        <f>AH131+AH130</f>
        <v>0</v>
      </c>
      <c r="AI132" s="10">
        <f>AI131+AI130</f>
        <v>0</v>
      </c>
      <c r="AJ132" s="10">
        <f>AJ131+AJ130</f>
        <v>0</v>
      </c>
      <c r="AK132" s="9">
        <f>SUM(AF132:AJ132)</f>
        <v>0</v>
      </c>
      <c r="AL132" s="11">
        <f>AK132+AE132+Z132</f>
        <v>0</v>
      </c>
      <c r="AM132" s="93"/>
      <c r="AN132" s="94">
        <f t="shared" ref="AN132:AN195" si="46">AM132*U132</f>
        <v>0</v>
      </c>
      <c r="AO132" s="94">
        <f t="shared" ref="AO132:AO195" si="47">AM132*AL132</f>
        <v>0</v>
      </c>
    </row>
    <row r="133" spans="1:41">
      <c r="A133" s="167"/>
      <c r="B133" s="2" t="s">
        <v>8</v>
      </c>
      <c r="C133" s="65">
        <v>0</v>
      </c>
      <c r="D133" s="95"/>
      <c r="E133" s="10">
        <f>E132-E129</f>
        <v>0</v>
      </c>
      <c r="F133" s="10">
        <f>E133+F132-F129</f>
        <v>0</v>
      </c>
      <c r="G133" s="10">
        <f>F133+G132-G129</f>
        <v>0</v>
      </c>
      <c r="H133" s="10">
        <f>G133+H132-H129</f>
        <v>0</v>
      </c>
      <c r="I133" s="9">
        <f>I132-I129</f>
        <v>0</v>
      </c>
      <c r="J133" s="10">
        <f>I133+J132-J129</f>
        <v>0</v>
      </c>
      <c r="K133" s="10">
        <f>J133+K132-K129</f>
        <v>0</v>
      </c>
      <c r="L133" s="10">
        <f>K133+L132-L129</f>
        <v>0</v>
      </c>
      <c r="M133" s="10">
        <f>L133+M132-M129</f>
        <v>0</v>
      </c>
      <c r="N133" s="9">
        <f>I133+N132-N129</f>
        <v>0</v>
      </c>
      <c r="O133" s="10">
        <f>N133+O132-O129</f>
        <v>0</v>
      </c>
      <c r="P133" s="10">
        <f>O133+P132-P129</f>
        <v>0</v>
      </c>
      <c r="Q133" s="10">
        <f>P133+Q132-Q129</f>
        <v>0</v>
      </c>
      <c r="R133" s="10">
        <f t="shared" ref="R133" si="48">Q133+R132-R129</f>
        <v>0</v>
      </c>
      <c r="S133" s="10">
        <f>R133+S132-S129</f>
        <v>0</v>
      </c>
      <c r="T133" s="9">
        <f>N133+T132-T129</f>
        <v>0</v>
      </c>
      <c r="U133" s="9">
        <f>U132-U129</f>
        <v>0</v>
      </c>
      <c r="V133" s="10">
        <f>U133+V132-V129</f>
        <v>0</v>
      </c>
      <c r="W133" s="10">
        <f>V133+W132-W129</f>
        <v>0</v>
      </c>
      <c r="X133" s="10">
        <f>W133+X132-X129</f>
        <v>0</v>
      </c>
      <c r="Y133" s="10">
        <f>X133+Y132-Y129</f>
        <v>0</v>
      </c>
      <c r="Z133" s="9">
        <f>T133+Z132-Z129</f>
        <v>0</v>
      </c>
      <c r="AA133" s="10">
        <f>Z133+AA132-AA129</f>
        <v>0</v>
      </c>
      <c r="AB133" s="10">
        <f>AA133+AB132-AB129</f>
        <v>0</v>
      </c>
      <c r="AC133" s="10">
        <f>AB133+AC132-AC129</f>
        <v>0</v>
      </c>
      <c r="AD133" s="10">
        <f>AC133+AD132-AD129</f>
        <v>0</v>
      </c>
      <c r="AE133" s="9">
        <f>Z133+AE132-AE129</f>
        <v>0</v>
      </c>
      <c r="AF133" s="10">
        <f>AE133+AF132-AF129</f>
        <v>0</v>
      </c>
      <c r="AG133" s="10">
        <f>AF133+AG132-AG129</f>
        <v>0</v>
      </c>
      <c r="AH133" s="10">
        <f>AG133+AH132-AH129</f>
        <v>0</v>
      </c>
      <c r="AI133" s="10">
        <f t="shared" ref="AI133:AJ133" si="49">AH133+AI132-AI129</f>
        <v>0</v>
      </c>
      <c r="AJ133" s="10">
        <f t="shared" si="49"/>
        <v>0</v>
      </c>
      <c r="AK133" s="9">
        <f>AE133+AK132-AK129</f>
        <v>0</v>
      </c>
      <c r="AL133" s="11">
        <f>T133+AL132-AL129</f>
        <v>0</v>
      </c>
      <c r="AM133" s="93"/>
      <c r="AN133" s="94">
        <f t="shared" si="46"/>
        <v>0</v>
      </c>
      <c r="AO133" s="94">
        <f t="shared" si="47"/>
        <v>0</v>
      </c>
    </row>
    <row r="134" spans="1:41">
      <c r="A134" s="82"/>
      <c r="B134" s="3" t="s">
        <v>9</v>
      </c>
      <c r="C134" s="9"/>
      <c r="D134" s="9"/>
      <c r="E134" s="57" t="e">
        <f>E133/(SUM(F129+H129+J129+G129)/20)*1000</f>
        <v>#DIV/0!</v>
      </c>
      <c r="F134" s="57" t="e">
        <f>F133/(SUM(G129+K129+J129+H129)/20)*1000</f>
        <v>#DIV/0!</v>
      </c>
      <c r="G134" s="57" t="e">
        <f>G133/(SUM(H129+J129+K129+L129)/20)*1000</f>
        <v>#DIV/0!</v>
      </c>
      <c r="H134" s="57" t="e">
        <f>H133/(SUM(M129+J129+K129+L129)/20)*1000</f>
        <v>#DIV/0!</v>
      </c>
      <c r="I134" s="12"/>
      <c r="J134" s="57" t="e">
        <f>J133/(SUM(K129+M129+O129+L129)/20)*1000</f>
        <v>#DIV/0!</v>
      </c>
      <c r="K134" s="57" t="e">
        <f>K133/(SUM(L129+P129+O129+M129)/20)*1000</f>
        <v>#DIV/0!</v>
      </c>
      <c r="L134" s="57" t="e">
        <f>L133/(SUM(M129+O129+P129+Q129)/20)*1000</f>
        <v>#DIV/0!</v>
      </c>
      <c r="M134" s="57" t="e">
        <f>M133/(SUM(R129+O129+P129+Q129)/20)*1000</f>
        <v>#DIV/0!</v>
      </c>
      <c r="N134" s="12"/>
      <c r="O134" s="57" t="e">
        <f>O133/(SUM(P129+R129+S129+Q129)/20)*1000</f>
        <v>#DIV/0!</v>
      </c>
      <c r="P134" s="57" t="e">
        <f>P133/(SUM(Q129+S129+V129+R129)/20)*1000</f>
        <v>#DIV/0!</v>
      </c>
      <c r="Q134" s="57" t="e">
        <f>Q133/(SUM(R129+S129+W129+V129)/20)*1000</f>
        <v>#DIV/0!</v>
      </c>
      <c r="R134" s="57" t="e">
        <f>R133/(SUM(T129+U129+V129+W129)/20)*1000</f>
        <v>#DIV/0!</v>
      </c>
      <c r="S134" s="57" t="e">
        <f>S133/(SUM(S129+V129+W129+X129)/20)*1000</f>
        <v>#DIV/0!</v>
      </c>
      <c r="T134" s="12"/>
      <c r="U134" s="13"/>
      <c r="V134" s="57" t="e">
        <f>V133/(SUM(W129+Y129+AA129+X129)/20)*1000</f>
        <v>#DIV/0!</v>
      </c>
      <c r="W134" s="57" t="e">
        <f>V133/(SUM(X129+AA129+AB129+Y129)/20)*1000</f>
        <v>#DIV/0!</v>
      </c>
      <c r="X134" s="57" t="e">
        <f>W133/(SUM(Y129+AA129+AB129+AC129)/20)*1000</f>
        <v>#DIV/0!</v>
      </c>
      <c r="Y134" s="57" t="e">
        <f>Y133/(SUM(AA129+AB129+AC129+AD129)/20)*1000</f>
        <v>#DIV/0!</v>
      </c>
      <c r="Z134" s="12"/>
      <c r="AA134" s="57" t="e">
        <f>AA133/(SUM(AB129+AD129+AF129+AC129)/20)*1000</f>
        <v>#DIV/0!</v>
      </c>
      <c r="AB134" s="57" t="e">
        <f>AB133/(SUM(AC129+AF129+AG129+AD129)/20)*1000</f>
        <v>#DIV/0!</v>
      </c>
      <c r="AC134" s="57" t="e">
        <f>AC133/(SUM(AD129+AF129+AG129+AH129)/20)*1000</f>
        <v>#DIV/0!</v>
      </c>
      <c r="AD134" s="57" t="e">
        <f>AD133/(SUM(AF129+AG129+AH129+AI129)/20)*1000</f>
        <v>#DIV/0!</v>
      </c>
      <c r="AE134" s="12"/>
      <c r="AF134" s="57" t="e">
        <f>AF133/(SUM(AG129+AI129+AJ129+AH129)/20)*1000</f>
        <v>#DIV/0!</v>
      </c>
      <c r="AG134" s="57">
        <f>AG133/(SUM(AH129+AJ129+AM129+AI129)/20)*1000</f>
        <v>0</v>
      </c>
      <c r="AH134" s="57">
        <f>AH133/(SUM(AI129+AJ129+AN129+AM129)/20)*1000</f>
        <v>0</v>
      </c>
      <c r="AI134" s="57">
        <f>AI133/(SUM(AK129+AL129+AM129+AN129)/20)*1000</f>
        <v>0</v>
      </c>
      <c r="AJ134" s="57">
        <f>AJ133/(SUM(AJ129+AM129+AN129+AO129)/20)*1000</f>
        <v>0</v>
      </c>
      <c r="AK134" s="12"/>
      <c r="AL134" s="13"/>
      <c r="AM134" s="93"/>
      <c r="AN134" s="94">
        <f t="shared" si="46"/>
        <v>0</v>
      </c>
      <c r="AO134" s="94">
        <f t="shared" si="47"/>
        <v>0</v>
      </c>
    </row>
    <row r="135" spans="1:41">
      <c r="A135" s="165" t="s">
        <v>120</v>
      </c>
      <c r="B135" s="1" t="s">
        <v>5</v>
      </c>
      <c r="C135" s="9"/>
      <c r="D135" s="9"/>
      <c r="E135" s="10"/>
      <c r="F135" s="10">
        <v>0</v>
      </c>
      <c r="G135" s="10">
        <v>0</v>
      </c>
      <c r="H135" s="10">
        <v>0</v>
      </c>
      <c r="I135" s="9">
        <f>SUM(E135:H135)</f>
        <v>0</v>
      </c>
      <c r="J135" s="10">
        <v>0</v>
      </c>
      <c r="K135" s="10">
        <v>0</v>
      </c>
      <c r="L135" s="10">
        <v>0</v>
      </c>
      <c r="M135" s="10">
        <v>0</v>
      </c>
      <c r="N135" s="9">
        <f>SUM(J135:M135)</f>
        <v>0</v>
      </c>
      <c r="O135" s="10">
        <v>0</v>
      </c>
      <c r="P135" s="10">
        <v>0</v>
      </c>
      <c r="Q135" s="10">
        <v>0</v>
      </c>
      <c r="R135" s="10">
        <v>0</v>
      </c>
      <c r="S135" s="10">
        <v>0</v>
      </c>
      <c r="T135" s="9">
        <f>SUM(O135:S135)</f>
        <v>0</v>
      </c>
      <c r="U135" s="11">
        <f>T135+N135+I135+D139</f>
        <v>0</v>
      </c>
      <c r="V135" s="10">
        <v>0</v>
      </c>
      <c r="W135" s="10">
        <v>0</v>
      </c>
      <c r="X135" s="10">
        <v>0</v>
      </c>
      <c r="Y135" s="10">
        <v>0</v>
      </c>
      <c r="Z135" s="9">
        <f>SUM(V135:Y135)</f>
        <v>0</v>
      </c>
      <c r="AA135" s="10">
        <v>0</v>
      </c>
      <c r="AB135" s="10">
        <v>0</v>
      </c>
      <c r="AC135" s="10">
        <v>0</v>
      </c>
      <c r="AD135" s="10">
        <v>0</v>
      </c>
      <c r="AE135" s="9">
        <f>SUM(AA135:AD135)</f>
        <v>0</v>
      </c>
      <c r="AF135" s="10">
        <v>0</v>
      </c>
      <c r="AG135" s="10">
        <v>0</v>
      </c>
      <c r="AH135" s="10">
        <v>0</v>
      </c>
      <c r="AI135" s="10">
        <v>0</v>
      </c>
      <c r="AJ135" s="10">
        <v>0</v>
      </c>
      <c r="AK135" s="9">
        <f>SUM(AF135:AJ135)</f>
        <v>0</v>
      </c>
      <c r="AL135" s="11">
        <f>AK135+AE135+Z135</f>
        <v>0</v>
      </c>
      <c r="AM135" s="93">
        <v>64</v>
      </c>
      <c r="AN135" s="94">
        <f t="shared" si="46"/>
        <v>0</v>
      </c>
      <c r="AO135" s="94">
        <f t="shared" si="47"/>
        <v>0</v>
      </c>
    </row>
    <row r="136" spans="1:41">
      <c r="A136" s="166"/>
      <c r="B136" s="3" t="s">
        <v>6</v>
      </c>
      <c r="C136" s="9"/>
      <c r="D136" s="9"/>
      <c r="E136" s="10"/>
      <c r="F136" s="10"/>
      <c r="G136" s="10"/>
      <c r="H136" s="10"/>
      <c r="I136" s="9">
        <f>SUM(E136:H136)</f>
        <v>0</v>
      </c>
      <c r="J136" s="10"/>
      <c r="K136" s="10"/>
      <c r="L136" s="10"/>
      <c r="M136" s="10"/>
      <c r="N136" s="9">
        <f>SUM(J136:M136)</f>
        <v>0</v>
      </c>
      <c r="O136" s="10"/>
      <c r="P136" s="10"/>
      <c r="Q136" s="10"/>
      <c r="R136" s="10"/>
      <c r="S136" s="10"/>
      <c r="T136" s="9">
        <f>SUM(O136:S136)</f>
        <v>0</v>
      </c>
      <c r="U136" s="11">
        <f>I136+N136+T136</f>
        <v>0</v>
      </c>
      <c r="V136" s="10"/>
      <c r="W136" s="10"/>
      <c r="X136" s="10"/>
      <c r="Y136" s="10"/>
      <c r="Z136" s="9">
        <f>SUM(V136:Y136)</f>
        <v>0</v>
      </c>
      <c r="AA136" s="10"/>
      <c r="AB136" s="10"/>
      <c r="AC136" s="10"/>
      <c r="AD136" s="10"/>
      <c r="AE136" s="9">
        <f>SUM(AA136:AD136)</f>
        <v>0</v>
      </c>
      <c r="AF136" s="10"/>
      <c r="AG136" s="10"/>
      <c r="AH136" s="10"/>
      <c r="AI136" s="10"/>
      <c r="AJ136" s="10"/>
      <c r="AK136" s="9">
        <f>SUM(AF136:AJ136)</f>
        <v>0</v>
      </c>
      <c r="AL136" s="11">
        <f>Z136+AE136+AK136</f>
        <v>0</v>
      </c>
      <c r="AM136" s="93"/>
      <c r="AN136" s="94">
        <f t="shared" si="46"/>
        <v>0</v>
      </c>
      <c r="AO136" s="94">
        <f t="shared" si="47"/>
        <v>0</v>
      </c>
    </row>
    <row r="137" spans="1:41">
      <c r="A137" s="166"/>
      <c r="B137" s="3" t="s">
        <v>10</v>
      </c>
      <c r="C137" s="9">
        <v>0</v>
      </c>
      <c r="D137" s="9"/>
      <c r="E137" s="10"/>
      <c r="F137" s="10"/>
      <c r="G137" s="10"/>
      <c r="H137" s="10"/>
      <c r="I137" s="9"/>
      <c r="J137" s="10"/>
      <c r="K137" s="10"/>
      <c r="L137" s="10"/>
      <c r="M137" s="10"/>
      <c r="N137" s="9"/>
      <c r="O137" s="10"/>
      <c r="P137" s="10"/>
      <c r="Q137" s="10"/>
      <c r="R137" s="10"/>
      <c r="S137" s="10"/>
      <c r="T137" s="9"/>
      <c r="U137" s="11"/>
      <c r="V137" s="10"/>
      <c r="W137" s="10"/>
      <c r="X137" s="10"/>
      <c r="Y137" s="10"/>
      <c r="Z137" s="9"/>
      <c r="AA137" s="10"/>
      <c r="AB137" s="10"/>
      <c r="AC137" s="10"/>
      <c r="AD137" s="10"/>
      <c r="AE137" s="9"/>
      <c r="AF137" s="10"/>
      <c r="AG137" s="10"/>
      <c r="AH137" s="10"/>
      <c r="AI137" s="10"/>
      <c r="AJ137" s="10"/>
      <c r="AK137" s="9"/>
      <c r="AL137" s="11"/>
      <c r="AM137" s="93"/>
      <c r="AN137" s="94">
        <f t="shared" si="46"/>
        <v>0</v>
      </c>
      <c r="AO137" s="94">
        <f t="shared" si="47"/>
        <v>0</v>
      </c>
    </row>
    <row r="138" spans="1:41">
      <c r="A138" s="166"/>
      <c r="B138" s="3" t="s">
        <v>7</v>
      </c>
      <c r="C138" s="9"/>
      <c r="D138" s="9"/>
      <c r="E138" s="10">
        <f>E137+E136</f>
        <v>0</v>
      </c>
      <c r="F138" s="10">
        <f>F137+F136</f>
        <v>0</v>
      </c>
      <c r="G138" s="10">
        <f>G137+G136</f>
        <v>0</v>
      </c>
      <c r="H138" s="10">
        <f>H137+H136</f>
        <v>0</v>
      </c>
      <c r="I138" s="9">
        <f>SUM(E138:H138)</f>
        <v>0</v>
      </c>
      <c r="J138" s="10">
        <f>J137+J136</f>
        <v>0</v>
      </c>
      <c r="K138" s="10">
        <f>K137+K136</f>
        <v>0</v>
      </c>
      <c r="L138" s="10">
        <f>L137+L136</f>
        <v>0</v>
      </c>
      <c r="M138" s="10">
        <f>M137+M136</f>
        <v>0</v>
      </c>
      <c r="N138" s="9">
        <f>SUM(J138:M138)</f>
        <v>0</v>
      </c>
      <c r="O138" s="10">
        <f>O137+O136</f>
        <v>0</v>
      </c>
      <c r="P138" s="10">
        <f>P137+P136</f>
        <v>0</v>
      </c>
      <c r="Q138" s="10">
        <f>Q137+Q136</f>
        <v>0</v>
      </c>
      <c r="R138" s="10">
        <f>R137+R136</f>
        <v>0</v>
      </c>
      <c r="S138" s="10">
        <f>S137+S136</f>
        <v>0</v>
      </c>
      <c r="T138" s="9">
        <f>SUM(O138:S138)</f>
        <v>0</v>
      </c>
      <c r="U138" s="11">
        <f>T138+N138+I138+D139</f>
        <v>0</v>
      </c>
      <c r="V138" s="10">
        <f>V137+V136</f>
        <v>0</v>
      </c>
      <c r="W138" s="10">
        <f>W137+W136</f>
        <v>0</v>
      </c>
      <c r="X138" s="10">
        <f>X137+X136</f>
        <v>0</v>
      </c>
      <c r="Y138" s="10">
        <f>Y137+Y136</f>
        <v>0</v>
      </c>
      <c r="Z138" s="9">
        <f>SUM(V138:Y138)</f>
        <v>0</v>
      </c>
      <c r="AA138" s="10">
        <f>AA137+AA136</f>
        <v>0</v>
      </c>
      <c r="AB138" s="10">
        <f>AB137+AB136</f>
        <v>0</v>
      </c>
      <c r="AC138" s="10">
        <f>AC137+AC136</f>
        <v>0</v>
      </c>
      <c r="AD138" s="10">
        <f>AD137+AD136</f>
        <v>0</v>
      </c>
      <c r="AE138" s="9">
        <f>SUM(AA138:AD138)</f>
        <v>0</v>
      </c>
      <c r="AF138" s="10">
        <f>AF137+AF136</f>
        <v>0</v>
      </c>
      <c r="AG138" s="10">
        <f>AG137+AG136</f>
        <v>0</v>
      </c>
      <c r="AH138" s="10">
        <f>AH137+AH136</f>
        <v>0</v>
      </c>
      <c r="AI138" s="10">
        <f>AI137+AI136</f>
        <v>0</v>
      </c>
      <c r="AJ138" s="10">
        <f>AJ137+AJ136</f>
        <v>0</v>
      </c>
      <c r="AK138" s="9">
        <f>SUM(AF138:AJ138)</f>
        <v>0</v>
      </c>
      <c r="AL138" s="11">
        <f>AK138+AE138+Z138</f>
        <v>0</v>
      </c>
      <c r="AM138" s="93"/>
      <c r="AN138" s="94">
        <f t="shared" si="46"/>
        <v>0</v>
      </c>
      <c r="AO138" s="94">
        <f t="shared" si="47"/>
        <v>0</v>
      </c>
    </row>
    <row r="139" spans="1:41">
      <c r="A139" s="167"/>
      <c r="B139" s="2" t="s">
        <v>8</v>
      </c>
      <c r="C139" s="65">
        <v>0</v>
      </c>
      <c r="D139" s="95"/>
      <c r="E139" s="10">
        <f>E138-E135</f>
        <v>0</v>
      </c>
      <c r="F139" s="10">
        <f>E139+F138-F135</f>
        <v>0</v>
      </c>
      <c r="G139" s="10">
        <f>F139+G138-G135</f>
        <v>0</v>
      </c>
      <c r="H139" s="10">
        <f>G139+H138-H135</f>
        <v>0</v>
      </c>
      <c r="I139" s="9">
        <f>I138-I135</f>
        <v>0</v>
      </c>
      <c r="J139" s="10">
        <f>I139+J138-J135</f>
        <v>0</v>
      </c>
      <c r="K139" s="10">
        <f>J139+K138-K135</f>
        <v>0</v>
      </c>
      <c r="L139" s="10">
        <f>K139+L138-L135</f>
        <v>0</v>
      </c>
      <c r="M139" s="10">
        <f>L139+M138-M135</f>
        <v>0</v>
      </c>
      <c r="N139" s="9">
        <f>I139+N138-N135</f>
        <v>0</v>
      </c>
      <c r="O139" s="10">
        <f>N139+O138-O135</f>
        <v>0</v>
      </c>
      <c r="P139" s="10">
        <f>O139+P138-P135</f>
        <v>0</v>
      </c>
      <c r="Q139" s="10">
        <f>P139+Q138-Q135</f>
        <v>0</v>
      </c>
      <c r="R139" s="10">
        <f t="shared" ref="R139" si="50">Q139+R138-R135</f>
        <v>0</v>
      </c>
      <c r="S139" s="10">
        <f>R139+S138-S135</f>
        <v>0</v>
      </c>
      <c r="T139" s="9">
        <f>N139+T138-T135</f>
        <v>0</v>
      </c>
      <c r="U139" s="9">
        <f>U138-U135</f>
        <v>0</v>
      </c>
      <c r="V139" s="10">
        <f>U139+V138-V135</f>
        <v>0</v>
      </c>
      <c r="W139" s="10">
        <f>V139+W138-W135</f>
        <v>0</v>
      </c>
      <c r="X139" s="10">
        <f>W139+X138-X135</f>
        <v>0</v>
      </c>
      <c r="Y139" s="10">
        <f>X139+Y138-Y135</f>
        <v>0</v>
      </c>
      <c r="Z139" s="9">
        <f>T139+Z138-Z135</f>
        <v>0</v>
      </c>
      <c r="AA139" s="10">
        <f>Z139+AA138-AA135</f>
        <v>0</v>
      </c>
      <c r="AB139" s="10">
        <f>AA139+AB138-AB135</f>
        <v>0</v>
      </c>
      <c r="AC139" s="10">
        <f>AB139+AC138-AC135</f>
        <v>0</v>
      </c>
      <c r="AD139" s="10">
        <f>AC139+AD138-AD135</f>
        <v>0</v>
      </c>
      <c r="AE139" s="9">
        <f>Z139+AE138-AE135</f>
        <v>0</v>
      </c>
      <c r="AF139" s="10">
        <f>AE139+AF138-AF135</f>
        <v>0</v>
      </c>
      <c r="AG139" s="10">
        <f>AF139+AG138-AG135</f>
        <v>0</v>
      </c>
      <c r="AH139" s="10">
        <f>AG139+AH138-AH135</f>
        <v>0</v>
      </c>
      <c r="AI139" s="10">
        <f t="shared" ref="AI139:AJ139" si="51">AH139+AI138-AI135</f>
        <v>0</v>
      </c>
      <c r="AJ139" s="10">
        <f t="shared" si="51"/>
        <v>0</v>
      </c>
      <c r="AK139" s="9">
        <f>AE139+AK138-AK135</f>
        <v>0</v>
      </c>
      <c r="AL139" s="11">
        <f>T139+AL138-AL135</f>
        <v>0</v>
      </c>
      <c r="AM139" s="93"/>
      <c r="AN139" s="94">
        <f t="shared" si="46"/>
        <v>0</v>
      </c>
      <c r="AO139" s="94">
        <f t="shared" si="47"/>
        <v>0</v>
      </c>
    </row>
    <row r="140" spans="1:41">
      <c r="A140" s="82"/>
      <c r="B140" s="3" t="s">
        <v>9</v>
      </c>
      <c r="C140" s="9"/>
      <c r="D140" s="9"/>
      <c r="E140" s="57" t="e">
        <f>E139/(SUM(F135+H135+J135+G135)/20)*1000</f>
        <v>#DIV/0!</v>
      </c>
      <c r="F140" s="57" t="e">
        <f>F139/(SUM(G135+K135+J135+H135)/20)*1000</f>
        <v>#DIV/0!</v>
      </c>
      <c r="G140" s="57" t="e">
        <f>G139/(SUM(H135+J135+K135+L135)/20)*1000</f>
        <v>#DIV/0!</v>
      </c>
      <c r="H140" s="57" t="e">
        <f>H139/(SUM(M135+J135+K135+L135)/20)*1000</f>
        <v>#DIV/0!</v>
      </c>
      <c r="I140" s="12"/>
      <c r="J140" s="57" t="e">
        <f>J139/(SUM(K135+M135+O135+L135)/20)*1000</f>
        <v>#DIV/0!</v>
      </c>
      <c r="K140" s="57" t="e">
        <f>K139/(SUM(L135+P135+O135+M135)/20)*1000</f>
        <v>#DIV/0!</v>
      </c>
      <c r="L140" s="57" t="e">
        <f>L139/(SUM(M135+O135+P135+Q135)/20)*1000</f>
        <v>#DIV/0!</v>
      </c>
      <c r="M140" s="57" t="e">
        <f>M139/(SUM(R135+O135+P135+Q135)/20)*1000</f>
        <v>#DIV/0!</v>
      </c>
      <c r="N140" s="12"/>
      <c r="O140" s="57" t="e">
        <f>O139/(SUM(P135+R135+S135+Q135)/20)*1000</f>
        <v>#DIV/0!</v>
      </c>
      <c r="P140" s="57" t="e">
        <f>P139/(SUM(Q135+S135+V135+R135)/20)*1000</f>
        <v>#DIV/0!</v>
      </c>
      <c r="Q140" s="57" t="e">
        <f>Q139/(SUM(R135+S135+W135+V135)/20)*1000</f>
        <v>#DIV/0!</v>
      </c>
      <c r="R140" s="57" t="e">
        <f>R139/(SUM(T135+U135+V135+W135)/20)*1000</f>
        <v>#DIV/0!</v>
      </c>
      <c r="S140" s="57" t="e">
        <f>S139/(SUM(S135+V135+W135+X135)/20)*1000</f>
        <v>#DIV/0!</v>
      </c>
      <c r="T140" s="12"/>
      <c r="U140" s="13"/>
      <c r="V140" s="57" t="e">
        <f>V139/(SUM(W135+Y135+AA135+X135)/20)*1000</f>
        <v>#DIV/0!</v>
      </c>
      <c r="W140" s="57" t="e">
        <f>V139/(SUM(X135+AA135+AB135+Y135)/20)*1000</f>
        <v>#DIV/0!</v>
      </c>
      <c r="X140" s="57" t="e">
        <f>W139/(SUM(Y135+AA135+AB135+AC135)/20)*1000</f>
        <v>#DIV/0!</v>
      </c>
      <c r="Y140" s="57" t="e">
        <f>Y139/(SUM(AA135+AB135+AC135+AD135)/20)*1000</f>
        <v>#DIV/0!</v>
      </c>
      <c r="Z140" s="12"/>
      <c r="AA140" s="57" t="e">
        <f>AA139/(SUM(AB135+AD135+AF135+AC135)/20)*1000</f>
        <v>#DIV/0!</v>
      </c>
      <c r="AB140" s="57" t="e">
        <f>AB139/(SUM(AC135+AF135+AG135+AD135)/20)*1000</f>
        <v>#DIV/0!</v>
      </c>
      <c r="AC140" s="57" t="e">
        <f>AC139/(SUM(AD135+AF135+AG135+AH135)/20)*1000</f>
        <v>#DIV/0!</v>
      </c>
      <c r="AD140" s="57" t="e">
        <f>AD139/(SUM(AF135+AG135+AH135+AI135)/20)*1000</f>
        <v>#DIV/0!</v>
      </c>
      <c r="AE140" s="12"/>
      <c r="AF140" s="57" t="e">
        <f>AF139/(SUM(AG135+AI135+AJ135+AH135)/20)*1000</f>
        <v>#DIV/0!</v>
      </c>
      <c r="AG140" s="57">
        <f>AG139/(SUM(AH135+AJ135+AM135+AI135)/20)*1000</f>
        <v>0</v>
      </c>
      <c r="AH140" s="57">
        <f>AH139/(SUM(AI135+AJ135+AN135+AM135)/20)*1000</f>
        <v>0</v>
      </c>
      <c r="AI140" s="57">
        <f>AI139/(SUM(AK135+AL135+AM135+AN135)/20)*1000</f>
        <v>0</v>
      </c>
      <c r="AJ140" s="57">
        <f>AJ139/(SUM(AJ135+AM135+AN135+AO135)/20)*1000</f>
        <v>0</v>
      </c>
      <c r="AK140" s="12"/>
      <c r="AL140" s="13"/>
      <c r="AM140" s="93"/>
      <c r="AN140" s="94">
        <f t="shared" si="46"/>
        <v>0</v>
      </c>
      <c r="AO140" s="94">
        <f t="shared" si="47"/>
        <v>0</v>
      </c>
    </row>
    <row r="141" spans="1:41">
      <c r="A141" s="165" t="s">
        <v>110</v>
      </c>
      <c r="B141" s="1" t="s">
        <v>5</v>
      </c>
      <c r="C141" s="9"/>
      <c r="D141" s="9"/>
      <c r="E141" s="10"/>
      <c r="F141" s="10">
        <v>-2115</v>
      </c>
      <c r="G141" s="10">
        <v>0</v>
      </c>
      <c r="H141" s="10">
        <v>0</v>
      </c>
      <c r="I141" s="9">
        <f>SUM(E141:H141)</f>
        <v>-2115</v>
      </c>
      <c r="J141" s="10">
        <v>48</v>
      </c>
      <c r="K141" s="10">
        <v>58</v>
      </c>
      <c r="L141" s="10">
        <v>56</v>
      </c>
      <c r="M141" s="10">
        <v>56</v>
      </c>
      <c r="N141" s="9">
        <f>SUM(J141:M141)</f>
        <v>218</v>
      </c>
      <c r="O141" s="10">
        <v>32</v>
      </c>
      <c r="P141" s="10">
        <v>0</v>
      </c>
      <c r="Q141" s="10">
        <v>0</v>
      </c>
      <c r="R141" s="10">
        <v>0</v>
      </c>
      <c r="S141" s="10">
        <v>0</v>
      </c>
      <c r="T141" s="9">
        <f>SUM(O141:S141)</f>
        <v>32</v>
      </c>
      <c r="U141" s="11">
        <f>T141+N141+I141+D145</f>
        <v>-802</v>
      </c>
      <c r="V141" s="10">
        <v>0</v>
      </c>
      <c r="W141" s="10">
        <v>0</v>
      </c>
      <c r="X141" s="10">
        <v>0</v>
      </c>
      <c r="Y141" s="10">
        <v>0</v>
      </c>
      <c r="Z141" s="9">
        <f>SUM(V141:Y141)</f>
        <v>0</v>
      </c>
      <c r="AA141" s="10">
        <v>48</v>
      </c>
      <c r="AB141" s="10">
        <v>58</v>
      </c>
      <c r="AC141" s="10">
        <v>56</v>
      </c>
      <c r="AD141" s="10">
        <v>56</v>
      </c>
      <c r="AE141" s="9">
        <f>SUM(AA141:AD141)</f>
        <v>218</v>
      </c>
      <c r="AF141" s="10">
        <v>32</v>
      </c>
      <c r="AG141" s="10">
        <v>0</v>
      </c>
      <c r="AH141" s="10">
        <v>0</v>
      </c>
      <c r="AI141" s="10">
        <v>0</v>
      </c>
      <c r="AJ141" s="10">
        <v>0</v>
      </c>
      <c r="AK141" s="9">
        <f>SUM(AF141:AJ141)</f>
        <v>32</v>
      </c>
      <c r="AL141" s="11">
        <f>AK141+AE141+Z141</f>
        <v>250</v>
      </c>
      <c r="AM141" s="93">
        <v>64</v>
      </c>
      <c r="AN141" s="94">
        <f t="shared" si="46"/>
        <v>-51328</v>
      </c>
      <c r="AO141" s="94">
        <f t="shared" si="47"/>
        <v>16000</v>
      </c>
    </row>
    <row r="142" spans="1:41">
      <c r="A142" s="166"/>
      <c r="B142" s="3" t="s">
        <v>6</v>
      </c>
      <c r="C142" s="9"/>
      <c r="D142" s="9"/>
      <c r="E142" s="10"/>
      <c r="F142" s="10"/>
      <c r="G142" s="10"/>
      <c r="H142" s="10"/>
      <c r="I142" s="9">
        <f>SUM(E142:H142)</f>
        <v>0</v>
      </c>
      <c r="J142" s="10"/>
      <c r="K142" s="10"/>
      <c r="L142" s="10"/>
      <c r="M142" s="10"/>
      <c r="N142" s="9">
        <f>SUM(J142:M142)</f>
        <v>0</v>
      </c>
      <c r="O142" s="10"/>
      <c r="P142" s="10"/>
      <c r="Q142" s="10"/>
      <c r="R142" s="10"/>
      <c r="S142" s="10"/>
      <c r="T142" s="9">
        <f>SUM(O142:S142)</f>
        <v>0</v>
      </c>
      <c r="U142" s="11">
        <f>I142+N142+T142</f>
        <v>0</v>
      </c>
      <c r="V142" s="10"/>
      <c r="W142" s="10"/>
      <c r="X142" s="10"/>
      <c r="Y142" s="10"/>
      <c r="Z142" s="9">
        <f>SUM(V142:Y142)</f>
        <v>0</v>
      </c>
      <c r="AA142" s="10"/>
      <c r="AB142" s="10"/>
      <c r="AC142" s="10"/>
      <c r="AD142" s="10"/>
      <c r="AE142" s="9">
        <f>SUM(AA142:AD142)</f>
        <v>0</v>
      </c>
      <c r="AF142" s="10"/>
      <c r="AG142" s="10"/>
      <c r="AH142" s="10"/>
      <c r="AI142" s="10"/>
      <c r="AJ142" s="10">
        <v>1000</v>
      </c>
      <c r="AK142" s="9">
        <f>SUM(AF142:AJ142)</f>
        <v>1000</v>
      </c>
      <c r="AL142" s="11">
        <f>Z142+AE142+AK142</f>
        <v>1000</v>
      </c>
      <c r="AM142" s="93"/>
      <c r="AN142" s="94">
        <f t="shared" si="46"/>
        <v>0</v>
      </c>
      <c r="AO142" s="94">
        <f t="shared" si="47"/>
        <v>0</v>
      </c>
    </row>
    <row r="143" spans="1:41">
      <c r="A143" s="166"/>
      <c r="B143" s="3" t="s">
        <v>10</v>
      </c>
      <c r="C143" s="9">
        <v>0</v>
      </c>
      <c r="D143" s="9"/>
      <c r="E143" s="10"/>
      <c r="F143" s="10"/>
      <c r="G143" s="10"/>
      <c r="H143" s="10"/>
      <c r="I143" s="9"/>
      <c r="J143" s="10"/>
      <c r="K143" s="10"/>
      <c r="L143" s="10"/>
      <c r="M143" s="10"/>
      <c r="N143" s="9"/>
      <c r="O143" s="10"/>
      <c r="P143" s="10"/>
      <c r="Q143" s="10"/>
      <c r="R143" s="10"/>
      <c r="S143" s="10"/>
      <c r="T143" s="9"/>
      <c r="U143" s="11"/>
      <c r="V143" s="10"/>
      <c r="W143" s="10"/>
      <c r="X143" s="10"/>
      <c r="Y143" s="10"/>
      <c r="Z143" s="9"/>
      <c r="AA143" s="10"/>
      <c r="AB143" s="10"/>
      <c r="AC143" s="10"/>
      <c r="AD143" s="10"/>
      <c r="AE143" s="9"/>
      <c r="AF143" s="10"/>
      <c r="AG143" s="10"/>
      <c r="AH143" s="10"/>
      <c r="AI143" s="10"/>
      <c r="AJ143" s="10"/>
      <c r="AK143" s="9"/>
      <c r="AL143" s="11"/>
      <c r="AM143" s="93"/>
      <c r="AN143" s="94">
        <f t="shared" si="46"/>
        <v>0</v>
      </c>
      <c r="AO143" s="94">
        <f t="shared" si="47"/>
        <v>0</v>
      </c>
    </row>
    <row r="144" spans="1:41">
      <c r="A144" s="166"/>
      <c r="B144" s="3" t="s">
        <v>7</v>
      </c>
      <c r="C144" s="9"/>
      <c r="D144" s="9"/>
      <c r="E144" s="10">
        <f>E143+E142</f>
        <v>0</v>
      </c>
      <c r="F144" s="10">
        <f>F143+F142</f>
        <v>0</v>
      </c>
      <c r="G144" s="10">
        <f>G143+G142</f>
        <v>0</v>
      </c>
      <c r="H144" s="10">
        <f>H143+H142</f>
        <v>0</v>
      </c>
      <c r="I144" s="9">
        <f>SUM(E144:H144)</f>
        <v>0</v>
      </c>
      <c r="J144" s="10">
        <f>J143+J142</f>
        <v>0</v>
      </c>
      <c r="K144" s="10">
        <f>K143+K142</f>
        <v>0</v>
      </c>
      <c r="L144" s="10">
        <f>L143+L142</f>
        <v>0</v>
      </c>
      <c r="M144" s="10">
        <f>M143+M142</f>
        <v>0</v>
      </c>
      <c r="N144" s="9">
        <f>SUM(J144:M144)</f>
        <v>0</v>
      </c>
      <c r="O144" s="10">
        <f>O143+O142</f>
        <v>0</v>
      </c>
      <c r="P144" s="10">
        <f>P143+P142</f>
        <v>0</v>
      </c>
      <c r="Q144" s="10">
        <f>Q143+Q142</f>
        <v>0</v>
      </c>
      <c r="R144" s="10">
        <f>R143+R142</f>
        <v>0</v>
      </c>
      <c r="S144" s="10">
        <f>S143+S142</f>
        <v>0</v>
      </c>
      <c r="T144" s="9">
        <f>SUM(O144:S144)</f>
        <v>0</v>
      </c>
      <c r="U144" s="11">
        <f>T144+N144+I144+D145</f>
        <v>1063</v>
      </c>
      <c r="V144" s="10">
        <f>V143+V142</f>
        <v>0</v>
      </c>
      <c r="W144" s="10">
        <f>W143+W142</f>
        <v>0</v>
      </c>
      <c r="X144" s="10">
        <f>X143+X142</f>
        <v>0</v>
      </c>
      <c r="Y144" s="10">
        <f>Y143+Y142</f>
        <v>0</v>
      </c>
      <c r="Z144" s="9">
        <f>SUM(V144:Y144)</f>
        <v>0</v>
      </c>
      <c r="AA144" s="10">
        <f>AA143+AA142</f>
        <v>0</v>
      </c>
      <c r="AB144" s="10">
        <f>AB143+AB142</f>
        <v>0</v>
      </c>
      <c r="AC144" s="10">
        <f>AC143+AC142</f>
        <v>0</v>
      </c>
      <c r="AD144" s="10">
        <f>AD143+AD142</f>
        <v>0</v>
      </c>
      <c r="AE144" s="9">
        <f>SUM(AA144:AD144)</f>
        <v>0</v>
      </c>
      <c r="AF144" s="10">
        <f>AF143+AF142</f>
        <v>0</v>
      </c>
      <c r="AG144" s="10">
        <f>AG143+AG142</f>
        <v>0</v>
      </c>
      <c r="AH144" s="10">
        <f>AH143+AH142</f>
        <v>0</v>
      </c>
      <c r="AI144" s="10">
        <f>AI143+AI142</f>
        <v>0</v>
      </c>
      <c r="AJ144" s="10">
        <f>AJ143+AJ142</f>
        <v>1000</v>
      </c>
      <c r="AK144" s="9">
        <f>SUM(AF144:AJ144)</f>
        <v>1000</v>
      </c>
      <c r="AL144" s="11">
        <f>AK144+AE144+Z144</f>
        <v>1000</v>
      </c>
      <c r="AM144" s="93"/>
      <c r="AN144" s="94">
        <f t="shared" si="46"/>
        <v>0</v>
      </c>
      <c r="AO144" s="94">
        <f t="shared" si="47"/>
        <v>0</v>
      </c>
    </row>
    <row r="145" spans="1:41">
      <c r="A145" s="167"/>
      <c r="B145" s="2" t="s">
        <v>8</v>
      </c>
      <c r="C145" s="65">
        <v>2136</v>
      </c>
      <c r="D145" s="95">
        <v>1063</v>
      </c>
      <c r="E145" s="81">
        <f>E144-E141</f>
        <v>0</v>
      </c>
      <c r="F145" s="10">
        <f>E145+F144-F141</f>
        <v>2115</v>
      </c>
      <c r="G145" s="10">
        <f>F145+G144-G141</f>
        <v>2115</v>
      </c>
      <c r="H145" s="10">
        <f>G145+H144-H141</f>
        <v>2115</v>
      </c>
      <c r="I145" s="9">
        <f>I144-I141</f>
        <v>2115</v>
      </c>
      <c r="J145" s="10">
        <f>I145+J144-J141</f>
        <v>2067</v>
      </c>
      <c r="K145" s="10">
        <f>J145+K144-K141</f>
        <v>2009</v>
      </c>
      <c r="L145" s="10">
        <f>K145+L144-L141</f>
        <v>1953</v>
      </c>
      <c r="M145" s="10">
        <f>L145+M144-M141</f>
        <v>1897</v>
      </c>
      <c r="N145" s="9">
        <f>I145+N144-N141</f>
        <v>1897</v>
      </c>
      <c r="O145" s="10">
        <f>N145+O144-O141</f>
        <v>1865</v>
      </c>
      <c r="P145" s="10">
        <f>O145+P144-P141</f>
        <v>1865</v>
      </c>
      <c r="Q145" s="10">
        <f>P145+Q144-Q141</f>
        <v>1865</v>
      </c>
      <c r="R145" s="10">
        <f t="shared" ref="R145" si="52">Q145+R144-R141</f>
        <v>1865</v>
      </c>
      <c r="S145" s="10">
        <f>R145+S144-S141</f>
        <v>1865</v>
      </c>
      <c r="T145" s="9">
        <f>N145+T144-T141</f>
        <v>1865</v>
      </c>
      <c r="U145" s="9">
        <f>U144-U141</f>
        <v>1865</v>
      </c>
      <c r="V145" s="10">
        <f>U145+V144-V141</f>
        <v>1865</v>
      </c>
      <c r="W145" s="10">
        <f>V145+W144-W141</f>
        <v>1865</v>
      </c>
      <c r="X145" s="10">
        <f>W145+X144-X141</f>
        <v>1865</v>
      </c>
      <c r="Y145" s="10">
        <f>X145+Y144-Y141</f>
        <v>1865</v>
      </c>
      <c r="Z145" s="9">
        <f>T145+Z144-Z141</f>
        <v>1865</v>
      </c>
      <c r="AA145" s="10">
        <f>Z145+AA144-AA141</f>
        <v>1817</v>
      </c>
      <c r="AB145" s="10">
        <f>AA145+AB144-AB141</f>
        <v>1759</v>
      </c>
      <c r="AC145" s="10">
        <f>AB145+AC144-AC141</f>
        <v>1703</v>
      </c>
      <c r="AD145" s="10">
        <f>AC145+AD144-AD141</f>
        <v>1647</v>
      </c>
      <c r="AE145" s="9">
        <f>Z145+AE144-AE141</f>
        <v>1647</v>
      </c>
      <c r="AF145" s="10">
        <f>AE145+AF144-AF141</f>
        <v>1615</v>
      </c>
      <c r="AG145" s="10">
        <f>AF145+AG144-AG141</f>
        <v>1615</v>
      </c>
      <c r="AH145" s="10">
        <f>AG145+AH144-AH141</f>
        <v>1615</v>
      </c>
      <c r="AI145" s="10">
        <f t="shared" ref="AI145:AJ145" si="53">AH145+AI144-AI141</f>
        <v>1615</v>
      </c>
      <c r="AJ145" s="10">
        <f t="shared" si="53"/>
        <v>2615</v>
      </c>
      <c r="AK145" s="9">
        <f>AE145+AK144-AK141</f>
        <v>2615</v>
      </c>
      <c r="AL145" s="11">
        <f>T145+AL144-AL141</f>
        <v>2615</v>
      </c>
      <c r="AM145" s="93"/>
      <c r="AN145" s="94">
        <f t="shared" si="46"/>
        <v>0</v>
      </c>
      <c r="AO145" s="94">
        <f t="shared" si="47"/>
        <v>0</v>
      </c>
    </row>
    <row r="146" spans="1:41">
      <c r="A146" s="82"/>
      <c r="B146" s="3" t="s">
        <v>9</v>
      </c>
      <c r="C146" s="9"/>
      <c r="D146" s="9"/>
      <c r="E146" s="57">
        <f>E145/(SUM(F141+H141+J141+G141)/20)*1000</f>
        <v>0</v>
      </c>
      <c r="F146" s="57">
        <f>F145/(SUM(G141+K141+J141+H141)/20)*1000</f>
        <v>399056.60377358494</v>
      </c>
      <c r="G146" s="57">
        <f>G145/(SUM(H141+J141+K141+L141)/20)*1000</f>
        <v>261111.11111111115</v>
      </c>
      <c r="H146" s="57">
        <f>H145/(SUM(M141+J141+K141+L141)/20)*1000</f>
        <v>194036.69724770644</v>
      </c>
      <c r="I146" s="12"/>
      <c r="J146" s="57">
        <f>J145/(SUM(K141+M141+O141+L141)/20)*1000</f>
        <v>204653.46534653465</v>
      </c>
      <c r="K146" s="57">
        <f>K145/(SUM(L141+P141+O141+M141)/20)*1000</f>
        <v>279027.77777777775</v>
      </c>
      <c r="L146" s="57">
        <f>L145/(SUM(M141+O141+P141+Q141)/20)*1000</f>
        <v>443863.63636363629</v>
      </c>
      <c r="M146" s="57">
        <f>M145/(SUM(R141+O141+P141+Q141)/20)*1000</f>
        <v>1185625</v>
      </c>
      <c r="N146" s="12"/>
      <c r="O146" s="57" t="e">
        <f>O145/(SUM(P141+R141+S141+Q141)/20)*1000</f>
        <v>#DIV/0!</v>
      </c>
      <c r="P146" s="57" t="e">
        <f>P145/(SUM(Q141+S141+V141+R141)/20)*1000</f>
        <v>#DIV/0!</v>
      </c>
      <c r="Q146" s="57" t="e">
        <f>Q145/(SUM(R141+S141+W141+V141)/20)*1000</f>
        <v>#DIV/0!</v>
      </c>
      <c r="R146" s="57">
        <f>R145/(SUM(T141+U141+V141+W141)/20)*1000</f>
        <v>-48441.558441558445</v>
      </c>
      <c r="S146" s="57" t="e">
        <f>S145/(SUM(S141+V141+W141+X141)/20)*1000</f>
        <v>#DIV/0!</v>
      </c>
      <c r="T146" s="12"/>
      <c r="U146" s="13"/>
      <c r="V146" s="57">
        <f>V145/(SUM(W141+Y141+AA141+X141)/20)*1000</f>
        <v>777083.33333333337</v>
      </c>
      <c r="W146" s="57">
        <f>V145/(SUM(X141+AA141+AB141+Y141)/20)*1000</f>
        <v>351886.79245283018</v>
      </c>
      <c r="X146" s="57">
        <f>W145/(SUM(Y141+AA141+AB141+AC141)/20)*1000</f>
        <v>230246.91358024691</v>
      </c>
      <c r="Y146" s="57">
        <f>Y145/(SUM(AA141+AB141+AC141+AD141)/20)*1000</f>
        <v>171100.91743119265</v>
      </c>
      <c r="Z146" s="12"/>
      <c r="AA146" s="57">
        <f>AA145/(SUM(AB141+AD141+AF141+AC141)/20)*1000</f>
        <v>179900.99009900991</v>
      </c>
      <c r="AB146" s="57">
        <f>AB145/(SUM(AC141+AF141+AG141+AD141)/20)*1000</f>
        <v>244305.55555555553</v>
      </c>
      <c r="AC146" s="57">
        <f>AC145/(SUM(AD141+AF141+AG141+AH141)/20)*1000</f>
        <v>387045.45454545453</v>
      </c>
      <c r="AD146" s="57">
        <f>AD145/(SUM(AF141+AG141+AH141+AI141)/20)*1000</f>
        <v>1029375</v>
      </c>
      <c r="AE146" s="12"/>
      <c r="AF146" s="57" t="e">
        <f>AF145/(SUM(AG141+AI141+AJ141+AH141)/20)*1000</f>
        <v>#DIV/0!</v>
      </c>
      <c r="AG146" s="57">
        <f>AG145/(SUM(AH141+AJ141+AM141+AI141)/20)*1000</f>
        <v>504687.5</v>
      </c>
      <c r="AH146" s="57">
        <f>AH145/(SUM(AI141+AJ141+AN141+AM141)/20)*1000</f>
        <v>-630.0717852684146</v>
      </c>
      <c r="AI146" s="57">
        <f>AI145/(SUM(AK141+AL141+AM141+AN141)/20)*1000</f>
        <v>-633.55694166568594</v>
      </c>
      <c r="AJ146" s="57">
        <f>AJ145/(SUM(AJ141+AM141+AN141+AO141)/20)*1000</f>
        <v>-1483.0989110707803</v>
      </c>
      <c r="AK146" s="12"/>
      <c r="AL146" s="13"/>
      <c r="AM146" s="93"/>
      <c r="AN146" s="94">
        <f t="shared" si="46"/>
        <v>0</v>
      </c>
      <c r="AO146" s="94">
        <f t="shared" si="47"/>
        <v>0</v>
      </c>
    </row>
    <row r="147" spans="1:41">
      <c r="A147" s="165" t="s">
        <v>111</v>
      </c>
      <c r="B147" s="1" t="s">
        <v>5</v>
      </c>
      <c r="C147" s="9"/>
      <c r="D147" s="9"/>
      <c r="E147" s="10"/>
      <c r="F147" s="10">
        <v>-1932</v>
      </c>
      <c r="G147" s="10">
        <v>1000</v>
      </c>
      <c r="H147" s="10">
        <v>1001</v>
      </c>
      <c r="I147" s="9">
        <f>SUM(E147:H147)</f>
        <v>69</v>
      </c>
      <c r="J147" s="10">
        <v>1001</v>
      </c>
      <c r="K147" s="10">
        <v>1001</v>
      </c>
      <c r="L147" s="10">
        <v>1001</v>
      </c>
      <c r="M147" s="10">
        <v>1001</v>
      </c>
      <c r="N147" s="9">
        <f>SUM(J147:M147)</f>
        <v>4004</v>
      </c>
      <c r="O147" s="10">
        <v>0</v>
      </c>
      <c r="P147" s="10">
        <v>501</v>
      </c>
      <c r="Q147" s="10">
        <v>501</v>
      </c>
      <c r="R147" s="10">
        <v>501</v>
      </c>
      <c r="S147" s="10">
        <v>501</v>
      </c>
      <c r="T147" s="9">
        <f>SUM(O147:S147)</f>
        <v>2004</v>
      </c>
      <c r="U147" s="11">
        <f>T147+N147+I147+D151</f>
        <v>8398</v>
      </c>
      <c r="V147" s="10">
        <v>0</v>
      </c>
      <c r="W147" s="10">
        <v>0</v>
      </c>
      <c r="X147" s="10">
        <v>0</v>
      </c>
      <c r="Y147" s="10">
        <v>0</v>
      </c>
      <c r="Z147" s="9">
        <f>SUM(V147:Y147)</f>
        <v>0</v>
      </c>
      <c r="AA147" s="10">
        <v>1000</v>
      </c>
      <c r="AB147" s="10">
        <v>1000</v>
      </c>
      <c r="AC147" s="10">
        <v>1000</v>
      </c>
      <c r="AD147" s="10">
        <v>1000</v>
      </c>
      <c r="AE147" s="9">
        <f>SUM(AA147:AD147)</f>
        <v>4000</v>
      </c>
      <c r="AF147" s="10">
        <v>0</v>
      </c>
      <c r="AG147" s="10">
        <v>500</v>
      </c>
      <c r="AH147" s="10">
        <v>500</v>
      </c>
      <c r="AI147" s="10">
        <v>500</v>
      </c>
      <c r="AJ147" s="10">
        <v>500</v>
      </c>
      <c r="AK147" s="9">
        <f>SUM(AF147:AJ147)</f>
        <v>2000</v>
      </c>
      <c r="AL147" s="11">
        <f>AK147+AE147+Z147</f>
        <v>6000</v>
      </c>
      <c r="AM147" s="93">
        <v>128</v>
      </c>
      <c r="AN147" s="94">
        <f t="shared" si="46"/>
        <v>1074944</v>
      </c>
      <c r="AO147" s="94">
        <f t="shared" si="47"/>
        <v>768000</v>
      </c>
    </row>
    <row r="148" spans="1:41">
      <c r="A148" s="166"/>
      <c r="B148" s="3" t="s">
        <v>6</v>
      </c>
      <c r="C148" s="9"/>
      <c r="D148" s="9"/>
      <c r="E148" s="10"/>
      <c r="F148" s="10"/>
      <c r="G148" s="10"/>
      <c r="H148" s="10"/>
      <c r="I148" s="9">
        <f>SUM(E148:H148)</f>
        <v>0</v>
      </c>
      <c r="J148" s="10"/>
      <c r="K148" s="10"/>
      <c r="L148" s="10"/>
      <c r="M148" s="10"/>
      <c r="N148" s="9">
        <v>-13892</v>
      </c>
      <c r="O148" s="10"/>
      <c r="P148" s="10"/>
      <c r="Q148" s="10"/>
      <c r="R148" s="10"/>
      <c r="S148" s="97">
        <v>9000</v>
      </c>
      <c r="T148" s="9">
        <v>2280</v>
      </c>
      <c r="U148" s="11">
        <v>-4889</v>
      </c>
      <c r="V148" s="10"/>
      <c r="W148" s="10"/>
      <c r="X148" s="10"/>
      <c r="Y148" s="10"/>
      <c r="Z148" s="9">
        <v>300</v>
      </c>
      <c r="AA148" s="10"/>
      <c r="AB148" s="10"/>
      <c r="AC148" s="10"/>
      <c r="AD148" s="10"/>
      <c r="AE148" s="9">
        <v>1000</v>
      </c>
      <c r="AF148" s="10">
        <v>0</v>
      </c>
      <c r="AG148" s="10"/>
      <c r="AH148" s="10"/>
      <c r="AI148" s="10"/>
      <c r="AJ148" s="10">
        <v>2000</v>
      </c>
      <c r="AK148" s="9">
        <f>SUM(AF148:AJ148)</f>
        <v>2000</v>
      </c>
      <c r="AL148" s="11">
        <f>Z148+AE148+AK148</f>
        <v>3300</v>
      </c>
      <c r="AM148" s="93"/>
      <c r="AN148" s="94">
        <f t="shared" si="46"/>
        <v>0</v>
      </c>
      <c r="AO148" s="94">
        <f t="shared" si="47"/>
        <v>0</v>
      </c>
    </row>
    <row r="149" spans="1:41">
      <c r="A149" s="166"/>
      <c r="B149" s="3" t="s">
        <v>10</v>
      </c>
      <c r="C149" s="9">
        <v>0</v>
      </c>
      <c r="D149" s="9"/>
      <c r="E149" s="10"/>
      <c r="F149" s="10"/>
      <c r="G149" s="10"/>
      <c r="H149" s="10"/>
      <c r="I149" s="9"/>
      <c r="J149" s="10"/>
      <c r="K149" s="10"/>
      <c r="L149" s="10"/>
      <c r="M149" s="10"/>
      <c r="N149" s="9"/>
      <c r="O149" s="10"/>
      <c r="P149" s="10"/>
      <c r="Q149" s="10"/>
      <c r="R149" s="10"/>
      <c r="S149" s="10"/>
      <c r="T149" s="9"/>
      <c r="U149" s="11"/>
      <c r="V149" s="10"/>
      <c r="W149" s="10"/>
      <c r="X149" s="10"/>
      <c r="Y149" s="10"/>
      <c r="Z149" s="9"/>
      <c r="AA149" s="10"/>
      <c r="AB149" s="10"/>
      <c r="AC149" s="10"/>
      <c r="AD149" s="10"/>
      <c r="AE149" s="9"/>
      <c r="AF149" s="10"/>
      <c r="AG149" s="10"/>
      <c r="AH149" s="10"/>
      <c r="AI149" s="10"/>
      <c r="AJ149" s="10"/>
      <c r="AK149" s="9"/>
      <c r="AL149" s="11"/>
      <c r="AM149" s="93"/>
      <c r="AN149" s="94">
        <f t="shared" si="46"/>
        <v>0</v>
      </c>
      <c r="AO149" s="94">
        <f t="shared" si="47"/>
        <v>0</v>
      </c>
    </row>
    <row r="150" spans="1:41">
      <c r="A150" s="166"/>
      <c r="B150" s="3" t="s">
        <v>7</v>
      </c>
      <c r="C150" s="9"/>
      <c r="D150" s="9"/>
      <c r="E150" s="10">
        <f>E149+E148</f>
        <v>0</v>
      </c>
      <c r="F150" s="10">
        <f>F149+F148</f>
        <v>0</v>
      </c>
      <c r="G150" s="10">
        <f>G149+G148</f>
        <v>0</v>
      </c>
      <c r="H150" s="10">
        <f>H149+H148</f>
        <v>0</v>
      </c>
      <c r="I150" s="9">
        <f>SUM(E150:H150)</f>
        <v>0</v>
      </c>
      <c r="J150" s="10">
        <f>J149+J148</f>
        <v>0</v>
      </c>
      <c r="K150" s="10">
        <f>K149+K148</f>
        <v>0</v>
      </c>
      <c r="L150" s="10">
        <f>L149+L148</f>
        <v>0</v>
      </c>
      <c r="M150" s="10">
        <f>M149+M148</f>
        <v>0</v>
      </c>
      <c r="N150" s="9">
        <f>SUM(J150:M150)</f>
        <v>0</v>
      </c>
      <c r="O150" s="10">
        <f>O149+O148</f>
        <v>0</v>
      </c>
      <c r="P150" s="10">
        <f>P149+P148</f>
        <v>0</v>
      </c>
      <c r="Q150" s="10">
        <f>Q149+Q148</f>
        <v>0</v>
      </c>
      <c r="R150" s="10">
        <f>R149+R148</f>
        <v>0</v>
      </c>
      <c r="S150" s="10">
        <f>S149+S148</f>
        <v>9000</v>
      </c>
      <c r="T150" s="9">
        <f>SUM(O150:S150)</f>
        <v>9000</v>
      </c>
      <c r="U150" s="11">
        <f>T150+N150+I150+D151</f>
        <v>11321</v>
      </c>
      <c r="V150" s="10">
        <f>V149+V148</f>
        <v>0</v>
      </c>
      <c r="W150" s="10">
        <f>W149+W148</f>
        <v>0</v>
      </c>
      <c r="X150" s="10">
        <f>X149+X148</f>
        <v>0</v>
      </c>
      <c r="Y150" s="10">
        <f>Y149+Y148</f>
        <v>0</v>
      </c>
      <c r="Z150" s="9">
        <f>SUM(V150:Y150)</f>
        <v>0</v>
      </c>
      <c r="AA150" s="10">
        <f>AA149+AA148</f>
        <v>0</v>
      </c>
      <c r="AB150" s="10">
        <f>AB149+AB148</f>
        <v>0</v>
      </c>
      <c r="AC150" s="10">
        <f>AC149+AC148</f>
        <v>0</v>
      </c>
      <c r="AD150" s="10">
        <f>AD149+AD148</f>
        <v>0</v>
      </c>
      <c r="AE150" s="9">
        <f>SUM(AA150:AD150)</f>
        <v>0</v>
      </c>
      <c r="AF150" s="10">
        <f>AF149+AF148</f>
        <v>0</v>
      </c>
      <c r="AG150" s="10">
        <f>AG149+AG148</f>
        <v>0</v>
      </c>
      <c r="AH150" s="10">
        <f>AH149+AH148</f>
        <v>0</v>
      </c>
      <c r="AI150" s="10">
        <f>AI149+AI148</f>
        <v>0</v>
      </c>
      <c r="AJ150" s="10">
        <f>AJ149+AJ148</f>
        <v>2000</v>
      </c>
      <c r="AK150" s="9">
        <f>SUM(AF150:AJ150)</f>
        <v>2000</v>
      </c>
      <c r="AL150" s="11">
        <f>AK150+AE150+Z150</f>
        <v>2000</v>
      </c>
      <c r="AM150" s="93"/>
      <c r="AN150" s="94">
        <f t="shared" si="46"/>
        <v>0</v>
      </c>
      <c r="AO150" s="94">
        <f t="shared" si="47"/>
        <v>0</v>
      </c>
    </row>
    <row r="151" spans="1:41">
      <c r="A151" s="167"/>
      <c r="B151" s="2" t="s">
        <v>8</v>
      </c>
      <c r="C151" s="65">
        <v>3690</v>
      </c>
      <c r="D151" s="95">
        <v>2321</v>
      </c>
      <c r="E151" s="81">
        <f>E150-E147</f>
        <v>0</v>
      </c>
      <c r="F151" s="10">
        <f>E151+F150-F147</f>
        <v>1932</v>
      </c>
      <c r="G151" s="10">
        <f>F151+G150-G147</f>
        <v>932</v>
      </c>
      <c r="H151" s="10">
        <f>G151+H150-H147</f>
        <v>-69</v>
      </c>
      <c r="I151" s="9">
        <f>I150-I147</f>
        <v>-69</v>
      </c>
      <c r="J151" s="10">
        <f>I151+J150-J147</f>
        <v>-1070</v>
      </c>
      <c r="K151" s="10">
        <f>J151+K150-K147</f>
        <v>-2071</v>
      </c>
      <c r="L151" s="10">
        <f>K151+L150-L147</f>
        <v>-3072</v>
      </c>
      <c r="M151" s="10">
        <f>L151+M150-M147</f>
        <v>-4073</v>
      </c>
      <c r="N151" s="9">
        <f>I151+N150-N147</f>
        <v>-4073</v>
      </c>
      <c r="O151" s="10">
        <f>N151+O150-O147</f>
        <v>-4073</v>
      </c>
      <c r="P151" s="10">
        <f>O151+P150-P147</f>
        <v>-4574</v>
      </c>
      <c r="Q151" s="10">
        <f>P151+Q150-Q147</f>
        <v>-5075</v>
      </c>
      <c r="R151" s="10">
        <f t="shared" ref="R151" si="54">Q151+R150-R147</f>
        <v>-5576</v>
      </c>
      <c r="S151" s="10">
        <f>R151+S150-S147</f>
        <v>2923</v>
      </c>
      <c r="T151" s="9">
        <f>N151+T150-T147</f>
        <v>2923</v>
      </c>
      <c r="U151" s="9">
        <f>U150-U147</f>
        <v>2923</v>
      </c>
      <c r="V151" s="10">
        <f>U151+V150-V147</f>
        <v>2923</v>
      </c>
      <c r="W151" s="10">
        <f>V151+W150-W147</f>
        <v>2923</v>
      </c>
      <c r="X151" s="10">
        <f>W151+X150-X147</f>
        <v>2923</v>
      </c>
      <c r="Y151" s="10">
        <f>X151+Y150-Y147</f>
        <v>2923</v>
      </c>
      <c r="Z151" s="9">
        <f>T151+Z150-Z147</f>
        <v>2923</v>
      </c>
      <c r="AA151" s="10">
        <f>Z151+AA150-AA147</f>
        <v>1923</v>
      </c>
      <c r="AB151" s="10">
        <f>AA151+AB150-AB147</f>
        <v>923</v>
      </c>
      <c r="AC151" s="10">
        <f>AB151+AC150-AC147</f>
        <v>-77</v>
      </c>
      <c r="AD151" s="10">
        <f>AC151+AD150-AD147</f>
        <v>-1077</v>
      </c>
      <c r="AE151" s="9">
        <f>Z151+AE150-AE147</f>
        <v>-1077</v>
      </c>
      <c r="AF151" s="10">
        <f>AE151+AF150-AF147</f>
        <v>-1077</v>
      </c>
      <c r="AG151" s="10">
        <f>AF151+AG150-AG147</f>
        <v>-1577</v>
      </c>
      <c r="AH151" s="10">
        <f>AG151+AH150-AH147</f>
        <v>-2077</v>
      </c>
      <c r="AI151" s="10">
        <f t="shared" ref="AI151:AJ151" si="55">AH151+AI150-AI147</f>
        <v>-2577</v>
      </c>
      <c r="AJ151" s="10">
        <f t="shared" si="55"/>
        <v>-1077</v>
      </c>
      <c r="AK151" s="9">
        <f>AE151+AK150-AK147</f>
        <v>-1077</v>
      </c>
      <c r="AL151" s="11">
        <f>T151+AL150-AL147</f>
        <v>-1077</v>
      </c>
      <c r="AM151" s="93"/>
      <c r="AN151" s="94">
        <f t="shared" si="46"/>
        <v>0</v>
      </c>
      <c r="AO151" s="94">
        <f t="shared" si="47"/>
        <v>0</v>
      </c>
    </row>
    <row r="152" spans="1:41">
      <c r="A152" s="82"/>
      <c r="B152" s="3" t="s">
        <v>9</v>
      </c>
      <c r="C152" s="9"/>
      <c r="D152" s="9"/>
      <c r="E152" s="57">
        <f>E151/(SUM(F147+H147+J147+G147)/20)*1000</f>
        <v>0</v>
      </c>
      <c r="F152" s="57">
        <f>F151/(SUM(G147+K147+J147+H147)/20)*1000</f>
        <v>9652.7604296777408</v>
      </c>
      <c r="G152" s="57">
        <f>G151/(SUM(H147+J147+K147+L147)/20)*1000</f>
        <v>4655.3446553446556</v>
      </c>
      <c r="H152" s="57">
        <f>H151/(SUM(M147+J147+K147+L147)/20)*1000</f>
        <v>-344.65534465534472</v>
      </c>
      <c r="I152" s="12"/>
      <c r="J152" s="57">
        <f>J151/(SUM(K147+M147+O147+L147)/20)*1000</f>
        <v>-7126.2071262071258</v>
      </c>
      <c r="K152" s="57">
        <f>K151/(SUM(L147+P147+O147+M147)/20)*1000</f>
        <v>-16548.142229324811</v>
      </c>
      <c r="L152" s="57">
        <f>L151/(SUM(M147+O147+P147+Q147)/20)*1000</f>
        <v>-30673.989016475287</v>
      </c>
      <c r="M152" s="57">
        <f>M151/(SUM(R147+O147+P147+Q147)/20)*1000</f>
        <v>-54198.27012641383</v>
      </c>
      <c r="N152" s="12"/>
      <c r="O152" s="57">
        <f>O151/(SUM(P147+R147+S147+Q147)/20)*1000</f>
        <v>-40648.702594810384</v>
      </c>
      <c r="P152" s="57">
        <f>P151/(SUM(Q147+S147+V147+R147)/20)*1000</f>
        <v>-60864.936793080502</v>
      </c>
      <c r="Q152" s="57">
        <f>Q151/(SUM(R147+S147+W147+V147)/20)*1000</f>
        <v>-101297.40518962077</v>
      </c>
      <c r="R152" s="57">
        <f>R151/(SUM(T147+U147+V147+W147)/20)*1000</f>
        <v>-10721.015189386655</v>
      </c>
      <c r="S152" s="57">
        <f>S151/(SUM(S147+V147+W147+X147)/20)*1000</f>
        <v>116686.62674650698</v>
      </c>
      <c r="T152" s="12"/>
      <c r="U152" s="13"/>
      <c r="V152" s="57">
        <f>V151/(SUM(W147+Y147+AA147+X147)/20)*1000</f>
        <v>58460</v>
      </c>
      <c r="W152" s="57">
        <f>V151/(SUM(X147+AA147+AB147+Y147)/20)*1000</f>
        <v>29230</v>
      </c>
      <c r="X152" s="57">
        <f>W151/(SUM(Y147+AA147+AB147+AC147)/20)*1000</f>
        <v>19486.666666666668</v>
      </c>
      <c r="Y152" s="57">
        <f>Y151/(SUM(AA147+AB147+AC147+AD147)/20)*1000</f>
        <v>14615</v>
      </c>
      <c r="Z152" s="12"/>
      <c r="AA152" s="57">
        <f>AA151/(SUM(AB147+AD147+AF147+AC147)/20)*1000</f>
        <v>12820</v>
      </c>
      <c r="AB152" s="57">
        <f>AB151/(SUM(AC147+AF147+AG147+AD147)/20)*1000</f>
        <v>7384</v>
      </c>
      <c r="AC152" s="57">
        <f>AC151/(SUM(AD147+AF147+AG147+AH147)/20)*1000</f>
        <v>-770</v>
      </c>
      <c r="AD152" s="57">
        <f>AD151/(SUM(AF147+AG147+AH147+AI147)/20)*1000</f>
        <v>-14360</v>
      </c>
      <c r="AE152" s="12"/>
      <c r="AF152" s="57">
        <f>AF151/(SUM(AG147+AI147+AJ147+AH147)/20)*1000</f>
        <v>-10770</v>
      </c>
      <c r="AG152" s="57">
        <f>AG151/(SUM(AH147+AJ147+AM147+AI147)/20)*1000</f>
        <v>-19373.464373464372</v>
      </c>
      <c r="AH152" s="57">
        <f>AH151/(SUM(AI147+AJ147+AN147+AM147)/20)*1000</f>
        <v>-38.603364830606132</v>
      </c>
      <c r="AI152" s="57">
        <f>AI151/(SUM(AK147+AL147+AM147+AN147)/20)*1000</f>
        <v>-47.586864031200143</v>
      </c>
      <c r="AJ152" s="57">
        <f>AJ151/(SUM(AJ147+AM147+AN147+AO147)/20)*1000</f>
        <v>-11.683839850030266</v>
      </c>
      <c r="AK152" s="12"/>
      <c r="AL152" s="13"/>
      <c r="AM152" s="93"/>
      <c r="AN152" s="94">
        <f t="shared" si="46"/>
        <v>0</v>
      </c>
      <c r="AO152" s="94">
        <f t="shared" si="47"/>
        <v>0</v>
      </c>
    </row>
    <row r="153" spans="1:41">
      <c r="A153" s="165" t="s">
        <v>112</v>
      </c>
      <c r="B153" s="1" t="s">
        <v>5</v>
      </c>
      <c r="C153" s="9"/>
      <c r="D153" s="9"/>
      <c r="E153" s="10"/>
      <c r="F153" s="10">
        <v>0</v>
      </c>
      <c r="G153" s="10">
        <v>0</v>
      </c>
      <c r="H153" s="10">
        <v>0</v>
      </c>
      <c r="I153" s="9">
        <f>SUM(E153:H153)</f>
        <v>0</v>
      </c>
      <c r="J153" s="10">
        <v>0</v>
      </c>
      <c r="K153" s="10">
        <v>0</v>
      </c>
      <c r="L153" s="10">
        <v>0</v>
      </c>
      <c r="M153" s="10">
        <v>0</v>
      </c>
      <c r="N153" s="9">
        <f>SUM(J153:M153)</f>
        <v>0</v>
      </c>
      <c r="O153" s="10">
        <v>0</v>
      </c>
      <c r="P153" s="10">
        <v>0</v>
      </c>
      <c r="Q153" s="10">
        <v>0</v>
      </c>
      <c r="R153" s="10">
        <v>0</v>
      </c>
      <c r="S153" s="10">
        <v>0</v>
      </c>
      <c r="T153" s="9">
        <f>SUM(O153:S153)</f>
        <v>0</v>
      </c>
      <c r="U153" s="11">
        <f>T153+N153+I153+D157</f>
        <v>0</v>
      </c>
      <c r="V153" s="10">
        <v>0</v>
      </c>
      <c r="W153" s="10">
        <v>0</v>
      </c>
      <c r="X153" s="10">
        <v>0</v>
      </c>
      <c r="Y153" s="10">
        <v>0</v>
      </c>
      <c r="Z153" s="9">
        <f>SUM(V153:Y153)</f>
        <v>0</v>
      </c>
      <c r="AA153" s="10">
        <v>0</v>
      </c>
      <c r="AB153" s="10">
        <v>0</v>
      </c>
      <c r="AC153" s="10">
        <v>0</v>
      </c>
      <c r="AD153" s="10">
        <v>0</v>
      </c>
      <c r="AE153" s="9">
        <f>SUM(AA153:AD153)</f>
        <v>0</v>
      </c>
      <c r="AF153" s="10">
        <v>0</v>
      </c>
      <c r="AG153" s="10">
        <v>0</v>
      </c>
      <c r="AH153" s="10">
        <v>0</v>
      </c>
      <c r="AI153" s="10">
        <v>0</v>
      </c>
      <c r="AJ153" s="10">
        <v>0</v>
      </c>
      <c r="AK153" s="9">
        <f>SUM(AF153:AJ153)</f>
        <v>0</v>
      </c>
      <c r="AL153" s="11">
        <f>AK153+AE153+Z153</f>
        <v>0</v>
      </c>
      <c r="AM153" s="93">
        <v>256</v>
      </c>
      <c r="AN153" s="94">
        <f t="shared" si="46"/>
        <v>0</v>
      </c>
      <c r="AO153" s="94">
        <f t="shared" si="47"/>
        <v>0</v>
      </c>
    </row>
    <row r="154" spans="1:41">
      <c r="A154" s="166"/>
      <c r="B154" s="3" t="s">
        <v>6</v>
      </c>
      <c r="C154" s="9"/>
      <c r="D154" s="9"/>
      <c r="E154" s="10"/>
      <c r="F154" s="10"/>
      <c r="G154" s="10"/>
      <c r="H154" s="10"/>
      <c r="I154" s="9">
        <f>SUM(E154:H154)</f>
        <v>0</v>
      </c>
      <c r="J154" s="10"/>
      <c r="K154" s="10"/>
      <c r="L154" s="10"/>
      <c r="M154" s="10"/>
      <c r="N154" s="9">
        <f>SUM(J154:M154)</f>
        <v>0</v>
      </c>
      <c r="O154" s="10"/>
      <c r="P154" s="10"/>
      <c r="Q154" s="10"/>
      <c r="R154" s="10"/>
      <c r="S154" s="10"/>
      <c r="T154" s="9">
        <f>SUM(O154:S154)</f>
        <v>0</v>
      </c>
      <c r="U154" s="11">
        <f>I154+N154+T154</f>
        <v>0</v>
      </c>
      <c r="V154" s="10"/>
      <c r="W154" s="10"/>
      <c r="X154" s="10"/>
      <c r="Y154" s="10"/>
      <c r="Z154" s="9">
        <f>SUM(V154:Y154)</f>
        <v>0</v>
      </c>
      <c r="AA154" s="10"/>
      <c r="AB154" s="10"/>
      <c r="AC154" s="10"/>
      <c r="AD154" s="10"/>
      <c r="AE154" s="9">
        <f>SUM(AA154:AD154)</f>
        <v>0</v>
      </c>
      <c r="AF154" s="10"/>
      <c r="AG154" s="10"/>
      <c r="AH154" s="10"/>
      <c r="AI154" s="10"/>
      <c r="AJ154" s="10"/>
      <c r="AK154" s="9">
        <f>SUM(AF154:AJ154)</f>
        <v>0</v>
      </c>
      <c r="AL154" s="11">
        <f>Z154+AE154+AK154</f>
        <v>0</v>
      </c>
      <c r="AM154" s="93"/>
      <c r="AN154" s="94">
        <f t="shared" si="46"/>
        <v>0</v>
      </c>
      <c r="AO154" s="94">
        <f t="shared" si="47"/>
        <v>0</v>
      </c>
    </row>
    <row r="155" spans="1:41">
      <c r="A155" s="166"/>
      <c r="B155" s="3" t="s">
        <v>10</v>
      </c>
      <c r="C155" s="9">
        <v>0</v>
      </c>
      <c r="D155" s="9"/>
      <c r="E155" s="10"/>
      <c r="F155" s="10"/>
      <c r="G155" s="10"/>
      <c r="H155" s="10"/>
      <c r="I155" s="9"/>
      <c r="J155" s="10"/>
      <c r="K155" s="10"/>
      <c r="L155" s="10"/>
      <c r="M155" s="10"/>
      <c r="N155" s="9"/>
      <c r="O155" s="10"/>
      <c r="P155" s="10"/>
      <c r="Q155" s="10"/>
      <c r="R155" s="10"/>
      <c r="S155" s="10"/>
      <c r="T155" s="9"/>
      <c r="U155" s="11"/>
      <c r="V155" s="10"/>
      <c r="W155" s="10"/>
      <c r="X155" s="10"/>
      <c r="Y155" s="10"/>
      <c r="Z155" s="9"/>
      <c r="AA155" s="10"/>
      <c r="AB155" s="10"/>
      <c r="AC155" s="10"/>
      <c r="AD155" s="10"/>
      <c r="AE155" s="9"/>
      <c r="AF155" s="10"/>
      <c r="AG155" s="10"/>
      <c r="AH155" s="10"/>
      <c r="AI155" s="10"/>
      <c r="AJ155" s="10"/>
      <c r="AK155" s="9"/>
      <c r="AL155" s="11"/>
      <c r="AM155" s="93"/>
      <c r="AN155" s="94">
        <f t="shared" si="46"/>
        <v>0</v>
      </c>
      <c r="AO155" s="94">
        <f t="shared" si="47"/>
        <v>0</v>
      </c>
    </row>
    <row r="156" spans="1:41">
      <c r="A156" s="166"/>
      <c r="B156" s="3" t="s">
        <v>7</v>
      </c>
      <c r="C156" s="9"/>
      <c r="D156" s="9"/>
      <c r="E156" s="10">
        <f>E155+E154</f>
        <v>0</v>
      </c>
      <c r="F156" s="10">
        <f>F155+F154</f>
        <v>0</v>
      </c>
      <c r="G156" s="10">
        <f>G155+G154</f>
        <v>0</v>
      </c>
      <c r="H156" s="10">
        <f>H155+H154</f>
        <v>0</v>
      </c>
      <c r="I156" s="9">
        <f>SUM(E156:H156)</f>
        <v>0</v>
      </c>
      <c r="J156" s="10">
        <f>J155+J154</f>
        <v>0</v>
      </c>
      <c r="K156" s="10">
        <f>K155+K154</f>
        <v>0</v>
      </c>
      <c r="L156" s="10">
        <f>L155+L154</f>
        <v>0</v>
      </c>
      <c r="M156" s="10">
        <f>M155+M154</f>
        <v>0</v>
      </c>
      <c r="N156" s="9">
        <f>SUM(J156:M156)</f>
        <v>0</v>
      </c>
      <c r="O156" s="10">
        <f>O155+O154</f>
        <v>0</v>
      </c>
      <c r="P156" s="10">
        <f>P155+P154</f>
        <v>0</v>
      </c>
      <c r="Q156" s="10">
        <f>Q155+Q154</f>
        <v>0</v>
      </c>
      <c r="R156" s="10">
        <f>R155+R154</f>
        <v>0</v>
      </c>
      <c r="S156" s="10">
        <f>S155+S154</f>
        <v>0</v>
      </c>
      <c r="T156" s="9">
        <f>SUM(O156:S156)</f>
        <v>0</v>
      </c>
      <c r="U156" s="11">
        <f>T156+N156+I156+D157</f>
        <v>0</v>
      </c>
      <c r="V156" s="10">
        <f>V155+V154</f>
        <v>0</v>
      </c>
      <c r="W156" s="10">
        <f>W155+W154</f>
        <v>0</v>
      </c>
      <c r="X156" s="10">
        <f>X155+X154</f>
        <v>0</v>
      </c>
      <c r="Y156" s="10">
        <f>Y155+Y154</f>
        <v>0</v>
      </c>
      <c r="Z156" s="9">
        <f>SUM(V156:Y156)</f>
        <v>0</v>
      </c>
      <c r="AA156" s="10">
        <f>AA155+AA154</f>
        <v>0</v>
      </c>
      <c r="AB156" s="10">
        <f>AB155+AB154</f>
        <v>0</v>
      </c>
      <c r="AC156" s="10">
        <f>AC155+AC154</f>
        <v>0</v>
      </c>
      <c r="AD156" s="10">
        <f>AD155+AD154</f>
        <v>0</v>
      </c>
      <c r="AE156" s="9">
        <f>SUM(AA156:AD156)</f>
        <v>0</v>
      </c>
      <c r="AF156" s="10">
        <f>AF155+AF154</f>
        <v>0</v>
      </c>
      <c r="AG156" s="10">
        <f>AG155+AG154</f>
        <v>0</v>
      </c>
      <c r="AH156" s="10">
        <f>AH155+AH154</f>
        <v>0</v>
      </c>
      <c r="AI156" s="10">
        <f>AI155+AI154</f>
        <v>0</v>
      </c>
      <c r="AJ156" s="10">
        <f>AJ155+AJ154</f>
        <v>0</v>
      </c>
      <c r="AK156" s="9">
        <f>SUM(AF156:AJ156)</f>
        <v>0</v>
      </c>
      <c r="AL156" s="11">
        <f>AK156+AE156+Z156</f>
        <v>0</v>
      </c>
      <c r="AM156" s="93"/>
      <c r="AN156" s="94">
        <f t="shared" si="46"/>
        <v>0</v>
      </c>
      <c r="AO156" s="94">
        <f t="shared" si="47"/>
        <v>0</v>
      </c>
    </row>
    <row r="157" spans="1:41">
      <c r="A157" s="167"/>
      <c r="B157" s="2" t="s">
        <v>8</v>
      </c>
      <c r="C157" s="65">
        <v>0</v>
      </c>
      <c r="D157" s="95"/>
      <c r="E157" s="81">
        <f>E156-E153</f>
        <v>0</v>
      </c>
      <c r="F157" s="10">
        <f>E157+F156-F153</f>
        <v>0</v>
      </c>
      <c r="G157" s="10">
        <f>F157+G156-G153</f>
        <v>0</v>
      </c>
      <c r="H157" s="10">
        <f>G157+H156-H153</f>
        <v>0</v>
      </c>
      <c r="I157" s="9">
        <f>I156-I153</f>
        <v>0</v>
      </c>
      <c r="J157" s="10">
        <f>I157+J156-J153</f>
        <v>0</v>
      </c>
      <c r="K157" s="10">
        <f>J157+K156-K153</f>
        <v>0</v>
      </c>
      <c r="L157" s="10">
        <f>K157+L156-L153</f>
        <v>0</v>
      </c>
      <c r="M157" s="10">
        <f>L157+M156-M153</f>
        <v>0</v>
      </c>
      <c r="N157" s="9">
        <f>I157+N156-N153</f>
        <v>0</v>
      </c>
      <c r="O157" s="10">
        <f>N157+O156-O153</f>
        <v>0</v>
      </c>
      <c r="P157" s="10">
        <f>O157+P156-P153</f>
        <v>0</v>
      </c>
      <c r="Q157" s="10">
        <f>P157+Q156-Q153</f>
        <v>0</v>
      </c>
      <c r="R157" s="10">
        <f t="shared" ref="R157" si="56">Q157+R156-R153</f>
        <v>0</v>
      </c>
      <c r="S157" s="10">
        <f>R157+S156-S153</f>
        <v>0</v>
      </c>
      <c r="T157" s="9">
        <f>N157+T156-T153</f>
        <v>0</v>
      </c>
      <c r="U157" s="9">
        <f>U156-U153</f>
        <v>0</v>
      </c>
      <c r="V157" s="10">
        <f>U157+V156-V153</f>
        <v>0</v>
      </c>
      <c r="W157" s="10">
        <f>V157+W156-W153</f>
        <v>0</v>
      </c>
      <c r="X157" s="10">
        <f>W157+X156-X153</f>
        <v>0</v>
      </c>
      <c r="Y157" s="10">
        <f>X157+Y156-Y153</f>
        <v>0</v>
      </c>
      <c r="Z157" s="9">
        <f>T157+Z156-Z153</f>
        <v>0</v>
      </c>
      <c r="AA157" s="10">
        <f>Z157+AA156-AA153</f>
        <v>0</v>
      </c>
      <c r="AB157" s="10">
        <f>AA157+AB156-AB153</f>
        <v>0</v>
      </c>
      <c r="AC157" s="10">
        <f>AB157+AC156-AC153</f>
        <v>0</v>
      </c>
      <c r="AD157" s="10">
        <f>AC157+AD156-AD153</f>
        <v>0</v>
      </c>
      <c r="AE157" s="9">
        <f>Z157+AE156-AE153</f>
        <v>0</v>
      </c>
      <c r="AF157" s="10">
        <f>AE157+AF156-AF153</f>
        <v>0</v>
      </c>
      <c r="AG157" s="10">
        <f>AF157+AG156-AG153</f>
        <v>0</v>
      </c>
      <c r="AH157" s="10">
        <f>AG157+AH156-AH153</f>
        <v>0</v>
      </c>
      <c r="AI157" s="10">
        <f t="shared" ref="AI157:AJ157" si="57">AH157+AI156-AI153</f>
        <v>0</v>
      </c>
      <c r="AJ157" s="10">
        <f t="shared" si="57"/>
        <v>0</v>
      </c>
      <c r="AK157" s="9">
        <f>AE157+AK156-AK153</f>
        <v>0</v>
      </c>
      <c r="AL157" s="11">
        <f>T157+AL156-AL153</f>
        <v>0</v>
      </c>
      <c r="AM157" s="93"/>
      <c r="AN157" s="94">
        <f t="shared" si="46"/>
        <v>0</v>
      </c>
      <c r="AO157" s="94">
        <f t="shared" si="47"/>
        <v>0</v>
      </c>
    </row>
    <row r="158" spans="1:41">
      <c r="A158" s="82"/>
      <c r="B158" s="3" t="s">
        <v>9</v>
      </c>
      <c r="C158" s="9"/>
      <c r="D158" s="9"/>
      <c r="E158" s="57" t="e">
        <f>E157/(SUM(F153+H153+J153+G153)/20)*1000</f>
        <v>#DIV/0!</v>
      </c>
      <c r="F158" s="57" t="e">
        <f>F157/(SUM(G153+K153+J153+H153)/20)*1000</f>
        <v>#DIV/0!</v>
      </c>
      <c r="G158" s="57" t="e">
        <f>G157/(SUM(H153+J153+K153+L153)/20)*1000</f>
        <v>#DIV/0!</v>
      </c>
      <c r="H158" s="57" t="e">
        <f>H157/(SUM(M153+J153+K153+L153)/20)*1000</f>
        <v>#DIV/0!</v>
      </c>
      <c r="I158" s="12"/>
      <c r="J158" s="57" t="e">
        <f>J157/(SUM(K153+M153+O153+L153)/20)*1000</f>
        <v>#DIV/0!</v>
      </c>
      <c r="K158" s="57" t="e">
        <f>K157/(SUM(L153+P153+O153+M153)/20)*1000</f>
        <v>#DIV/0!</v>
      </c>
      <c r="L158" s="57" t="e">
        <f>L157/(SUM(M153+O153+P153+Q153)/20)*1000</f>
        <v>#DIV/0!</v>
      </c>
      <c r="M158" s="57" t="e">
        <f>M157/(SUM(R153+O153+P153+Q153)/20)*1000</f>
        <v>#DIV/0!</v>
      </c>
      <c r="N158" s="12"/>
      <c r="O158" s="57" t="e">
        <f>O157/(SUM(P153+R153+S153+Q153)/20)*1000</f>
        <v>#DIV/0!</v>
      </c>
      <c r="P158" s="57" t="e">
        <f>P157/(SUM(Q153+S153+V153+R153)/20)*1000</f>
        <v>#DIV/0!</v>
      </c>
      <c r="Q158" s="57" t="e">
        <f>Q157/(SUM(R153+S153+W153+V153)/20)*1000</f>
        <v>#DIV/0!</v>
      </c>
      <c r="R158" s="57" t="e">
        <f>R157/(SUM(T153+U153+V153+W153)/20)*1000</f>
        <v>#DIV/0!</v>
      </c>
      <c r="S158" s="57" t="e">
        <f>S157/(SUM(S153+V153+W153+X153)/20)*1000</f>
        <v>#DIV/0!</v>
      </c>
      <c r="T158" s="12"/>
      <c r="U158" s="13"/>
      <c r="V158" s="57" t="e">
        <f>V157/(SUM(W153+Y153+AA153+X153)/20)*1000</f>
        <v>#DIV/0!</v>
      </c>
      <c r="W158" s="57" t="e">
        <f>V157/(SUM(X153+AA153+AB153+Y153)/20)*1000</f>
        <v>#DIV/0!</v>
      </c>
      <c r="X158" s="57" t="e">
        <f>W157/(SUM(Y153+AA153+AB153+AC153)/20)*1000</f>
        <v>#DIV/0!</v>
      </c>
      <c r="Y158" s="57" t="e">
        <f>Y157/(SUM(AA153+AB153+AC153+AD153)/20)*1000</f>
        <v>#DIV/0!</v>
      </c>
      <c r="Z158" s="12"/>
      <c r="AA158" s="57" t="e">
        <f>AA157/(SUM(AB153+AD153+AF153+AC153)/20)*1000</f>
        <v>#DIV/0!</v>
      </c>
      <c r="AB158" s="57" t="e">
        <f>AB157/(SUM(AC153+AF153+AG153+AD153)/20)*1000</f>
        <v>#DIV/0!</v>
      </c>
      <c r="AC158" s="57" t="e">
        <f>AC157/(SUM(AD153+AF153+AG153+AH153)/20)*1000</f>
        <v>#DIV/0!</v>
      </c>
      <c r="AD158" s="57" t="e">
        <f>AD157/(SUM(AF153+AG153+AH153+AI153)/20)*1000</f>
        <v>#DIV/0!</v>
      </c>
      <c r="AE158" s="12"/>
      <c r="AF158" s="57" t="e">
        <f>AF157/(SUM(AG153+AI153+AJ153+AH153)/20)*1000</f>
        <v>#DIV/0!</v>
      </c>
      <c r="AG158" s="57">
        <f>AG157/(SUM(AH153+AJ153+AM153+AI153)/20)*1000</f>
        <v>0</v>
      </c>
      <c r="AH158" s="57">
        <f>AH157/(SUM(AI153+AJ153+AN153+AM153)/20)*1000</f>
        <v>0</v>
      </c>
      <c r="AI158" s="57">
        <f>AI157/(SUM(AK153+AL153+AM153+AN153)/20)*1000</f>
        <v>0</v>
      </c>
      <c r="AJ158" s="57">
        <f>AJ157/(SUM(AJ153+AM153+AN153+AO153)/20)*1000</f>
        <v>0</v>
      </c>
      <c r="AK158" s="12"/>
      <c r="AL158" s="13"/>
      <c r="AM158" s="93"/>
      <c r="AN158" s="94">
        <f t="shared" si="46"/>
        <v>0</v>
      </c>
      <c r="AO158" s="94">
        <f t="shared" si="47"/>
        <v>0</v>
      </c>
    </row>
    <row r="159" spans="1:41">
      <c r="A159" s="165" t="s">
        <v>19</v>
      </c>
      <c r="B159" s="1" t="s">
        <v>5</v>
      </c>
      <c r="C159" s="9"/>
      <c r="D159" s="9"/>
      <c r="E159" s="10">
        <v>10</v>
      </c>
      <c r="F159" s="10">
        <v>-784</v>
      </c>
      <c r="G159" s="10">
        <v>656</v>
      </c>
      <c r="H159" s="10">
        <v>2229</v>
      </c>
      <c r="I159" s="9">
        <f>SUM(E159:H159)</f>
        <v>2111</v>
      </c>
      <c r="J159" s="10">
        <v>396</v>
      </c>
      <c r="K159" s="10">
        <v>990</v>
      </c>
      <c r="L159" s="10">
        <v>1243</v>
      </c>
      <c r="M159" s="10">
        <v>3183</v>
      </c>
      <c r="N159" s="9">
        <f>SUM(J159:M159)</f>
        <v>5812</v>
      </c>
      <c r="O159" s="10">
        <v>111</v>
      </c>
      <c r="P159" s="10">
        <v>1173</v>
      </c>
      <c r="Q159" s="10">
        <v>2776</v>
      </c>
      <c r="R159" s="10">
        <v>828</v>
      </c>
      <c r="S159" s="10">
        <v>388</v>
      </c>
      <c r="T159" s="9">
        <f>SUM(O159:S159)</f>
        <v>5276</v>
      </c>
      <c r="U159" s="11">
        <f>T159+N159+I159+D163</f>
        <v>16933</v>
      </c>
      <c r="V159" s="10">
        <v>526</v>
      </c>
      <c r="W159" s="10">
        <v>647</v>
      </c>
      <c r="X159" s="10">
        <v>696</v>
      </c>
      <c r="Y159" s="10">
        <v>526</v>
      </c>
      <c r="Z159" s="9">
        <f>SUM(V159:Y159)</f>
        <v>2395</v>
      </c>
      <c r="AA159" s="10">
        <v>396</v>
      </c>
      <c r="AB159" s="10">
        <v>1028</v>
      </c>
      <c r="AC159" s="10">
        <v>896</v>
      </c>
      <c r="AD159" s="10">
        <v>3251</v>
      </c>
      <c r="AE159" s="9">
        <f>SUM(AA159:AD159)</f>
        <v>5571</v>
      </c>
      <c r="AF159" s="10">
        <v>161</v>
      </c>
      <c r="AG159" s="10">
        <v>1173</v>
      </c>
      <c r="AH159" s="10">
        <v>3171</v>
      </c>
      <c r="AI159" s="10">
        <v>828</v>
      </c>
      <c r="AJ159" s="10">
        <v>388</v>
      </c>
      <c r="AK159" s="9">
        <f>SUM(AF159:AJ159)</f>
        <v>5721</v>
      </c>
      <c r="AL159" s="11">
        <f>AK159+AE159+Z159</f>
        <v>13687</v>
      </c>
      <c r="AM159" s="93">
        <v>64</v>
      </c>
      <c r="AN159" s="94">
        <f t="shared" si="46"/>
        <v>1083712</v>
      </c>
      <c r="AO159" s="94">
        <f t="shared" si="47"/>
        <v>875968</v>
      </c>
    </row>
    <row r="160" spans="1:41">
      <c r="A160" s="166"/>
      <c r="B160" s="3" t="s">
        <v>6</v>
      </c>
      <c r="C160" s="9"/>
      <c r="D160" s="9"/>
      <c r="E160" s="10">
        <v>10</v>
      </c>
      <c r="F160" s="10"/>
      <c r="G160" s="10"/>
      <c r="H160" s="10"/>
      <c r="I160" s="9">
        <f>SUM(E160:H160)</f>
        <v>10</v>
      </c>
      <c r="J160" s="10"/>
      <c r="K160" s="10"/>
      <c r="L160" s="10"/>
      <c r="M160" s="10"/>
      <c r="N160" s="9">
        <f>SUM(J160:M160)</f>
        <v>0</v>
      </c>
      <c r="O160" s="10"/>
      <c r="P160" s="10"/>
      <c r="Q160" s="10"/>
      <c r="R160" s="10"/>
      <c r="S160" s="97">
        <v>6000</v>
      </c>
      <c r="T160" s="9">
        <f>SUM(O160:S160)</f>
        <v>6000</v>
      </c>
      <c r="U160" s="11">
        <f>I160+N160+T160</f>
        <v>6010</v>
      </c>
      <c r="V160" s="10"/>
      <c r="W160" s="10"/>
      <c r="X160" s="10"/>
      <c r="Y160" s="10"/>
      <c r="Z160" s="9">
        <f>SUM(V160:Y160)</f>
        <v>0</v>
      </c>
      <c r="AA160" s="10"/>
      <c r="AB160" s="10"/>
      <c r="AC160" s="10"/>
      <c r="AD160" s="10"/>
      <c r="AE160" s="9">
        <f>SUM(AA160:AD160)</f>
        <v>0</v>
      </c>
      <c r="AF160" s="10"/>
      <c r="AG160" s="10"/>
      <c r="AH160" s="10"/>
      <c r="AI160" s="10"/>
      <c r="AJ160" s="10"/>
      <c r="AK160" s="9">
        <f>SUM(AF160:AJ160)</f>
        <v>0</v>
      </c>
      <c r="AL160" s="11">
        <f>Z160+AE160+AK160</f>
        <v>0</v>
      </c>
      <c r="AM160" s="93"/>
      <c r="AN160" s="94">
        <f t="shared" si="46"/>
        <v>0</v>
      </c>
      <c r="AO160" s="94">
        <f t="shared" si="47"/>
        <v>0</v>
      </c>
    </row>
    <row r="161" spans="1:41">
      <c r="A161" s="166"/>
      <c r="B161" s="3" t="s">
        <v>10</v>
      </c>
      <c r="C161" s="9">
        <v>10000</v>
      </c>
      <c r="D161" s="9"/>
      <c r="E161" s="10"/>
      <c r="F161" s="10">
        <v>10000</v>
      </c>
      <c r="G161" s="10"/>
      <c r="H161" s="10"/>
      <c r="I161" s="9"/>
      <c r="J161" s="10"/>
      <c r="K161" s="10"/>
      <c r="L161" s="10"/>
      <c r="M161" s="10"/>
      <c r="N161" s="9"/>
      <c r="O161" s="10"/>
      <c r="P161" s="10"/>
      <c r="Q161" s="10"/>
      <c r="R161" s="10"/>
      <c r="S161" s="10"/>
      <c r="T161" s="9"/>
      <c r="U161" s="11"/>
      <c r="V161" s="10"/>
      <c r="W161" s="10"/>
      <c r="X161" s="10"/>
      <c r="Y161" s="10"/>
      <c r="Z161" s="9"/>
      <c r="AA161" s="10"/>
      <c r="AB161" s="10"/>
      <c r="AC161" s="10"/>
      <c r="AD161" s="10"/>
      <c r="AE161" s="9"/>
      <c r="AF161" s="10"/>
      <c r="AG161" s="10"/>
      <c r="AH161" s="10"/>
      <c r="AI161" s="10"/>
      <c r="AJ161" s="10"/>
      <c r="AK161" s="9"/>
      <c r="AL161" s="11"/>
      <c r="AM161" s="93"/>
      <c r="AN161" s="94">
        <f t="shared" si="46"/>
        <v>0</v>
      </c>
      <c r="AO161" s="94">
        <f t="shared" si="47"/>
        <v>0</v>
      </c>
    </row>
    <row r="162" spans="1:41">
      <c r="A162" s="166"/>
      <c r="B162" s="3" t="s">
        <v>7</v>
      </c>
      <c r="C162" s="9"/>
      <c r="D162" s="9"/>
      <c r="E162" s="10">
        <f>E161+E160</f>
        <v>10</v>
      </c>
      <c r="F162" s="10">
        <f>F161+F160</f>
        <v>10000</v>
      </c>
      <c r="G162" s="10">
        <f>G161+G160</f>
        <v>0</v>
      </c>
      <c r="H162" s="10">
        <f>H161+H160</f>
        <v>0</v>
      </c>
      <c r="I162" s="9">
        <f>SUM(E162:H162)</f>
        <v>10010</v>
      </c>
      <c r="J162" s="10">
        <f>J161+J160</f>
        <v>0</v>
      </c>
      <c r="K162" s="10">
        <f>K161+K160</f>
        <v>0</v>
      </c>
      <c r="L162" s="10">
        <f>L161+L160</f>
        <v>0</v>
      </c>
      <c r="M162" s="10">
        <f>M161+M160</f>
        <v>0</v>
      </c>
      <c r="N162" s="9">
        <f>SUM(J162:M162)</f>
        <v>0</v>
      </c>
      <c r="O162" s="10">
        <f>O161+O160</f>
        <v>0</v>
      </c>
      <c r="P162" s="10">
        <f>P161+P160</f>
        <v>0</v>
      </c>
      <c r="Q162" s="10">
        <f>Q161+Q160</f>
        <v>0</v>
      </c>
      <c r="R162" s="10">
        <f>R161+R160</f>
        <v>0</v>
      </c>
      <c r="S162" s="10">
        <f>S161+S160</f>
        <v>6000</v>
      </c>
      <c r="T162" s="9">
        <f>SUM(O162:S162)</f>
        <v>6000</v>
      </c>
      <c r="U162" s="11">
        <f>T162+N162+I162+D163</f>
        <v>19744</v>
      </c>
      <c r="V162" s="10">
        <f>V161+V160</f>
        <v>0</v>
      </c>
      <c r="W162" s="10">
        <f>W161+W160</f>
        <v>0</v>
      </c>
      <c r="X162" s="10">
        <f>X161+X160</f>
        <v>0</v>
      </c>
      <c r="Y162" s="10">
        <f>Y161+Y160</f>
        <v>0</v>
      </c>
      <c r="Z162" s="9">
        <f>SUM(V162:Y162)</f>
        <v>0</v>
      </c>
      <c r="AA162" s="10">
        <f>AA161+AA160</f>
        <v>0</v>
      </c>
      <c r="AB162" s="10">
        <f>AB161+AB160</f>
        <v>0</v>
      </c>
      <c r="AC162" s="10">
        <f>AC161+AC160</f>
        <v>0</v>
      </c>
      <c r="AD162" s="10">
        <f>AD161+AD160</f>
        <v>0</v>
      </c>
      <c r="AE162" s="9">
        <f>SUM(AA162:AD162)</f>
        <v>0</v>
      </c>
      <c r="AF162" s="10">
        <f>AF161+AF160</f>
        <v>0</v>
      </c>
      <c r="AG162" s="10">
        <f>AG161+AG160</f>
        <v>0</v>
      </c>
      <c r="AH162" s="10">
        <f>AH161+AH160</f>
        <v>0</v>
      </c>
      <c r="AI162" s="10">
        <f>AI161+AI160</f>
        <v>0</v>
      </c>
      <c r="AJ162" s="10">
        <f>AJ161+AJ160</f>
        <v>0</v>
      </c>
      <c r="AK162" s="9">
        <f>SUM(AF162:AJ162)</f>
        <v>0</v>
      </c>
      <c r="AL162" s="11">
        <f>AK162+AE162+Z162</f>
        <v>0</v>
      </c>
      <c r="AM162" s="93"/>
      <c r="AN162" s="94">
        <f t="shared" si="46"/>
        <v>0</v>
      </c>
      <c r="AO162" s="94">
        <f t="shared" si="47"/>
        <v>0</v>
      </c>
    </row>
    <row r="163" spans="1:41">
      <c r="A163" s="167"/>
      <c r="B163" s="2" t="s">
        <v>8</v>
      </c>
      <c r="C163" s="65">
        <v>12738</v>
      </c>
      <c r="D163" s="95">
        <v>3734</v>
      </c>
      <c r="E163" s="81">
        <f>E162-E159</f>
        <v>0</v>
      </c>
      <c r="F163" s="10">
        <f>E163+F162-F159</f>
        <v>10784</v>
      </c>
      <c r="G163" s="10">
        <f>F163+G162-G159</f>
        <v>10128</v>
      </c>
      <c r="H163" s="10">
        <f>G163+H162-H159</f>
        <v>7899</v>
      </c>
      <c r="I163" s="9">
        <f>I162-I159</f>
        <v>7899</v>
      </c>
      <c r="J163" s="10">
        <f>I163+J162-J159</f>
        <v>7503</v>
      </c>
      <c r="K163" s="10">
        <f>J163+K162-K159</f>
        <v>6513</v>
      </c>
      <c r="L163" s="10">
        <f>K163+L162-L159</f>
        <v>5270</v>
      </c>
      <c r="M163" s="10">
        <f>L163+M162-M159</f>
        <v>2087</v>
      </c>
      <c r="N163" s="9">
        <f>I163+N162-N159</f>
        <v>2087</v>
      </c>
      <c r="O163" s="10">
        <f>N163+O162-O159</f>
        <v>1976</v>
      </c>
      <c r="P163" s="10">
        <f>O163+P162-P159</f>
        <v>803</v>
      </c>
      <c r="Q163" s="10">
        <f>P163+Q162-Q159</f>
        <v>-1973</v>
      </c>
      <c r="R163" s="10">
        <f t="shared" ref="R163" si="58">Q163+R162-R159</f>
        <v>-2801</v>
      </c>
      <c r="S163" s="10">
        <f>R163+S162-S159</f>
        <v>2811</v>
      </c>
      <c r="T163" s="9">
        <f>N163+T162-T159</f>
        <v>2811</v>
      </c>
      <c r="U163" s="9">
        <f>U162-U159</f>
        <v>2811</v>
      </c>
      <c r="V163" s="10">
        <f>U163+V162-V159</f>
        <v>2285</v>
      </c>
      <c r="W163" s="10">
        <f>V163+W162-W159</f>
        <v>1638</v>
      </c>
      <c r="X163" s="10">
        <f>W163+X162-X159</f>
        <v>942</v>
      </c>
      <c r="Y163" s="10">
        <f>X163+Y162-Y159</f>
        <v>416</v>
      </c>
      <c r="Z163" s="9">
        <f>T163+Z162-Z159</f>
        <v>416</v>
      </c>
      <c r="AA163" s="10">
        <f>Z163+AA162-AA159</f>
        <v>20</v>
      </c>
      <c r="AB163" s="10">
        <f>AA163+AB162-AB159</f>
        <v>-1008</v>
      </c>
      <c r="AC163" s="10">
        <f>AB163+AC162-AC159</f>
        <v>-1904</v>
      </c>
      <c r="AD163" s="10">
        <f>AC163+AD162-AD159</f>
        <v>-5155</v>
      </c>
      <c r="AE163" s="9">
        <f>Z163+AE162-AE159</f>
        <v>-5155</v>
      </c>
      <c r="AF163" s="10">
        <f>AE163+AF162-AF159</f>
        <v>-5316</v>
      </c>
      <c r="AG163" s="10">
        <f>AF163+AG162-AG159</f>
        <v>-6489</v>
      </c>
      <c r="AH163" s="10">
        <f>AG163+AH162-AH159</f>
        <v>-9660</v>
      </c>
      <c r="AI163" s="10">
        <f t="shared" ref="AI163:AJ163" si="59">AH163+AI162-AI159</f>
        <v>-10488</v>
      </c>
      <c r="AJ163" s="10">
        <f t="shared" si="59"/>
        <v>-10876</v>
      </c>
      <c r="AK163" s="9">
        <f>AE163+AK162-AK159</f>
        <v>-10876</v>
      </c>
      <c r="AL163" s="11">
        <f>T163+AL162-AL159</f>
        <v>-10876</v>
      </c>
      <c r="AM163" s="93"/>
      <c r="AN163" s="94">
        <f t="shared" si="46"/>
        <v>0</v>
      </c>
      <c r="AO163" s="94">
        <f t="shared" si="47"/>
        <v>0</v>
      </c>
    </row>
    <row r="164" spans="1:41">
      <c r="A164" s="82"/>
      <c r="B164" s="3" t="s">
        <v>9</v>
      </c>
      <c r="C164" s="9"/>
      <c r="D164" s="9"/>
      <c r="E164" s="57">
        <f>E163/(SUM(F159+H159+J159+G159)/20)*1000</f>
        <v>0</v>
      </c>
      <c r="F164" s="57">
        <f>F163/(SUM(G159+K159+J159+H159)/20)*1000</f>
        <v>50498.712245375784</v>
      </c>
      <c r="G164" s="57">
        <f>G163/(SUM(H159+J159+K159+L159)/20)*1000</f>
        <v>41696.171263894605</v>
      </c>
      <c r="H164" s="57">
        <f>H163/(SUM(M159+J159+K159+L159)/20)*1000</f>
        <v>27181.693048864418</v>
      </c>
      <c r="I164" s="12"/>
      <c r="J164" s="57">
        <f>J163/(SUM(K159+M159+O159+L159)/20)*1000</f>
        <v>27150.352813461192</v>
      </c>
      <c r="K164" s="57">
        <f>K163/(SUM(L159+P159+O159+M159)/20)*1000</f>
        <v>22812.609457092818</v>
      </c>
      <c r="L164" s="57">
        <f>L163/(SUM(M159+O159+P159+Q159)/20)*1000</f>
        <v>14551.981223250035</v>
      </c>
      <c r="M164" s="57">
        <f>M163/(SUM(R159+O159+P159+Q159)/20)*1000</f>
        <v>8539.2798690671025</v>
      </c>
      <c r="N164" s="12"/>
      <c r="O164" s="57">
        <f>O163/(SUM(P159+R159+S159+Q159)/20)*1000</f>
        <v>7651.5004840271058</v>
      </c>
      <c r="P164" s="57">
        <f>P163/(SUM(Q159+S159+V159+R159)/20)*1000</f>
        <v>3554.6702080566624</v>
      </c>
      <c r="Q164" s="57">
        <f>Q163/(SUM(R159+S159+W159+V159)/20)*1000</f>
        <v>-16517.37128505651</v>
      </c>
      <c r="R164" s="57">
        <f>R163/(SUM(T159+U159+V159+W159)/20)*1000</f>
        <v>-2395.8600632965531</v>
      </c>
      <c r="S164" s="57">
        <f>S163/(SUM(S159+V159+W159+X159)/20)*1000</f>
        <v>24909.171466548516</v>
      </c>
      <c r="T164" s="12"/>
      <c r="U164" s="13"/>
      <c r="V164" s="57">
        <f>V163/(SUM(W159+Y159+AA159+X159)/20)*1000</f>
        <v>20176.600441501105</v>
      </c>
      <c r="W164" s="57">
        <f>V163/(SUM(X159+AA159+AB159+Y159)/20)*1000</f>
        <v>17271.352985638699</v>
      </c>
      <c r="X164" s="57">
        <f>W163/(SUM(Y159+AA159+AB159+AC159)/20)*1000</f>
        <v>11510.892480674631</v>
      </c>
      <c r="Y164" s="57">
        <f>Y163/(SUM(AA159+AB159+AC159+AD159)/20)*1000</f>
        <v>1493.4482139651768</v>
      </c>
      <c r="Z164" s="12"/>
      <c r="AA164" s="57">
        <f>AA163/(SUM(AB159+AD159+AF159+AC159)/20)*1000</f>
        <v>74.96251874062969</v>
      </c>
      <c r="AB164" s="57">
        <f>AB163/(SUM(AC159+AF159+AG159+AD159)/20)*1000</f>
        <v>-3678.1609195402298</v>
      </c>
      <c r="AC164" s="57">
        <f>AC163/(SUM(AD159+AF159+AG159+AH159)/20)*1000</f>
        <v>-4909.7472924187723</v>
      </c>
      <c r="AD164" s="57">
        <f>AD163/(SUM(AF159+AG159+AH159+AI159)/20)*1000</f>
        <v>-19332.458278642418</v>
      </c>
      <c r="AE164" s="12"/>
      <c r="AF164" s="57">
        <f>AF163/(SUM(AG159+AI159+AJ159+AH159)/20)*1000</f>
        <v>-19122.302158273382</v>
      </c>
      <c r="AG164" s="57">
        <f>AG163/(SUM(AH159+AJ159+AM159+AI159)/20)*1000</f>
        <v>-29157.492698270053</v>
      </c>
      <c r="AH164" s="57">
        <f>AH163/(SUM(AI159+AJ159+AN159+AM159)/20)*1000</f>
        <v>-178.06582905680409</v>
      </c>
      <c r="AI164" s="57">
        <f>AI163/(SUM(AK159+AL159+AM159+AN159)/20)*1000</f>
        <v>-190.14053865900885</v>
      </c>
      <c r="AJ164" s="57">
        <f>AJ163/(SUM(AJ159+AM159+AN159+AO159)/20)*1000</f>
        <v>-110.9721182042842</v>
      </c>
      <c r="AK164" s="12"/>
      <c r="AL164" s="13"/>
      <c r="AM164" s="93"/>
      <c r="AN164" s="94">
        <f t="shared" si="46"/>
        <v>0</v>
      </c>
      <c r="AO164" s="94">
        <f t="shared" si="47"/>
        <v>0</v>
      </c>
    </row>
    <row r="165" spans="1:41">
      <c r="A165" s="165" t="s">
        <v>20</v>
      </c>
      <c r="B165" s="1" t="s">
        <v>5</v>
      </c>
      <c r="C165" s="9"/>
      <c r="D165" s="9"/>
      <c r="E165" s="10"/>
      <c r="F165" s="10">
        <v>-750</v>
      </c>
      <c r="G165" s="10">
        <v>461</v>
      </c>
      <c r="H165" s="10">
        <v>591</v>
      </c>
      <c r="I165" s="9">
        <f>SUM(E165:H165)</f>
        <v>302</v>
      </c>
      <c r="J165" s="10">
        <v>972</v>
      </c>
      <c r="K165" s="10">
        <v>1152</v>
      </c>
      <c r="L165" s="10">
        <v>972</v>
      </c>
      <c r="M165" s="10">
        <v>2052</v>
      </c>
      <c r="N165" s="9">
        <f>SUM(J165:M165)</f>
        <v>5148</v>
      </c>
      <c r="O165" s="10">
        <v>16</v>
      </c>
      <c r="P165" s="10">
        <v>384</v>
      </c>
      <c r="Q165" s="10">
        <v>308</v>
      </c>
      <c r="R165" s="10">
        <v>224</v>
      </c>
      <c r="S165" s="10">
        <v>16</v>
      </c>
      <c r="T165" s="9">
        <f>SUM(O165:S165)</f>
        <v>948</v>
      </c>
      <c r="U165" s="11">
        <f>T165+N165+I165+D169</f>
        <v>8091</v>
      </c>
      <c r="V165" s="10">
        <v>384</v>
      </c>
      <c r="W165" s="10">
        <v>536</v>
      </c>
      <c r="X165" s="10">
        <v>404</v>
      </c>
      <c r="Y165" s="10">
        <v>416</v>
      </c>
      <c r="Z165" s="9">
        <f>SUM(V165:Y165)</f>
        <v>1740</v>
      </c>
      <c r="AA165" s="10">
        <v>971</v>
      </c>
      <c r="AB165" s="10">
        <v>1152</v>
      </c>
      <c r="AC165" s="10">
        <v>972</v>
      </c>
      <c r="AD165" s="10">
        <v>2052</v>
      </c>
      <c r="AE165" s="9">
        <f>SUM(AA165:AD165)</f>
        <v>5147</v>
      </c>
      <c r="AF165" s="10">
        <v>16</v>
      </c>
      <c r="AG165" s="10">
        <v>384</v>
      </c>
      <c r="AH165" s="10">
        <v>308</v>
      </c>
      <c r="AI165" s="10">
        <v>224</v>
      </c>
      <c r="AJ165" s="10">
        <v>16</v>
      </c>
      <c r="AK165" s="9">
        <f>SUM(AF165:AJ165)</f>
        <v>948</v>
      </c>
      <c r="AL165" s="11">
        <f>AK165+AE165+Z165</f>
        <v>7835</v>
      </c>
      <c r="AM165" s="93">
        <v>128</v>
      </c>
      <c r="AN165" s="94">
        <f t="shared" si="46"/>
        <v>1035648</v>
      </c>
      <c r="AO165" s="94">
        <f t="shared" si="47"/>
        <v>1002880</v>
      </c>
    </row>
    <row r="166" spans="1:41">
      <c r="A166" s="166"/>
      <c r="B166" s="3" t="s">
        <v>6</v>
      </c>
      <c r="C166" s="9"/>
      <c r="D166" s="9"/>
      <c r="E166" s="10"/>
      <c r="F166" s="10"/>
      <c r="G166" s="10"/>
      <c r="H166" s="10"/>
      <c r="I166" s="9">
        <f>SUM(E166:H166)</f>
        <v>0</v>
      </c>
      <c r="J166" s="10"/>
      <c r="K166" s="10"/>
      <c r="L166" s="10"/>
      <c r="M166" s="10"/>
      <c r="N166" s="9">
        <f>SUM(J166:M166)</f>
        <v>0</v>
      </c>
      <c r="O166" s="10"/>
      <c r="P166" s="10"/>
      <c r="Q166" s="10"/>
      <c r="R166" s="10"/>
      <c r="S166" s="97">
        <v>6000</v>
      </c>
      <c r="T166" s="9">
        <f>SUM(O166:S166)</f>
        <v>6000</v>
      </c>
      <c r="U166" s="11">
        <f>I166+N166+T166</f>
        <v>6000</v>
      </c>
      <c r="V166" s="10"/>
      <c r="W166" s="10"/>
      <c r="X166" s="10"/>
      <c r="Y166" s="10"/>
      <c r="Z166" s="9">
        <f>SUM(V166:Y166)</f>
        <v>0</v>
      </c>
      <c r="AA166" s="10"/>
      <c r="AB166" s="10"/>
      <c r="AC166" s="10"/>
      <c r="AD166" s="10"/>
      <c r="AE166" s="9">
        <f>SUM(AA166:AD166)</f>
        <v>0</v>
      </c>
      <c r="AF166" s="10"/>
      <c r="AG166" s="10"/>
      <c r="AH166" s="10"/>
      <c r="AI166" s="10"/>
      <c r="AJ166" s="10">
        <v>4500</v>
      </c>
      <c r="AK166" s="9">
        <f>SUM(AF166:AJ166)</f>
        <v>4500</v>
      </c>
      <c r="AL166" s="11">
        <f>Z166+AE166+AK166</f>
        <v>4500</v>
      </c>
      <c r="AM166" s="93"/>
      <c r="AN166" s="94">
        <f t="shared" si="46"/>
        <v>0</v>
      </c>
      <c r="AO166" s="94">
        <f t="shared" si="47"/>
        <v>0</v>
      </c>
    </row>
    <row r="167" spans="1:41">
      <c r="A167" s="166"/>
      <c r="B167" s="3" t="s">
        <v>10</v>
      </c>
      <c r="C167" s="9">
        <v>0</v>
      </c>
      <c r="D167" s="9"/>
      <c r="E167" s="10"/>
      <c r="F167" s="10"/>
      <c r="G167" s="10"/>
      <c r="H167" s="10"/>
      <c r="I167" s="9"/>
      <c r="J167" s="10"/>
      <c r="K167" s="10"/>
      <c r="L167" s="10"/>
      <c r="M167" s="10"/>
      <c r="N167" s="9"/>
      <c r="O167" s="10"/>
      <c r="P167" s="10"/>
      <c r="Q167" s="10"/>
      <c r="R167" s="10"/>
      <c r="S167" s="10"/>
      <c r="T167" s="9"/>
      <c r="U167" s="11"/>
      <c r="V167" s="10"/>
      <c r="W167" s="10"/>
      <c r="X167" s="10"/>
      <c r="Y167" s="10"/>
      <c r="Z167" s="9"/>
      <c r="AA167" s="10"/>
      <c r="AB167" s="10"/>
      <c r="AC167" s="10"/>
      <c r="AD167" s="10"/>
      <c r="AE167" s="9"/>
      <c r="AF167" s="10"/>
      <c r="AG167" s="10"/>
      <c r="AH167" s="10"/>
      <c r="AI167" s="10"/>
      <c r="AJ167" s="10"/>
      <c r="AK167" s="9"/>
      <c r="AL167" s="11"/>
      <c r="AM167" s="93"/>
      <c r="AN167" s="94">
        <f t="shared" si="46"/>
        <v>0</v>
      </c>
      <c r="AO167" s="94">
        <f t="shared" si="47"/>
        <v>0</v>
      </c>
    </row>
    <row r="168" spans="1:41">
      <c r="A168" s="166"/>
      <c r="B168" s="3" t="s">
        <v>7</v>
      </c>
      <c r="C168" s="9"/>
      <c r="D168" s="9"/>
      <c r="E168" s="10">
        <f>E167+E166</f>
        <v>0</v>
      </c>
      <c r="F168" s="10">
        <f>F167+F166</f>
        <v>0</v>
      </c>
      <c r="G168" s="10">
        <f>G167+G166</f>
        <v>0</v>
      </c>
      <c r="H168" s="10">
        <f>H167+H166</f>
        <v>0</v>
      </c>
      <c r="I168" s="9">
        <f>SUM(E168:H168)</f>
        <v>0</v>
      </c>
      <c r="J168" s="10">
        <f>J167+J166</f>
        <v>0</v>
      </c>
      <c r="K168" s="10">
        <f>K167+K166</f>
        <v>0</v>
      </c>
      <c r="L168" s="10">
        <f>L167+L166</f>
        <v>0</v>
      </c>
      <c r="M168" s="10">
        <f>M167+M166</f>
        <v>0</v>
      </c>
      <c r="N168" s="9">
        <f>SUM(J168:M168)</f>
        <v>0</v>
      </c>
      <c r="O168" s="10">
        <f>O167+O166</f>
        <v>0</v>
      </c>
      <c r="P168" s="10">
        <f>P167+P166</f>
        <v>0</v>
      </c>
      <c r="Q168" s="10">
        <f>Q167+Q166</f>
        <v>0</v>
      </c>
      <c r="R168" s="10">
        <f>R167+R166</f>
        <v>0</v>
      </c>
      <c r="S168" s="10">
        <f>S167+S166</f>
        <v>6000</v>
      </c>
      <c r="T168" s="9">
        <f>SUM(O168:S168)</f>
        <v>6000</v>
      </c>
      <c r="U168" s="11">
        <f>T168+N168+I168+D169</f>
        <v>7693</v>
      </c>
      <c r="V168" s="10">
        <f>V167+V166</f>
        <v>0</v>
      </c>
      <c r="W168" s="10">
        <f>W167+W166</f>
        <v>0</v>
      </c>
      <c r="X168" s="10">
        <f>X167+X166</f>
        <v>0</v>
      </c>
      <c r="Y168" s="10">
        <f>Y167+Y166</f>
        <v>0</v>
      </c>
      <c r="Z168" s="9">
        <f>SUM(V168:Y168)</f>
        <v>0</v>
      </c>
      <c r="AA168" s="10">
        <f>AA167+AA166</f>
        <v>0</v>
      </c>
      <c r="AB168" s="10">
        <f>AB167+AB166</f>
        <v>0</v>
      </c>
      <c r="AC168" s="10">
        <f>AC167+AC166</f>
        <v>0</v>
      </c>
      <c r="AD168" s="10">
        <f>AD167+AD166</f>
        <v>0</v>
      </c>
      <c r="AE168" s="9">
        <f>SUM(AA168:AD168)</f>
        <v>0</v>
      </c>
      <c r="AF168" s="10">
        <f>AF167+AF166</f>
        <v>0</v>
      </c>
      <c r="AG168" s="10">
        <f>AG167+AG166</f>
        <v>0</v>
      </c>
      <c r="AH168" s="10">
        <f>AH167+AH166</f>
        <v>0</v>
      </c>
      <c r="AI168" s="10">
        <f>AI167+AI166</f>
        <v>0</v>
      </c>
      <c r="AJ168" s="10">
        <f>AJ167+AJ166</f>
        <v>4500</v>
      </c>
      <c r="AK168" s="9">
        <f>SUM(AF168:AJ168)</f>
        <v>4500</v>
      </c>
      <c r="AL168" s="11">
        <f>AK168+AE168+Z168</f>
        <v>4500</v>
      </c>
      <c r="AM168" s="93"/>
      <c r="AN168" s="94">
        <f t="shared" si="46"/>
        <v>0</v>
      </c>
      <c r="AO168" s="94">
        <f t="shared" si="47"/>
        <v>0</v>
      </c>
    </row>
    <row r="169" spans="1:41">
      <c r="A169" s="167"/>
      <c r="B169" s="2" t="s">
        <v>8</v>
      </c>
      <c r="C169" s="65">
        <v>1671</v>
      </c>
      <c r="D169" s="95">
        <v>1693</v>
      </c>
      <c r="E169" s="81">
        <f>E168-E165</f>
        <v>0</v>
      </c>
      <c r="F169" s="10">
        <f>E169+F168-F165</f>
        <v>750</v>
      </c>
      <c r="G169" s="10">
        <f>F169+G168-G165</f>
        <v>289</v>
      </c>
      <c r="H169" s="10">
        <f>G169+H168-H165</f>
        <v>-302</v>
      </c>
      <c r="I169" s="9">
        <f>I168-I165</f>
        <v>-302</v>
      </c>
      <c r="J169" s="10">
        <f>I169+J168-J165</f>
        <v>-1274</v>
      </c>
      <c r="K169" s="10">
        <f>J169+K168-K165</f>
        <v>-2426</v>
      </c>
      <c r="L169" s="10">
        <f>K169+L168-L165</f>
        <v>-3398</v>
      </c>
      <c r="M169" s="10">
        <f>L169+M168-M165</f>
        <v>-5450</v>
      </c>
      <c r="N169" s="9">
        <f>I169+N168-N165</f>
        <v>-5450</v>
      </c>
      <c r="O169" s="10">
        <f>N169+O168-O165</f>
        <v>-5466</v>
      </c>
      <c r="P169" s="10">
        <f>O169+P168-P165</f>
        <v>-5850</v>
      </c>
      <c r="Q169" s="10">
        <f>P169+Q168-Q165</f>
        <v>-6158</v>
      </c>
      <c r="R169" s="10">
        <f t="shared" ref="R169" si="60">Q169+R168-R165</f>
        <v>-6382</v>
      </c>
      <c r="S169" s="10">
        <f>R169+S168-S165</f>
        <v>-398</v>
      </c>
      <c r="T169" s="9">
        <f>N169+T168-T165</f>
        <v>-398</v>
      </c>
      <c r="U169" s="9">
        <f>U168-U165</f>
        <v>-398</v>
      </c>
      <c r="V169" s="10">
        <f>U169+V168-V165</f>
        <v>-782</v>
      </c>
      <c r="W169" s="10">
        <f>V169+W168-W165</f>
        <v>-1318</v>
      </c>
      <c r="X169" s="10">
        <f>W169+X168-X165</f>
        <v>-1722</v>
      </c>
      <c r="Y169" s="10">
        <f>X169+Y168-Y165</f>
        <v>-2138</v>
      </c>
      <c r="Z169" s="9">
        <f>T169+Z168-Z165</f>
        <v>-2138</v>
      </c>
      <c r="AA169" s="10">
        <f>Z169+AA168-AA165</f>
        <v>-3109</v>
      </c>
      <c r="AB169" s="10">
        <f>AA169+AB168-AB165</f>
        <v>-4261</v>
      </c>
      <c r="AC169" s="10">
        <f>AB169+AC168-AC165</f>
        <v>-5233</v>
      </c>
      <c r="AD169" s="10">
        <f>AC169+AD168-AD165</f>
        <v>-7285</v>
      </c>
      <c r="AE169" s="9">
        <f>Z169+AE168-AE165</f>
        <v>-7285</v>
      </c>
      <c r="AF169" s="10">
        <f>AE169+AF168-AF165</f>
        <v>-7301</v>
      </c>
      <c r="AG169" s="10">
        <f>AF169+AG168-AG165</f>
        <v>-7685</v>
      </c>
      <c r="AH169" s="10">
        <f>AG169+AH168-AH165</f>
        <v>-7993</v>
      </c>
      <c r="AI169" s="10">
        <f t="shared" ref="AI169:AJ169" si="61">AH169+AI168-AI165</f>
        <v>-8217</v>
      </c>
      <c r="AJ169" s="10">
        <f t="shared" si="61"/>
        <v>-3733</v>
      </c>
      <c r="AK169" s="9">
        <f>AE169+AK168-AK165</f>
        <v>-3733</v>
      </c>
      <c r="AL169" s="11">
        <f>T169+AL168-AL165</f>
        <v>-3733</v>
      </c>
      <c r="AM169" s="93"/>
      <c r="AN169" s="94">
        <f t="shared" si="46"/>
        <v>0</v>
      </c>
      <c r="AO169" s="94">
        <f t="shared" si="47"/>
        <v>0</v>
      </c>
    </row>
    <row r="170" spans="1:41">
      <c r="A170" s="82"/>
      <c r="B170" s="3" t="s">
        <v>9</v>
      </c>
      <c r="C170" s="9"/>
      <c r="D170" s="9"/>
      <c r="E170" s="57">
        <f>E169/(SUM(F165+H165+J165+G165)/20)*1000</f>
        <v>0</v>
      </c>
      <c r="F170" s="57">
        <f>F169/(SUM(G165+K165+J165+H165)/20)*1000</f>
        <v>4722.921914357682</v>
      </c>
      <c r="G170" s="57">
        <f>G169/(SUM(H165+J165+K165+L165)/20)*1000</f>
        <v>1567.670192568484</v>
      </c>
      <c r="H170" s="57">
        <f>H169/(SUM(M165+J165+K165+L165)/20)*1000</f>
        <v>-1173.2711732711734</v>
      </c>
      <c r="I170" s="12"/>
      <c r="J170" s="57">
        <f>J169/(SUM(K165+M165+O165+L165)/20)*1000</f>
        <v>-6078.2442748091598</v>
      </c>
      <c r="K170" s="57">
        <f>K169/(SUM(L165+P165+O165+M165)/20)*1000</f>
        <v>-14170.560747663552</v>
      </c>
      <c r="L170" s="57">
        <f>L169/(SUM(M165+O165+P165+Q165)/20)*1000</f>
        <v>-24623.1884057971</v>
      </c>
      <c r="M170" s="57">
        <f>M169/(SUM(R165+O165+P165+Q165)/20)*1000</f>
        <v>-116952.78969957081</v>
      </c>
      <c r="N170" s="12"/>
      <c r="O170" s="57">
        <f>O169/(SUM(P165+R165+S165+Q165)/20)*1000</f>
        <v>-117296.13733905579</v>
      </c>
      <c r="P170" s="57">
        <f>P169/(SUM(Q165+S165+V165+R165)/20)*1000</f>
        <v>-125536.48068669527</v>
      </c>
      <c r="Q170" s="57">
        <f>Q169/(SUM(R165+S165+W165+V165)/20)*1000</f>
        <v>-106172.41379310345</v>
      </c>
      <c r="R170" s="57">
        <f>R169/(SUM(T165+U165+V165+W165)/20)*1000</f>
        <v>-12816.547846169295</v>
      </c>
      <c r="S170" s="57">
        <f>S169/(SUM(S165+V165+W165+X165)/20)*1000</f>
        <v>-5940.2985074626868</v>
      </c>
      <c r="T170" s="12"/>
      <c r="U170" s="13"/>
      <c r="V170" s="57">
        <f>V169/(SUM(W165+Y165+AA165+X165)/20)*1000</f>
        <v>-6721.1001289213582</v>
      </c>
      <c r="W170" s="57">
        <f>V169/(SUM(X165+AA165+AB165+Y165)/20)*1000</f>
        <v>-5314.3051308188915</v>
      </c>
      <c r="X170" s="57">
        <f>W169/(SUM(Y165+AA165+AB165+AC165)/20)*1000</f>
        <v>-7507.83252634577</v>
      </c>
      <c r="Y170" s="57">
        <f>Y169/(SUM(AA165+AB165+AC165+AD165)/20)*1000</f>
        <v>-8307.7520885952963</v>
      </c>
      <c r="Z170" s="12"/>
      <c r="AA170" s="57">
        <f>AA169/(SUM(AB165+AD165+AF165+AC165)/20)*1000</f>
        <v>-14833.015267175573</v>
      </c>
      <c r="AB170" s="57">
        <f>AB169/(SUM(AC165+AF165+AG165+AD165)/20)*1000</f>
        <v>-24889.01869158879</v>
      </c>
      <c r="AC170" s="57">
        <f>AC169/(SUM(AD165+AF165+AG165+AH165)/20)*1000</f>
        <v>-37920.289855072464</v>
      </c>
      <c r="AD170" s="57">
        <f>AD169/(SUM(AF165+AG165+AH165+AI165)/20)*1000</f>
        <v>-156330.47210300429</v>
      </c>
      <c r="AE170" s="12"/>
      <c r="AF170" s="57">
        <f>AF169/(SUM(AG165+AI165+AJ165+AH165)/20)*1000</f>
        <v>-156673.81974248926</v>
      </c>
      <c r="AG170" s="57">
        <f>AG169/(SUM(AH165+AJ165+AM165+AI165)/20)*1000</f>
        <v>-227366.86390532547</v>
      </c>
      <c r="AH170" s="57">
        <f>AH169/(SUM(AI165+AJ165+AN165+AM165)/20)*1000</f>
        <v>-154.30263625272195</v>
      </c>
      <c r="AI170" s="57">
        <f>AI169/(SUM(AK165+AL165+AM165+AN165)/20)*1000</f>
        <v>-157.32955247142576</v>
      </c>
      <c r="AJ170" s="57">
        <f>AJ169/(SUM(AJ165+AM165+AN165+AO165)/20)*1000</f>
        <v>-36.621879341061238</v>
      </c>
      <c r="AK170" s="12"/>
      <c r="AL170" s="13"/>
      <c r="AM170" s="93"/>
      <c r="AN170" s="94">
        <f t="shared" si="46"/>
        <v>0</v>
      </c>
      <c r="AO170" s="94">
        <f t="shared" si="47"/>
        <v>0</v>
      </c>
    </row>
    <row r="171" spans="1:41">
      <c r="A171" s="165" t="s">
        <v>113</v>
      </c>
      <c r="B171" s="1" t="s">
        <v>5</v>
      </c>
      <c r="C171" s="9"/>
      <c r="D171" s="9"/>
      <c r="E171" s="10"/>
      <c r="F171" s="10">
        <v>-12</v>
      </c>
      <c r="G171" s="10">
        <v>0</v>
      </c>
      <c r="H171" s="10">
        <v>0</v>
      </c>
      <c r="I171" s="9">
        <f>SUM(E171:H171)</f>
        <v>-12</v>
      </c>
      <c r="J171" s="10">
        <v>0</v>
      </c>
      <c r="K171" s="10">
        <v>0</v>
      </c>
      <c r="L171" s="10">
        <v>0</v>
      </c>
      <c r="M171" s="10">
        <v>0</v>
      </c>
      <c r="N171" s="9">
        <f>SUM(J171:M171)</f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  <c r="T171" s="9">
        <f>SUM(O171:S171)</f>
        <v>0</v>
      </c>
      <c r="U171" s="11">
        <f>T171+N171+I171+D175</f>
        <v>0</v>
      </c>
      <c r="V171" s="10">
        <v>0</v>
      </c>
      <c r="W171" s="10">
        <v>0</v>
      </c>
      <c r="X171" s="10">
        <v>0</v>
      </c>
      <c r="Y171" s="10">
        <v>0</v>
      </c>
      <c r="Z171" s="9">
        <f>SUM(V171:Y171)</f>
        <v>0</v>
      </c>
      <c r="AA171" s="10">
        <v>0</v>
      </c>
      <c r="AB171" s="10">
        <v>0</v>
      </c>
      <c r="AC171" s="10">
        <v>0</v>
      </c>
      <c r="AD171" s="10">
        <v>0</v>
      </c>
      <c r="AE171" s="9">
        <f>SUM(AA171:AD171)</f>
        <v>0</v>
      </c>
      <c r="AF171" s="10">
        <v>0</v>
      </c>
      <c r="AG171" s="10">
        <v>0</v>
      </c>
      <c r="AH171" s="10">
        <v>0</v>
      </c>
      <c r="AI171" s="10">
        <v>0</v>
      </c>
      <c r="AJ171" s="10">
        <v>0</v>
      </c>
      <c r="AK171" s="9">
        <f>SUM(AF171:AJ171)</f>
        <v>0</v>
      </c>
      <c r="AL171" s="11">
        <f>AK171+AE171+Z171</f>
        <v>0</v>
      </c>
      <c r="AM171" s="93">
        <v>256</v>
      </c>
      <c r="AN171" s="94">
        <f t="shared" si="46"/>
        <v>0</v>
      </c>
      <c r="AO171" s="94">
        <f t="shared" si="47"/>
        <v>0</v>
      </c>
    </row>
    <row r="172" spans="1:41">
      <c r="A172" s="166"/>
      <c r="B172" s="3" t="s">
        <v>6</v>
      </c>
      <c r="C172" s="9"/>
      <c r="D172" s="9"/>
      <c r="E172" s="10"/>
      <c r="F172" s="10"/>
      <c r="G172" s="10"/>
      <c r="H172" s="10"/>
      <c r="I172" s="9">
        <f>SUM(E172:H172)</f>
        <v>0</v>
      </c>
      <c r="J172" s="10"/>
      <c r="K172" s="10"/>
      <c r="L172" s="10"/>
      <c r="M172" s="10"/>
      <c r="N172" s="9">
        <f>SUM(J172:M172)</f>
        <v>0</v>
      </c>
      <c r="O172" s="10"/>
      <c r="P172" s="10"/>
      <c r="Q172" s="10"/>
      <c r="R172" s="10"/>
      <c r="S172" s="10"/>
      <c r="T172" s="9">
        <f>SUM(O172:S172)</f>
        <v>0</v>
      </c>
      <c r="U172" s="11">
        <f>I172+N172+T172</f>
        <v>0</v>
      </c>
      <c r="V172" s="10"/>
      <c r="W172" s="10"/>
      <c r="X172" s="10"/>
      <c r="Y172" s="10"/>
      <c r="Z172" s="9">
        <f>SUM(V172:Y172)</f>
        <v>0</v>
      </c>
      <c r="AA172" s="10"/>
      <c r="AB172" s="10"/>
      <c r="AC172" s="10"/>
      <c r="AD172" s="10"/>
      <c r="AE172" s="9">
        <f>SUM(AA172:AD172)</f>
        <v>0</v>
      </c>
      <c r="AF172" s="10"/>
      <c r="AG172" s="10"/>
      <c r="AH172" s="10"/>
      <c r="AI172" s="10"/>
      <c r="AJ172" s="10"/>
      <c r="AK172" s="9">
        <f>SUM(AF172:AJ172)</f>
        <v>0</v>
      </c>
      <c r="AL172" s="11">
        <f>Z172+AE172+AK172</f>
        <v>0</v>
      </c>
      <c r="AM172" s="93"/>
      <c r="AN172" s="94">
        <f t="shared" si="46"/>
        <v>0</v>
      </c>
      <c r="AO172" s="94">
        <f t="shared" si="47"/>
        <v>0</v>
      </c>
    </row>
    <row r="173" spans="1:41">
      <c r="A173" s="166"/>
      <c r="B173" s="3" t="s">
        <v>10</v>
      </c>
      <c r="C173" s="9">
        <v>0</v>
      </c>
      <c r="D173" s="9"/>
      <c r="E173" s="10"/>
      <c r="F173" s="10"/>
      <c r="G173" s="10"/>
      <c r="H173" s="10"/>
      <c r="I173" s="9"/>
      <c r="J173" s="10"/>
      <c r="K173" s="10"/>
      <c r="L173" s="10"/>
      <c r="M173" s="10"/>
      <c r="N173" s="9"/>
      <c r="O173" s="10"/>
      <c r="P173" s="10"/>
      <c r="Q173" s="10"/>
      <c r="R173" s="10"/>
      <c r="S173" s="10"/>
      <c r="T173" s="9"/>
      <c r="U173" s="11"/>
      <c r="V173" s="10"/>
      <c r="W173" s="10"/>
      <c r="X173" s="10"/>
      <c r="Y173" s="10"/>
      <c r="Z173" s="9"/>
      <c r="AA173" s="10"/>
      <c r="AB173" s="10"/>
      <c r="AC173" s="10"/>
      <c r="AD173" s="10"/>
      <c r="AE173" s="9"/>
      <c r="AF173" s="10"/>
      <c r="AG173" s="10"/>
      <c r="AH173" s="10"/>
      <c r="AI173" s="10"/>
      <c r="AJ173" s="10"/>
      <c r="AK173" s="9"/>
      <c r="AL173" s="11"/>
      <c r="AM173" s="93"/>
      <c r="AN173" s="94">
        <f t="shared" si="46"/>
        <v>0</v>
      </c>
      <c r="AO173" s="94">
        <f t="shared" si="47"/>
        <v>0</v>
      </c>
    </row>
    <row r="174" spans="1:41">
      <c r="A174" s="166"/>
      <c r="B174" s="3" t="s">
        <v>7</v>
      </c>
      <c r="C174" s="9"/>
      <c r="D174" s="9"/>
      <c r="E174" s="10">
        <f>E173+E172</f>
        <v>0</v>
      </c>
      <c r="F174" s="10">
        <f>F173+F172</f>
        <v>0</v>
      </c>
      <c r="G174" s="10">
        <f>G173+G172</f>
        <v>0</v>
      </c>
      <c r="H174" s="10">
        <f>H173+H172</f>
        <v>0</v>
      </c>
      <c r="I174" s="9">
        <f>SUM(E174:H174)</f>
        <v>0</v>
      </c>
      <c r="J174" s="10">
        <f>J173+J172</f>
        <v>0</v>
      </c>
      <c r="K174" s="10">
        <f>K173+K172</f>
        <v>0</v>
      </c>
      <c r="L174" s="10">
        <f>L173+L172</f>
        <v>0</v>
      </c>
      <c r="M174" s="10">
        <f>M173+M172</f>
        <v>0</v>
      </c>
      <c r="N174" s="9">
        <f>SUM(J174:M174)</f>
        <v>0</v>
      </c>
      <c r="O174" s="10">
        <f>O173+O172</f>
        <v>0</v>
      </c>
      <c r="P174" s="10">
        <f>P173+P172</f>
        <v>0</v>
      </c>
      <c r="Q174" s="10">
        <f>Q173+Q172</f>
        <v>0</v>
      </c>
      <c r="R174" s="10">
        <f>R173+R172</f>
        <v>0</v>
      </c>
      <c r="S174" s="10">
        <f>S173+S172</f>
        <v>0</v>
      </c>
      <c r="T174" s="9">
        <f>SUM(O174:S174)</f>
        <v>0</v>
      </c>
      <c r="U174" s="11">
        <f>T174+N174+I174+D175</f>
        <v>12</v>
      </c>
      <c r="V174" s="10">
        <f>V173+V172</f>
        <v>0</v>
      </c>
      <c r="W174" s="10">
        <f>W173+W172</f>
        <v>0</v>
      </c>
      <c r="X174" s="10">
        <f>X173+X172</f>
        <v>0</v>
      </c>
      <c r="Y174" s="10">
        <f>Y173+Y172</f>
        <v>0</v>
      </c>
      <c r="Z174" s="9">
        <f>SUM(V174:Y174)</f>
        <v>0</v>
      </c>
      <c r="AA174" s="10">
        <f>AA173+AA172</f>
        <v>0</v>
      </c>
      <c r="AB174" s="10">
        <f>AB173+AB172</f>
        <v>0</v>
      </c>
      <c r="AC174" s="10">
        <f>AC173+AC172</f>
        <v>0</v>
      </c>
      <c r="AD174" s="10">
        <f>AD173+AD172</f>
        <v>0</v>
      </c>
      <c r="AE174" s="9">
        <f>SUM(AA174:AD174)</f>
        <v>0</v>
      </c>
      <c r="AF174" s="10">
        <f>AF173+AF172</f>
        <v>0</v>
      </c>
      <c r="AG174" s="10">
        <f>AG173+AG172</f>
        <v>0</v>
      </c>
      <c r="AH174" s="10">
        <f>AH173+AH172</f>
        <v>0</v>
      </c>
      <c r="AI174" s="10">
        <f>AI173+AI172</f>
        <v>0</v>
      </c>
      <c r="AJ174" s="10">
        <f>AJ173+AJ172</f>
        <v>0</v>
      </c>
      <c r="AK174" s="9">
        <f>SUM(AF174:AJ174)</f>
        <v>0</v>
      </c>
      <c r="AL174" s="11">
        <f>AK174+AE174+Z174</f>
        <v>0</v>
      </c>
      <c r="AM174" s="93"/>
      <c r="AN174" s="94">
        <f t="shared" si="46"/>
        <v>0</v>
      </c>
      <c r="AO174" s="94">
        <f t="shared" si="47"/>
        <v>0</v>
      </c>
    </row>
    <row r="175" spans="1:41">
      <c r="A175" s="167"/>
      <c r="B175" s="2" t="s">
        <v>8</v>
      </c>
      <c r="C175" s="65">
        <v>12</v>
      </c>
      <c r="D175" s="95">
        <v>12</v>
      </c>
      <c r="E175" s="81">
        <f>E174-E171</f>
        <v>0</v>
      </c>
      <c r="F175" s="10">
        <f>E175+F174-F171</f>
        <v>12</v>
      </c>
      <c r="G175" s="10">
        <f>F175+G174-G171</f>
        <v>12</v>
      </c>
      <c r="H175" s="10">
        <f>G175+H174-H171</f>
        <v>12</v>
      </c>
      <c r="I175" s="9">
        <f>I174-I171</f>
        <v>12</v>
      </c>
      <c r="J175" s="10">
        <f>I175+J174-J171</f>
        <v>12</v>
      </c>
      <c r="K175" s="10">
        <f>J175+K174-K171</f>
        <v>12</v>
      </c>
      <c r="L175" s="10">
        <f>K175+L174-L171</f>
        <v>12</v>
      </c>
      <c r="M175" s="10">
        <f>L175+M174-M171</f>
        <v>12</v>
      </c>
      <c r="N175" s="9">
        <f>I175+N174-N171</f>
        <v>12</v>
      </c>
      <c r="O175" s="10">
        <f>N175+O174-O171</f>
        <v>12</v>
      </c>
      <c r="P175" s="10">
        <f>O175+P174-P171</f>
        <v>12</v>
      </c>
      <c r="Q175" s="10">
        <f>P175+Q174-Q171</f>
        <v>12</v>
      </c>
      <c r="R175" s="10">
        <f t="shared" ref="R175" si="62">Q175+R174-R171</f>
        <v>12</v>
      </c>
      <c r="S175" s="10">
        <f>R175+S174-S171</f>
        <v>12</v>
      </c>
      <c r="T175" s="9">
        <f>N175+T174-T171</f>
        <v>12</v>
      </c>
      <c r="U175" s="9">
        <f>U174-U171</f>
        <v>12</v>
      </c>
      <c r="V175" s="10">
        <f>U175+V174-V171</f>
        <v>12</v>
      </c>
      <c r="W175" s="10">
        <f>V175+W174-W171</f>
        <v>12</v>
      </c>
      <c r="X175" s="10">
        <f>W175+X174-X171</f>
        <v>12</v>
      </c>
      <c r="Y175" s="10">
        <f>X175+Y174-Y171</f>
        <v>12</v>
      </c>
      <c r="Z175" s="9">
        <f>T175+Z174-Z171</f>
        <v>12</v>
      </c>
      <c r="AA175" s="10">
        <f>Z175+AA174-AA171</f>
        <v>12</v>
      </c>
      <c r="AB175" s="10">
        <f>AA175+AB174-AB171</f>
        <v>12</v>
      </c>
      <c r="AC175" s="10">
        <f>AB175+AC174-AC171</f>
        <v>12</v>
      </c>
      <c r="AD175" s="10">
        <f>AC175+AD174-AD171</f>
        <v>12</v>
      </c>
      <c r="AE175" s="9">
        <f>Z175+AE174-AE171</f>
        <v>12</v>
      </c>
      <c r="AF175" s="10">
        <f>AE175+AF174-AF171</f>
        <v>12</v>
      </c>
      <c r="AG175" s="10">
        <f>AF175+AG174-AG171</f>
        <v>12</v>
      </c>
      <c r="AH175" s="10">
        <f>AG175+AH174-AH171</f>
        <v>12</v>
      </c>
      <c r="AI175" s="10">
        <f t="shared" ref="AI175:AJ175" si="63">AH175+AI174-AI171</f>
        <v>12</v>
      </c>
      <c r="AJ175" s="10">
        <f t="shared" si="63"/>
        <v>12</v>
      </c>
      <c r="AK175" s="9">
        <f>AE175+AK174-AK171</f>
        <v>12</v>
      </c>
      <c r="AL175" s="11">
        <f>T175+AL174-AL171</f>
        <v>12</v>
      </c>
      <c r="AM175" s="93"/>
      <c r="AN175" s="94">
        <f t="shared" si="46"/>
        <v>0</v>
      </c>
      <c r="AO175" s="94">
        <f t="shared" si="47"/>
        <v>0</v>
      </c>
    </row>
    <row r="176" spans="1:41">
      <c r="A176" s="82"/>
      <c r="B176" s="3" t="s">
        <v>9</v>
      </c>
      <c r="C176" s="9"/>
      <c r="D176" s="9"/>
      <c r="E176" s="57">
        <f>E175/(SUM(F171+H171+J171+G171)/20)*1000</f>
        <v>0</v>
      </c>
      <c r="F176" s="57" t="e">
        <f>F175/(SUM(G171+K171+J171+H171)/20)*1000</f>
        <v>#DIV/0!</v>
      </c>
      <c r="G176" s="57" t="e">
        <f>G175/(SUM(H171+J171+K171+L171)/20)*1000</f>
        <v>#DIV/0!</v>
      </c>
      <c r="H176" s="57" t="e">
        <f>H175/(SUM(M171+J171+K171+L171)/20)*1000</f>
        <v>#DIV/0!</v>
      </c>
      <c r="I176" s="12"/>
      <c r="J176" s="57" t="e">
        <f>J175/(SUM(K171+M171+O171+L171)/20)*1000</f>
        <v>#DIV/0!</v>
      </c>
      <c r="K176" s="57" t="e">
        <f>K175/(SUM(L171+P171+O171+M171)/20)*1000</f>
        <v>#DIV/0!</v>
      </c>
      <c r="L176" s="57" t="e">
        <f>L175/(SUM(M171+O171+P171+Q171)/20)*1000</f>
        <v>#DIV/0!</v>
      </c>
      <c r="M176" s="57" t="e">
        <f>M175/(SUM(R171+O171+P171+Q171)/20)*1000</f>
        <v>#DIV/0!</v>
      </c>
      <c r="N176" s="12"/>
      <c r="O176" s="57" t="e">
        <f>O175/(SUM(P171+R171+S171+Q171)/20)*1000</f>
        <v>#DIV/0!</v>
      </c>
      <c r="P176" s="57" t="e">
        <f>P175/(SUM(Q171+S171+V171+R171)/20)*1000</f>
        <v>#DIV/0!</v>
      </c>
      <c r="Q176" s="57" t="e">
        <f>Q175/(SUM(R171+S171+W171+V171)/20)*1000</f>
        <v>#DIV/0!</v>
      </c>
      <c r="R176" s="57" t="e">
        <f>R175/(SUM(T171+U171+V171+W171)/20)*1000</f>
        <v>#DIV/0!</v>
      </c>
      <c r="S176" s="57" t="e">
        <f>S175/(SUM(S171+V171+W171+X171)/20)*1000</f>
        <v>#DIV/0!</v>
      </c>
      <c r="T176" s="12"/>
      <c r="U176" s="13"/>
      <c r="V176" s="57" t="e">
        <f>V175/(SUM(W171+Y171+AA171+X171)/20)*1000</f>
        <v>#DIV/0!</v>
      </c>
      <c r="W176" s="57" t="e">
        <f>V175/(SUM(X171+AA171+AB171+Y171)/20)*1000</f>
        <v>#DIV/0!</v>
      </c>
      <c r="X176" s="57" t="e">
        <f>W175/(SUM(Y171+AA171+AB171+AC171)/20)*1000</f>
        <v>#DIV/0!</v>
      </c>
      <c r="Y176" s="57" t="e">
        <f>Y175/(SUM(AA171+AB171+AC171+AD171)/20)*1000</f>
        <v>#DIV/0!</v>
      </c>
      <c r="Z176" s="12"/>
      <c r="AA176" s="57" t="e">
        <f>AA175/(SUM(AB171+AD171+AF171+AC171)/20)*1000</f>
        <v>#DIV/0!</v>
      </c>
      <c r="AB176" s="57" t="e">
        <f>AB175/(SUM(AC171+AF171+AG171+AD171)/20)*1000</f>
        <v>#DIV/0!</v>
      </c>
      <c r="AC176" s="57" t="e">
        <f>AC175/(SUM(AD171+AF171+AG171+AH171)/20)*1000</f>
        <v>#DIV/0!</v>
      </c>
      <c r="AD176" s="57" t="e">
        <f>AD175/(SUM(AF171+AG171+AH171+AI171)/20)*1000</f>
        <v>#DIV/0!</v>
      </c>
      <c r="AE176" s="12"/>
      <c r="AF176" s="57" t="e">
        <f>AF175/(SUM(AG171+AI171+AJ171+AH171)/20)*1000</f>
        <v>#DIV/0!</v>
      </c>
      <c r="AG176" s="57">
        <f>AG175/(SUM(AH171+AJ171+AM171+AI171)/20)*1000</f>
        <v>937.5</v>
      </c>
      <c r="AH176" s="57">
        <f>AH175/(SUM(AI171+AJ171+AN171+AM171)/20)*1000</f>
        <v>937.5</v>
      </c>
      <c r="AI176" s="57">
        <f>AI175/(SUM(AK171+AL171+AM171+AN171)/20)*1000</f>
        <v>937.5</v>
      </c>
      <c r="AJ176" s="57">
        <f>AJ175/(SUM(AJ171+AM171+AN171+AO171)/20)*1000</f>
        <v>937.5</v>
      </c>
      <c r="AK176" s="12"/>
      <c r="AL176" s="13"/>
      <c r="AM176" s="93"/>
      <c r="AN176" s="94">
        <f t="shared" si="46"/>
        <v>0</v>
      </c>
      <c r="AO176" s="94">
        <f t="shared" si="47"/>
        <v>0</v>
      </c>
    </row>
    <row r="177" spans="1:41">
      <c r="A177" s="165" t="s">
        <v>121</v>
      </c>
      <c r="B177" s="1" t="s">
        <v>5</v>
      </c>
      <c r="C177" s="9"/>
      <c r="D177" s="9"/>
      <c r="E177" s="10"/>
      <c r="F177" s="10">
        <v>-457</v>
      </c>
      <c r="G177" s="10">
        <v>0</v>
      </c>
      <c r="H177" s="10">
        <v>0</v>
      </c>
      <c r="I177" s="9">
        <f>SUM(E177:H177)</f>
        <v>-457</v>
      </c>
      <c r="J177" s="10">
        <v>0</v>
      </c>
      <c r="K177" s="10">
        <v>0</v>
      </c>
      <c r="L177" s="10">
        <v>0</v>
      </c>
      <c r="M177" s="10">
        <v>0</v>
      </c>
      <c r="N177" s="9">
        <f>SUM(J177:M177)</f>
        <v>0</v>
      </c>
      <c r="O177" s="10">
        <v>0</v>
      </c>
      <c r="P177" s="10">
        <v>0</v>
      </c>
      <c r="Q177" s="10">
        <v>0</v>
      </c>
      <c r="R177" s="10">
        <v>0</v>
      </c>
      <c r="S177" s="10">
        <v>0</v>
      </c>
      <c r="T177" s="9">
        <f>SUM(O177:S177)</f>
        <v>0</v>
      </c>
      <c r="U177" s="11">
        <f>T177+N177+I177+D181</f>
        <v>0</v>
      </c>
      <c r="V177" s="10">
        <v>0</v>
      </c>
      <c r="W177" s="10">
        <v>0</v>
      </c>
      <c r="X177" s="10">
        <v>0</v>
      </c>
      <c r="Y177" s="10">
        <v>0</v>
      </c>
      <c r="Z177" s="9">
        <f>SUM(V177:Y177)</f>
        <v>0</v>
      </c>
      <c r="AA177" s="10">
        <v>0</v>
      </c>
      <c r="AB177" s="10">
        <v>0</v>
      </c>
      <c r="AC177" s="10">
        <v>0</v>
      </c>
      <c r="AD177" s="10">
        <v>0</v>
      </c>
      <c r="AE177" s="9">
        <f>SUM(AA177:AD177)</f>
        <v>0</v>
      </c>
      <c r="AF177" s="10">
        <v>0</v>
      </c>
      <c r="AG177" s="10">
        <v>0</v>
      </c>
      <c r="AH177" s="10">
        <v>0</v>
      </c>
      <c r="AI177" s="10">
        <v>0</v>
      </c>
      <c r="AJ177" s="10">
        <v>0</v>
      </c>
      <c r="AK177" s="9">
        <f>SUM(AF177:AJ177)</f>
        <v>0</v>
      </c>
      <c r="AL177" s="11">
        <f>AK177+AE177+Z177</f>
        <v>0</v>
      </c>
      <c r="AM177" s="93">
        <v>128</v>
      </c>
      <c r="AN177" s="94">
        <f t="shared" si="46"/>
        <v>0</v>
      </c>
      <c r="AO177" s="94">
        <f t="shared" si="47"/>
        <v>0</v>
      </c>
    </row>
    <row r="178" spans="1:41">
      <c r="A178" s="166"/>
      <c r="B178" s="3" t="s">
        <v>6</v>
      </c>
      <c r="C178" s="9"/>
      <c r="D178" s="9"/>
      <c r="E178" s="10"/>
      <c r="F178" s="10"/>
      <c r="G178" s="10"/>
      <c r="H178" s="10"/>
      <c r="I178" s="9">
        <f>SUM(E178:H178)</f>
        <v>0</v>
      </c>
      <c r="J178" s="10"/>
      <c r="K178" s="10"/>
      <c r="L178" s="10"/>
      <c r="M178" s="10"/>
      <c r="N178" s="9">
        <f>SUM(J178:M178)</f>
        <v>0</v>
      </c>
      <c r="O178" s="10"/>
      <c r="P178" s="10"/>
      <c r="Q178" s="10"/>
      <c r="R178" s="10"/>
      <c r="S178" s="10"/>
      <c r="T178" s="9">
        <f>SUM(O178:S178)</f>
        <v>0</v>
      </c>
      <c r="U178" s="11">
        <f>I178+N178+T178</f>
        <v>0</v>
      </c>
      <c r="V178" s="10"/>
      <c r="W178" s="10"/>
      <c r="X178" s="10"/>
      <c r="Y178" s="10"/>
      <c r="Z178" s="9">
        <f>SUM(V178:Y178)</f>
        <v>0</v>
      </c>
      <c r="AA178" s="10"/>
      <c r="AB178" s="10"/>
      <c r="AC178" s="10"/>
      <c r="AD178" s="10"/>
      <c r="AE178" s="9">
        <f>SUM(AA178:AD178)</f>
        <v>0</v>
      </c>
      <c r="AF178" s="10"/>
      <c r="AG178" s="10"/>
      <c r="AH178" s="10"/>
      <c r="AI178" s="10"/>
      <c r="AJ178" s="10"/>
      <c r="AK178" s="9">
        <f>SUM(AF178:AJ178)</f>
        <v>0</v>
      </c>
      <c r="AL178" s="11">
        <f>Z178+AE178+AK178</f>
        <v>0</v>
      </c>
      <c r="AM178" s="93"/>
      <c r="AN178" s="94">
        <f t="shared" si="46"/>
        <v>0</v>
      </c>
      <c r="AO178" s="94">
        <f t="shared" si="47"/>
        <v>0</v>
      </c>
    </row>
    <row r="179" spans="1:41">
      <c r="A179" s="166"/>
      <c r="B179" s="3" t="s">
        <v>10</v>
      </c>
      <c r="C179" s="9">
        <v>0</v>
      </c>
      <c r="D179" s="9"/>
      <c r="E179" s="10"/>
      <c r="F179" s="10"/>
      <c r="G179" s="10"/>
      <c r="H179" s="10"/>
      <c r="I179" s="9"/>
      <c r="J179" s="10"/>
      <c r="K179" s="10"/>
      <c r="L179" s="10"/>
      <c r="M179" s="10"/>
      <c r="N179" s="9"/>
      <c r="O179" s="10"/>
      <c r="P179" s="10"/>
      <c r="Q179" s="10"/>
      <c r="R179" s="10"/>
      <c r="S179" s="10"/>
      <c r="T179" s="9"/>
      <c r="U179" s="11"/>
      <c r="V179" s="10"/>
      <c r="W179" s="10"/>
      <c r="X179" s="10"/>
      <c r="Y179" s="10"/>
      <c r="Z179" s="9"/>
      <c r="AA179" s="10"/>
      <c r="AB179" s="10"/>
      <c r="AC179" s="10"/>
      <c r="AD179" s="10"/>
      <c r="AE179" s="9"/>
      <c r="AF179" s="10"/>
      <c r="AG179" s="10"/>
      <c r="AH179" s="10"/>
      <c r="AI179" s="10"/>
      <c r="AJ179" s="10"/>
      <c r="AK179" s="9"/>
      <c r="AL179" s="11"/>
      <c r="AM179" s="93"/>
      <c r="AN179" s="94">
        <f t="shared" si="46"/>
        <v>0</v>
      </c>
      <c r="AO179" s="94">
        <f t="shared" si="47"/>
        <v>0</v>
      </c>
    </row>
    <row r="180" spans="1:41">
      <c r="A180" s="166"/>
      <c r="B180" s="3" t="s">
        <v>7</v>
      </c>
      <c r="C180" s="9"/>
      <c r="D180" s="9"/>
      <c r="E180" s="10">
        <f>E179+E178</f>
        <v>0</v>
      </c>
      <c r="F180" s="10">
        <f>F179+F178</f>
        <v>0</v>
      </c>
      <c r="G180" s="10">
        <f>G179+G178</f>
        <v>0</v>
      </c>
      <c r="H180" s="10">
        <f>H179+H178</f>
        <v>0</v>
      </c>
      <c r="I180" s="9">
        <f>SUM(E180:H180)</f>
        <v>0</v>
      </c>
      <c r="J180" s="10">
        <f>J179+J178</f>
        <v>0</v>
      </c>
      <c r="K180" s="10">
        <f>K179+K178</f>
        <v>0</v>
      </c>
      <c r="L180" s="10">
        <f>L179+L178</f>
        <v>0</v>
      </c>
      <c r="M180" s="10">
        <f>M179+M178</f>
        <v>0</v>
      </c>
      <c r="N180" s="9">
        <f>SUM(J180:M180)</f>
        <v>0</v>
      </c>
      <c r="O180" s="10">
        <f>O179+O178</f>
        <v>0</v>
      </c>
      <c r="P180" s="10">
        <f>P179+P178</f>
        <v>0</v>
      </c>
      <c r="Q180" s="10">
        <f>Q179+Q178</f>
        <v>0</v>
      </c>
      <c r="R180" s="10">
        <f>R179+R178</f>
        <v>0</v>
      </c>
      <c r="S180" s="10">
        <f>S179+S178</f>
        <v>0</v>
      </c>
      <c r="T180" s="9">
        <f>SUM(O180:S180)</f>
        <v>0</v>
      </c>
      <c r="U180" s="11">
        <f>T180+N180+I180+D181</f>
        <v>457</v>
      </c>
      <c r="V180" s="10">
        <f>V179+V178</f>
        <v>0</v>
      </c>
      <c r="W180" s="10">
        <f>W179+W178</f>
        <v>0</v>
      </c>
      <c r="X180" s="10">
        <f>X179+X178</f>
        <v>0</v>
      </c>
      <c r="Y180" s="10">
        <f>Y179+Y178</f>
        <v>0</v>
      </c>
      <c r="Z180" s="9">
        <f>SUM(V180:Y180)</f>
        <v>0</v>
      </c>
      <c r="AA180" s="10">
        <f>AA179+AA178</f>
        <v>0</v>
      </c>
      <c r="AB180" s="10">
        <f>AB179+AB178</f>
        <v>0</v>
      </c>
      <c r="AC180" s="10">
        <f>AC179+AC178</f>
        <v>0</v>
      </c>
      <c r="AD180" s="10">
        <f>AD179+AD178</f>
        <v>0</v>
      </c>
      <c r="AE180" s="9">
        <f>SUM(AA180:AD180)</f>
        <v>0</v>
      </c>
      <c r="AF180" s="10">
        <f>AF179+AF178</f>
        <v>0</v>
      </c>
      <c r="AG180" s="10">
        <f>AG179+AG178</f>
        <v>0</v>
      </c>
      <c r="AH180" s="10">
        <f>AH179+AH178</f>
        <v>0</v>
      </c>
      <c r="AI180" s="10">
        <f>AI179+AI178</f>
        <v>0</v>
      </c>
      <c r="AJ180" s="10">
        <f>AJ179+AJ178</f>
        <v>0</v>
      </c>
      <c r="AK180" s="9">
        <f>SUM(AF180:AJ180)</f>
        <v>0</v>
      </c>
      <c r="AL180" s="11">
        <f>AK180+AE180+Z180</f>
        <v>0</v>
      </c>
      <c r="AM180" s="93"/>
      <c r="AN180" s="94">
        <f t="shared" si="46"/>
        <v>0</v>
      </c>
      <c r="AO180" s="94">
        <f t="shared" si="47"/>
        <v>0</v>
      </c>
    </row>
    <row r="181" spans="1:41">
      <c r="A181" s="167"/>
      <c r="B181" s="2" t="s">
        <v>8</v>
      </c>
      <c r="C181" s="65">
        <v>457</v>
      </c>
      <c r="D181" s="95">
        <v>457</v>
      </c>
      <c r="E181" s="81">
        <f>E180-E177</f>
        <v>0</v>
      </c>
      <c r="F181" s="10">
        <f>E181+F180-F177</f>
        <v>457</v>
      </c>
      <c r="G181" s="10">
        <f>F181+G180-G177</f>
        <v>457</v>
      </c>
      <c r="H181" s="10">
        <f>G181+H180-H177</f>
        <v>457</v>
      </c>
      <c r="I181" s="9">
        <f>I180-I177</f>
        <v>457</v>
      </c>
      <c r="J181" s="10">
        <f>I181+J180-J177</f>
        <v>457</v>
      </c>
      <c r="K181" s="10">
        <f>J181+K180-K177</f>
        <v>457</v>
      </c>
      <c r="L181" s="10">
        <f>K181+L180-L177</f>
        <v>457</v>
      </c>
      <c r="M181" s="10">
        <f>L181+M180-M177</f>
        <v>457</v>
      </c>
      <c r="N181" s="9">
        <f>I181+N180-N177</f>
        <v>457</v>
      </c>
      <c r="O181" s="10">
        <f>N181+O180-O177</f>
        <v>457</v>
      </c>
      <c r="P181" s="10">
        <f>O181+P180-P177</f>
        <v>457</v>
      </c>
      <c r="Q181" s="10">
        <f>P181+Q180-Q177</f>
        <v>457</v>
      </c>
      <c r="R181" s="10">
        <f t="shared" ref="R181" si="64">Q181+R180-R177</f>
        <v>457</v>
      </c>
      <c r="S181" s="10">
        <f>R181+S180-S177</f>
        <v>457</v>
      </c>
      <c r="T181" s="9">
        <f>N181+T180-T177</f>
        <v>457</v>
      </c>
      <c r="U181" s="9">
        <f>U180-U177</f>
        <v>457</v>
      </c>
      <c r="V181" s="10">
        <f>U181+V180-V177</f>
        <v>457</v>
      </c>
      <c r="W181" s="10">
        <f>V181+W180-W177</f>
        <v>457</v>
      </c>
      <c r="X181" s="10">
        <f>W181+X180-X177</f>
        <v>457</v>
      </c>
      <c r="Y181" s="10">
        <f>X181+Y180-Y177</f>
        <v>457</v>
      </c>
      <c r="Z181" s="9">
        <f>T181+Z180-Z177</f>
        <v>457</v>
      </c>
      <c r="AA181" s="10">
        <f>Z181+AA180-AA177</f>
        <v>457</v>
      </c>
      <c r="AB181" s="10">
        <f>AA181+AB180-AB177</f>
        <v>457</v>
      </c>
      <c r="AC181" s="10">
        <f>AB181+AC180-AC177</f>
        <v>457</v>
      </c>
      <c r="AD181" s="10">
        <f>AC181+AD180-AD177</f>
        <v>457</v>
      </c>
      <c r="AE181" s="9">
        <f>Z181+AE180-AE177</f>
        <v>457</v>
      </c>
      <c r="AF181" s="10">
        <f>AE181+AF180-AF177</f>
        <v>457</v>
      </c>
      <c r="AG181" s="10">
        <f>AF181+AG180-AG177</f>
        <v>457</v>
      </c>
      <c r="AH181" s="10">
        <f>AG181+AH180-AH177</f>
        <v>457</v>
      </c>
      <c r="AI181" s="10">
        <f t="shared" ref="AI181:AJ181" si="65">AH181+AI180-AI177</f>
        <v>457</v>
      </c>
      <c r="AJ181" s="10">
        <f t="shared" si="65"/>
        <v>457</v>
      </c>
      <c r="AK181" s="9">
        <f>AE181+AK180-AK177</f>
        <v>457</v>
      </c>
      <c r="AL181" s="11">
        <f>T181+AL180-AL177</f>
        <v>457</v>
      </c>
      <c r="AM181" s="93"/>
      <c r="AN181" s="94">
        <f t="shared" si="46"/>
        <v>0</v>
      </c>
      <c r="AO181" s="94">
        <f t="shared" si="47"/>
        <v>0</v>
      </c>
    </row>
    <row r="182" spans="1:41">
      <c r="A182" s="82"/>
      <c r="B182" s="3" t="s">
        <v>9</v>
      </c>
      <c r="C182" s="9"/>
      <c r="D182" s="9"/>
      <c r="E182" s="57">
        <f>E181/(SUM(F177+H177+J177+G177)/20)*1000</f>
        <v>0</v>
      </c>
      <c r="F182" s="57" t="e">
        <f>F181/(SUM(G177+K177+J177+H177)/20)*1000</f>
        <v>#DIV/0!</v>
      </c>
      <c r="G182" s="57" t="e">
        <f>G181/(SUM(H177+J177+K177+L177)/20)*1000</f>
        <v>#DIV/0!</v>
      </c>
      <c r="H182" s="57" t="e">
        <f>H181/(SUM(M177+J177+K177+L177)/20)*1000</f>
        <v>#DIV/0!</v>
      </c>
      <c r="I182" s="12"/>
      <c r="J182" s="57" t="e">
        <f>J181/(SUM(K177+M177+O177+L177)/20)*1000</f>
        <v>#DIV/0!</v>
      </c>
      <c r="K182" s="57" t="e">
        <f>K181/(SUM(L177+P177+O177+M177)/20)*1000</f>
        <v>#DIV/0!</v>
      </c>
      <c r="L182" s="57" t="e">
        <f>L181/(SUM(M177+O177+P177+Q177)/20)*1000</f>
        <v>#DIV/0!</v>
      </c>
      <c r="M182" s="57" t="e">
        <f>M181/(SUM(R177+O177+P177+Q177)/20)*1000</f>
        <v>#DIV/0!</v>
      </c>
      <c r="N182" s="12"/>
      <c r="O182" s="57" t="e">
        <f>O181/(SUM(P177+R177+S177+Q177)/20)*1000</f>
        <v>#DIV/0!</v>
      </c>
      <c r="P182" s="57" t="e">
        <f>P181/(SUM(Q177+S177+V177+R177)/20)*1000</f>
        <v>#DIV/0!</v>
      </c>
      <c r="Q182" s="57" t="e">
        <f>Q181/(SUM(R177+S177+W177+V177)/20)*1000</f>
        <v>#DIV/0!</v>
      </c>
      <c r="R182" s="57" t="e">
        <f>R181/(SUM(T177+U177+V177+W177)/20)*1000</f>
        <v>#DIV/0!</v>
      </c>
      <c r="S182" s="57" t="e">
        <f>S181/(SUM(S177+V177+W177+X177)/20)*1000</f>
        <v>#DIV/0!</v>
      </c>
      <c r="T182" s="12"/>
      <c r="U182" s="13"/>
      <c r="V182" s="57" t="e">
        <f>V181/(SUM(W177+Y177+AA177+X177)/20)*1000</f>
        <v>#DIV/0!</v>
      </c>
      <c r="W182" s="57" t="e">
        <f>V181/(SUM(X177+AA177+AB177+Y177)/20)*1000</f>
        <v>#DIV/0!</v>
      </c>
      <c r="X182" s="57" t="e">
        <f>W181/(SUM(Y177+AA177+AB177+AC177)/20)*1000</f>
        <v>#DIV/0!</v>
      </c>
      <c r="Y182" s="57" t="e">
        <f>Y181/(SUM(AA177+AB177+AC177+AD177)/20)*1000</f>
        <v>#DIV/0!</v>
      </c>
      <c r="Z182" s="12"/>
      <c r="AA182" s="57" t="e">
        <f>AA181/(SUM(AB177+AD177+AF177+AC177)/20)*1000</f>
        <v>#DIV/0!</v>
      </c>
      <c r="AB182" s="57" t="e">
        <f>AB181/(SUM(AC177+AF177+AG177+AD177)/20)*1000</f>
        <v>#DIV/0!</v>
      </c>
      <c r="AC182" s="57" t="e">
        <f>AC181/(SUM(AD177+AF177+AG177+AH177)/20)*1000</f>
        <v>#DIV/0!</v>
      </c>
      <c r="AD182" s="57" t="e">
        <f>AD181/(SUM(AF177+AG177+AH177+AI177)/20)*1000</f>
        <v>#DIV/0!</v>
      </c>
      <c r="AE182" s="12"/>
      <c r="AF182" s="57" t="e">
        <f>AF181/(SUM(AG177+AI177+AJ177+AH177)/20)*1000</f>
        <v>#DIV/0!</v>
      </c>
      <c r="AG182" s="57">
        <f>AG181/(SUM(AH177+AJ177+AM177+AI177)/20)*1000</f>
        <v>71406.25</v>
      </c>
      <c r="AH182" s="57">
        <f>AH181/(SUM(AI177+AJ177+AN177+AM177)/20)*1000</f>
        <v>71406.25</v>
      </c>
      <c r="AI182" s="57">
        <f>AI181/(SUM(AK177+AL177+AM177+AN177)/20)*1000</f>
        <v>71406.25</v>
      </c>
      <c r="AJ182" s="57">
        <f>AJ181/(SUM(AJ177+AM177+AN177+AO177)/20)*1000</f>
        <v>71406.25</v>
      </c>
      <c r="AK182" s="12"/>
      <c r="AL182" s="13"/>
      <c r="AM182" s="93"/>
      <c r="AN182" s="94">
        <f t="shared" si="46"/>
        <v>0</v>
      </c>
      <c r="AO182" s="94">
        <f t="shared" si="47"/>
        <v>0</v>
      </c>
    </row>
    <row r="183" spans="1:41">
      <c r="A183" s="165" t="s">
        <v>122</v>
      </c>
      <c r="B183" s="1" t="s">
        <v>5</v>
      </c>
      <c r="C183" s="9"/>
      <c r="D183" s="9"/>
      <c r="E183" s="10"/>
      <c r="F183" s="10">
        <v>-211</v>
      </c>
      <c r="G183" s="10">
        <v>0</v>
      </c>
      <c r="H183" s="10">
        <v>0</v>
      </c>
      <c r="I183" s="9">
        <f>SUM(E183:H183)</f>
        <v>-211</v>
      </c>
      <c r="J183" s="10">
        <v>0</v>
      </c>
      <c r="K183" s="10">
        <v>0</v>
      </c>
      <c r="L183" s="10">
        <v>0</v>
      </c>
      <c r="M183" s="10">
        <v>0</v>
      </c>
      <c r="N183" s="9">
        <f>SUM(J183:M183)</f>
        <v>0</v>
      </c>
      <c r="O183" s="10">
        <v>0</v>
      </c>
      <c r="P183" s="10">
        <v>0</v>
      </c>
      <c r="Q183" s="10">
        <v>0</v>
      </c>
      <c r="R183" s="10">
        <v>0</v>
      </c>
      <c r="S183" s="10">
        <v>0</v>
      </c>
      <c r="T183" s="9">
        <f>SUM(O183:S183)</f>
        <v>0</v>
      </c>
      <c r="U183" s="11">
        <f>T183+N183+I183+D187</f>
        <v>9</v>
      </c>
      <c r="V183" s="10">
        <v>0</v>
      </c>
      <c r="W183" s="10">
        <v>0</v>
      </c>
      <c r="X183" s="10">
        <v>0</v>
      </c>
      <c r="Y183" s="10">
        <v>0</v>
      </c>
      <c r="Z183" s="9">
        <f>SUM(V183:Y183)</f>
        <v>0</v>
      </c>
      <c r="AA183" s="10">
        <v>0</v>
      </c>
      <c r="AB183" s="10">
        <v>0</v>
      </c>
      <c r="AC183" s="10">
        <v>0</v>
      </c>
      <c r="AD183" s="10">
        <v>0</v>
      </c>
      <c r="AE183" s="9">
        <f>SUM(AA183:AD183)</f>
        <v>0</v>
      </c>
      <c r="AF183" s="10">
        <v>0</v>
      </c>
      <c r="AG183" s="10">
        <v>0</v>
      </c>
      <c r="AH183" s="10">
        <v>0</v>
      </c>
      <c r="AI183" s="10">
        <v>0</v>
      </c>
      <c r="AJ183" s="10">
        <v>0</v>
      </c>
      <c r="AK183" s="9">
        <f>SUM(AF183:AJ183)</f>
        <v>0</v>
      </c>
      <c r="AL183" s="11">
        <f>AK183+AE183+Z183</f>
        <v>0</v>
      </c>
      <c r="AM183" s="93">
        <v>64</v>
      </c>
      <c r="AN183" s="94">
        <f t="shared" si="46"/>
        <v>576</v>
      </c>
      <c r="AO183" s="94">
        <f t="shared" si="47"/>
        <v>0</v>
      </c>
    </row>
    <row r="184" spans="1:41">
      <c r="A184" s="166"/>
      <c r="B184" s="3" t="s">
        <v>6</v>
      </c>
      <c r="C184" s="9"/>
      <c r="D184" s="9"/>
      <c r="E184" s="10"/>
      <c r="F184" s="10"/>
      <c r="G184" s="10"/>
      <c r="H184" s="10"/>
      <c r="I184" s="9">
        <f>SUM(E184:H184)</f>
        <v>0</v>
      </c>
      <c r="J184" s="10"/>
      <c r="K184" s="10"/>
      <c r="L184" s="10"/>
      <c r="M184" s="10"/>
      <c r="N184" s="9">
        <f>SUM(J184:M184)</f>
        <v>0</v>
      </c>
      <c r="O184" s="10"/>
      <c r="P184" s="10"/>
      <c r="Q184" s="10"/>
      <c r="R184" s="10"/>
      <c r="S184" s="10"/>
      <c r="T184" s="9">
        <f>SUM(O184:S184)</f>
        <v>0</v>
      </c>
      <c r="U184" s="11">
        <f>I184+N184+T184</f>
        <v>0</v>
      </c>
      <c r="V184" s="10"/>
      <c r="W184" s="10"/>
      <c r="X184" s="10"/>
      <c r="Y184" s="10"/>
      <c r="Z184" s="9">
        <f>SUM(V184:Y184)</f>
        <v>0</v>
      </c>
      <c r="AA184" s="10"/>
      <c r="AB184" s="10"/>
      <c r="AC184" s="10"/>
      <c r="AD184" s="10"/>
      <c r="AE184" s="9">
        <f>SUM(AA184:AD184)</f>
        <v>0</v>
      </c>
      <c r="AF184" s="10"/>
      <c r="AG184" s="10"/>
      <c r="AH184" s="10"/>
      <c r="AI184" s="10"/>
      <c r="AJ184" s="10"/>
      <c r="AK184" s="9">
        <f>SUM(AF184:AJ184)</f>
        <v>0</v>
      </c>
      <c r="AL184" s="11">
        <f>Z184+AE184+AK184</f>
        <v>0</v>
      </c>
      <c r="AM184" s="93"/>
      <c r="AN184" s="94">
        <f t="shared" si="46"/>
        <v>0</v>
      </c>
      <c r="AO184" s="94">
        <f t="shared" si="47"/>
        <v>0</v>
      </c>
    </row>
    <row r="185" spans="1:41">
      <c r="A185" s="166"/>
      <c r="B185" s="3" t="s">
        <v>10</v>
      </c>
      <c r="C185" s="9">
        <v>0</v>
      </c>
      <c r="D185" s="9"/>
      <c r="E185" s="10"/>
      <c r="F185" s="10"/>
      <c r="G185" s="10"/>
      <c r="H185" s="10"/>
      <c r="I185" s="9"/>
      <c r="J185" s="10"/>
      <c r="K185" s="10"/>
      <c r="L185" s="10"/>
      <c r="M185" s="10"/>
      <c r="N185" s="9"/>
      <c r="O185" s="10"/>
      <c r="P185" s="10"/>
      <c r="Q185" s="10"/>
      <c r="R185" s="10"/>
      <c r="S185" s="10"/>
      <c r="T185" s="9"/>
      <c r="U185" s="11"/>
      <c r="V185" s="10"/>
      <c r="W185" s="10"/>
      <c r="X185" s="10"/>
      <c r="Y185" s="10"/>
      <c r="Z185" s="9"/>
      <c r="AA185" s="10"/>
      <c r="AB185" s="10"/>
      <c r="AC185" s="10"/>
      <c r="AD185" s="10"/>
      <c r="AE185" s="9"/>
      <c r="AF185" s="10"/>
      <c r="AG185" s="10"/>
      <c r="AH185" s="10"/>
      <c r="AI185" s="10"/>
      <c r="AJ185" s="10"/>
      <c r="AK185" s="9"/>
      <c r="AL185" s="11"/>
      <c r="AM185" s="93"/>
      <c r="AN185" s="94">
        <f t="shared" si="46"/>
        <v>0</v>
      </c>
      <c r="AO185" s="94">
        <f t="shared" si="47"/>
        <v>0</v>
      </c>
    </row>
    <row r="186" spans="1:41">
      <c r="A186" s="166"/>
      <c r="B186" s="3" t="s">
        <v>7</v>
      </c>
      <c r="C186" s="9"/>
      <c r="D186" s="9"/>
      <c r="E186" s="10">
        <f>E185+E184</f>
        <v>0</v>
      </c>
      <c r="F186" s="10">
        <f>F185+F184</f>
        <v>0</v>
      </c>
      <c r="G186" s="10">
        <f>G185+G184</f>
        <v>0</v>
      </c>
      <c r="H186" s="10">
        <f>H185+H184</f>
        <v>0</v>
      </c>
      <c r="I186" s="9">
        <f>SUM(E186:H186)</f>
        <v>0</v>
      </c>
      <c r="J186" s="10">
        <f>J185+J184</f>
        <v>0</v>
      </c>
      <c r="K186" s="10">
        <f>K185+K184</f>
        <v>0</v>
      </c>
      <c r="L186" s="10">
        <f>L185+L184</f>
        <v>0</v>
      </c>
      <c r="M186" s="10">
        <f>M185+M184</f>
        <v>0</v>
      </c>
      <c r="N186" s="9">
        <f>SUM(J186:M186)</f>
        <v>0</v>
      </c>
      <c r="O186" s="10">
        <f>O185+O184</f>
        <v>0</v>
      </c>
      <c r="P186" s="10">
        <f>P185+P184</f>
        <v>0</v>
      </c>
      <c r="Q186" s="10">
        <f>Q185+Q184</f>
        <v>0</v>
      </c>
      <c r="R186" s="10">
        <f>R185+R184</f>
        <v>0</v>
      </c>
      <c r="S186" s="10">
        <f>S185+S184</f>
        <v>0</v>
      </c>
      <c r="T186" s="9">
        <f>SUM(O186:S186)</f>
        <v>0</v>
      </c>
      <c r="U186" s="11">
        <f>T186+N186+I186+D187</f>
        <v>220</v>
      </c>
      <c r="V186" s="10">
        <f>V185+V184</f>
        <v>0</v>
      </c>
      <c r="W186" s="10">
        <f>W185+W184</f>
        <v>0</v>
      </c>
      <c r="X186" s="10">
        <f>X185+X184</f>
        <v>0</v>
      </c>
      <c r="Y186" s="10">
        <f>Y185+Y184</f>
        <v>0</v>
      </c>
      <c r="Z186" s="9">
        <f>SUM(V186:Y186)</f>
        <v>0</v>
      </c>
      <c r="AA186" s="10">
        <f>AA185+AA184</f>
        <v>0</v>
      </c>
      <c r="AB186" s="10">
        <f>AB185+AB184</f>
        <v>0</v>
      </c>
      <c r="AC186" s="10">
        <f>AC185+AC184</f>
        <v>0</v>
      </c>
      <c r="AD186" s="10">
        <f>AD185+AD184</f>
        <v>0</v>
      </c>
      <c r="AE186" s="9">
        <f>SUM(AA186:AD186)</f>
        <v>0</v>
      </c>
      <c r="AF186" s="10">
        <f>AF185+AF184</f>
        <v>0</v>
      </c>
      <c r="AG186" s="10">
        <f>AG185+AG184</f>
        <v>0</v>
      </c>
      <c r="AH186" s="10">
        <f>AH185+AH184</f>
        <v>0</v>
      </c>
      <c r="AI186" s="10">
        <f>AI185+AI184</f>
        <v>0</v>
      </c>
      <c r="AJ186" s="10">
        <f>AJ185+AJ184</f>
        <v>0</v>
      </c>
      <c r="AK186" s="9">
        <f>SUM(AF186:AJ186)</f>
        <v>0</v>
      </c>
      <c r="AL186" s="11">
        <f>AK186+AE186+Z186</f>
        <v>0</v>
      </c>
      <c r="AM186" s="93"/>
      <c r="AN186" s="94">
        <f t="shared" si="46"/>
        <v>0</v>
      </c>
      <c r="AO186" s="94">
        <f t="shared" si="47"/>
        <v>0</v>
      </c>
    </row>
    <row r="187" spans="1:41">
      <c r="A187" s="167"/>
      <c r="B187" s="2" t="s">
        <v>8</v>
      </c>
      <c r="C187" s="65">
        <v>211</v>
      </c>
      <c r="D187" s="95">
        <v>220</v>
      </c>
      <c r="E187" s="81">
        <f>E186-E183</f>
        <v>0</v>
      </c>
      <c r="F187" s="10">
        <f>E187+F186-F183</f>
        <v>211</v>
      </c>
      <c r="G187" s="10">
        <f>F187+G186-G183</f>
        <v>211</v>
      </c>
      <c r="H187" s="10">
        <f>G187+H186-H183</f>
        <v>211</v>
      </c>
      <c r="I187" s="9">
        <f>I186-I183</f>
        <v>211</v>
      </c>
      <c r="J187" s="10">
        <f>I187+J186-J183</f>
        <v>211</v>
      </c>
      <c r="K187" s="10">
        <f>J187+K186-K183</f>
        <v>211</v>
      </c>
      <c r="L187" s="10">
        <f>K187+L186-L183</f>
        <v>211</v>
      </c>
      <c r="M187" s="10">
        <f>L187+M186-M183</f>
        <v>211</v>
      </c>
      <c r="N187" s="9">
        <f>I187+N186-N183</f>
        <v>211</v>
      </c>
      <c r="O187" s="10">
        <f>N187+O186-O183</f>
        <v>211</v>
      </c>
      <c r="P187" s="10">
        <f>O187+P186-P183</f>
        <v>211</v>
      </c>
      <c r="Q187" s="10">
        <f>P187+Q186-Q183</f>
        <v>211</v>
      </c>
      <c r="R187" s="10">
        <f t="shared" ref="R187" si="66">Q187+R186-R183</f>
        <v>211</v>
      </c>
      <c r="S187" s="10">
        <f>R187+S186-S183</f>
        <v>211</v>
      </c>
      <c r="T187" s="9">
        <f>N187+T186-T183</f>
        <v>211</v>
      </c>
      <c r="U187" s="9">
        <f>U186-U183</f>
        <v>211</v>
      </c>
      <c r="V187" s="10">
        <f>U187+V186-V183</f>
        <v>211</v>
      </c>
      <c r="W187" s="10">
        <f>V187+W186-W183</f>
        <v>211</v>
      </c>
      <c r="X187" s="10">
        <f>W187+X186-X183</f>
        <v>211</v>
      </c>
      <c r="Y187" s="10">
        <f>X187+Y186-Y183</f>
        <v>211</v>
      </c>
      <c r="Z187" s="9">
        <f>T187+Z186-Z183</f>
        <v>211</v>
      </c>
      <c r="AA187" s="10">
        <f>Z187+AA186-AA183</f>
        <v>211</v>
      </c>
      <c r="AB187" s="10">
        <f>AA187+AB186-AB183</f>
        <v>211</v>
      </c>
      <c r="AC187" s="10">
        <f>AB187+AC186-AC183</f>
        <v>211</v>
      </c>
      <c r="AD187" s="10">
        <f>AC187+AD186-AD183</f>
        <v>211</v>
      </c>
      <c r="AE187" s="9">
        <f>Z187+AE186-AE183</f>
        <v>211</v>
      </c>
      <c r="AF187" s="10">
        <f>AE187+AF186-AF183</f>
        <v>211</v>
      </c>
      <c r="AG187" s="10">
        <f>AF187+AG186-AG183</f>
        <v>211</v>
      </c>
      <c r="AH187" s="10">
        <f>AG187+AH186-AH183</f>
        <v>211</v>
      </c>
      <c r="AI187" s="10">
        <f t="shared" ref="AI187:AJ187" si="67">AH187+AI186-AI183</f>
        <v>211</v>
      </c>
      <c r="AJ187" s="10">
        <f t="shared" si="67"/>
        <v>211</v>
      </c>
      <c r="AK187" s="9">
        <f>AE187+AK186-AK183</f>
        <v>211</v>
      </c>
      <c r="AL187" s="11">
        <f>T187+AL186-AL183</f>
        <v>211</v>
      </c>
      <c r="AM187" s="93"/>
      <c r="AN187" s="94">
        <f t="shared" si="46"/>
        <v>0</v>
      </c>
      <c r="AO187" s="94">
        <f t="shared" si="47"/>
        <v>0</v>
      </c>
    </row>
    <row r="188" spans="1:41">
      <c r="A188" s="82"/>
      <c r="B188" s="3" t="s">
        <v>9</v>
      </c>
      <c r="C188" s="9"/>
      <c r="D188" s="9"/>
      <c r="E188" s="57">
        <f>E187/(SUM(F183+H183+J183+G183)/20)*1000</f>
        <v>0</v>
      </c>
      <c r="F188" s="57" t="e">
        <f>F187/(SUM(G183+K183+J183+H183)/20)*1000</f>
        <v>#DIV/0!</v>
      </c>
      <c r="G188" s="57" t="e">
        <f>G187/(SUM(H183+J183+K183+L183)/20)*1000</f>
        <v>#DIV/0!</v>
      </c>
      <c r="H188" s="57" t="e">
        <f>H187/(SUM(M183+J183+K183+L183)/20)*1000</f>
        <v>#DIV/0!</v>
      </c>
      <c r="I188" s="12"/>
      <c r="J188" s="57" t="e">
        <f>J187/(SUM(K183+M183+O183+L183)/20)*1000</f>
        <v>#DIV/0!</v>
      </c>
      <c r="K188" s="57" t="e">
        <f>K187/(SUM(L183+P183+O183+M183)/20)*1000</f>
        <v>#DIV/0!</v>
      </c>
      <c r="L188" s="57" t="e">
        <f>L187/(SUM(M183+O183+P183+Q183)/20)*1000</f>
        <v>#DIV/0!</v>
      </c>
      <c r="M188" s="57" t="e">
        <f>M187/(SUM(R183+O183+P183+Q183)/20)*1000</f>
        <v>#DIV/0!</v>
      </c>
      <c r="N188" s="12"/>
      <c r="O188" s="57" t="e">
        <f>O187/(SUM(P183+R183+S183+Q183)/20)*1000</f>
        <v>#DIV/0!</v>
      </c>
      <c r="P188" s="57" t="e">
        <f>P187/(SUM(Q183+S183+V183+R183)/20)*1000</f>
        <v>#DIV/0!</v>
      </c>
      <c r="Q188" s="57" t="e">
        <f>Q187/(SUM(R183+S183+W183+V183)/20)*1000</f>
        <v>#DIV/0!</v>
      </c>
      <c r="R188" s="57">
        <f>R187/(SUM(T183+U183+V183+W183)/20)*1000</f>
        <v>468888.88888888888</v>
      </c>
      <c r="S188" s="57" t="e">
        <f>S187/(SUM(S183+V183+W183+X183)/20)*1000</f>
        <v>#DIV/0!</v>
      </c>
      <c r="T188" s="12"/>
      <c r="U188" s="13"/>
      <c r="V188" s="57" t="e">
        <f>V187/(SUM(W183+Y183+AA183+X183)/20)*1000</f>
        <v>#DIV/0!</v>
      </c>
      <c r="W188" s="57" t="e">
        <f>V187/(SUM(X183+AA183+AB183+Y183)/20)*1000</f>
        <v>#DIV/0!</v>
      </c>
      <c r="X188" s="57" t="e">
        <f>W187/(SUM(Y183+AA183+AB183+AC183)/20)*1000</f>
        <v>#DIV/0!</v>
      </c>
      <c r="Y188" s="57" t="e">
        <f>Y187/(SUM(AA183+AB183+AC183+AD183)/20)*1000</f>
        <v>#DIV/0!</v>
      </c>
      <c r="Z188" s="12"/>
      <c r="AA188" s="57" t="e">
        <f>AA187/(SUM(AB183+AD183+AF183+AC183)/20)*1000</f>
        <v>#DIV/0!</v>
      </c>
      <c r="AB188" s="57" t="e">
        <f>AB187/(SUM(AC183+AF183+AG183+AD183)/20)*1000</f>
        <v>#DIV/0!</v>
      </c>
      <c r="AC188" s="57" t="e">
        <f>AC187/(SUM(AD183+AF183+AG183+AH183)/20)*1000</f>
        <v>#DIV/0!</v>
      </c>
      <c r="AD188" s="57" t="e">
        <f>AD187/(SUM(AF183+AG183+AH183+AI183)/20)*1000</f>
        <v>#DIV/0!</v>
      </c>
      <c r="AE188" s="12"/>
      <c r="AF188" s="57" t="e">
        <f>AF187/(SUM(AG183+AI183+AJ183+AH183)/20)*1000</f>
        <v>#DIV/0!</v>
      </c>
      <c r="AG188" s="57">
        <f>AG187/(SUM(AH183+AJ183+AM183+AI183)/20)*1000</f>
        <v>65937.5</v>
      </c>
      <c r="AH188" s="57">
        <f>AH187/(SUM(AI183+AJ183+AN183+AM183)/20)*1000</f>
        <v>6593.75</v>
      </c>
      <c r="AI188" s="57">
        <f>AI187/(SUM(AK183+AL183+AM183+AN183)/20)*1000</f>
        <v>6593.75</v>
      </c>
      <c r="AJ188" s="57">
        <f>AJ187/(SUM(AJ183+AM183+AN183+AO183)/20)*1000</f>
        <v>6593.75</v>
      </c>
      <c r="AK188" s="12"/>
      <c r="AL188" s="13"/>
      <c r="AM188" s="93"/>
      <c r="AN188" s="94">
        <f t="shared" si="46"/>
        <v>0</v>
      </c>
      <c r="AO188" s="94">
        <f t="shared" si="47"/>
        <v>0</v>
      </c>
    </row>
    <row r="189" spans="1:41">
      <c r="A189" s="165" t="s">
        <v>123</v>
      </c>
      <c r="B189" s="1" t="s">
        <v>5</v>
      </c>
      <c r="C189" s="9"/>
      <c r="D189" s="9"/>
      <c r="E189" s="10"/>
      <c r="F189" s="10">
        <v>0</v>
      </c>
      <c r="G189" s="10">
        <v>0</v>
      </c>
      <c r="H189" s="10">
        <v>0</v>
      </c>
      <c r="I189" s="9">
        <f>SUM(E189:H189)</f>
        <v>0</v>
      </c>
      <c r="J189" s="10">
        <v>0</v>
      </c>
      <c r="K189" s="10">
        <v>0</v>
      </c>
      <c r="L189" s="10">
        <v>0</v>
      </c>
      <c r="M189" s="10">
        <v>0</v>
      </c>
      <c r="N189" s="9">
        <f>SUM(J189:M189)</f>
        <v>0</v>
      </c>
      <c r="O189" s="10">
        <v>0</v>
      </c>
      <c r="P189" s="10">
        <v>0</v>
      </c>
      <c r="Q189" s="10">
        <v>0</v>
      </c>
      <c r="R189" s="10">
        <v>0</v>
      </c>
      <c r="S189" s="10">
        <v>0</v>
      </c>
      <c r="T189" s="9">
        <f>SUM(O189:S189)</f>
        <v>0</v>
      </c>
      <c r="U189" s="11">
        <f>T189+N189+I189+D193</f>
        <v>0</v>
      </c>
      <c r="V189" s="10">
        <v>0</v>
      </c>
      <c r="W189" s="10">
        <v>0</v>
      </c>
      <c r="X189" s="10">
        <v>0</v>
      </c>
      <c r="Y189" s="10">
        <v>0</v>
      </c>
      <c r="Z189" s="9">
        <f>SUM(V189:Y189)</f>
        <v>0</v>
      </c>
      <c r="AA189" s="83">
        <v>0</v>
      </c>
      <c r="AB189" s="83">
        <v>0</v>
      </c>
      <c r="AC189" s="83">
        <v>0</v>
      </c>
      <c r="AD189" s="83">
        <v>0</v>
      </c>
      <c r="AE189" s="9">
        <f>SUM(AA189:AD189)</f>
        <v>0</v>
      </c>
      <c r="AF189" s="10">
        <v>0</v>
      </c>
      <c r="AG189" s="10">
        <v>0</v>
      </c>
      <c r="AH189" s="10">
        <v>0</v>
      </c>
      <c r="AI189" s="10">
        <v>0</v>
      </c>
      <c r="AJ189" s="10">
        <v>0</v>
      </c>
      <c r="AK189" s="9">
        <f>SUM(AF189:AJ189)</f>
        <v>0</v>
      </c>
      <c r="AL189" s="11">
        <f>AK189+AE189+Z189</f>
        <v>0</v>
      </c>
      <c r="AM189" s="93">
        <v>16</v>
      </c>
      <c r="AN189" s="94">
        <f t="shared" si="46"/>
        <v>0</v>
      </c>
      <c r="AO189" s="94">
        <f t="shared" si="47"/>
        <v>0</v>
      </c>
    </row>
    <row r="190" spans="1:41">
      <c r="A190" s="166"/>
      <c r="B190" s="3" t="s">
        <v>6</v>
      </c>
      <c r="C190" s="9"/>
      <c r="D190" s="9"/>
      <c r="E190" s="10"/>
      <c r="F190" s="10"/>
      <c r="G190" s="10"/>
      <c r="H190" s="10"/>
      <c r="I190" s="9">
        <f>SUM(E190:H190)</f>
        <v>0</v>
      </c>
      <c r="J190" s="10"/>
      <c r="K190" s="10"/>
      <c r="L190" s="10"/>
      <c r="M190" s="10"/>
      <c r="N190" s="9">
        <f>SUM(J190:M190)</f>
        <v>0</v>
      </c>
      <c r="O190" s="10"/>
      <c r="P190" s="10"/>
      <c r="Q190" s="10"/>
      <c r="R190" s="10"/>
      <c r="S190" s="10"/>
      <c r="T190" s="9">
        <f>SUM(O190:S190)</f>
        <v>0</v>
      </c>
      <c r="U190" s="11">
        <f>I190+N190+T190</f>
        <v>0</v>
      </c>
      <c r="V190" s="10"/>
      <c r="W190" s="10"/>
      <c r="X190" s="10"/>
      <c r="Y190" s="10"/>
      <c r="Z190" s="9">
        <f>SUM(V190:Y190)</f>
        <v>0</v>
      </c>
      <c r="AA190" s="10"/>
      <c r="AB190" s="10"/>
      <c r="AC190" s="10"/>
      <c r="AD190" s="10"/>
      <c r="AE190" s="9">
        <f>SUM(AA190:AD190)</f>
        <v>0</v>
      </c>
      <c r="AF190" s="10"/>
      <c r="AG190" s="10"/>
      <c r="AH190" s="10"/>
      <c r="AI190" s="10"/>
      <c r="AJ190" s="10"/>
      <c r="AK190" s="9">
        <f>SUM(AF190:AJ190)</f>
        <v>0</v>
      </c>
      <c r="AL190" s="11">
        <f>Z190+AE190+AK190</f>
        <v>0</v>
      </c>
      <c r="AM190" s="93"/>
      <c r="AN190" s="94">
        <f t="shared" si="46"/>
        <v>0</v>
      </c>
      <c r="AO190" s="94">
        <f t="shared" si="47"/>
        <v>0</v>
      </c>
    </row>
    <row r="191" spans="1:41">
      <c r="A191" s="166"/>
      <c r="B191" s="3" t="s">
        <v>10</v>
      </c>
      <c r="C191" s="9">
        <v>0</v>
      </c>
      <c r="D191" s="9"/>
      <c r="E191" s="10"/>
      <c r="F191" s="10"/>
      <c r="G191" s="10"/>
      <c r="H191" s="10"/>
      <c r="I191" s="9"/>
      <c r="J191" s="10"/>
      <c r="K191" s="10"/>
      <c r="L191" s="10"/>
      <c r="M191" s="10"/>
      <c r="N191" s="9"/>
      <c r="O191" s="10"/>
      <c r="P191" s="10"/>
      <c r="Q191" s="10"/>
      <c r="R191" s="10"/>
      <c r="S191" s="10"/>
      <c r="T191" s="9"/>
      <c r="U191" s="11"/>
      <c r="V191" s="10"/>
      <c r="W191" s="10"/>
      <c r="X191" s="10"/>
      <c r="Y191" s="10"/>
      <c r="Z191" s="9"/>
      <c r="AA191" s="10"/>
      <c r="AB191" s="10"/>
      <c r="AC191" s="10"/>
      <c r="AD191" s="10"/>
      <c r="AE191" s="9"/>
      <c r="AF191" s="10"/>
      <c r="AG191" s="10"/>
      <c r="AH191" s="10"/>
      <c r="AI191" s="10"/>
      <c r="AJ191" s="10"/>
      <c r="AK191" s="9"/>
      <c r="AL191" s="11"/>
      <c r="AM191" s="93"/>
      <c r="AN191" s="94">
        <f t="shared" si="46"/>
        <v>0</v>
      </c>
      <c r="AO191" s="94">
        <f t="shared" si="47"/>
        <v>0</v>
      </c>
    </row>
    <row r="192" spans="1:41">
      <c r="A192" s="166"/>
      <c r="B192" s="3" t="s">
        <v>7</v>
      </c>
      <c r="C192" s="9"/>
      <c r="D192" s="9"/>
      <c r="E192" s="10">
        <f>E191+E190</f>
        <v>0</v>
      </c>
      <c r="F192" s="10">
        <f>F191+F190</f>
        <v>0</v>
      </c>
      <c r="G192" s="10">
        <f>G191+G190</f>
        <v>0</v>
      </c>
      <c r="H192" s="10">
        <f>H191+H190</f>
        <v>0</v>
      </c>
      <c r="I192" s="9">
        <f>SUM(E192:H192)</f>
        <v>0</v>
      </c>
      <c r="J192" s="10">
        <f>J191+J190</f>
        <v>0</v>
      </c>
      <c r="K192" s="10">
        <f>K191+K190</f>
        <v>0</v>
      </c>
      <c r="L192" s="10">
        <f>L191+L190</f>
        <v>0</v>
      </c>
      <c r="M192" s="10">
        <f>M191+M190</f>
        <v>0</v>
      </c>
      <c r="N192" s="9">
        <f>SUM(J192:M192)</f>
        <v>0</v>
      </c>
      <c r="O192" s="10">
        <f>O191+O190</f>
        <v>0</v>
      </c>
      <c r="P192" s="10">
        <f>P191+P190</f>
        <v>0</v>
      </c>
      <c r="Q192" s="10">
        <f>Q191+Q190</f>
        <v>0</v>
      </c>
      <c r="R192" s="10">
        <f>R191+R190</f>
        <v>0</v>
      </c>
      <c r="S192" s="10">
        <f>S191+S190</f>
        <v>0</v>
      </c>
      <c r="T192" s="9">
        <f>SUM(O192:S192)</f>
        <v>0</v>
      </c>
      <c r="U192" s="11">
        <f>T192+N192+I192+D193</f>
        <v>0</v>
      </c>
      <c r="V192" s="10">
        <f>V191+V190</f>
        <v>0</v>
      </c>
      <c r="W192" s="10">
        <f>W191+W190</f>
        <v>0</v>
      </c>
      <c r="X192" s="10">
        <f>X191+X190</f>
        <v>0</v>
      </c>
      <c r="Y192" s="10">
        <f>Y191+Y190</f>
        <v>0</v>
      </c>
      <c r="Z192" s="9">
        <f>SUM(V192:Y192)</f>
        <v>0</v>
      </c>
      <c r="AA192" s="10">
        <f>AA191+AA190</f>
        <v>0</v>
      </c>
      <c r="AB192" s="10">
        <f>AB191+AB190</f>
        <v>0</v>
      </c>
      <c r="AC192" s="10">
        <f>AC191+AC190</f>
        <v>0</v>
      </c>
      <c r="AD192" s="10">
        <f>AD191+AD190</f>
        <v>0</v>
      </c>
      <c r="AE192" s="9">
        <f>SUM(AA192:AD192)</f>
        <v>0</v>
      </c>
      <c r="AF192" s="10">
        <f>AF191+AF190</f>
        <v>0</v>
      </c>
      <c r="AG192" s="10">
        <f>AG191+AG190</f>
        <v>0</v>
      </c>
      <c r="AH192" s="10">
        <f>AH191+AH190</f>
        <v>0</v>
      </c>
      <c r="AI192" s="10">
        <f>AI191+AI190</f>
        <v>0</v>
      </c>
      <c r="AJ192" s="10">
        <f>AJ191+AJ190</f>
        <v>0</v>
      </c>
      <c r="AK192" s="9">
        <f>SUM(AF192:AJ192)</f>
        <v>0</v>
      </c>
      <c r="AL192" s="11">
        <f>AK192+AE192+Z192</f>
        <v>0</v>
      </c>
      <c r="AM192" s="93"/>
      <c r="AN192" s="94">
        <f t="shared" si="46"/>
        <v>0</v>
      </c>
      <c r="AO192" s="94">
        <f t="shared" si="47"/>
        <v>0</v>
      </c>
    </row>
    <row r="193" spans="1:41">
      <c r="A193" s="167"/>
      <c r="B193" s="2" t="s">
        <v>8</v>
      </c>
      <c r="C193" s="65">
        <v>0</v>
      </c>
      <c r="D193" s="95"/>
      <c r="E193" s="81">
        <f>E192-E189</f>
        <v>0</v>
      </c>
      <c r="F193" s="10">
        <f>E193+F192-F189</f>
        <v>0</v>
      </c>
      <c r="G193" s="10">
        <f>F193+G192-G189</f>
        <v>0</v>
      </c>
      <c r="H193" s="10">
        <f>G193+H192-H189</f>
        <v>0</v>
      </c>
      <c r="I193" s="9">
        <f>I192-I189</f>
        <v>0</v>
      </c>
      <c r="J193" s="10">
        <f>I193+J192-J189</f>
        <v>0</v>
      </c>
      <c r="K193" s="10">
        <f>J193+K192-K189</f>
        <v>0</v>
      </c>
      <c r="L193" s="10">
        <f>K193+L192-L189</f>
        <v>0</v>
      </c>
      <c r="M193" s="10">
        <f>L193+M192-M189</f>
        <v>0</v>
      </c>
      <c r="N193" s="9">
        <f>I193+N192-N189</f>
        <v>0</v>
      </c>
      <c r="O193" s="10">
        <f>N193+O192-O189</f>
        <v>0</v>
      </c>
      <c r="P193" s="10">
        <f>O193+P192-P189</f>
        <v>0</v>
      </c>
      <c r="Q193" s="10">
        <f>P193+Q192-Q189</f>
        <v>0</v>
      </c>
      <c r="R193" s="10">
        <f t="shared" ref="R193" si="68">Q193+R192-R189</f>
        <v>0</v>
      </c>
      <c r="S193" s="10">
        <f>R193+S192-S189</f>
        <v>0</v>
      </c>
      <c r="T193" s="9">
        <f>N193+T192-T189</f>
        <v>0</v>
      </c>
      <c r="U193" s="9">
        <f>U192-U189</f>
        <v>0</v>
      </c>
      <c r="V193" s="10">
        <f>U193+V192-V189</f>
        <v>0</v>
      </c>
      <c r="W193" s="10">
        <f>V193+W192-W189</f>
        <v>0</v>
      </c>
      <c r="X193" s="10">
        <f>W193+X192-X189</f>
        <v>0</v>
      </c>
      <c r="Y193" s="10">
        <f>X193+Y192-Y189</f>
        <v>0</v>
      </c>
      <c r="Z193" s="9">
        <f>T193+Z192-Z189</f>
        <v>0</v>
      </c>
      <c r="AA193" s="10">
        <f>Z193+AA192-AA189</f>
        <v>0</v>
      </c>
      <c r="AB193" s="10">
        <f>AA193+AB192-AB189</f>
        <v>0</v>
      </c>
      <c r="AC193" s="10">
        <f>AB193+AC192-AC189</f>
        <v>0</v>
      </c>
      <c r="AD193" s="10">
        <f>AC193+AD192-AD189</f>
        <v>0</v>
      </c>
      <c r="AE193" s="9">
        <f>Z193+AE192-AE189</f>
        <v>0</v>
      </c>
      <c r="AF193" s="10">
        <f>AE193+AF192-AF189</f>
        <v>0</v>
      </c>
      <c r="AG193" s="10">
        <f>AF193+AG192-AG189</f>
        <v>0</v>
      </c>
      <c r="AH193" s="10">
        <f>AG193+AH192-AH189</f>
        <v>0</v>
      </c>
      <c r="AI193" s="10">
        <f t="shared" ref="AI193:AJ193" si="69">AH193+AI192-AI189</f>
        <v>0</v>
      </c>
      <c r="AJ193" s="10">
        <f t="shared" si="69"/>
        <v>0</v>
      </c>
      <c r="AK193" s="9">
        <f>AE193+AK192-AK189</f>
        <v>0</v>
      </c>
      <c r="AL193" s="11">
        <f>T193+AL192-AL189</f>
        <v>0</v>
      </c>
      <c r="AM193" s="93"/>
      <c r="AN193" s="94">
        <f t="shared" si="46"/>
        <v>0</v>
      </c>
      <c r="AO193" s="94">
        <f t="shared" si="47"/>
        <v>0</v>
      </c>
    </row>
    <row r="194" spans="1:41">
      <c r="A194" s="82"/>
      <c r="B194" s="3" t="s">
        <v>9</v>
      </c>
      <c r="C194" s="9"/>
      <c r="D194" s="9"/>
      <c r="E194" s="57" t="e">
        <f>E193/(SUM(F189+H189+J189+G189)/20)*1000</f>
        <v>#DIV/0!</v>
      </c>
      <c r="F194" s="57" t="e">
        <f>F193/(SUM(G189+K189+J189+H189)/20)*1000</f>
        <v>#DIV/0!</v>
      </c>
      <c r="G194" s="57" t="e">
        <f>G193/(SUM(H189+J189+K189+L189)/20)*1000</f>
        <v>#DIV/0!</v>
      </c>
      <c r="H194" s="57" t="e">
        <f>H193/(SUM(M189+J189+K189+L189)/20)*1000</f>
        <v>#DIV/0!</v>
      </c>
      <c r="I194" s="12"/>
      <c r="J194" s="57" t="e">
        <f>J193/(SUM(K189+M189+O189+L189)/20)*1000</f>
        <v>#DIV/0!</v>
      </c>
      <c r="K194" s="57" t="e">
        <f>K193/(SUM(L189+P189+O189+M189)/20)*1000</f>
        <v>#DIV/0!</v>
      </c>
      <c r="L194" s="57" t="e">
        <f>L193/(SUM(M189+O189+P189+Q189)/20)*1000</f>
        <v>#DIV/0!</v>
      </c>
      <c r="M194" s="57" t="e">
        <f>M193/(SUM(R189+O189+P189+Q189)/20)*1000</f>
        <v>#DIV/0!</v>
      </c>
      <c r="N194" s="12"/>
      <c r="O194" s="57" t="e">
        <f>O193/(SUM(P189+R189+S189+Q189)/20)*1000</f>
        <v>#DIV/0!</v>
      </c>
      <c r="P194" s="57" t="e">
        <f>P193/(SUM(Q189+S189+V189+R189)/20)*1000</f>
        <v>#DIV/0!</v>
      </c>
      <c r="Q194" s="57" t="e">
        <f>Q193/(SUM(R189+S189+W189+V189)/20)*1000</f>
        <v>#DIV/0!</v>
      </c>
      <c r="R194" s="57" t="e">
        <f>R193/(SUM(T189+U189+V189+W189)/20)*1000</f>
        <v>#DIV/0!</v>
      </c>
      <c r="S194" s="57" t="e">
        <f>S193/(SUM(S189+V189+W189+X189)/20)*1000</f>
        <v>#DIV/0!</v>
      </c>
      <c r="T194" s="12"/>
      <c r="U194" s="13"/>
      <c r="V194" s="57" t="e">
        <f>V193/(SUM(W189+Y189+AA189+X189)/20)*1000</f>
        <v>#DIV/0!</v>
      </c>
      <c r="W194" s="57" t="e">
        <f>V193/(SUM(X189+AA189+AB189+Y189)/20)*1000</f>
        <v>#DIV/0!</v>
      </c>
      <c r="X194" s="57" t="e">
        <f>W193/(SUM(Y189+AA189+AB189+AC189)/20)*1000</f>
        <v>#DIV/0!</v>
      </c>
      <c r="Y194" s="57" t="e">
        <f>Y193/(SUM(AA189+AB189+AC189+AD189)/20)*1000</f>
        <v>#DIV/0!</v>
      </c>
      <c r="Z194" s="12"/>
      <c r="AA194" s="57" t="e">
        <f>AA193/(SUM(AB189+AD189+AF189+AC189)/20)*1000</f>
        <v>#DIV/0!</v>
      </c>
      <c r="AB194" s="57" t="e">
        <f>AB193/(SUM(AC189+AF189+AG189+AD189)/20)*1000</f>
        <v>#DIV/0!</v>
      </c>
      <c r="AC194" s="57" t="e">
        <f>AC193/(SUM(AD189+AF189+AG189+AH189)/20)*1000</f>
        <v>#DIV/0!</v>
      </c>
      <c r="AD194" s="57" t="e">
        <f>AD193/(SUM(AF189+AG189+AH189+AI189)/20)*1000</f>
        <v>#DIV/0!</v>
      </c>
      <c r="AE194" s="12"/>
      <c r="AF194" s="57" t="e">
        <f>AF193/(SUM(AG189+AI189+AJ189+AH189)/20)*1000</f>
        <v>#DIV/0!</v>
      </c>
      <c r="AG194" s="57">
        <f>AG193/(SUM(AH189+AJ189+AM189+AI189)/20)*1000</f>
        <v>0</v>
      </c>
      <c r="AH194" s="57">
        <f>AH193/(SUM(AI189+AJ189+AN189+AM189)/20)*1000</f>
        <v>0</v>
      </c>
      <c r="AI194" s="57">
        <f>AI193/(SUM(AK189+AL189+AM189+AN189)/20)*1000</f>
        <v>0</v>
      </c>
      <c r="AJ194" s="57">
        <f>AJ193/(SUM(AJ189+AM189+AN189+AO189)/20)*1000</f>
        <v>0</v>
      </c>
      <c r="AK194" s="12"/>
      <c r="AL194" s="13"/>
      <c r="AM194" s="93"/>
      <c r="AN194" s="94">
        <f t="shared" si="46"/>
        <v>0</v>
      </c>
      <c r="AO194" s="94">
        <f t="shared" si="47"/>
        <v>0</v>
      </c>
    </row>
    <row r="195" spans="1:41">
      <c r="A195" s="165" t="s">
        <v>124</v>
      </c>
      <c r="B195" s="1" t="s">
        <v>5</v>
      </c>
      <c r="C195" s="9"/>
      <c r="D195" s="9"/>
      <c r="E195" s="10"/>
      <c r="F195" s="10">
        <v>0</v>
      </c>
      <c r="G195" s="10">
        <v>0</v>
      </c>
      <c r="H195" s="10">
        <v>0</v>
      </c>
      <c r="I195" s="9">
        <f>SUM(E195:H195)</f>
        <v>0</v>
      </c>
      <c r="J195" s="10">
        <v>0</v>
      </c>
      <c r="K195" s="10">
        <v>0</v>
      </c>
      <c r="L195" s="10">
        <v>0</v>
      </c>
      <c r="M195" s="10">
        <v>0</v>
      </c>
      <c r="N195" s="9">
        <f>SUM(J195:M195)</f>
        <v>0</v>
      </c>
      <c r="O195" s="10">
        <v>0</v>
      </c>
      <c r="P195" s="10">
        <v>0</v>
      </c>
      <c r="Q195" s="10">
        <v>0</v>
      </c>
      <c r="R195" s="10">
        <v>0</v>
      </c>
      <c r="S195" s="10">
        <v>0</v>
      </c>
      <c r="T195" s="9">
        <f>SUM(O195:S195)</f>
        <v>0</v>
      </c>
      <c r="U195" s="11">
        <f>T195+N195+I195+D199</f>
        <v>0</v>
      </c>
      <c r="V195" s="10">
        <v>0</v>
      </c>
      <c r="W195" s="10">
        <v>0</v>
      </c>
      <c r="X195" s="10">
        <v>0</v>
      </c>
      <c r="Y195" s="10">
        <v>0</v>
      </c>
      <c r="Z195" s="9">
        <f>SUM(V195:Y195)</f>
        <v>0</v>
      </c>
      <c r="AA195" s="10">
        <v>0</v>
      </c>
      <c r="AB195" s="10">
        <v>0</v>
      </c>
      <c r="AC195" s="10">
        <v>0</v>
      </c>
      <c r="AD195" s="10">
        <v>0</v>
      </c>
      <c r="AE195" s="9">
        <f>SUM(AA195:AD195)</f>
        <v>0</v>
      </c>
      <c r="AF195" s="10">
        <v>0</v>
      </c>
      <c r="AG195" s="10">
        <v>0</v>
      </c>
      <c r="AH195" s="10">
        <v>0</v>
      </c>
      <c r="AI195" s="10">
        <v>0</v>
      </c>
      <c r="AJ195" s="10">
        <v>0</v>
      </c>
      <c r="AK195" s="9">
        <f>SUM(AF195:AJ195)</f>
        <v>0</v>
      </c>
      <c r="AL195" s="11">
        <f>AK195+AE195+Z195</f>
        <v>0</v>
      </c>
      <c r="AM195" s="93">
        <v>32</v>
      </c>
      <c r="AN195" s="94">
        <f t="shared" si="46"/>
        <v>0</v>
      </c>
      <c r="AO195" s="94">
        <f t="shared" si="47"/>
        <v>0</v>
      </c>
    </row>
    <row r="196" spans="1:41">
      <c r="A196" s="166"/>
      <c r="B196" s="3" t="s">
        <v>6</v>
      </c>
      <c r="C196" s="9"/>
      <c r="D196" s="9"/>
      <c r="E196" s="10"/>
      <c r="F196" s="10"/>
      <c r="G196" s="10"/>
      <c r="H196" s="10"/>
      <c r="I196" s="9">
        <f>SUM(E196:H196)</f>
        <v>0</v>
      </c>
      <c r="J196" s="10"/>
      <c r="K196" s="10"/>
      <c r="L196" s="10"/>
      <c r="M196" s="10"/>
      <c r="N196" s="9">
        <f>SUM(J196:M196)</f>
        <v>0</v>
      </c>
      <c r="O196" s="10"/>
      <c r="P196" s="10"/>
      <c r="Q196" s="10"/>
      <c r="R196" s="10"/>
      <c r="S196" s="10"/>
      <c r="T196" s="9">
        <f>SUM(O196:S196)</f>
        <v>0</v>
      </c>
      <c r="U196" s="11">
        <f>I196+N196+T196</f>
        <v>0</v>
      </c>
      <c r="V196" s="10"/>
      <c r="W196" s="10"/>
      <c r="X196" s="10"/>
      <c r="Y196" s="10"/>
      <c r="Z196" s="9">
        <f>SUM(V196:Y196)</f>
        <v>0</v>
      </c>
      <c r="AA196" s="10"/>
      <c r="AB196" s="10"/>
      <c r="AC196" s="10"/>
      <c r="AD196" s="10"/>
      <c r="AE196" s="9">
        <f>SUM(AA196:AD196)</f>
        <v>0</v>
      </c>
      <c r="AF196" s="10"/>
      <c r="AG196" s="10"/>
      <c r="AH196" s="10"/>
      <c r="AI196" s="10"/>
      <c r="AJ196" s="10"/>
      <c r="AK196" s="9">
        <f>SUM(AF196:AJ196)</f>
        <v>0</v>
      </c>
      <c r="AL196" s="11">
        <f>Z196+AE196+AK196</f>
        <v>0</v>
      </c>
      <c r="AM196" s="93"/>
      <c r="AN196" s="94">
        <f t="shared" ref="AN196:AN271" si="70">AM196*U196</f>
        <v>0</v>
      </c>
      <c r="AO196" s="94">
        <f t="shared" ref="AO196:AO259" si="71">AM196*AL196</f>
        <v>0</v>
      </c>
    </row>
    <row r="197" spans="1:41">
      <c r="A197" s="166"/>
      <c r="B197" s="3" t="s">
        <v>10</v>
      </c>
      <c r="C197" s="9">
        <v>0</v>
      </c>
      <c r="D197" s="9"/>
      <c r="E197" s="10"/>
      <c r="F197" s="10"/>
      <c r="G197" s="10"/>
      <c r="H197" s="10"/>
      <c r="I197" s="9"/>
      <c r="J197" s="10"/>
      <c r="K197" s="10"/>
      <c r="L197" s="10"/>
      <c r="M197" s="10"/>
      <c r="N197" s="9"/>
      <c r="O197" s="10"/>
      <c r="P197" s="10"/>
      <c r="Q197" s="10"/>
      <c r="R197" s="10"/>
      <c r="S197" s="10"/>
      <c r="T197" s="9"/>
      <c r="U197" s="11"/>
      <c r="V197" s="10"/>
      <c r="W197" s="10"/>
      <c r="X197" s="10"/>
      <c r="Y197" s="10"/>
      <c r="Z197" s="9"/>
      <c r="AA197" s="10"/>
      <c r="AB197" s="10"/>
      <c r="AC197" s="10"/>
      <c r="AD197" s="10"/>
      <c r="AE197" s="9"/>
      <c r="AF197" s="10"/>
      <c r="AG197" s="10"/>
      <c r="AH197" s="10"/>
      <c r="AI197" s="10"/>
      <c r="AJ197" s="10"/>
      <c r="AK197" s="9"/>
      <c r="AL197" s="11"/>
      <c r="AM197" s="93"/>
      <c r="AN197" s="94">
        <f t="shared" si="70"/>
        <v>0</v>
      </c>
      <c r="AO197" s="94">
        <f t="shared" si="71"/>
        <v>0</v>
      </c>
    </row>
    <row r="198" spans="1:41">
      <c r="A198" s="166"/>
      <c r="B198" s="3" t="s">
        <v>7</v>
      </c>
      <c r="C198" s="9"/>
      <c r="D198" s="9"/>
      <c r="E198" s="10">
        <f>E197+E196</f>
        <v>0</v>
      </c>
      <c r="F198" s="10">
        <f>F197+F196</f>
        <v>0</v>
      </c>
      <c r="G198" s="10">
        <f>G197+G196</f>
        <v>0</v>
      </c>
      <c r="H198" s="10">
        <f>H197+H196</f>
        <v>0</v>
      </c>
      <c r="I198" s="9">
        <f>SUM(E198:H198)</f>
        <v>0</v>
      </c>
      <c r="J198" s="10">
        <f>J197+J196</f>
        <v>0</v>
      </c>
      <c r="K198" s="10">
        <f>K197+K196</f>
        <v>0</v>
      </c>
      <c r="L198" s="10">
        <f>L197+L196</f>
        <v>0</v>
      </c>
      <c r="M198" s="10">
        <f>M197+M196</f>
        <v>0</v>
      </c>
      <c r="N198" s="9">
        <f>SUM(J198:M198)</f>
        <v>0</v>
      </c>
      <c r="O198" s="10">
        <f>O197+O196</f>
        <v>0</v>
      </c>
      <c r="P198" s="10">
        <f>P197+P196</f>
        <v>0</v>
      </c>
      <c r="Q198" s="10">
        <f>Q197+Q196</f>
        <v>0</v>
      </c>
      <c r="R198" s="10">
        <f>R197+R196</f>
        <v>0</v>
      </c>
      <c r="S198" s="10">
        <f>S197+S196</f>
        <v>0</v>
      </c>
      <c r="T198" s="9">
        <f>SUM(O198:S198)</f>
        <v>0</v>
      </c>
      <c r="U198" s="11">
        <f>T198+N198+I198+D199</f>
        <v>0</v>
      </c>
      <c r="V198" s="10">
        <f>V197+V196</f>
        <v>0</v>
      </c>
      <c r="W198" s="10">
        <f>W197+W196</f>
        <v>0</v>
      </c>
      <c r="X198" s="10">
        <f>X197+X196</f>
        <v>0</v>
      </c>
      <c r="Y198" s="10">
        <f>Y197+Y196</f>
        <v>0</v>
      </c>
      <c r="Z198" s="9">
        <f>SUM(V198:Y198)</f>
        <v>0</v>
      </c>
      <c r="AA198" s="10">
        <f>AA197+AA196</f>
        <v>0</v>
      </c>
      <c r="AB198" s="10">
        <f>AB197+AB196</f>
        <v>0</v>
      </c>
      <c r="AC198" s="10">
        <f>AC197+AC196</f>
        <v>0</v>
      </c>
      <c r="AD198" s="10">
        <f>AD197+AD196</f>
        <v>0</v>
      </c>
      <c r="AE198" s="9">
        <f>SUM(AA198:AD198)</f>
        <v>0</v>
      </c>
      <c r="AF198" s="10">
        <f>AF197+AF196</f>
        <v>0</v>
      </c>
      <c r="AG198" s="10">
        <f>AG197+AG196</f>
        <v>0</v>
      </c>
      <c r="AH198" s="10">
        <f>AH197+AH196</f>
        <v>0</v>
      </c>
      <c r="AI198" s="10">
        <f>AI197+AI196</f>
        <v>0</v>
      </c>
      <c r="AJ198" s="10">
        <f>AJ197+AJ196</f>
        <v>0</v>
      </c>
      <c r="AK198" s="9">
        <f>SUM(AF198:AJ198)</f>
        <v>0</v>
      </c>
      <c r="AL198" s="11">
        <f>AK198+AE198+Z198</f>
        <v>0</v>
      </c>
      <c r="AM198" s="93"/>
      <c r="AN198" s="94">
        <f t="shared" si="70"/>
        <v>0</v>
      </c>
      <c r="AO198" s="94">
        <f t="shared" si="71"/>
        <v>0</v>
      </c>
    </row>
    <row r="199" spans="1:41">
      <c r="A199" s="167"/>
      <c r="B199" s="2" t="s">
        <v>8</v>
      </c>
      <c r="C199" s="65">
        <v>0</v>
      </c>
      <c r="D199" s="95"/>
      <c r="E199" s="81">
        <f>E198-E195</f>
        <v>0</v>
      </c>
      <c r="F199" s="10">
        <f>E199+F198-F195</f>
        <v>0</v>
      </c>
      <c r="G199" s="10">
        <f>F199+G198-G195</f>
        <v>0</v>
      </c>
      <c r="H199" s="10">
        <f>G199+H198-H195</f>
        <v>0</v>
      </c>
      <c r="I199" s="9">
        <f>I198-I195</f>
        <v>0</v>
      </c>
      <c r="J199" s="10">
        <f>I199+J198-J195</f>
        <v>0</v>
      </c>
      <c r="K199" s="10">
        <f>J199+K198-K195</f>
        <v>0</v>
      </c>
      <c r="L199" s="10">
        <f>K199+L198-L195</f>
        <v>0</v>
      </c>
      <c r="M199" s="10">
        <f>L199+M198-M195</f>
        <v>0</v>
      </c>
      <c r="N199" s="9">
        <f>I199+N198-N195</f>
        <v>0</v>
      </c>
      <c r="O199" s="10">
        <f>N199+O198-O195</f>
        <v>0</v>
      </c>
      <c r="P199" s="10">
        <f>O199+P198-P195</f>
        <v>0</v>
      </c>
      <c r="Q199" s="10">
        <f>P199+Q198-Q195</f>
        <v>0</v>
      </c>
      <c r="R199" s="10">
        <f t="shared" ref="R199" si="72">Q199+R198-R195</f>
        <v>0</v>
      </c>
      <c r="S199" s="10">
        <f>R199+S198-S195</f>
        <v>0</v>
      </c>
      <c r="T199" s="9">
        <f>N199+T198-T195</f>
        <v>0</v>
      </c>
      <c r="U199" s="9">
        <f>U198-U195</f>
        <v>0</v>
      </c>
      <c r="V199" s="10">
        <f>U199+V198-V195</f>
        <v>0</v>
      </c>
      <c r="W199" s="10">
        <f>V199+W198-W195</f>
        <v>0</v>
      </c>
      <c r="X199" s="10">
        <f>W199+X198-X195</f>
        <v>0</v>
      </c>
      <c r="Y199" s="10">
        <f>X199+Y198-Y195</f>
        <v>0</v>
      </c>
      <c r="Z199" s="9">
        <f>T199+Z198-Z195</f>
        <v>0</v>
      </c>
      <c r="AA199" s="10">
        <f>Z199+AA198-AA195</f>
        <v>0</v>
      </c>
      <c r="AB199" s="10">
        <f>AA199+AB198-AB195</f>
        <v>0</v>
      </c>
      <c r="AC199" s="10">
        <f>AB199+AC198-AC195</f>
        <v>0</v>
      </c>
      <c r="AD199" s="10">
        <f>AC199+AD198-AD195</f>
        <v>0</v>
      </c>
      <c r="AE199" s="9">
        <f>Z199+AE198-AE195</f>
        <v>0</v>
      </c>
      <c r="AF199" s="10">
        <f>AE199+AF198-AF195</f>
        <v>0</v>
      </c>
      <c r="AG199" s="10">
        <f>AF199+AG198-AG195</f>
        <v>0</v>
      </c>
      <c r="AH199" s="10">
        <f>AG199+AH198-AH195</f>
        <v>0</v>
      </c>
      <c r="AI199" s="10">
        <f t="shared" ref="AI199:AJ199" si="73">AH199+AI198-AI195</f>
        <v>0</v>
      </c>
      <c r="AJ199" s="10">
        <f t="shared" si="73"/>
        <v>0</v>
      </c>
      <c r="AK199" s="9">
        <f>AE199+AK198-AK195</f>
        <v>0</v>
      </c>
      <c r="AL199" s="11">
        <f>T199+AL198-AL195</f>
        <v>0</v>
      </c>
      <c r="AM199" s="93"/>
      <c r="AN199" s="94">
        <f t="shared" si="70"/>
        <v>0</v>
      </c>
      <c r="AO199" s="94">
        <f t="shared" si="71"/>
        <v>0</v>
      </c>
    </row>
    <row r="200" spans="1:41">
      <c r="A200" s="82"/>
      <c r="B200" s="3" t="s">
        <v>9</v>
      </c>
      <c r="C200" s="84"/>
      <c r="D200" s="84"/>
      <c r="E200" s="57" t="e">
        <f>E199/(SUM(F195+H195+J195+G195)/20)*1000</f>
        <v>#DIV/0!</v>
      </c>
      <c r="F200" s="71" t="e">
        <f>F199/(SUM(G195+K195+J195+H195)/20)*1000</f>
        <v>#DIV/0!</v>
      </c>
      <c r="G200" s="71" t="e">
        <f>G199/(SUM(H195+J195+K195+L195)/20)*1000</f>
        <v>#DIV/0!</v>
      </c>
      <c r="H200" s="71" t="e">
        <f>H199/(SUM(M195+J195+K195+L195)/20)*1000</f>
        <v>#DIV/0!</v>
      </c>
      <c r="I200" s="37"/>
      <c r="J200" s="57" t="e">
        <f>J199/(SUM(K195+M195+O195+L195)/20)*1000</f>
        <v>#DIV/0!</v>
      </c>
      <c r="K200" s="57" t="e">
        <f>K199/(SUM(L195+P195+O195+M195)/20)*1000</f>
        <v>#DIV/0!</v>
      </c>
      <c r="L200" s="57" t="e">
        <f>L199/(SUM(M195+O195+P195+Q195)/20)*1000</f>
        <v>#DIV/0!</v>
      </c>
      <c r="M200" s="57" t="e">
        <f>M199/(SUM(R195+O195+P195+Q195)/20)*1000</f>
        <v>#DIV/0!</v>
      </c>
      <c r="N200" s="37"/>
      <c r="O200" s="57" t="e">
        <f>O199/(SUM(P195+R195+S195+Q195)/20)*1000</f>
        <v>#DIV/0!</v>
      </c>
      <c r="P200" s="57" t="e">
        <f>P199/(SUM(Q195+S195+V195+R195)/20)*1000</f>
        <v>#DIV/0!</v>
      </c>
      <c r="Q200" s="57" t="e">
        <f>Q199/(SUM(R195+S195+W195+V195)/20)*1000</f>
        <v>#DIV/0!</v>
      </c>
      <c r="R200" s="57" t="e">
        <f>R199/(SUM(T195+U195+V195+W195)/20)*1000</f>
        <v>#DIV/0!</v>
      </c>
      <c r="S200" s="57" t="e">
        <f>S199/(SUM(S195+V195+W195+X195)/20)*1000</f>
        <v>#DIV/0!</v>
      </c>
      <c r="T200" s="37"/>
      <c r="U200" s="38"/>
      <c r="V200" s="57" t="e">
        <f>V199/(SUM(W195+Y195+AA195+X195)/20)*1000</f>
        <v>#DIV/0!</v>
      </c>
      <c r="W200" s="57" t="e">
        <f>V199/(SUM(X195+AA195+AB195+Y195)/20)*1000</f>
        <v>#DIV/0!</v>
      </c>
      <c r="X200" s="57" t="e">
        <f>W199/(SUM(Y195+AA195+AB195+AC195)/20)*1000</f>
        <v>#DIV/0!</v>
      </c>
      <c r="Y200" s="57" t="e">
        <f>Y199/(SUM(AA195+AB195+AC195+AD195)/20)*1000</f>
        <v>#DIV/0!</v>
      </c>
      <c r="Z200" s="37"/>
      <c r="AA200" s="57" t="e">
        <f>AA199/(SUM(AB195+AD195+AF195+AC195)/20)*1000</f>
        <v>#DIV/0!</v>
      </c>
      <c r="AB200" s="57" t="e">
        <f>AB199/(SUM(AC195+AF195+AG195+AD195)/20)*1000</f>
        <v>#DIV/0!</v>
      </c>
      <c r="AC200" s="57" t="e">
        <f>AC199/(SUM(AD195+AF195+AG195+AH195)/20)*1000</f>
        <v>#DIV/0!</v>
      </c>
      <c r="AD200" s="57" t="e">
        <f>AD199/(SUM(AF195+AG195+AH195+AI195)/20)*1000</f>
        <v>#DIV/0!</v>
      </c>
      <c r="AE200" s="37"/>
      <c r="AF200" s="57" t="e">
        <f>AF199/(SUM(AG195+AI195+AJ195+AH195)/20)*1000</f>
        <v>#DIV/0!</v>
      </c>
      <c r="AG200" s="57">
        <f>AG199/(SUM(AH195+AJ195+AM195+AI195)/20)*1000</f>
        <v>0</v>
      </c>
      <c r="AH200" s="57">
        <f>AH199/(SUM(AI195+AJ195+AN195+AM195)/20)*1000</f>
        <v>0</v>
      </c>
      <c r="AI200" s="57">
        <f>AI199/(SUM(AK195+AL195+AM195+AN195)/20)*1000</f>
        <v>0</v>
      </c>
      <c r="AJ200" s="57">
        <f>AJ199/(SUM(AJ195+AM195+AN195+AO195)/20)*1000</f>
        <v>0</v>
      </c>
      <c r="AK200" s="37"/>
      <c r="AL200" s="38"/>
      <c r="AM200" s="93"/>
      <c r="AN200" s="94">
        <f t="shared" si="70"/>
        <v>0</v>
      </c>
      <c r="AO200" s="94">
        <f t="shared" si="71"/>
        <v>0</v>
      </c>
    </row>
    <row r="201" spans="1:41">
      <c r="A201" s="165" t="s">
        <v>21</v>
      </c>
      <c r="B201" s="1" t="s">
        <v>5</v>
      </c>
      <c r="C201" s="9"/>
      <c r="D201" s="9"/>
      <c r="E201" s="10"/>
      <c r="F201" s="10">
        <v>-1025</v>
      </c>
      <c r="G201" s="10">
        <v>0</v>
      </c>
      <c r="H201" s="10">
        <v>0</v>
      </c>
      <c r="I201" s="9">
        <f>SUM(E201:H201)</f>
        <v>-1025</v>
      </c>
      <c r="J201" s="10">
        <v>137</v>
      </c>
      <c r="K201" s="10">
        <v>244</v>
      </c>
      <c r="L201" s="10">
        <v>244</v>
      </c>
      <c r="M201" s="10">
        <v>139</v>
      </c>
      <c r="N201" s="9">
        <f>SUM(J201:M201)</f>
        <v>764</v>
      </c>
      <c r="O201" s="10">
        <v>253</v>
      </c>
      <c r="P201" s="10">
        <v>174</v>
      </c>
      <c r="Q201" s="10">
        <v>192</v>
      </c>
      <c r="R201" s="10">
        <v>131</v>
      </c>
      <c r="S201" s="10">
        <v>166</v>
      </c>
      <c r="T201" s="9">
        <f>SUM(O201:S201)</f>
        <v>916</v>
      </c>
      <c r="U201" s="11">
        <f>T201+N201+I201+D205</f>
        <v>655</v>
      </c>
      <c r="V201" s="10">
        <v>146</v>
      </c>
      <c r="W201" s="10">
        <v>144</v>
      </c>
      <c r="X201" s="10">
        <v>186</v>
      </c>
      <c r="Y201" s="10">
        <v>0</v>
      </c>
      <c r="Z201" s="9">
        <f>SUM(V201:Y201)</f>
        <v>476</v>
      </c>
      <c r="AA201" s="10">
        <v>143</v>
      </c>
      <c r="AB201" s="10">
        <v>260</v>
      </c>
      <c r="AC201" s="10">
        <v>260</v>
      </c>
      <c r="AD201" s="10">
        <v>148</v>
      </c>
      <c r="AE201" s="9">
        <f>SUM(AA201:AD201)</f>
        <v>811</v>
      </c>
      <c r="AF201" s="10">
        <v>290</v>
      </c>
      <c r="AG201" s="10">
        <v>203</v>
      </c>
      <c r="AH201" s="10">
        <v>228</v>
      </c>
      <c r="AI201" s="10">
        <v>145</v>
      </c>
      <c r="AJ201" s="10">
        <v>187</v>
      </c>
      <c r="AK201" s="9">
        <f>SUM(AF201:AJ201)</f>
        <v>1053</v>
      </c>
      <c r="AL201" s="11">
        <f>AK201+AE201+Z201</f>
        <v>2340</v>
      </c>
      <c r="AM201" s="93">
        <v>32</v>
      </c>
      <c r="AN201" s="94">
        <f t="shared" si="70"/>
        <v>20960</v>
      </c>
      <c r="AO201" s="94">
        <f t="shared" si="71"/>
        <v>74880</v>
      </c>
    </row>
    <row r="202" spans="1:41">
      <c r="A202" s="166"/>
      <c r="B202" s="3" t="s">
        <v>6</v>
      </c>
      <c r="C202" s="9"/>
      <c r="D202" s="9"/>
      <c r="E202" s="10"/>
      <c r="F202" s="10"/>
      <c r="G202" s="10"/>
      <c r="H202" s="10"/>
      <c r="I202" s="9">
        <f>SUM(E202:H202)</f>
        <v>0</v>
      </c>
      <c r="J202" s="10"/>
      <c r="K202" s="10"/>
      <c r="L202" s="10"/>
      <c r="M202" s="10"/>
      <c r="N202" s="9">
        <f>SUM(J202:M202)</f>
        <v>0</v>
      </c>
      <c r="O202" s="10"/>
      <c r="P202" s="10"/>
      <c r="Q202" s="10"/>
      <c r="R202" s="10"/>
      <c r="S202" s="10"/>
      <c r="T202" s="9">
        <f>SUM(O202:S202)</f>
        <v>0</v>
      </c>
      <c r="U202" s="11">
        <f>I202+N202+T202</f>
        <v>0</v>
      </c>
      <c r="V202" s="10"/>
      <c r="W202" s="10"/>
      <c r="X202" s="10"/>
      <c r="Y202" s="10"/>
      <c r="Z202" s="9">
        <f>SUM(V202:Y202)</f>
        <v>0</v>
      </c>
      <c r="AA202" s="10"/>
      <c r="AB202" s="10"/>
      <c r="AC202" s="10"/>
      <c r="AD202" s="10"/>
      <c r="AE202" s="9">
        <f>SUM(AA202:AD202)</f>
        <v>0</v>
      </c>
      <c r="AF202" s="10"/>
      <c r="AG202" s="10"/>
      <c r="AH202" s="10"/>
      <c r="AI202" s="10"/>
      <c r="AJ202" s="10"/>
      <c r="AK202" s="9">
        <f>SUM(AF202:AJ202)</f>
        <v>0</v>
      </c>
      <c r="AL202" s="11">
        <f>Z202+AE202+AK202</f>
        <v>0</v>
      </c>
      <c r="AM202" s="93"/>
      <c r="AN202" s="94">
        <f t="shared" si="70"/>
        <v>0</v>
      </c>
      <c r="AO202" s="94">
        <f t="shared" si="71"/>
        <v>0</v>
      </c>
    </row>
    <row r="203" spans="1:41">
      <c r="A203" s="166"/>
      <c r="B203" s="3" t="s">
        <v>10</v>
      </c>
      <c r="C203" s="9">
        <v>0</v>
      </c>
      <c r="D203" s="9"/>
      <c r="E203" s="10"/>
      <c r="F203" s="10"/>
      <c r="G203" s="10"/>
      <c r="H203" s="10"/>
      <c r="I203" s="9"/>
      <c r="J203" s="10"/>
      <c r="K203" s="10"/>
      <c r="L203" s="10"/>
      <c r="M203" s="10"/>
      <c r="N203" s="9"/>
      <c r="O203" s="10"/>
      <c r="P203" s="10"/>
      <c r="Q203" s="10"/>
      <c r="R203" s="10"/>
      <c r="S203" s="10"/>
      <c r="T203" s="9"/>
      <c r="U203" s="11"/>
      <c r="V203" s="10"/>
      <c r="W203" s="10"/>
      <c r="X203" s="10"/>
      <c r="Y203" s="10"/>
      <c r="Z203" s="9"/>
      <c r="AA203" s="10"/>
      <c r="AB203" s="10"/>
      <c r="AC203" s="10"/>
      <c r="AD203" s="10"/>
      <c r="AE203" s="9"/>
      <c r="AF203" s="10"/>
      <c r="AG203" s="10"/>
      <c r="AH203" s="10"/>
      <c r="AI203" s="10"/>
      <c r="AJ203" s="10"/>
      <c r="AK203" s="9"/>
      <c r="AL203" s="11"/>
      <c r="AM203" s="93"/>
      <c r="AN203" s="94">
        <f t="shared" si="70"/>
        <v>0</v>
      </c>
      <c r="AO203" s="94">
        <f t="shared" si="71"/>
        <v>0</v>
      </c>
    </row>
    <row r="204" spans="1:41">
      <c r="A204" s="166"/>
      <c r="B204" s="3" t="s">
        <v>7</v>
      </c>
      <c r="C204" s="9"/>
      <c r="D204" s="9"/>
      <c r="E204" s="10">
        <f>E203+E202</f>
        <v>0</v>
      </c>
      <c r="F204" s="10">
        <f>F203+F202</f>
        <v>0</v>
      </c>
      <c r="G204" s="10">
        <f>G203+G202</f>
        <v>0</v>
      </c>
      <c r="H204" s="10">
        <f>H203+H202</f>
        <v>0</v>
      </c>
      <c r="I204" s="9">
        <f>SUM(E204:H204)</f>
        <v>0</v>
      </c>
      <c r="J204" s="10">
        <f>J203+J202</f>
        <v>0</v>
      </c>
      <c r="K204" s="10">
        <f>K203+K202</f>
        <v>0</v>
      </c>
      <c r="L204" s="10">
        <f>L203+L202</f>
        <v>0</v>
      </c>
      <c r="M204" s="10">
        <f>M203+M202</f>
        <v>0</v>
      </c>
      <c r="N204" s="9">
        <f>SUM(J204:M204)</f>
        <v>0</v>
      </c>
      <c r="O204" s="10">
        <f>O203+O202</f>
        <v>0</v>
      </c>
      <c r="P204" s="10">
        <f>P203+P202</f>
        <v>0</v>
      </c>
      <c r="Q204" s="10">
        <f>Q203+Q202</f>
        <v>0</v>
      </c>
      <c r="R204" s="10">
        <f>R203+R202</f>
        <v>0</v>
      </c>
      <c r="S204" s="10">
        <f>S203+S202</f>
        <v>0</v>
      </c>
      <c r="T204" s="9">
        <f>SUM(O204:S204)</f>
        <v>0</v>
      </c>
      <c r="U204" s="11">
        <f>T204+N204+I204+D205</f>
        <v>0</v>
      </c>
      <c r="V204" s="10">
        <f>V203+V202</f>
        <v>0</v>
      </c>
      <c r="W204" s="10">
        <f>W203+W202</f>
        <v>0</v>
      </c>
      <c r="X204" s="10">
        <f>X203+X202</f>
        <v>0</v>
      </c>
      <c r="Y204" s="10">
        <f>Y203+Y202</f>
        <v>0</v>
      </c>
      <c r="Z204" s="9">
        <f>SUM(V204:Y204)</f>
        <v>0</v>
      </c>
      <c r="AA204" s="10">
        <f>AA203+AA202</f>
        <v>0</v>
      </c>
      <c r="AB204" s="10">
        <f>AB203+AB202</f>
        <v>0</v>
      </c>
      <c r="AC204" s="10">
        <f>AC203+AC202</f>
        <v>0</v>
      </c>
      <c r="AD204" s="10">
        <f>AD203+AD202</f>
        <v>0</v>
      </c>
      <c r="AE204" s="9">
        <f>SUM(AA204:AD204)</f>
        <v>0</v>
      </c>
      <c r="AF204" s="10">
        <f>AF203+AF202</f>
        <v>0</v>
      </c>
      <c r="AG204" s="10">
        <f>AG203+AG202</f>
        <v>0</v>
      </c>
      <c r="AH204" s="10">
        <f>AH203+AH202</f>
        <v>0</v>
      </c>
      <c r="AI204" s="10">
        <f>AI203+AI202</f>
        <v>0</v>
      </c>
      <c r="AJ204" s="10">
        <f>AJ203+AJ202</f>
        <v>0</v>
      </c>
      <c r="AK204" s="9">
        <f>SUM(AF204:AJ204)</f>
        <v>0</v>
      </c>
      <c r="AL204" s="11">
        <f>AK204+AE204+Z204</f>
        <v>0</v>
      </c>
      <c r="AM204" s="93"/>
      <c r="AN204" s="94">
        <f t="shared" si="70"/>
        <v>0</v>
      </c>
      <c r="AO204" s="94">
        <f t="shared" si="71"/>
        <v>0</v>
      </c>
    </row>
    <row r="205" spans="1:41">
      <c r="A205" s="167"/>
      <c r="B205" s="2" t="s">
        <v>8</v>
      </c>
      <c r="C205" s="65">
        <v>1025</v>
      </c>
      <c r="D205" s="95"/>
      <c r="E205" s="81">
        <f>E204-E201</f>
        <v>0</v>
      </c>
      <c r="F205" s="10">
        <f>E205+F204-F201</f>
        <v>1025</v>
      </c>
      <c r="G205" s="10">
        <f>F205+G204-G201</f>
        <v>1025</v>
      </c>
      <c r="H205" s="10">
        <f>G205+H204-H201</f>
        <v>1025</v>
      </c>
      <c r="I205" s="9">
        <f>I204-I201</f>
        <v>1025</v>
      </c>
      <c r="J205" s="10">
        <f>I205+J204-J201</f>
        <v>888</v>
      </c>
      <c r="K205" s="10">
        <f>J205+K204-K201</f>
        <v>644</v>
      </c>
      <c r="L205" s="10">
        <f>K205+L204-L201</f>
        <v>400</v>
      </c>
      <c r="M205" s="10">
        <f>L205+M204-M201</f>
        <v>261</v>
      </c>
      <c r="N205" s="9">
        <f>I205+N204-N201</f>
        <v>261</v>
      </c>
      <c r="O205" s="10">
        <f>N205+O204-O201</f>
        <v>8</v>
      </c>
      <c r="P205" s="10">
        <f>O205+P204-P201</f>
        <v>-166</v>
      </c>
      <c r="Q205" s="10">
        <f>P205+Q204-Q201</f>
        <v>-358</v>
      </c>
      <c r="R205" s="10">
        <f t="shared" ref="R205" si="74">Q205+R204-R201</f>
        <v>-489</v>
      </c>
      <c r="S205" s="10">
        <f>R205+S204-S201</f>
        <v>-655</v>
      </c>
      <c r="T205" s="9">
        <f>N205+T204-T201</f>
        <v>-655</v>
      </c>
      <c r="U205" s="9">
        <f>U204-U201</f>
        <v>-655</v>
      </c>
      <c r="V205" s="10">
        <f>U205+V204-V201</f>
        <v>-801</v>
      </c>
      <c r="W205" s="10">
        <f>V205+W204-W201</f>
        <v>-945</v>
      </c>
      <c r="X205" s="10">
        <f>W205+X204-X201</f>
        <v>-1131</v>
      </c>
      <c r="Y205" s="10">
        <f>X205+Y204-Y201</f>
        <v>-1131</v>
      </c>
      <c r="Z205" s="9">
        <f>T205+Z204-Z201</f>
        <v>-1131</v>
      </c>
      <c r="AA205" s="10">
        <f>Z205+AA204-AA201</f>
        <v>-1274</v>
      </c>
      <c r="AB205" s="10">
        <f>AA205+AB204-AB201</f>
        <v>-1534</v>
      </c>
      <c r="AC205" s="10">
        <f>AB205+AC204-AC201</f>
        <v>-1794</v>
      </c>
      <c r="AD205" s="10">
        <f>AC205+AD204-AD201</f>
        <v>-1942</v>
      </c>
      <c r="AE205" s="9">
        <f>Z205+AE204-AE201</f>
        <v>-1942</v>
      </c>
      <c r="AF205" s="10">
        <f>AE205+AF204-AF201</f>
        <v>-2232</v>
      </c>
      <c r="AG205" s="10">
        <f>AF205+AG204-AG201</f>
        <v>-2435</v>
      </c>
      <c r="AH205" s="10">
        <f>AG205+AH204-AH201</f>
        <v>-2663</v>
      </c>
      <c r="AI205" s="10">
        <f t="shared" ref="AI205:AJ205" si="75">AH205+AI204-AI201</f>
        <v>-2808</v>
      </c>
      <c r="AJ205" s="10">
        <f t="shared" si="75"/>
        <v>-2995</v>
      </c>
      <c r="AK205" s="9">
        <f>AE205+AK204-AK201</f>
        <v>-2995</v>
      </c>
      <c r="AL205" s="11">
        <f>T205+AL204-AL201</f>
        <v>-2995</v>
      </c>
      <c r="AM205" s="93"/>
      <c r="AN205" s="94">
        <f t="shared" si="70"/>
        <v>0</v>
      </c>
      <c r="AO205" s="94">
        <f t="shared" si="71"/>
        <v>0</v>
      </c>
    </row>
    <row r="206" spans="1:41">
      <c r="A206" s="82"/>
      <c r="B206" s="3" t="s">
        <v>9</v>
      </c>
      <c r="C206" s="84"/>
      <c r="D206" s="84"/>
      <c r="E206" s="57">
        <f>E205/(SUM(F201+H201+J201+G201)/20)*1000</f>
        <v>0</v>
      </c>
      <c r="F206" s="71">
        <f>F205/(SUM(G201+K201+J201+H201)/20)*1000</f>
        <v>53805.774278215227</v>
      </c>
      <c r="G206" s="71">
        <f>G205/(SUM(H201+J201+K201+L201)/20)*1000</f>
        <v>32800</v>
      </c>
      <c r="H206" s="71">
        <f>H205/(SUM(M201+J201+K201+L201)/20)*1000</f>
        <v>26832.460732984291</v>
      </c>
      <c r="I206" s="37"/>
      <c r="J206" s="57">
        <f>J205/(SUM(K201+M201+O201+L201)/20)*1000</f>
        <v>20181.818181818184</v>
      </c>
      <c r="K206" s="57">
        <f>K205/(SUM(L201+P201+O201+M201)/20)*1000</f>
        <v>15901.234567901234</v>
      </c>
      <c r="L206" s="57">
        <f>L205/(SUM(M201+O201+P201+Q201)/20)*1000</f>
        <v>10554.089709762533</v>
      </c>
      <c r="M206" s="57">
        <f>M205/(SUM(R201+O201+P201+Q201)/20)*1000</f>
        <v>6960</v>
      </c>
      <c r="N206" s="37"/>
      <c r="O206" s="57">
        <f>O205/(SUM(P201+R201+S201+Q201)/20)*1000</f>
        <v>241.32730015082956</v>
      </c>
      <c r="P206" s="57">
        <f>P205/(SUM(Q201+S201+V201+R201)/20)*1000</f>
        <v>-5228.3464566929133</v>
      </c>
      <c r="Q206" s="57">
        <f>Q205/(SUM(R201+S201+W201+V201)/20)*1000</f>
        <v>-12197.614991482113</v>
      </c>
      <c r="R206" s="57">
        <f>R205/(SUM(T201+U201+V201+W201)/20)*1000</f>
        <v>-5255.2391187533585</v>
      </c>
      <c r="S206" s="57">
        <f>S205/(SUM(S201+V201+W201+X201)/20)*1000</f>
        <v>-20404.984423676011</v>
      </c>
      <c r="T206" s="37"/>
      <c r="U206" s="38"/>
      <c r="V206" s="57">
        <f>V205/(SUM(W201+Y201+AA201+X201)/20)*1000</f>
        <v>-33868.921775898518</v>
      </c>
      <c r="W206" s="57">
        <f>V205/(SUM(X201+AA201+AB201+Y201)/20)*1000</f>
        <v>-27198.641765704586</v>
      </c>
      <c r="X206" s="57">
        <f>W205/(SUM(Y201+AA201+AB201+AC201)/20)*1000</f>
        <v>-28506.787330316743</v>
      </c>
      <c r="Y206" s="57">
        <f>Y205/(SUM(AA201+AB201+AC201+AD201)/20)*1000</f>
        <v>-27891.491985203455</v>
      </c>
      <c r="Z206" s="37"/>
      <c r="AA206" s="57">
        <f>AA205/(SUM(AB201+AD201+AF201+AC201)/20)*1000</f>
        <v>-26597.077244258875</v>
      </c>
      <c r="AB206" s="57">
        <f>AB205/(SUM(AC201+AF201+AG201+AD201)/20)*1000</f>
        <v>-34051.054384017763</v>
      </c>
      <c r="AC206" s="57">
        <f>AC205/(SUM(AD201+AF201+AG201+AH201)/20)*1000</f>
        <v>-41288.837744533943</v>
      </c>
      <c r="AD206" s="57">
        <f>AD205/(SUM(AF201+AG201+AH201+AI201)/20)*1000</f>
        <v>-44849.884526558897</v>
      </c>
      <c r="AE206" s="37"/>
      <c r="AF206" s="57">
        <f>AF205/(SUM(AG201+AI201+AJ201+AH201)/20)*1000</f>
        <v>-58505.897771952819</v>
      </c>
      <c r="AG206" s="57">
        <f>AG205/(SUM(AH201+AJ201+AM201+AI201)/20)*1000</f>
        <v>-82263.513513513521</v>
      </c>
      <c r="AH206" s="57">
        <f>AH205/(SUM(AI201+AJ201+AN201+AM201)/20)*1000</f>
        <v>-2497.65522416057</v>
      </c>
      <c r="AI206" s="57">
        <f>AI205/(SUM(AK201+AL201+AM201+AN201)/20)*1000</f>
        <v>-2303.0551568587248</v>
      </c>
      <c r="AJ206" s="57">
        <f>AJ205/(SUM(AJ201+AM201+AN201+AO201)/20)*1000</f>
        <v>-623.57509447318841</v>
      </c>
      <c r="AK206" s="37"/>
      <c r="AL206" s="38"/>
      <c r="AM206" s="93"/>
      <c r="AN206" s="94">
        <f t="shared" si="70"/>
        <v>0</v>
      </c>
      <c r="AO206" s="94">
        <f t="shared" si="71"/>
        <v>0</v>
      </c>
    </row>
    <row r="207" spans="1:41">
      <c r="A207" s="165" t="s">
        <v>22</v>
      </c>
      <c r="B207" s="1" t="s">
        <v>5</v>
      </c>
      <c r="C207" s="9"/>
      <c r="D207" s="9"/>
      <c r="E207" s="10"/>
      <c r="F207" s="10">
        <v>2</v>
      </c>
      <c r="G207" s="10">
        <v>9</v>
      </c>
      <c r="H207" s="10">
        <v>22</v>
      </c>
      <c r="I207" s="9">
        <f>SUM(E207:H207)</f>
        <v>33</v>
      </c>
      <c r="J207" s="10">
        <v>70</v>
      </c>
      <c r="K207" s="10">
        <v>102</v>
      </c>
      <c r="L207" s="10">
        <v>55</v>
      </c>
      <c r="M207" s="10">
        <v>14</v>
      </c>
      <c r="N207" s="9">
        <f>SUM(J207:M207)</f>
        <v>241</v>
      </c>
      <c r="O207" s="10">
        <v>75</v>
      </c>
      <c r="P207" s="10">
        <v>94</v>
      </c>
      <c r="Q207" s="10">
        <v>69</v>
      </c>
      <c r="R207" s="10">
        <v>0</v>
      </c>
      <c r="S207" s="10">
        <v>0</v>
      </c>
      <c r="T207" s="9">
        <f>SUM(O207:S207)</f>
        <v>238</v>
      </c>
      <c r="U207" s="11">
        <f>T207+N207+I207+D211</f>
        <v>512</v>
      </c>
      <c r="V207" s="10">
        <v>0</v>
      </c>
      <c r="W207" s="10">
        <v>0</v>
      </c>
      <c r="X207" s="10">
        <v>0</v>
      </c>
      <c r="Y207" s="10">
        <v>0</v>
      </c>
      <c r="Z207" s="9">
        <f>SUM(V207:Y207)</f>
        <v>0</v>
      </c>
      <c r="AA207" s="10">
        <v>0</v>
      </c>
      <c r="AB207" s="10">
        <v>0</v>
      </c>
      <c r="AC207" s="10">
        <v>0</v>
      </c>
      <c r="AD207" s="10">
        <v>13</v>
      </c>
      <c r="AE207" s="9">
        <f>SUM(AA207:AD207)</f>
        <v>13</v>
      </c>
      <c r="AF207" s="10">
        <v>41</v>
      </c>
      <c r="AG207" s="10">
        <v>28</v>
      </c>
      <c r="AH207" s="10">
        <v>36</v>
      </c>
      <c r="AI207" s="10">
        <v>0</v>
      </c>
      <c r="AJ207" s="10">
        <v>0</v>
      </c>
      <c r="AK207" s="9">
        <f>SUM(AF207:AJ207)</f>
        <v>105</v>
      </c>
      <c r="AL207" s="11">
        <f>AK207+AE207+Z207</f>
        <v>118</v>
      </c>
      <c r="AM207" s="93">
        <v>64</v>
      </c>
      <c r="AN207" s="94">
        <f t="shared" si="70"/>
        <v>32768</v>
      </c>
      <c r="AO207" s="94">
        <f t="shared" si="71"/>
        <v>7552</v>
      </c>
    </row>
    <row r="208" spans="1:41">
      <c r="A208" s="166"/>
      <c r="B208" s="3" t="s">
        <v>6</v>
      </c>
      <c r="C208" s="9"/>
      <c r="D208" s="9"/>
      <c r="E208" s="10"/>
      <c r="F208" s="10"/>
      <c r="G208" s="10"/>
      <c r="H208" s="10"/>
      <c r="I208" s="9">
        <f>SUM(E208:H208)</f>
        <v>0</v>
      </c>
      <c r="J208" s="10"/>
      <c r="K208" s="10"/>
      <c r="L208" s="10"/>
      <c r="M208" s="10"/>
      <c r="N208" s="9">
        <f>SUM(J208:M208)</f>
        <v>0</v>
      </c>
      <c r="O208" s="10"/>
      <c r="P208" s="10"/>
      <c r="Q208" s="10"/>
      <c r="R208" s="10"/>
      <c r="S208" s="10"/>
      <c r="T208" s="9">
        <f>SUM(O208:S208)</f>
        <v>0</v>
      </c>
      <c r="U208" s="11">
        <f>I208+N208+T208</f>
        <v>0</v>
      </c>
      <c r="V208" s="10"/>
      <c r="W208" s="10"/>
      <c r="X208" s="10"/>
      <c r="Y208" s="10"/>
      <c r="Z208" s="9">
        <f>SUM(V208:Y208)</f>
        <v>0</v>
      </c>
      <c r="AA208" s="10"/>
      <c r="AB208" s="10"/>
      <c r="AC208" s="10"/>
      <c r="AD208" s="10"/>
      <c r="AE208" s="9">
        <f>SUM(AA208:AD208)</f>
        <v>0</v>
      </c>
      <c r="AF208" s="10"/>
      <c r="AG208" s="10"/>
      <c r="AH208" s="10"/>
      <c r="AI208" s="10"/>
      <c r="AJ208" s="10"/>
      <c r="AK208" s="9">
        <f>SUM(AF208:AJ208)</f>
        <v>0</v>
      </c>
      <c r="AL208" s="11">
        <f>Z208+AE208+AK208</f>
        <v>0</v>
      </c>
      <c r="AM208" s="93"/>
      <c r="AN208" s="94">
        <f t="shared" si="70"/>
        <v>0</v>
      </c>
      <c r="AO208" s="94">
        <f t="shared" si="71"/>
        <v>0</v>
      </c>
    </row>
    <row r="209" spans="1:41">
      <c r="A209" s="166"/>
      <c r="B209" s="3" t="s">
        <v>10</v>
      </c>
      <c r="C209" s="9">
        <v>0</v>
      </c>
      <c r="D209" s="9"/>
      <c r="E209" s="10"/>
      <c r="F209" s="10"/>
      <c r="G209" s="10"/>
      <c r="H209" s="10"/>
      <c r="I209" s="9"/>
      <c r="J209" s="10"/>
      <c r="K209" s="10"/>
      <c r="L209" s="10"/>
      <c r="M209" s="10"/>
      <c r="N209" s="9"/>
      <c r="O209" s="10"/>
      <c r="P209" s="10"/>
      <c r="Q209" s="10"/>
      <c r="R209" s="10"/>
      <c r="S209" s="10"/>
      <c r="T209" s="9"/>
      <c r="U209" s="11"/>
      <c r="V209" s="10"/>
      <c r="W209" s="10"/>
      <c r="X209" s="10"/>
      <c r="Y209" s="10"/>
      <c r="Z209" s="9"/>
      <c r="AA209" s="10"/>
      <c r="AB209" s="10"/>
      <c r="AC209" s="10"/>
      <c r="AD209" s="10"/>
      <c r="AE209" s="9"/>
      <c r="AF209" s="10"/>
      <c r="AG209" s="10"/>
      <c r="AH209" s="10"/>
      <c r="AI209" s="10"/>
      <c r="AJ209" s="10"/>
      <c r="AK209" s="9"/>
      <c r="AL209" s="11"/>
      <c r="AM209" s="93"/>
      <c r="AN209" s="94">
        <f t="shared" si="70"/>
        <v>0</v>
      </c>
      <c r="AO209" s="94">
        <f t="shared" si="71"/>
        <v>0</v>
      </c>
    </row>
    <row r="210" spans="1:41">
      <c r="A210" s="166"/>
      <c r="B210" s="3" t="s">
        <v>7</v>
      </c>
      <c r="C210" s="9"/>
      <c r="D210" s="9"/>
      <c r="E210" s="10">
        <f>E209+E208</f>
        <v>0</v>
      </c>
      <c r="F210" s="10">
        <f>F209+F208</f>
        <v>0</v>
      </c>
      <c r="G210" s="10">
        <f>G209+G208</f>
        <v>0</v>
      </c>
      <c r="H210" s="10">
        <f>H209+H208</f>
        <v>0</v>
      </c>
      <c r="I210" s="9">
        <f>SUM(E210:H210)</f>
        <v>0</v>
      </c>
      <c r="J210" s="10">
        <f>J209+J208</f>
        <v>0</v>
      </c>
      <c r="K210" s="10">
        <f>K209+K208</f>
        <v>0</v>
      </c>
      <c r="L210" s="10">
        <f>L209+L208</f>
        <v>0</v>
      </c>
      <c r="M210" s="10">
        <f>M209+M208</f>
        <v>0</v>
      </c>
      <c r="N210" s="9">
        <f>SUM(J210:M210)</f>
        <v>0</v>
      </c>
      <c r="O210" s="10">
        <f>O209+O208</f>
        <v>0</v>
      </c>
      <c r="P210" s="10">
        <f>P209+P208</f>
        <v>0</v>
      </c>
      <c r="Q210" s="10">
        <f>Q209+Q208</f>
        <v>0</v>
      </c>
      <c r="R210" s="10">
        <f>R209+R208</f>
        <v>0</v>
      </c>
      <c r="S210" s="10">
        <f>S209+S208</f>
        <v>0</v>
      </c>
      <c r="T210" s="9">
        <f>SUM(O210:S210)</f>
        <v>0</v>
      </c>
      <c r="U210" s="11">
        <f>T210+N210+I210+D211</f>
        <v>0</v>
      </c>
      <c r="V210" s="10">
        <f>V209+V208</f>
        <v>0</v>
      </c>
      <c r="W210" s="10">
        <f>W209+W208</f>
        <v>0</v>
      </c>
      <c r="X210" s="10">
        <f>X209+X208</f>
        <v>0</v>
      </c>
      <c r="Y210" s="10">
        <f>Y209+Y208</f>
        <v>0</v>
      </c>
      <c r="Z210" s="9">
        <f>SUM(V210:Y210)</f>
        <v>0</v>
      </c>
      <c r="AA210" s="10">
        <f>AA209+AA208</f>
        <v>0</v>
      </c>
      <c r="AB210" s="10">
        <f>AB209+AB208</f>
        <v>0</v>
      </c>
      <c r="AC210" s="10">
        <f>AC209+AC208</f>
        <v>0</v>
      </c>
      <c r="AD210" s="10">
        <f>AD209+AD208</f>
        <v>0</v>
      </c>
      <c r="AE210" s="9">
        <f>SUM(AA210:AD210)</f>
        <v>0</v>
      </c>
      <c r="AF210" s="10">
        <f>AF209+AF208</f>
        <v>0</v>
      </c>
      <c r="AG210" s="10">
        <f>AG209+AG208</f>
        <v>0</v>
      </c>
      <c r="AH210" s="10">
        <f>AH209+AH208</f>
        <v>0</v>
      </c>
      <c r="AI210" s="10">
        <f>AI209+AI208</f>
        <v>0</v>
      </c>
      <c r="AJ210" s="10">
        <f>AJ209+AJ208</f>
        <v>0</v>
      </c>
      <c r="AK210" s="9">
        <f>SUM(AF210:AJ210)</f>
        <v>0</v>
      </c>
      <c r="AL210" s="11">
        <f>AK210+AE210+Z210</f>
        <v>0</v>
      </c>
      <c r="AM210" s="93"/>
      <c r="AN210" s="94">
        <f t="shared" si="70"/>
        <v>0</v>
      </c>
      <c r="AO210" s="94">
        <f t="shared" si="71"/>
        <v>0</v>
      </c>
    </row>
    <row r="211" spans="1:41">
      <c r="A211" s="167"/>
      <c r="B211" s="2" t="s">
        <v>8</v>
      </c>
      <c r="C211" s="65">
        <v>36</v>
      </c>
      <c r="D211" s="95"/>
      <c r="E211" s="81">
        <f>E210-E207</f>
        <v>0</v>
      </c>
      <c r="F211" s="10">
        <f>E211+F210-F207</f>
        <v>-2</v>
      </c>
      <c r="G211" s="10">
        <f>F211+G210-G207</f>
        <v>-11</v>
      </c>
      <c r="H211" s="10">
        <f>G211+H210-H207</f>
        <v>-33</v>
      </c>
      <c r="I211" s="9">
        <f>I210-I207</f>
        <v>-33</v>
      </c>
      <c r="J211" s="10">
        <f>I211+J210-J207</f>
        <v>-103</v>
      </c>
      <c r="K211" s="10">
        <f>J211+K210-K207</f>
        <v>-205</v>
      </c>
      <c r="L211" s="10">
        <f>K211+L210-L207</f>
        <v>-260</v>
      </c>
      <c r="M211" s="10">
        <f>L211+M210-M207</f>
        <v>-274</v>
      </c>
      <c r="N211" s="9">
        <f>I211+N210-N207</f>
        <v>-274</v>
      </c>
      <c r="O211" s="10">
        <f>N211+O210-O207</f>
        <v>-349</v>
      </c>
      <c r="P211" s="10">
        <f>O211+P210-P207</f>
        <v>-443</v>
      </c>
      <c r="Q211" s="10">
        <f>P211+Q210-Q207</f>
        <v>-512</v>
      </c>
      <c r="R211" s="10">
        <f t="shared" ref="R211" si="76">Q211+R210-R207</f>
        <v>-512</v>
      </c>
      <c r="S211" s="10">
        <f>R211+S210-S207</f>
        <v>-512</v>
      </c>
      <c r="T211" s="9">
        <f>N211+T210-T207</f>
        <v>-512</v>
      </c>
      <c r="U211" s="9">
        <f>U210-U207</f>
        <v>-512</v>
      </c>
      <c r="V211" s="10">
        <f>U211+V210-V207</f>
        <v>-512</v>
      </c>
      <c r="W211" s="10">
        <f>V211+W210-W207</f>
        <v>-512</v>
      </c>
      <c r="X211" s="10">
        <f>W211+X210-X207</f>
        <v>-512</v>
      </c>
      <c r="Y211" s="10">
        <f>X211+Y210-Y207</f>
        <v>-512</v>
      </c>
      <c r="Z211" s="9">
        <f>T211+Z210-Z207</f>
        <v>-512</v>
      </c>
      <c r="AA211" s="10">
        <f>Z211+AA210-AA207</f>
        <v>-512</v>
      </c>
      <c r="AB211" s="10">
        <f>AA211+AB210-AB207</f>
        <v>-512</v>
      </c>
      <c r="AC211" s="10">
        <f>AB211+AC210-AC207</f>
        <v>-512</v>
      </c>
      <c r="AD211" s="10">
        <f>AC211+AD210-AD207</f>
        <v>-525</v>
      </c>
      <c r="AE211" s="9">
        <f>Z211+AE210-AE207</f>
        <v>-525</v>
      </c>
      <c r="AF211" s="10">
        <f>AE211+AF210-AF207</f>
        <v>-566</v>
      </c>
      <c r="AG211" s="10">
        <f>AF211+AG210-AG207</f>
        <v>-594</v>
      </c>
      <c r="AH211" s="10">
        <f>AG211+AH210-AH207</f>
        <v>-630</v>
      </c>
      <c r="AI211" s="10">
        <f t="shared" ref="AI211:AJ211" si="77">AH211+AI210-AI207</f>
        <v>-630</v>
      </c>
      <c r="AJ211" s="10">
        <f t="shared" si="77"/>
        <v>-630</v>
      </c>
      <c r="AK211" s="9">
        <f>AE211+AK210-AK207</f>
        <v>-630</v>
      </c>
      <c r="AL211" s="11">
        <f>T211+AL210-AL207</f>
        <v>-630</v>
      </c>
      <c r="AM211" s="93"/>
      <c r="AN211" s="94">
        <f t="shared" si="70"/>
        <v>0</v>
      </c>
      <c r="AO211" s="94">
        <f t="shared" si="71"/>
        <v>0</v>
      </c>
    </row>
    <row r="212" spans="1:41">
      <c r="A212" s="82"/>
      <c r="B212" s="3" t="s">
        <v>9</v>
      </c>
      <c r="C212" s="84"/>
      <c r="D212" s="84"/>
      <c r="E212" s="57">
        <f>E211/(SUM(F207+H207+J207+G207)/20)*1000</f>
        <v>0</v>
      </c>
      <c r="F212" s="71">
        <f>F211/(SUM(G207+K207+J207+H207)/20)*1000</f>
        <v>-197.04433497536945</v>
      </c>
      <c r="G212" s="71">
        <f>G211/(SUM(H207+J207+K207+L207)/20)*1000</f>
        <v>-883.53413654618475</v>
      </c>
      <c r="H212" s="71">
        <f>H211/(SUM(M207+J207+K207+L207)/20)*1000</f>
        <v>-2738.5892116182572</v>
      </c>
      <c r="I212" s="37"/>
      <c r="J212" s="57">
        <f>J211/(SUM(K207+M207+O207+L207)/20)*1000</f>
        <v>-8373.9837398373984</v>
      </c>
      <c r="K212" s="57">
        <f>K211/(SUM(L207+P207+O207+M207)/20)*1000</f>
        <v>-17226.89075630252</v>
      </c>
      <c r="L212" s="57">
        <f>L211/(SUM(M207+O207+P207+Q207)/20)*1000</f>
        <v>-20634.920634920636</v>
      </c>
      <c r="M212" s="57">
        <f>M211/(SUM(R207+O207+P207+Q207)/20)*1000</f>
        <v>-23025.210084033613</v>
      </c>
      <c r="N212" s="37"/>
      <c r="O212" s="57">
        <f>O211/(SUM(P207+R207+S207+Q207)/20)*1000</f>
        <v>-42822.085889570553</v>
      </c>
      <c r="P212" s="57">
        <f>P211/(SUM(Q207+S207+V207+R207)/20)*1000</f>
        <v>-128405.79710144928</v>
      </c>
      <c r="Q212" s="57" t="e">
        <f>Q211/(SUM(R207+S207+W207+V207)/20)*1000</f>
        <v>#DIV/0!</v>
      </c>
      <c r="R212" s="57">
        <f>R211/(SUM(T207+U207+V207+W207)/20)*1000</f>
        <v>-13653.333333333334</v>
      </c>
      <c r="S212" s="57" t="e">
        <f>S211/(SUM(S207+V207+W207+X207)/20)*1000</f>
        <v>#DIV/0!</v>
      </c>
      <c r="T212" s="37"/>
      <c r="U212" s="38"/>
      <c r="V212" s="57" t="e">
        <f>V211/(SUM(W207+Y207+AA207+X207)/20)*1000</f>
        <v>#DIV/0!</v>
      </c>
      <c r="W212" s="57" t="e">
        <f>V211/(SUM(X207+AA207+AB207+Y207)/20)*1000</f>
        <v>#DIV/0!</v>
      </c>
      <c r="X212" s="57" t="e">
        <f>W211/(SUM(Y207+AA207+AB207+AC207)/20)*1000</f>
        <v>#DIV/0!</v>
      </c>
      <c r="Y212" s="57">
        <f>Y211/(SUM(AA207+AB207+AC207+AD207)/20)*1000</f>
        <v>-787692.30769230763</v>
      </c>
      <c r="Z212" s="37"/>
      <c r="AA212" s="57">
        <f>AA211/(SUM(AB207+AD207+AF207+AC207)/20)*1000</f>
        <v>-189629.62962962961</v>
      </c>
      <c r="AB212" s="57">
        <f>AB211/(SUM(AC207+AF207+AG207+AD207)/20)*1000</f>
        <v>-124878.04878048782</v>
      </c>
      <c r="AC212" s="57">
        <f>AC211/(SUM(AD207+AF207+AG207+AH207)/20)*1000</f>
        <v>-86779.661016949147</v>
      </c>
      <c r="AD212" s="57">
        <f>AD211/(SUM(AF207+AG207+AH207+AI207)/20)*1000</f>
        <v>-100000</v>
      </c>
      <c r="AE212" s="37"/>
      <c r="AF212" s="57">
        <f>AF211/(SUM(AG207+AI207+AJ207+AH207)/20)*1000</f>
        <v>-176875</v>
      </c>
      <c r="AG212" s="57">
        <f>AG211/(SUM(AH207+AJ207+AM207+AI207)/20)*1000</f>
        <v>-118800</v>
      </c>
      <c r="AH212" s="57">
        <f>AH211/(SUM(AI207+AJ207+AN207+AM207)/20)*1000</f>
        <v>-383.77192982456143</v>
      </c>
      <c r="AI212" s="57">
        <f>AI211/(SUM(AK207+AL207+AM207+AN207)/20)*1000</f>
        <v>-381.18287702314325</v>
      </c>
      <c r="AJ212" s="57">
        <f>AJ211/(SUM(AJ207+AM207+AN207+AO207)/20)*1000</f>
        <v>-312.00475435816168</v>
      </c>
      <c r="AK212" s="37"/>
      <c r="AL212" s="38"/>
      <c r="AM212" s="93"/>
      <c r="AN212" s="94">
        <f t="shared" si="70"/>
        <v>0</v>
      </c>
      <c r="AO212" s="94">
        <f t="shared" si="71"/>
        <v>0</v>
      </c>
    </row>
    <row r="213" spans="1:41">
      <c r="A213" s="165" t="s">
        <v>15</v>
      </c>
      <c r="B213" s="1" t="s">
        <v>5</v>
      </c>
      <c r="C213" s="9"/>
      <c r="D213" s="9"/>
      <c r="E213" s="10"/>
      <c r="F213" s="10">
        <v>0</v>
      </c>
      <c r="G213" s="10">
        <v>0</v>
      </c>
      <c r="H213" s="10">
        <v>0</v>
      </c>
      <c r="I213" s="9">
        <f>SUM(E213:H213)</f>
        <v>0</v>
      </c>
      <c r="J213" s="10">
        <v>0</v>
      </c>
      <c r="K213" s="10">
        <v>0</v>
      </c>
      <c r="L213" s="10">
        <v>0</v>
      </c>
      <c r="M213" s="10">
        <v>0</v>
      </c>
      <c r="N213" s="9">
        <f>SUM(J213:M213)</f>
        <v>0</v>
      </c>
      <c r="O213" s="10">
        <v>0</v>
      </c>
      <c r="P213" s="10">
        <v>0</v>
      </c>
      <c r="Q213" s="10">
        <v>0</v>
      </c>
      <c r="R213" s="10">
        <v>0</v>
      </c>
      <c r="S213" s="10">
        <v>0</v>
      </c>
      <c r="T213" s="9">
        <f>SUM(O213:S213)</f>
        <v>0</v>
      </c>
      <c r="U213" s="11">
        <f>T213+N213+I213+D217</f>
        <v>0</v>
      </c>
      <c r="V213" s="10">
        <v>0</v>
      </c>
      <c r="W213" s="10">
        <v>0</v>
      </c>
      <c r="X213" s="10">
        <v>0</v>
      </c>
      <c r="Y213" s="10">
        <v>0</v>
      </c>
      <c r="Z213" s="9">
        <f>SUM(V213:Y213)</f>
        <v>0</v>
      </c>
      <c r="AA213" s="10">
        <v>0</v>
      </c>
      <c r="AB213" s="10">
        <v>0</v>
      </c>
      <c r="AC213" s="10">
        <v>0</v>
      </c>
      <c r="AD213" s="10">
        <v>0</v>
      </c>
      <c r="AE213" s="9">
        <f>SUM(AA213:AD213)</f>
        <v>0</v>
      </c>
      <c r="AF213" s="10">
        <v>0</v>
      </c>
      <c r="AG213" s="10">
        <v>0</v>
      </c>
      <c r="AH213" s="10">
        <v>0</v>
      </c>
      <c r="AI213" s="10">
        <v>0</v>
      </c>
      <c r="AJ213" s="10">
        <v>0</v>
      </c>
      <c r="AK213" s="9">
        <f>SUM(AF213:AJ213)</f>
        <v>0</v>
      </c>
      <c r="AL213" s="11">
        <f>AK213+AE213+Z213</f>
        <v>0</v>
      </c>
      <c r="AM213" s="93">
        <v>64</v>
      </c>
      <c r="AN213" s="94">
        <f t="shared" si="70"/>
        <v>0</v>
      </c>
      <c r="AO213" s="94">
        <f t="shared" si="71"/>
        <v>0</v>
      </c>
    </row>
    <row r="214" spans="1:41">
      <c r="A214" s="166"/>
      <c r="B214" s="3" t="s">
        <v>6</v>
      </c>
      <c r="C214" s="9"/>
      <c r="D214" s="9"/>
      <c r="E214" s="10"/>
      <c r="F214" s="10"/>
      <c r="G214" s="10"/>
      <c r="H214" s="10"/>
      <c r="I214" s="9">
        <f>SUM(E214:H214)</f>
        <v>0</v>
      </c>
      <c r="J214" s="10"/>
      <c r="K214" s="10"/>
      <c r="L214" s="10"/>
      <c r="M214" s="10"/>
      <c r="N214" s="9">
        <f>SUM(J214:M214)</f>
        <v>0</v>
      </c>
      <c r="O214" s="10"/>
      <c r="P214" s="10"/>
      <c r="Q214" s="10"/>
      <c r="R214" s="10"/>
      <c r="S214" s="10"/>
      <c r="T214" s="9">
        <f>SUM(O214:S214)</f>
        <v>0</v>
      </c>
      <c r="U214" s="11">
        <f>I214+N214+T214</f>
        <v>0</v>
      </c>
      <c r="V214" s="10"/>
      <c r="W214" s="10"/>
      <c r="X214" s="10"/>
      <c r="Y214" s="10"/>
      <c r="Z214" s="9">
        <f>SUM(V214:Y214)</f>
        <v>0</v>
      </c>
      <c r="AA214" s="10"/>
      <c r="AB214" s="10"/>
      <c r="AC214" s="10"/>
      <c r="AD214" s="10"/>
      <c r="AE214" s="9">
        <f>SUM(AA214:AD214)</f>
        <v>0</v>
      </c>
      <c r="AF214" s="10"/>
      <c r="AG214" s="10"/>
      <c r="AH214" s="10"/>
      <c r="AI214" s="10"/>
      <c r="AJ214" s="10"/>
      <c r="AK214" s="9">
        <f>SUM(AF214:AJ214)</f>
        <v>0</v>
      </c>
      <c r="AL214" s="11">
        <f>Z214+AE214+AK214</f>
        <v>0</v>
      </c>
      <c r="AM214" s="93"/>
      <c r="AN214" s="94">
        <f t="shared" si="70"/>
        <v>0</v>
      </c>
      <c r="AO214" s="94">
        <f t="shared" si="71"/>
        <v>0</v>
      </c>
    </row>
    <row r="215" spans="1:41">
      <c r="A215" s="166"/>
      <c r="B215" s="3" t="s">
        <v>10</v>
      </c>
      <c r="C215" s="9">
        <v>0</v>
      </c>
      <c r="D215" s="9"/>
      <c r="E215" s="10"/>
      <c r="F215" s="10"/>
      <c r="G215" s="10"/>
      <c r="H215" s="10"/>
      <c r="I215" s="9"/>
      <c r="J215" s="10"/>
      <c r="K215" s="10"/>
      <c r="L215" s="10"/>
      <c r="M215" s="10"/>
      <c r="N215" s="9"/>
      <c r="O215" s="10"/>
      <c r="P215" s="10"/>
      <c r="Q215" s="10"/>
      <c r="R215" s="10"/>
      <c r="S215" s="10"/>
      <c r="T215" s="9"/>
      <c r="U215" s="11"/>
      <c r="V215" s="10"/>
      <c r="W215" s="10"/>
      <c r="X215" s="10"/>
      <c r="Y215" s="10"/>
      <c r="Z215" s="9"/>
      <c r="AA215" s="10"/>
      <c r="AB215" s="10"/>
      <c r="AC215" s="10"/>
      <c r="AD215" s="10"/>
      <c r="AE215" s="9"/>
      <c r="AF215" s="10"/>
      <c r="AG215" s="10"/>
      <c r="AH215" s="10"/>
      <c r="AI215" s="10"/>
      <c r="AJ215" s="10"/>
      <c r="AK215" s="9"/>
      <c r="AL215" s="11"/>
      <c r="AM215" s="93"/>
      <c r="AN215" s="94">
        <f t="shared" si="70"/>
        <v>0</v>
      </c>
      <c r="AO215" s="94">
        <f t="shared" si="71"/>
        <v>0</v>
      </c>
    </row>
    <row r="216" spans="1:41">
      <c r="A216" s="166"/>
      <c r="B216" s="3" t="s">
        <v>7</v>
      </c>
      <c r="C216" s="9"/>
      <c r="D216" s="9"/>
      <c r="E216" s="10">
        <f>E215+E214</f>
        <v>0</v>
      </c>
      <c r="F216" s="10">
        <f>F215+F214</f>
        <v>0</v>
      </c>
      <c r="G216" s="10">
        <f>G215+G214</f>
        <v>0</v>
      </c>
      <c r="H216" s="10">
        <f>H215+H214</f>
        <v>0</v>
      </c>
      <c r="I216" s="9">
        <f>SUM(E216:H216)</f>
        <v>0</v>
      </c>
      <c r="J216" s="10">
        <f>J215+J214</f>
        <v>0</v>
      </c>
      <c r="K216" s="10">
        <f>K215+K214</f>
        <v>0</v>
      </c>
      <c r="L216" s="10">
        <f>L215+L214</f>
        <v>0</v>
      </c>
      <c r="M216" s="10">
        <f>M215+M214</f>
        <v>0</v>
      </c>
      <c r="N216" s="9">
        <f>SUM(J216:M216)</f>
        <v>0</v>
      </c>
      <c r="O216" s="10">
        <f>O215+O214</f>
        <v>0</v>
      </c>
      <c r="P216" s="10">
        <f>P215+P214</f>
        <v>0</v>
      </c>
      <c r="Q216" s="10">
        <f>Q215+Q214</f>
        <v>0</v>
      </c>
      <c r="R216" s="10">
        <f>R215+R214</f>
        <v>0</v>
      </c>
      <c r="S216" s="10">
        <f>S215+S214</f>
        <v>0</v>
      </c>
      <c r="T216" s="9">
        <f>SUM(O216:S216)</f>
        <v>0</v>
      </c>
      <c r="U216" s="11">
        <f>T216+N216+I216+D217</f>
        <v>0</v>
      </c>
      <c r="V216" s="10">
        <f>V215+V214</f>
        <v>0</v>
      </c>
      <c r="W216" s="10">
        <f>W215+W214</f>
        <v>0</v>
      </c>
      <c r="X216" s="10">
        <f>X215+X214</f>
        <v>0</v>
      </c>
      <c r="Y216" s="10">
        <f>Y215+Y214</f>
        <v>0</v>
      </c>
      <c r="Z216" s="9">
        <f>SUM(V216:Y216)</f>
        <v>0</v>
      </c>
      <c r="AA216" s="10">
        <f>AA215+AA214</f>
        <v>0</v>
      </c>
      <c r="AB216" s="10">
        <f>AB215+AB214</f>
        <v>0</v>
      </c>
      <c r="AC216" s="10">
        <f>AC215+AC214</f>
        <v>0</v>
      </c>
      <c r="AD216" s="10">
        <f>AD215+AD214</f>
        <v>0</v>
      </c>
      <c r="AE216" s="9">
        <f>SUM(AA216:AD216)</f>
        <v>0</v>
      </c>
      <c r="AF216" s="10">
        <f>AF215+AF214</f>
        <v>0</v>
      </c>
      <c r="AG216" s="10">
        <f>AG215+AG214</f>
        <v>0</v>
      </c>
      <c r="AH216" s="10">
        <f>AH215+AH214</f>
        <v>0</v>
      </c>
      <c r="AI216" s="10">
        <f>AI215+AI214</f>
        <v>0</v>
      </c>
      <c r="AJ216" s="10">
        <f>AJ215+AJ214</f>
        <v>0</v>
      </c>
      <c r="AK216" s="9">
        <f>SUM(AF216:AJ216)</f>
        <v>0</v>
      </c>
      <c r="AL216" s="11">
        <f>AK216+AE216+Z216</f>
        <v>0</v>
      </c>
      <c r="AM216" s="93"/>
      <c r="AN216" s="94">
        <f t="shared" si="70"/>
        <v>0</v>
      </c>
      <c r="AO216" s="94">
        <f t="shared" si="71"/>
        <v>0</v>
      </c>
    </row>
    <row r="217" spans="1:41">
      <c r="A217" s="167"/>
      <c r="B217" s="2" t="s">
        <v>8</v>
      </c>
      <c r="C217" s="65">
        <v>0</v>
      </c>
      <c r="D217" s="95"/>
      <c r="E217" s="81">
        <f>E216-E213</f>
        <v>0</v>
      </c>
      <c r="F217" s="10">
        <f>E217+F216-F213</f>
        <v>0</v>
      </c>
      <c r="G217" s="10">
        <f>F217+G216-G213</f>
        <v>0</v>
      </c>
      <c r="H217" s="10">
        <f>G217+H216-H213</f>
        <v>0</v>
      </c>
      <c r="I217" s="9">
        <f>I216-I213</f>
        <v>0</v>
      </c>
      <c r="J217" s="10">
        <f>I217+J216-J213</f>
        <v>0</v>
      </c>
      <c r="K217" s="10">
        <f>J217+K216-K213</f>
        <v>0</v>
      </c>
      <c r="L217" s="10">
        <f>K217+L216-L213</f>
        <v>0</v>
      </c>
      <c r="M217" s="10">
        <f>L217+M216-M213</f>
        <v>0</v>
      </c>
      <c r="N217" s="9">
        <f>I217+N216-N213</f>
        <v>0</v>
      </c>
      <c r="O217" s="10">
        <f>N217+O216-O213</f>
        <v>0</v>
      </c>
      <c r="P217" s="10">
        <f>O217+P216-P213</f>
        <v>0</v>
      </c>
      <c r="Q217" s="10">
        <f>P217+Q216-Q213</f>
        <v>0</v>
      </c>
      <c r="R217" s="10">
        <f t="shared" ref="R217" si="78">Q217+R216-R213</f>
        <v>0</v>
      </c>
      <c r="S217" s="10">
        <f>R217+S216-S213</f>
        <v>0</v>
      </c>
      <c r="T217" s="9">
        <f>N217+T216-T213</f>
        <v>0</v>
      </c>
      <c r="U217" s="9">
        <f>U216-U213</f>
        <v>0</v>
      </c>
      <c r="V217" s="10">
        <f>U217+V216-V213</f>
        <v>0</v>
      </c>
      <c r="W217" s="10">
        <f>V217+W216-W213</f>
        <v>0</v>
      </c>
      <c r="X217" s="10">
        <f>W217+X216-X213</f>
        <v>0</v>
      </c>
      <c r="Y217" s="10">
        <f>X217+Y216-Y213</f>
        <v>0</v>
      </c>
      <c r="Z217" s="9">
        <f>T217+Z216-Z213</f>
        <v>0</v>
      </c>
      <c r="AA217" s="10">
        <f>Z217+AA216-AA213</f>
        <v>0</v>
      </c>
      <c r="AB217" s="10">
        <f>AA217+AB216-AB213</f>
        <v>0</v>
      </c>
      <c r="AC217" s="10">
        <f>AB217+AC216-AC213</f>
        <v>0</v>
      </c>
      <c r="AD217" s="10">
        <f>AC217+AD216-AD213</f>
        <v>0</v>
      </c>
      <c r="AE217" s="9">
        <f>Z217+AE216-AE213</f>
        <v>0</v>
      </c>
      <c r="AF217" s="10">
        <f>AE217+AF216-AF213</f>
        <v>0</v>
      </c>
      <c r="AG217" s="10">
        <f>AF217+AG216-AG213</f>
        <v>0</v>
      </c>
      <c r="AH217" s="10">
        <f>AG217+AH216-AH213</f>
        <v>0</v>
      </c>
      <c r="AI217" s="10">
        <f t="shared" ref="AI217:AJ217" si="79">AH217+AI216-AI213</f>
        <v>0</v>
      </c>
      <c r="AJ217" s="10">
        <f t="shared" si="79"/>
        <v>0</v>
      </c>
      <c r="AK217" s="9">
        <f>AE217+AK216-AK213</f>
        <v>0</v>
      </c>
      <c r="AL217" s="11">
        <f>T217+AL216-AL213</f>
        <v>0</v>
      </c>
      <c r="AM217" s="93"/>
      <c r="AN217" s="94">
        <f t="shared" si="70"/>
        <v>0</v>
      </c>
      <c r="AO217" s="94">
        <f t="shared" si="71"/>
        <v>0</v>
      </c>
    </row>
    <row r="218" spans="1:41">
      <c r="A218" s="82"/>
      <c r="B218" s="3" t="s">
        <v>9</v>
      </c>
      <c r="C218" s="84"/>
      <c r="D218" s="84"/>
      <c r="E218" s="57" t="e">
        <f>E217/(SUM(F213+H213+J213+G213)/20)*1000</f>
        <v>#DIV/0!</v>
      </c>
      <c r="F218" s="71" t="e">
        <f>F217/(SUM(G213+K213+J213+H213)/20)*1000</f>
        <v>#DIV/0!</v>
      </c>
      <c r="G218" s="71" t="e">
        <f>G217/(SUM(H213+J213+K213+L213)/20)*1000</f>
        <v>#DIV/0!</v>
      </c>
      <c r="H218" s="71" t="e">
        <f>H217/(SUM(M213+J213+K213+L213)/20)*1000</f>
        <v>#DIV/0!</v>
      </c>
      <c r="I218" s="37"/>
      <c r="J218" s="57" t="e">
        <f>J217/(SUM(K213+M213+O213+L213)/20)*1000</f>
        <v>#DIV/0!</v>
      </c>
      <c r="K218" s="57" t="e">
        <f>K217/(SUM(L213+P213+O213+M213)/20)*1000</f>
        <v>#DIV/0!</v>
      </c>
      <c r="L218" s="57" t="e">
        <f>L217/(SUM(M213+O213+P213+Q213)/20)*1000</f>
        <v>#DIV/0!</v>
      </c>
      <c r="M218" s="57" t="e">
        <f>M217/(SUM(R213+O213+P213+Q213)/20)*1000</f>
        <v>#DIV/0!</v>
      </c>
      <c r="N218" s="37"/>
      <c r="O218" s="57" t="e">
        <f>O217/(SUM(P213+R213+S213+Q213)/20)*1000</f>
        <v>#DIV/0!</v>
      </c>
      <c r="P218" s="57" t="e">
        <f>P217/(SUM(Q213+S213+V213+R213)/20)*1000</f>
        <v>#DIV/0!</v>
      </c>
      <c r="Q218" s="57" t="e">
        <f>Q217/(SUM(R213+S213+W213+V213)/20)*1000</f>
        <v>#DIV/0!</v>
      </c>
      <c r="R218" s="57" t="e">
        <f>R217/(SUM(T213+U213+V213+W213)/20)*1000</f>
        <v>#DIV/0!</v>
      </c>
      <c r="S218" s="57" t="e">
        <f>S217/(SUM(S213+V213+W213+X213)/20)*1000</f>
        <v>#DIV/0!</v>
      </c>
      <c r="T218" s="37"/>
      <c r="U218" s="38"/>
      <c r="V218" s="57" t="e">
        <f>V217/(SUM(W213+Y213+AA213+X213)/20)*1000</f>
        <v>#DIV/0!</v>
      </c>
      <c r="W218" s="57" t="e">
        <f>V217/(SUM(X213+AA213+AB213+Y213)/20)*1000</f>
        <v>#DIV/0!</v>
      </c>
      <c r="X218" s="57" t="e">
        <f>W217/(SUM(Y213+AA213+AB213+AC213)/20)*1000</f>
        <v>#DIV/0!</v>
      </c>
      <c r="Y218" s="57" t="e">
        <f>Y217/(SUM(AA213+AB213+AC213+AD213)/20)*1000</f>
        <v>#DIV/0!</v>
      </c>
      <c r="Z218" s="37"/>
      <c r="AA218" s="57" t="e">
        <f>AA217/(SUM(AB213+AD213+AF213+AC213)/20)*1000</f>
        <v>#DIV/0!</v>
      </c>
      <c r="AB218" s="57" t="e">
        <f>AB217/(SUM(AC213+AF213+AG213+AD213)/20)*1000</f>
        <v>#DIV/0!</v>
      </c>
      <c r="AC218" s="57" t="e">
        <f>AC217/(SUM(AD213+AF213+AG213+AH213)/20)*1000</f>
        <v>#DIV/0!</v>
      </c>
      <c r="AD218" s="57" t="e">
        <f>AD217/(SUM(AF213+AG213+AH213+AI213)/20)*1000</f>
        <v>#DIV/0!</v>
      </c>
      <c r="AE218" s="37"/>
      <c r="AF218" s="57" t="e">
        <f>AF217/(SUM(AG213+AI213+AJ213+AH213)/20)*1000</f>
        <v>#DIV/0!</v>
      </c>
      <c r="AG218" s="57">
        <f>AG217/(SUM(AH213+AJ213+AM213+AI213)/20)*1000</f>
        <v>0</v>
      </c>
      <c r="AH218" s="57">
        <f>AH217/(SUM(AI213+AJ213+AN213+AM213)/20)*1000</f>
        <v>0</v>
      </c>
      <c r="AI218" s="57">
        <f>AI217/(SUM(AK213+AL213+AM213+AN213)/20)*1000</f>
        <v>0</v>
      </c>
      <c r="AJ218" s="57">
        <f>AJ217/(SUM(AJ213+AM213+AN213+AO213)/20)*1000</f>
        <v>0</v>
      </c>
      <c r="AK218" s="37"/>
      <c r="AL218" s="38"/>
      <c r="AM218" s="93"/>
      <c r="AN218" s="94">
        <f t="shared" si="70"/>
        <v>0</v>
      </c>
      <c r="AO218" s="94">
        <f t="shared" si="71"/>
        <v>0</v>
      </c>
    </row>
    <row r="219" spans="1:41">
      <c r="A219" s="165" t="s">
        <v>17</v>
      </c>
      <c r="B219" s="1" t="s">
        <v>5</v>
      </c>
      <c r="C219" s="9"/>
      <c r="D219" s="9"/>
      <c r="E219" s="10"/>
      <c r="F219" s="10">
        <v>11284</v>
      </c>
      <c r="G219" s="10">
        <v>9605</v>
      </c>
      <c r="H219" s="10">
        <v>3193</v>
      </c>
      <c r="I219" s="9">
        <f>SUM(E219:H219)</f>
        <v>24082</v>
      </c>
      <c r="J219" s="10">
        <v>3991</v>
      </c>
      <c r="K219" s="10">
        <v>11717</v>
      </c>
      <c r="L219" s="10">
        <v>19333</v>
      </c>
      <c r="M219" s="10">
        <v>10679</v>
      </c>
      <c r="N219" s="9">
        <f>SUM(J219:M219)</f>
        <v>45720</v>
      </c>
      <c r="O219" s="10">
        <v>1612</v>
      </c>
      <c r="P219" s="10">
        <v>18208</v>
      </c>
      <c r="Q219" s="10">
        <v>24224</v>
      </c>
      <c r="R219" s="10">
        <v>17602</v>
      </c>
      <c r="S219" s="10">
        <v>1333</v>
      </c>
      <c r="T219" s="9">
        <f>SUM(O219:S219)</f>
        <v>62979</v>
      </c>
      <c r="U219" s="11">
        <f>T219+N219+I219+D223</f>
        <v>168498</v>
      </c>
      <c r="V219" s="10">
        <v>2265</v>
      </c>
      <c r="W219" s="10">
        <v>4136</v>
      </c>
      <c r="X219" s="10">
        <v>6601</v>
      </c>
      <c r="Y219" s="10">
        <v>3568</v>
      </c>
      <c r="Z219" s="9">
        <f>SUM(V219:Y219)</f>
        <v>16570</v>
      </c>
      <c r="AA219" s="10">
        <v>4025</v>
      </c>
      <c r="AB219" s="10">
        <v>13014</v>
      </c>
      <c r="AC219" s="10">
        <v>18370</v>
      </c>
      <c r="AD219" s="10">
        <v>11789</v>
      </c>
      <c r="AE219" s="9">
        <f>SUM(AA219:AD219)</f>
        <v>47198</v>
      </c>
      <c r="AF219" s="10">
        <v>1919</v>
      </c>
      <c r="AG219" s="10">
        <v>18998</v>
      </c>
      <c r="AH219" s="10">
        <v>24714</v>
      </c>
      <c r="AI219" s="10">
        <v>18365</v>
      </c>
      <c r="AJ219" s="10">
        <v>2442</v>
      </c>
      <c r="AK219" s="9">
        <f>SUM(AF219:AJ219)</f>
        <v>66438</v>
      </c>
      <c r="AL219" s="11">
        <f>AK219+AE219+Z219</f>
        <v>130206</v>
      </c>
      <c r="AM219" s="93">
        <v>64</v>
      </c>
      <c r="AN219" s="94">
        <f t="shared" si="70"/>
        <v>10783872</v>
      </c>
      <c r="AO219" s="94">
        <f t="shared" si="71"/>
        <v>8333184</v>
      </c>
    </row>
    <row r="220" spans="1:41">
      <c r="A220" s="166"/>
      <c r="B220" s="3" t="s">
        <v>6</v>
      </c>
      <c r="C220" s="9"/>
      <c r="D220" s="9"/>
      <c r="E220" s="10"/>
      <c r="F220" s="10"/>
      <c r="G220" s="10">
        <v>54500</v>
      </c>
      <c r="H220" s="10"/>
      <c r="I220" s="9">
        <f>SUM(E220:H220)</f>
        <v>54500</v>
      </c>
      <c r="J220" s="10"/>
      <c r="K220" s="10"/>
      <c r="L220" s="10"/>
      <c r="M220" s="10"/>
      <c r="N220" s="9">
        <f>SUM(J220:M220)</f>
        <v>0</v>
      </c>
      <c r="O220" s="10"/>
      <c r="P220" s="10"/>
      <c r="Q220" s="96">
        <v>30000</v>
      </c>
      <c r="R220" s="10"/>
      <c r="S220" s="97">
        <v>160000</v>
      </c>
      <c r="T220" s="9">
        <f>SUM(O220:S220)</f>
        <v>190000</v>
      </c>
      <c r="U220" s="11">
        <f>I220+N220+T220</f>
        <v>244500</v>
      </c>
      <c r="V220" s="10"/>
      <c r="W220" s="10"/>
      <c r="X220" s="10"/>
      <c r="Y220" s="10"/>
      <c r="Z220" s="9">
        <f>SUM(V220:Y220)</f>
        <v>0</v>
      </c>
      <c r="AA220" s="10"/>
      <c r="AB220" s="10"/>
      <c r="AC220" s="10"/>
      <c r="AD220" s="10"/>
      <c r="AE220" s="9">
        <f>SUM(AA220:AD220)</f>
        <v>0</v>
      </c>
      <c r="AF220" s="10"/>
      <c r="AG220" s="10"/>
      <c r="AH220" s="10"/>
      <c r="AI220" s="10"/>
      <c r="AJ220" s="97">
        <v>105000</v>
      </c>
      <c r="AK220" s="9">
        <f>SUM(AF220:AJ220)</f>
        <v>105000</v>
      </c>
      <c r="AL220" s="11">
        <f>Z220+AE220+AK220</f>
        <v>105000</v>
      </c>
      <c r="AM220" s="93"/>
      <c r="AN220" s="94">
        <f t="shared" si="70"/>
        <v>0</v>
      </c>
      <c r="AO220" s="94">
        <f t="shared" si="71"/>
        <v>0</v>
      </c>
    </row>
    <row r="221" spans="1:41">
      <c r="A221" s="166"/>
      <c r="B221" s="3" t="s">
        <v>10</v>
      </c>
      <c r="C221" s="9">
        <v>0</v>
      </c>
      <c r="D221" s="9"/>
      <c r="E221" s="10"/>
      <c r="F221" s="10"/>
      <c r="G221" s="10"/>
      <c r="H221" s="10"/>
      <c r="I221" s="9"/>
      <c r="J221" s="10"/>
      <c r="K221" s="10"/>
      <c r="L221" s="10"/>
      <c r="M221" s="10"/>
      <c r="N221" s="9"/>
      <c r="O221" s="10"/>
      <c r="P221" s="10"/>
      <c r="Q221" s="10"/>
      <c r="R221" s="10"/>
      <c r="S221" s="10"/>
      <c r="T221" s="9"/>
      <c r="U221" s="11"/>
      <c r="V221" s="10"/>
      <c r="W221" s="10"/>
      <c r="X221" s="10"/>
      <c r="Y221" s="10"/>
      <c r="Z221" s="9"/>
      <c r="AA221" s="10"/>
      <c r="AB221" s="10"/>
      <c r="AC221" s="10"/>
      <c r="AD221" s="10"/>
      <c r="AE221" s="9"/>
      <c r="AF221" s="10"/>
      <c r="AG221" s="10"/>
      <c r="AH221" s="10"/>
      <c r="AI221" s="10"/>
      <c r="AJ221" s="10"/>
      <c r="AK221" s="9"/>
      <c r="AL221" s="11"/>
      <c r="AM221" s="93"/>
      <c r="AN221" s="94">
        <f t="shared" si="70"/>
        <v>0</v>
      </c>
      <c r="AO221" s="94">
        <f t="shared" si="71"/>
        <v>0</v>
      </c>
    </row>
    <row r="222" spans="1:41">
      <c r="A222" s="166"/>
      <c r="B222" s="3" t="s">
        <v>7</v>
      </c>
      <c r="C222" s="9"/>
      <c r="D222" s="9"/>
      <c r="E222" s="10">
        <f>E221+E220</f>
        <v>0</v>
      </c>
      <c r="F222" s="10">
        <f>F221+F220</f>
        <v>0</v>
      </c>
      <c r="G222" s="10">
        <f>G221+G220</f>
        <v>54500</v>
      </c>
      <c r="H222" s="10">
        <f>H221+H220</f>
        <v>0</v>
      </c>
      <c r="I222" s="9">
        <f>SUM(E222:H222)</f>
        <v>54500</v>
      </c>
      <c r="J222" s="10">
        <f>J221+J220</f>
        <v>0</v>
      </c>
      <c r="K222" s="10">
        <f>K221+K220</f>
        <v>0</v>
      </c>
      <c r="L222" s="10">
        <f>L221+L220</f>
        <v>0</v>
      </c>
      <c r="M222" s="10">
        <f>M221+M220</f>
        <v>0</v>
      </c>
      <c r="N222" s="9">
        <f>SUM(J222:M222)</f>
        <v>0</v>
      </c>
      <c r="O222" s="10">
        <f>O221+O220</f>
        <v>0</v>
      </c>
      <c r="P222" s="10">
        <f>P221+P220</f>
        <v>0</v>
      </c>
      <c r="Q222" s="10">
        <f>Q221+Q220</f>
        <v>30000</v>
      </c>
      <c r="R222" s="10">
        <f>R221+R220</f>
        <v>0</v>
      </c>
      <c r="S222" s="10">
        <f>S221+S220</f>
        <v>160000</v>
      </c>
      <c r="T222" s="9">
        <f>SUM(O222:S222)</f>
        <v>190000</v>
      </c>
      <c r="U222" s="11">
        <f>T222+N222+I222+D223</f>
        <v>280217</v>
      </c>
      <c r="V222" s="10">
        <f>V221+V220</f>
        <v>0</v>
      </c>
      <c r="W222" s="10">
        <f>W221+W220</f>
        <v>0</v>
      </c>
      <c r="X222" s="10">
        <f>X221+X220</f>
        <v>0</v>
      </c>
      <c r="Y222" s="10">
        <f>Y221+Y220</f>
        <v>0</v>
      </c>
      <c r="Z222" s="9">
        <f>SUM(V222:Y222)</f>
        <v>0</v>
      </c>
      <c r="AA222" s="10">
        <f>AA221+AA220</f>
        <v>0</v>
      </c>
      <c r="AB222" s="10">
        <f>AB221+AB220</f>
        <v>0</v>
      </c>
      <c r="AC222" s="10">
        <f>AC221+AC220</f>
        <v>0</v>
      </c>
      <c r="AD222" s="10">
        <f>AD221+AD220</f>
        <v>0</v>
      </c>
      <c r="AE222" s="9">
        <f>SUM(AA222:AD222)</f>
        <v>0</v>
      </c>
      <c r="AF222" s="10">
        <f>AF221+AF220</f>
        <v>0</v>
      </c>
      <c r="AG222" s="10">
        <f>AG221+AG220</f>
        <v>0</v>
      </c>
      <c r="AH222" s="10">
        <f>AH221+AH220</f>
        <v>0</v>
      </c>
      <c r="AI222" s="10">
        <f>AI221+AI220</f>
        <v>0</v>
      </c>
      <c r="AJ222" s="10">
        <f>AJ221+AJ220</f>
        <v>105000</v>
      </c>
      <c r="AK222" s="9">
        <f>SUM(AF222:AJ222)</f>
        <v>105000</v>
      </c>
      <c r="AL222" s="11">
        <f>AK222+AE222+Z222</f>
        <v>105000</v>
      </c>
      <c r="AM222" s="93"/>
      <c r="AN222" s="94">
        <f t="shared" si="70"/>
        <v>0</v>
      </c>
      <c r="AO222" s="94">
        <f t="shared" si="71"/>
        <v>0</v>
      </c>
    </row>
    <row r="223" spans="1:41">
      <c r="A223" s="167"/>
      <c r="B223" s="2" t="s">
        <v>8</v>
      </c>
      <c r="C223" s="65">
        <v>25951</v>
      </c>
      <c r="D223" s="95">
        <v>35717</v>
      </c>
      <c r="E223" s="81">
        <f>E222-E219</f>
        <v>0</v>
      </c>
      <c r="F223" s="10">
        <f>E223+F222-F219</f>
        <v>-11284</v>
      </c>
      <c r="G223" s="10">
        <f>F223+G222-G219</f>
        <v>33611</v>
      </c>
      <c r="H223" s="10">
        <f>G223+H222-H219</f>
        <v>30418</v>
      </c>
      <c r="I223" s="9">
        <f>I222-I219</f>
        <v>30418</v>
      </c>
      <c r="J223" s="10">
        <f>I223+J222-J219</f>
        <v>26427</v>
      </c>
      <c r="K223" s="10">
        <f>J223+K222-K219</f>
        <v>14710</v>
      </c>
      <c r="L223" s="10">
        <f>K223+L222-L219</f>
        <v>-4623</v>
      </c>
      <c r="M223" s="10">
        <f>L223+M222-M219</f>
        <v>-15302</v>
      </c>
      <c r="N223" s="9">
        <f>I223+N222-N219</f>
        <v>-15302</v>
      </c>
      <c r="O223" s="10">
        <f>N223+O222-O219</f>
        <v>-16914</v>
      </c>
      <c r="P223" s="10">
        <f>O223+P222-P219</f>
        <v>-35122</v>
      </c>
      <c r="Q223" s="10">
        <f>P223+Q222-Q219</f>
        <v>-29346</v>
      </c>
      <c r="R223" s="10">
        <f t="shared" ref="R223" si="80">Q223+R222-R219</f>
        <v>-46948</v>
      </c>
      <c r="S223" s="10">
        <f>R223+S222-S219</f>
        <v>111719</v>
      </c>
      <c r="T223" s="9">
        <f>N223+T222-T219</f>
        <v>111719</v>
      </c>
      <c r="U223" s="9">
        <f>U222-U219</f>
        <v>111719</v>
      </c>
      <c r="V223" s="10">
        <f>U223+V222-V219</f>
        <v>109454</v>
      </c>
      <c r="W223" s="10">
        <f>V223+W222-W219</f>
        <v>105318</v>
      </c>
      <c r="X223" s="10">
        <f>W223+X222-X219</f>
        <v>98717</v>
      </c>
      <c r="Y223" s="10">
        <f>X223+Y222-Y219</f>
        <v>95149</v>
      </c>
      <c r="Z223" s="9">
        <f>T223+Z222-Z219</f>
        <v>95149</v>
      </c>
      <c r="AA223" s="10">
        <f>Z223+AA222-AA219</f>
        <v>91124</v>
      </c>
      <c r="AB223" s="10">
        <f>AA223+AB222-AB219</f>
        <v>78110</v>
      </c>
      <c r="AC223" s="10">
        <f>AB223+AC222-AC219</f>
        <v>59740</v>
      </c>
      <c r="AD223" s="10">
        <f>AC223+AD222-AD219</f>
        <v>47951</v>
      </c>
      <c r="AE223" s="9">
        <f>Z223+AE222-AE219</f>
        <v>47951</v>
      </c>
      <c r="AF223" s="10">
        <f>AE223+AF222-AF219</f>
        <v>46032</v>
      </c>
      <c r="AG223" s="10">
        <f>AF223+AG222-AG219</f>
        <v>27034</v>
      </c>
      <c r="AH223" s="10">
        <f>AG223+AH222-AH219</f>
        <v>2320</v>
      </c>
      <c r="AI223" s="10">
        <f t="shared" ref="AI223:AJ223" si="81">AH223+AI222-AI219</f>
        <v>-16045</v>
      </c>
      <c r="AJ223" s="10">
        <f t="shared" si="81"/>
        <v>86513</v>
      </c>
      <c r="AK223" s="9">
        <f>AE223+AK222-AK219</f>
        <v>86513</v>
      </c>
      <c r="AL223" s="11">
        <f>T223+AL222-AL219</f>
        <v>86513</v>
      </c>
      <c r="AM223" s="93"/>
      <c r="AN223" s="94">
        <f t="shared" si="70"/>
        <v>0</v>
      </c>
      <c r="AO223" s="94">
        <f t="shared" si="71"/>
        <v>0</v>
      </c>
    </row>
    <row r="224" spans="1:41">
      <c r="A224" s="82"/>
      <c r="B224" s="3" t="s">
        <v>9</v>
      </c>
      <c r="C224" s="84"/>
      <c r="D224" s="84"/>
      <c r="E224" s="57">
        <f>E223/(SUM(F219+H219+J219+G219)/20)*1000</f>
        <v>0</v>
      </c>
      <c r="F224" s="71">
        <f>F223/(SUM(G219+K219+J219+H219)/20)*1000</f>
        <v>-7916.9297691714028</v>
      </c>
      <c r="G224" s="71">
        <f>G223/(SUM(H219+J219+K219+L219)/20)*1000</f>
        <v>17581.733535596588</v>
      </c>
      <c r="H224" s="71">
        <f>H223/(SUM(M219+J219+K219+L219)/20)*1000</f>
        <v>13306.211723534558</v>
      </c>
      <c r="I224" s="37"/>
      <c r="J224" s="57">
        <f>J223/(SUM(K219+M219+O219+L219)/20)*1000</f>
        <v>12194.919360420847</v>
      </c>
      <c r="K224" s="57">
        <f>K223/(SUM(L219+P219+O219+M219)/20)*1000</f>
        <v>5903.8368919569757</v>
      </c>
      <c r="L224" s="57">
        <f>L223/(SUM(M219+O219+P219+Q219)/20)*1000</f>
        <v>-1689.6003508579574</v>
      </c>
      <c r="M224" s="57">
        <f>M223/(SUM(R219+O219+P219+Q219)/20)*1000</f>
        <v>-4964.4745806702786</v>
      </c>
      <c r="N224" s="37"/>
      <c r="O224" s="57">
        <f>O223/(SUM(P219+R219+S219+Q219)/20)*1000</f>
        <v>-5512.4089494353648</v>
      </c>
      <c r="P224" s="57">
        <f>P223/(SUM(Q219+S219+V219+R219)/20)*1000</f>
        <v>-15464.071856287426</v>
      </c>
      <c r="Q224" s="57">
        <f>Q223/(SUM(R219+S219+W219+V219)/20)*1000</f>
        <v>-23165.456267761288</v>
      </c>
      <c r="R224" s="57">
        <f>R223/(SUM(T219+U219+V219+W219)/20)*1000</f>
        <v>-3947.2334558050766</v>
      </c>
      <c r="S224" s="57">
        <f>S223/(SUM(S219+V219+W219+X219)/20)*1000</f>
        <v>155868.85245901637</v>
      </c>
      <c r="T224" s="37"/>
      <c r="U224" s="38"/>
      <c r="V224" s="57">
        <f>V223/(SUM(W219+Y219+AA219+X219)/20)*1000</f>
        <v>119426.07746863067</v>
      </c>
      <c r="W224" s="57">
        <f>V223/(SUM(X219+AA219+AB219+Y219)/20)*1000</f>
        <v>80457.21846515729</v>
      </c>
      <c r="X224" s="57">
        <f>W223/(SUM(Y219+AA219+AB219+AC219)/20)*1000</f>
        <v>54041.101162223873</v>
      </c>
      <c r="Y224" s="57">
        <f>Y223/(SUM(AA219+AB219+AC219+AD219)/20)*1000</f>
        <v>40319.081317004959</v>
      </c>
      <c r="Z224" s="37"/>
      <c r="AA224" s="57">
        <f>AA223/(SUM(AB219+AD219+AF219+AC219)/20)*1000</f>
        <v>40416.92539696621</v>
      </c>
      <c r="AB224" s="57">
        <f>AB223/(SUM(AC219+AF219+AG219+AD219)/20)*1000</f>
        <v>30585.793719163597</v>
      </c>
      <c r="AC224" s="57">
        <f>AC223/(SUM(AD219+AF219+AG219+AH219)/20)*1000</f>
        <v>20808.080808080809</v>
      </c>
      <c r="AD224" s="57">
        <f>AD223/(SUM(AF219+AG219+AH219+AI219)/20)*1000</f>
        <v>14985.624101506342</v>
      </c>
      <c r="AE224" s="37"/>
      <c r="AF224" s="57">
        <f>AF223/(SUM(AG219+AI219+AJ219+AH219)/20)*1000</f>
        <v>14269.285016816753</v>
      </c>
      <c r="AG224" s="57">
        <f>AG223/(SUM(AH219+AJ219+AM219+AI219)/20)*1000</f>
        <v>11860.919162005044</v>
      </c>
      <c r="AH224" s="57">
        <f>AH223/(SUM(AI219+AJ219+AN219+AM219)/20)*1000</f>
        <v>4.2944103344244278</v>
      </c>
      <c r="AI224" s="57">
        <f>AI223/(SUM(AK219+AL219+AM219+AN219)/20)*1000</f>
        <v>-29.2243214839289</v>
      </c>
      <c r="AJ224" s="57">
        <f>AJ223/(SUM(AJ219+AM219+AN219+AO219)/20)*1000</f>
        <v>90.496842971612011</v>
      </c>
      <c r="AK224" s="37"/>
      <c r="AL224" s="38"/>
      <c r="AM224" s="93"/>
      <c r="AN224" s="94">
        <f t="shared" si="70"/>
        <v>0</v>
      </c>
      <c r="AO224" s="94">
        <f t="shared" si="71"/>
        <v>0</v>
      </c>
    </row>
    <row r="225" spans="1:41">
      <c r="A225" s="165" t="s">
        <v>103</v>
      </c>
      <c r="B225" s="1" t="s">
        <v>5</v>
      </c>
      <c r="C225" s="9"/>
      <c r="D225" s="9"/>
      <c r="E225" s="10"/>
      <c r="F225" s="10">
        <v>119</v>
      </c>
      <c r="G225" s="10">
        <v>20</v>
      </c>
      <c r="H225" s="10">
        <v>20</v>
      </c>
      <c r="I225" s="9">
        <f>SUM(E225:H225)</f>
        <v>159</v>
      </c>
      <c r="J225" s="10">
        <v>20</v>
      </c>
      <c r="K225" s="10">
        <v>20</v>
      </c>
      <c r="L225" s="10">
        <v>20</v>
      </c>
      <c r="M225" s="10">
        <v>20</v>
      </c>
      <c r="N225" s="9">
        <f>SUM(J225:M225)</f>
        <v>80</v>
      </c>
      <c r="O225" s="10">
        <v>20</v>
      </c>
      <c r="P225" s="10">
        <v>20</v>
      </c>
      <c r="Q225" s="10">
        <v>20</v>
      </c>
      <c r="R225" s="10">
        <v>20</v>
      </c>
      <c r="S225" s="10">
        <v>20</v>
      </c>
      <c r="T225" s="9">
        <f>SUM(O225:S225)</f>
        <v>100</v>
      </c>
      <c r="U225" s="11">
        <f>T225+N225+I225+D229</f>
        <v>340</v>
      </c>
      <c r="V225" s="10">
        <v>20</v>
      </c>
      <c r="W225" s="10">
        <v>20</v>
      </c>
      <c r="X225" s="10">
        <v>20</v>
      </c>
      <c r="Y225" s="10">
        <v>20</v>
      </c>
      <c r="Z225" s="9">
        <f>SUM(V225:Y225)</f>
        <v>80</v>
      </c>
      <c r="AA225" s="10">
        <v>20</v>
      </c>
      <c r="AB225" s="10">
        <v>20</v>
      </c>
      <c r="AC225" s="10">
        <v>20</v>
      </c>
      <c r="AD225" s="10">
        <v>20</v>
      </c>
      <c r="AE225" s="9">
        <f>SUM(AA225:AD225)</f>
        <v>80</v>
      </c>
      <c r="AF225" s="10">
        <v>20</v>
      </c>
      <c r="AG225" s="10">
        <v>20</v>
      </c>
      <c r="AH225" s="10">
        <v>20</v>
      </c>
      <c r="AI225" s="10">
        <v>20</v>
      </c>
      <c r="AJ225" s="10">
        <v>20</v>
      </c>
      <c r="AK225" s="9">
        <f>SUM(AF225:AJ225)</f>
        <v>100</v>
      </c>
      <c r="AL225" s="11">
        <f>AK225+AE225+Z225</f>
        <v>260</v>
      </c>
      <c r="AM225" s="93">
        <v>256</v>
      </c>
      <c r="AN225" s="94">
        <f t="shared" si="70"/>
        <v>87040</v>
      </c>
      <c r="AO225" s="94">
        <f t="shared" si="71"/>
        <v>66560</v>
      </c>
    </row>
    <row r="226" spans="1:41">
      <c r="A226" s="166"/>
      <c r="B226" s="3" t="s">
        <v>6</v>
      </c>
      <c r="C226" s="9"/>
      <c r="D226" s="9"/>
      <c r="E226" s="10"/>
      <c r="F226" s="10">
        <v>400</v>
      </c>
      <c r="G226" s="10"/>
      <c r="H226" s="10"/>
      <c r="I226" s="9">
        <f>SUM(E226:H226)</f>
        <v>400</v>
      </c>
      <c r="J226" s="10"/>
      <c r="K226" s="10"/>
      <c r="L226" s="10"/>
      <c r="M226" s="10"/>
      <c r="N226" s="9">
        <f>SUM(J226:M226)</f>
        <v>0</v>
      </c>
      <c r="O226" s="10"/>
      <c r="P226" s="10"/>
      <c r="Q226" s="10"/>
      <c r="R226" s="10"/>
      <c r="S226" s="10">
        <v>300</v>
      </c>
      <c r="T226" s="9">
        <f>SUM(O226:S226)</f>
        <v>300</v>
      </c>
      <c r="U226" s="11">
        <f>I226+N226+T226</f>
        <v>700</v>
      </c>
      <c r="V226" s="10"/>
      <c r="W226" s="10"/>
      <c r="X226" s="10"/>
      <c r="Y226" s="10"/>
      <c r="Z226" s="9">
        <f>SUM(V226:Y226)</f>
        <v>0</v>
      </c>
      <c r="AA226" s="10"/>
      <c r="AB226" s="10"/>
      <c r="AC226" s="10"/>
      <c r="AD226" s="10">
        <v>500</v>
      </c>
      <c r="AE226" s="9">
        <f>SUM(AA226:AD226)</f>
        <v>500</v>
      </c>
      <c r="AF226" s="10"/>
      <c r="AG226" s="10"/>
      <c r="AH226" s="10"/>
      <c r="AI226" s="10"/>
      <c r="AJ226" s="10">
        <v>500</v>
      </c>
      <c r="AK226" s="9">
        <f>SUM(AF226:AJ226)</f>
        <v>500</v>
      </c>
      <c r="AL226" s="11">
        <f>Z226+AE226+AK226</f>
        <v>1000</v>
      </c>
      <c r="AM226" s="93"/>
      <c r="AN226" s="94">
        <f t="shared" si="70"/>
        <v>0</v>
      </c>
      <c r="AO226" s="94">
        <f t="shared" si="71"/>
        <v>0</v>
      </c>
    </row>
    <row r="227" spans="1:41">
      <c r="A227" s="166"/>
      <c r="B227" s="3" t="s">
        <v>10</v>
      </c>
      <c r="C227" s="9">
        <v>0</v>
      </c>
      <c r="D227" s="9"/>
      <c r="E227" s="10"/>
      <c r="F227" s="10"/>
      <c r="G227" s="10"/>
      <c r="H227" s="10"/>
      <c r="I227" s="9"/>
      <c r="J227" s="10"/>
      <c r="K227" s="10"/>
      <c r="L227" s="10"/>
      <c r="M227" s="10"/>
      <c r="N227" s="9"/>
      <c r="O227" s="10"/>
      <c r="P227" s="10"/>
      <c r="Q227" s="10"/>
      <c r="R227" s="10"/>
      <c r="S227" s="10"/>
      <c r="T227" s="9"/>
      <c r="U227" s="11"/>
      <c r="V227" s="10"/>
      <c r="W227" s="10"/>
      <c r="X227" s="10"/>
      <c r="Y227" s="10"/>
      <c r="Z227" s="9"/>
      <c r="AA227" s="10"/>
      <c r="AB227" s="10"/>
      <c r="AC227" s="10"/>
      <c r="AD227" s="10"/>
      <c r="AE227" s="9"/>
      <c r="AF227" s="10"/>
      <c r="AG227" s="10"/>
      <c r="AH227" s="10"/>
      <c r="AI227" s="10"/>
      <c r="AJ227" s="10"/>
      <c r="AK227" s="9"/>
      <c r="AL227" s="11"/>
      <c r="AM227" s="93"/>
      <c r="AN227" s="94">
        <f t="shared" si="70"/>
        <v>0</v>
      </c>
      <c r="AO227" s="94">
        <f t="shared" si="71"/>
        <v>0</v>
      </c>
    </row>
    <row r="228" spans="1:41">
      <c r="A228" s="166"/>
      <c r="B228" s="3" t="s">
        <v>7</v>
      </c>
      <c r="C228" s="9"/>
      <c r="D228" s="9"/>
      <c r="E228" s="10">
        <f>E227+E226</f>
        <v>0</v>
      </c>
      <c r="F228" s="10">
        <f>F227+F226</f>
        <v>400</v>
      </c>
      <c r="G228" s="10">
        <f>G227+G226</f>
        <v>0</v>
      </c>
      <c r="H228" s="10">
        <f>H227+H226</f>
        <v>0</v>
      </c>
      <c r="I228" s="9">
        <f>SUM(E228:H228)</f>
        <v>400</v>
      </c>
      <c r="J228" s="10">
        <f>J227+J226</f>
        <v>0</v>
      </c>
      <c r="K228" s="10">
        <f>K227+K226</f>
        <v>0</v>
      </c>
      <c r="L228" s="10">
        <f>L227+L226</f>
        <v>0</v>
      </c>
      <c r="M228" s="10">
        <f>M227+M226</f>
        <v>0</v>
      </c>
      <c r="N228" s="9">
        <f>SUM(J228:M228)</f>
        <v>0</v>
      </c>
      <c r="O228" s="10">
        <f>O227+O226</f>
        <v>0</v>
      </c>
      <c r="P228" s="10">
        <f>P227+P226</f>
        <v>0</v>
      </c>
      <c r="Q228" s="10">
        <f>Q227+Q226</f>
        <v>0</v>
      </c>
      <c r="R228" s="10">
        <f>R227+R226</f>
        <v>0</v>
      </c>
      <c r="S228" s="10">
        <f>S227+S226</f>
        <v>300</v>
      </c>
      <c r="T228" s="9">
        <f>SUM(O228:S228)</f>
        <v>300</v>
      </c>
      <c r="U228" s="11">
        <f>T228+N228+I228+D229</f>
        <v>701</v>
      </c>
      <c r="V228" s="10">
        <f>V227+V226</f>
        <v>0</v>
      </c>
      <c r="W228" s="10">
        <f>W227+W226</f>
        <v>0</v>
      </c>
      <c r="X228" s="10">
        <f>X227+X226</f>
        <v>0</v>
      </c>
      <c r="Y228" s="10">
        <f>Y227+Y226</f>
        <v>0</v>
      </c>
      <c r="Z228" s="9">
        <f>SUM(V228:Y228)</f>
        <v>0</v>
      </c>
      <c r="AA228" s="10">
        <f>AA227+AA226</f>
        <v>0</v>
      </c>
      <c r="AB228" s="10">
        <f>AB227+AB226</f>
        <v>0</v>
      </c>
      <c r="AC228" s="10">
        <f>AC227+AC226</f>
        <v>0</v>
      </c>
      <c r="AD228" s="10">
        <f>AD227+AD226</f>
        <v>500</v>
      </c>
      <c r="AE228" s="9">
        <f>SUM(AA228:AD228)</f>
        <v>500</v>
      </c>
      <c r="AF228" s="10">
        <f>AF227+AF226</f>
        <v>0</v>
      </c>
      <c r="AG228" s="10">
        <f>AG227+AG226</f>
        <v>0</v>
      </c>
      <c r="AH228" s="10">
        <f>AH227+AH226</f>
        <v>0</v>
      </c>
      <c r="AI228" s="10">
        <f>AI227+AI226</f>
        <v>0</v>
      </c>
      <c r="AJ228" s="10">
        <f>AJ227+AJ226</f>
        <v>500</v>
      </c>
      <c r="AK228" s="9">
        <f>SUM(AF228:AJ228)</f>
        <v>500</v>
      </c>
      <c r="AL228" s="11">
        <f>AK228+AE228+Z228</f>
        <v>1000</v>
      </c>
      <c r="AM228" s="93"/>
      <c r="AN228" s="94">
        <f t="shared" si="70"/>
        <v>0</v>
      </c>
      <c r="AO228" s="94">
        <f t="shared" si="71"/>
        <v>0</v>
      </c>
    </row>
    <row r="229" spans="1:41">
      <c r="A229" s="167"/>
      <c r="B229" s="2" t="s">
        <v>8</v>
      </c>
      <c r="C229" s="65">
        <v>396</v>
      </c>
      <c r="D229" s="95">
        <v>1</v>
      </c>
      <c r="E229" s="81">
        <f>E228-E225</f>
        <v>0</v>
      </c>
      <c r="F229" s="10">
        <f>E229+F228-F225</f>
        <v>281</v>
      </c>
      <c r="G229" s="10">
        <f>F229+G228-G225</f>
        <v>261</v>
      </c>
      <c r="H229" s="10">
        <f>G229+H228-H225</f>
        <v>241</v>
      </c>
      <c r="I229" s="9">
        <f>I228-I225</f>
        <v>241</v>
      </c>
      <c r="J229" s="10">
        <f>I229+J228-J225</f>
        <v>221</v>
      </c>
      <c r="K229" s="10">
        <f>J229+K228-K225</f>
        <v>201</v>
      </c>
      <c r="L229" s="10">
        <f>K229+L228-L225</f>
        <v>181</v>
      </c>
      <c r="M229" s="10">
        <f>L229+M228-M225</f>
        <v>161</v>
      </c>
      <c r="N229" s="9">
        <f>I229+N228-N225</f>
        <v>161</v>
      </c>
      <c r="O229" s="10">
        <f>N229+O228-O225</f>
        <v>141</v>
      </c>
      <c r="P229" s="10">
        <f>O229+P228-P225</f>
        <v>121</v>
      </c>
      <c r="Q229" s="10">
        <f>P229+Q228-Q225</f>
        <v>101</v>
      </c>
      <c r="R229" s="10">
        <f t="shared" ref="R229" si="82">Q229+R228-R225</f>
        <v>81</v>
      </c>
      <c r="S229" s="10">
        <f>R229+S228-S225</f>
        <v>361</v>
      </c>
      <c r="T229" s="9">
        <f>N229+T228-T225</f>
        <v>361</v>
      </c>
      <c r="U229" s="9">
        <f>U228-U225</f>
        <v>361</v>
      </c>
      <c r="V229" s="10">
        <f>U229+V228-V225</f>
        <v>341</v>
      </c>
      <c r="W229" s="10">
        <f>V229+W228-W225</f>
        <v>321</v>
      </c>
      <c r="X229" s="10">
        <f>W229+X228-X225</f>
        <v>301</v>
      </c>
      <c r="Y229" s="10">
        <f>X229+Y228-Y225</f>
        <v>281</v>
      </c>
      <c r="Z229" s="9">
        <f>T229+Z228-Z225</f>
        <v>281</v>
      </c>
      <c r="AA229" s="10">
        <f>Z229+AA228-AA225</f>
        <v>261</v>
      </c>
      <c r="AB229" s="10">
        <f>AA229+AB228-AB225</f>
        <v>241</v>
      </c>
      <c r="AC229" s="10">
        <f>AB229+AC228-AC225</f>
        <v>221</v>
      </c>
      <c r="AD229" s="10">
        <f>AC229+AD228-AD225</f>
        <v>701</v>
      </c>
      <c r="AE229" s="9">
        <f>Z229+AE228-AE225</f>
        <v>701</v>
      </c>
      <c r="AF229" s="10">
        <f>AE229+AF228-AF225</f>
        <v>681</v>
      </c>
      <c r="AG229" s="10">
        <f>AF229+AG228-AG225</f>
        <v>661</v>
      </c>
      <c r="AH229" s="10">
        <f>AG229+AH228-AH225</f>
        <v>641</v>
      </c>
      <c r="AI229" s="10">
        <f t="shared" ref="AI229:AJ229" si="83">AH229+AI228-AI225</f>
        <v>621</v>
      </c>
      <c r="AJ229" s="10">
        <f t="shared" si="83"/>
        <v>1101</v>
      </c>
      <c r="AK229" s="9">
        <f>AE229+AK228-AK225</f>
        <v>1101</v>
      </c>
      <c r="AL229" s="11">
        <f>T229+AL228-AL225</f>
        <v>1101</v>
      </c>
      <c r="AM229" s="93"/>
      <c r="AN229" s="94">
        <f t="shared" si="70"/>
        <v>0</v>
      </c>
      <c r="AO229" s="94">
        <f t="shared" si="71"/>
        <v>0</v>
      </c>
    </row>
    <row r="230" spans="1:41" ht="17" thickBot="1">
      <c r="A230" s="82"/>
      <c r="B230" s="3" t="s">
        <v>9</v>
      </c>
      <c r="C230" s="84"/>
      <c r="D230" s="84"/>
      <c r="E230" s="57">
        <f>E229/(SUM(F225+H225+J225+G225)/20)*1000</f>
        <v>0</v>
      </c>
      <c r="F230" s="71">
        <f>F229/(SUM(G225+K225+J225+H225)/20)*1000</f>
        <v>70250</v>
      </c>
      <c r="G230" s="71">
        <f>G229/(SUM(H225+J225+K225+L225)/20)*1000</f>
        <v>65250</v>
      </c>
      <c r="H230" s="71">
        <f>H229/(SUM(M225+J225+K225+L225)/20)*1000</f>
        <v>60250</v>
      </c>
      <c r="I230" s="37"/>
      <c r="J230" s="57">
        <f>J229/(SUM(K225+M225+O225+L225)/20)*1000</f>
        <v>55250</v>
      </c>
      <c r="K230" s="57">
        <f>K229/(SUM(L225+P225+O225+M225)/20)*1000</f>
        <v>50250</v>
      </c>
      <c r="L230" s="57">
        <f>L229/(SUM(M225+O225+P225+Q225)/20)*1000</f>
        <v>45250</v>
      </c>
      <c r="M230" s="57">
        <f>M229/(SUM(R225+O225+P225+Q225)/20)*1000</f>
        <v>40250</v>
      </c>
      <c r="N230" s="37"/>
      <c r="O230" s="57">
        <f>O229/(SUM(P225+R225+S225+Q225)/20)*1000</f>
        <v>35250</v>
      </c>
      <c r="P230" s="57">
        <f>P229/(SUM(Q225+S225+V225+R225)/20)*1000</f>
        <v>30250</v>
      </c>
      <c r="Q230" s="57">
        <f>Q229/(SUM(R225+S225+W225+V225)/20)*1000</f>
        <v>25250</v>
      </c>
      <c r="R230" s="57">
        <f>R229/(SUM(T225+U225+V225+W225)/20)*1000</f>
        <v>3375</v>
      </c>
      <c r="S230" s="57">
        <f>S229/(SUM(S225+V225+W225+X225)/20)*1000</f>
        <v>90250</v>
      </c>
      <c r="T230" s="37"/>
      <c r="U230" s="38"/>
      <c r="V230" s="57">
        <f>V229/(SUM(W225+Y225+AA225+X225)/20)*1000</f>
        <v>85250</v>
      </c>
      <c r="W230" s="57">
        <f>V229/(SUM(X225+AA225+AB225+Y225)/20)*1000</f>
        <v>85250</v>
      </c>
      <c r="X230" s="57">
        <f>W229/(SUM(Y225+AA225+AB225+AC225)/20)*1000</f>
        <v>80250</v>
      </c>
      <c r="Y230" s="57">
        <f>Y229/(SUM(AA225+AB225+AC225+AD225)/20)*1000</f>
        <v>70250</v>
      </c>
      <c r="Z230" s="37"/>
      <c r="AA230" s="57">
        <f>AA229/(SUM(AB225+AD225+AF225+AC225)/20)*1000</f>
        <v>65250</v>
      </c>
      <c r="AB230" s="57">
        <f>AB229/(SUM(AC225+AF225+AG225+AD225)/20)*1000</f>
        <v>60250</v>
      </c>
      <c r="AC230" s="57">
        <f>AC229/(SUM(AD225+AF225+AG225+AH225)/20)*1000</f>
        <v>55250</v>
      </c>
      <c r="AD230" s="57">
        <f>AD229/(SUM(AF225+AG225+AH225+AI225)/20)*1000</f>
        <v>175250</v>
      </c>
      <c r="AE230" s="37"/>
      <c r="AF230" s="57">
        <f>AF229/(SUM(AG225+AI225+AJ225+AH225)/20)*1000</f>
        <v>170250</v>
      </c>
      <c r="AG230" s="57">
        <f>AG229/(SUM(AH225+AJ225+AM225+AI225)/20)*1000</f>
        <v>41835.443037974685</v>
      </c>
      <c r="AH230" s="57">
        <f>AH229/(SUM(AI225+AJ225+AN225+AM225)/20)*1000</f>
        <v>146.78941101035082</v>
      </c>
      <c r="AI230" s="57">
        <f>AI229/(SUM(AK225+AL225+AM225+AN225)/20)*1000</f>
        <v>141.69024367983937</v>
      </c>
      <c r="AJ230" s="57">
        <f>AJ229/(SUM(AJ225+AM225+AN225+AO225)/20)*1000</f>
        <v>143.10223816579585</v>
      </c>
      <c r="AK230" s="37"/>
      <c r="AL230" s="38"/>
      <c r="AM230" s="93"/>
      <c r="AN230" s="94">
        <f t="shared" si="70"/>
        <v>0</v>
      </c>
      <c r="AO230" s="94">
        <f t="shared" si="71"/>
        <v>0</v>
      </c>
    </row>
    <row r="231" spans="1:41" ht="17" thickBot="1">
      <c r="A231" s="136" t="s">
        <v>125</v>
      </c>
      <c r="B231" s="1" t="s">
        <v>5</v>
      </c>
      <c r="C231" s="9"/>
      <c r="D231" s="9"/>
      <c r="E231" s="10"/>
      <c r="F231" s="10">
        <v>1707</v>
      </c>
      <c r="G231" s="10">
        <v>4576</v>
      </c>
      <c r="H231" s="10">
        <v>3276</v>
      </c>
      <c r="I231" s="9">
        <f>SUM(E231:H231)</f>
        <v>9559</v>
      </c>
      <c r="J231" s="10">
        <v>4312</v>
      </c>
      <c r="K231" s="10">
        <v>5037</v>
      </c>
      <c r="L231" s="10">
        <v>5523</v>
      </c>
      <c r="M231" s="10">
        <v>5040</v>
      </c>
      <c r="N231" s="9">
        <f>SUM(J231:M231)</f>
        <v>19912</v>
      </c>
      <c r="O231" s="10">
        <v>2880</v>
      </c>
      <c r="P231" s="10">
        <v>3472</v>
      </c>
      <c r="Q231" s="10">
        <v>3093</v>
      </c>
      <c r="R231" s="10">
        <v>4377</v>
      </c>
      <c r="S231" s="10">
        <v>1459</v>
      </c>
      <c r="T231" s="9">
        <f>SUM(O231:S231)</f>
        <v>15281</v>
      </c>
      <c r="U231" s="11">
        <f>T231+N231+I231+D235</f>
        <v>78238</v>
      </c>
      <c r="V231" s="10">
        <v>1889</v>
      </c>
      <c r="W231" s="10">
        <v>1672</v>
      </c>
      <c r="X231" s="10">
        <v>1672</v>
      </c>
      <c r="Y231" s="10">
        <v>2109</v>
      </c>
      <c r="Z231" s="9">
        <f>SUM(V231:Y231)</f>
        <v>7342</v>
      </c>
      <c r="AA231" s="10">
        <v>3444</v>
      </c>
      <c r="AB231" s="10">
        <v>4179</v>
      </c>
      <c r="AC231" s="10">
        <v>4200</v>
      </c>
      <c r="AD231" s="10">
        <v>4200</v>
      </c>
      <c r="AE231" s="9">
        <f>SUM(AA231:AD231)</f>
        <v>16023</v>
      </c>
      <c r="AF231" s="10">
        <v>2328</v>
      </c>
      <c r="AG231" s="10">
        <v>3696</v>
      </c>
      <c r="AH231" s="10">
        <v>4090</v>
      </c>
      <c r="AI231" s="10">
        <v>3638</v>
      </c>
      <c r="AJ231" s="10">
        <v>5121</v>
      </c>
      <c r="AK231" s="9">
        <f>SUM(AF231:AJ231)</f>
        <v>18873</v>
      </c>
      <c r="AL231" s="11">
        <f>AK231+AE231+Z231</f>
        <v>42238</v>
      </c>
      <c r="AM231" s="93">
        <v>64</v>
      </c>
      <c r="AN231" s="94">
        <f t="shared" si="70"/>
        <v>5007232</v>
      </c>
      <c r="AO231" s="94">
        <f t="shared" si="71"/>
        <v>2703232</v>
      </c>
    </row>
    <row r="232" spans="1:41" ht="17" thickBot="1">
      <c r="A232" s="136"/>
      <c r="B232" s="3" t="s">
        <v>6</v>
      </c>
      <c r="C232" s="9"/>
      <c r="D232" s="9"/>
      <c r="E232" s="10"/>
      <c r="F232" s="10"/>
      <c r="G232" s="10">
        <v>12970</v>
      </c>
      <c r="H232" s="10"/>
      <c r="I232" s="9">
        <f>SUM(E232:H232)</f>
        <v>12970</v>
      </c>
      <c r="J232" s="10"/>
      <c r="K232" s="10"/>
      <c r="L232" s="10"/>
      <c r="M232" s="10"/>
      <c r="N232" s="9">
        <f>SUM(J232:M232)</f>
        <v>0</v>
      </c>
      <c r="O232" s="10"/>
      <c r="P232" s="10"/>
      <c r="Q232" s="10"/>
      <c r="R232" s="10"/>
      <c r="S232" s="97">
        <v>12000</v>
      </c>
      <c r="T232" s="9">
        <f>SUM(O232:S232)</f>
        <v>12000</v>
      </c>
      <c r="U232" s="11">
        <f>I232+N232+T232</f>
        <v>24970</v>
      </c>
      <c r="V232" s="10"/>
      <c r="W232" s="10"/>
      <c r="X232" s="10"/>
      <c r="Y232" s="10"/>
      <c r="Z232" s="9">
        <f>SUM(V232:Y232)</f>
        <v>0</v>
      </c>
      <c r="AA232" s="10"/>
      <c r="AB232" s="10"/>
      <c r="AC232" s="10"/>
      <c r="AD232" s="10"/>
      <c r="AE232" s="9">
        <f>SUM(AA232:AD232)</f>
        <v>0</v>
      </c>
      <c r="AF232" s="10"/>
      <c r="AG232" s="10"/>
      <c r="AH232" s="10"/>
      <c r="AI232" s="10"/>
      <c r="AJ232" s="10">
        <v>12000</v>
      </c>
      <c r="AK232" s="9">
        <f>SUM(AF232:AJ232)</f>
        <v>12000</v>
      </c>
      <c r="AL232" s="11">
        <f>Z232+AE232+AK232</f>
        <v>12000</v>
      </c>
      <c r="AM232" s="93"/>
      <c r="AN232" s="94">
        <f t="shared" si="70"/>
        <v>0</v>
      </c>
      <c r="AO232" s="94">
        <f t="shared" si="71"/>
        <v>0</v>
      </c>
    </row>
    <row r="233" spans="1:41" ht="17" thickBot="1">
      <c r="A233" s="136"/>
      <c r="B233" s="3" t="s">
        <v>10</v>
      </c>
      <c r="C233" s="9">
        <v>21040</v>
      </c>
      <c r="D233" s="9"/>
      <c r="E233" s="10"/>
      <c r="F233" s="10">
        <v>21040</v>
      </c>
      <c r="G233" s="10"/>
      <c r="H233" s="10"/>
      <c r="I233" s="9"/>
      <c r="J233" s="10"/>
      <c r="K233" s="10"/>
      <c r="L233" s="10"/>
      <c r="M233" s="10"/>
      <c r="N233" s="9"/>
      <c r="O233" s="10"/>
      <c r="P233" s="10"/>
      <c r="Q233" s="10"/>
      <c r="R233" s="10"/>
      <c r="S233" s="10"/>
      <c r="T233" s="9"/>
      <c r="U233" s="11"/>
      <c r="V233" s="10"/>
      <c r="W233" s="10"/>
      <c r="X233" s="10"/>
      <c r="Y233" s="10"/>
      <c r="Z233" s="9"/>
      <c r="AA233" s="10"/>
      <c r="AB233" s="10"/>
      <c r="AC233" s="10"/>
      <c r="AD233" s="10"/>
      <c r="AE233" s="9"/>
      <c r="AF233" s="10"/>
      <c r="AG233" s="10"/>
      <c r="AH233" s="10"/>
      <c r="AI233" s="10"/>
      <c r="AJ233" s="10"/>
      <c r="AK233" s="9"/>
      <c r="AL233" s="11"/>
      <c r="AM233" s="93"/>
      <c r="AN233" s="94">
        <f t="shared" si="70"/>
        <v>0</v>
      </c>
      <c r="AO233" s="94">
        <f t="shared" si="71"/>
        <v>0</v>
      </c>
    </row>
    <row r="234" spans="1:41" ht="17" thickBot="1">
      <c r="A234" s="136"/>
      <c r="B234" s="3" t="s">
        <v>7</v>
      </c>
      <c r="C234" s="9"/>
      <c r="D234" s="9"/>
      <c r="E234" s="10">
        <f>E233+E232</f>
        <v>0</v>
      </c>
      <c r="F234" s="10">
        <f>F233+F232</f>
        <v>21040</v>
      </c>
      <c r="G234" s="10">
        <f>G233+G232</f>
        <v>12970</v>
      </c>
      <c r="H234" s="10">
        <f>H233+H232</f>
        <v>0</v>
      </c>
      <c r="I234" s="9">
        <f>SUM(E234:H234)</f>
        <v>34010</v>
      </c>
      <c r="J234" s="10">
        <f>J233+J232</f>
        <v>0</v>
      </c>
      <c r="K234" s="10">
        <f>K233+K232</f>
        <v>0</v>
      </c>
      <c r="L234" s="10">
        <f>L233+L232</f>
        <v>0</v>
      </c>
      <c r="M234" s="10">
        <f>M233+M232</f>
        <v>0</v>
      </c>
      <c r="N234" s="9">
        <f>SUM(J234:M234)</f>
        <v>0</v>
      </c>
      <c r="O234" s="10">
        <f>O233+O232</f>
        <v>0</v>
      </c>
      <c r="P234" s="10">
        <f>P233+P232</f>
        <v>0</v>
      </c>
      <c r="Q234" s="10">
        <f>Q233+Q232</f>
        <v>0</v>
      </c>
      <c r="R234" s="10">
        <f>R233+R232</f>
        <v>0</v>
      </c>
      <c r="S234" s="10">
        <f>S233+S232</f>
        <v>12000</v>
      </c>
      <c r="T234" s="9">
        <f>SUM(O234:S234)</f>
        <v>12000</v>
      </c>
      <c r="U234" s="11">
        <f>T234+N234+I234+D235</f>
        <v>79496</v>
      </c>
      <c r="V234" s="10">
        <f>V233+V232</f>
        <v>0</v>
      </c>
      <c r="W234" s="10">
        <f>W233+W232</f>
        <v>0</v>
      </c>
      <c r="X234" s="10">
        <f>X233+X232</f>
        <v>0</v>
      </c>
      <c r="Y234" s="10">
        <f>Y233+Y232</f>
        <v>0</v>
      </c>
      <c r="Z234" s="9">
        <f>SUM(V234:Y234)</f>
        <v>0</v>
      </c>
      <c r="AA234" s="10">
        <f>AA233+AA232</f>
        <v>0</v>
      </c>
      <c r="AB234" s="10">
        <f>AB233+AB232</f>
        <v>0</v>
      </c>
      <c r="AC234" s="10">
        <f>AC233+AC232</f>
        <v>0</v>
      </c>
      <c r="AD234" s="10">
        <f>AD233+AD232</f>
        <v>0</v>
      </c>
      <c r="AE234" s="9">
        <f>SUM(AA234:AD234)</f>
        <v>0</v>
      </c>
      <c r="AF234" s="10">
        <f>AF233+AF232</f>
        <v>0</v>
      </c>
      <c r="AG234" s="10">
        <f>AG233+AG232</f>
        <v>0</v>
      </c>
      <c r="AH234" s="10">
        <f>AH233+AH232</f>
        <v>0</v>
      </c>
      <c r="AI234" s="10">
        <f>AI233+AI232</f>
        <v>0</v>
      </c>
      <c r="AJ234" s="10">
        <f>AJ233+AJ232</f>
        <v>12000</v>
      </c>
      <c r="AK234" s="9">
        <f>SUM(AF234:AJ234)</f>
        <v>12000</v>
      </c>
      <c r="AL234" s="11">
        <f>AK234+AE234+Z234</f>
        <v>12000</v>
      </c>
      <c r="AM234" s="93"/>
      <c r="AN234" s="94">
        <f t="shared" si="70"/>
        <v>0</v>
      </c>
      <c r="AO234" s="94">
        <f t="shared" si="71"/>
        <v>0</v>
      </c>
    </row>
    <row r="235" spans="1:41" ht="17" thickBot="1">
      <c r="A235" s="136"/>
      <c r="B235" s="2" t="s">
        <v>8</v>
      </c>
      <c r="C235" s="65">
        <v>33971</v>
      </c>
      <c r="D235" s="95">
        <v>33486</v>
      </c>
      <c r="E235" s="81">
        <f>E234-E231</f>
        <v>0</v>
      </c>
      <c r="F235" s="10">
        <f>E235+F234-F231</f>
        <v>19333</v>
      </c>
      <c r="G235" s="10">
        <f>F235+G234-G231</f>
        <v>27727</v>
      </c>
      <c r="H235" s="10">
        <f>G235+H234-H231</f>
        <v>24451</v>
      </c>
      <c r="I235" s="9">
        <f>I234-I231</f>
        <v>24451</v>
      </c>
      <c r="J235" s="10">
        <f>I235+J234-J231</f>
        <v>20139</v>
      </c>
      <c r="K235" s="10">
        <f>J235+K234-K231</f>
        <v>15102</v>
      </c>
      <c r="L235" s="10">
        <f>K235+L234-L231</f>
        <v>9579</v>
      </c>
      <c r="M235" s="10">
        <f>L235+M234-M231</f>
        <v>4539</v>
      </c>
      <c r="N235" s="9">
        <f>I235+N234-N231</f>
        <v>4539</v>
      </c>
      <c r="O235" s="10">
        <f>N235+O234-O231</f>
        <v>1659</v>
      </c>
      <c r="P235" s="10">
        <f>O235+P234-P231</f>
        <v>-1813</v>
      </c>
      <c r="Q235" s="10">
        <f>P235+Q234-Q231</f>
        <v>-4906</v>
      </c>
      <c r="R235" s="10">
        <f t="shared" ref="R235" si="84">Q235+R234-R231</f>
        <v>-9283</v>
      </c>
      <c r="S235" s="10">
        <f>R235+S234-S231</f>
        <v>1258</v>
      </c>
      <c r="T235" s="9">
        <f>N235+T234-T231</f>
        <v>1258</v>
      </c>
      <c r="U235" s="9">
        <f>U234-U231</f>
        <v>1258</v>
      </c>
      <c r="V235" s="10">
        <f>U235+V234-V231</f>
        <v>-631</v>
      </c>
      <c r="W235" s="10">
        <f>V235+W234-W231</f>
        <v>-2303</v>
      </c>
      <c r="X235" s="10">
        <f>W235+X234-X231</f>
        <v>-3975</v>
      </c>
      <c r="Y235" s="10">
        <f>X235+Y234-Y231</f>
        <v>-6084</v>
      </c>
      <c r="Z235" s="9">
        <f>T235+Z234-Z231</f>
        <v>-6084</v>
      </c>
      <c r="AA235" s="10">
        <f>Z235+AA234-AA231</f>
        <v>-9528</v>
      </c>
      <c r="AB235" s="10">
        <f>AA235+AB234-AB231</f>
        <v>-13707</v>
      </c>
      <c r="AC235" s="10">
        <f>AB235+AC234-AC231</f>
        <v>-17907</v>
      </c>
      <c r="AD235" s="10">
        <f>AC235+AD234-AD231</f>
        <v>-22107</v>
      </c>
      <c r="AE235" s="9">
        <f>Z235+AE234-AE231</f>
        <v>-22107</v>
      </c>
      <c r="AF235" s="10">
        <f>AE235+AF234-AF231</f>
        <v>-24435</v>
      </c>
      <c r="AG235" s="10">
        <f>AF235+AG234-AG231</f>
        <v>-28131</v>
      </c>
      <c r="AH235" s="10">
        <f>AG235+AH234-AH231</f>
        <v>-32221</v>
      </c>
      <c r="AI235" s="10">
        <f>AH235+AI234-AI231</f>
        <v>-35859</v>
      </c>
      <c r="AJ235" s="10">
        <f>AI235+AJ234-AJ231</f>
        <v>-28980</v>
      </c>
      <c r="AK235" s="9">
        <f>AE235+AK234-AK231</f>
        <v>-28980</v>
      </c>
      <c r="AL235" s="11">
        <f>T235+AL234-AL231</f>
        <v>-28980</v>
      </c>
      <c r="AM235" s="93"/>
      <c r="AN235" s="94">
        <f t="shared" si="70"/>
        <v>0</v>
      </c>
      <c r="AO235" s="94">
        <f t="shared" si="71"/>
        <v>0</v>
      </c>
    </row>
    <row r="236" spans="1:41">
      <c r="A236" s="82"/>
      <c r="B236" s="3" t="s">
        <v>9</v>
      </c>
      <c r="C236" s="84"/>
      <c r="D236" s="84"/>
      <c r="E236" s="57">
        <f>E235/(SUM(F231+H231+J231+G231)/20)*1000</f>
        <v>0</v>
      </c>
      <c r="F236" s="71">
        <f>F235/(SUM(G231+K231+J231+H231)/20)*1000</f>
        <v>22478.925643857918</v>
      </c>
      <c r="G236" s="71">
        <f>G235/(SUM(H231+J231+K231+L231)/20)*1000</f>
        <v>30556.535155389025</v>
      </c>
      <c r="H236" s="71">
        <f>H235/(SUM(M231+J231+K231+L231)/20)*1000</f>
        <v>24559.059863398954</v>
      </c>
      <c r="I236" s="37"/>
      <c r="J236" s="57">
        <f>J235/(SUM(K231+M231+O231+L231)/20)*1000</f>
        <v>21795.454545454548</v>
      </c>
      <c r="K236" s="57">
        <f>K235/(SUM(L231+P231+O231+M231)/20)*1000</f>
        <v>17856.340526160213</v>
      </c>
      <c r="L236" s="57">
        <f>L235/(SUM(M231+O231+P231+Q231)/20)*1000</f>
        <v>13226.095961339317</v>
      </c>
      <c r="M236" s="57">
        <f>M235/(SUM(R231+O231+P231+Q231)/20)*1000</f>
        <v>6567.7904789466065</v>
      </c>
      <c r="N236" s="37"/>
      <c r="O236" s="57">
        <f>O235/(SUM(P231+R231+S231+Q231)/20)*1000</f>
        <v>2675.5906781711155</v>
      </c>
      <c r="P236" s="57">
        <f>P235/(SUM(Q231+S231+V231+R231)/20)*1000</f>
        <v>-3351.8210390090594</v>
      </c>
      <c r="Q236" s="57">
        <f>Q235/(SUM(R231+S231+W231+V231)/20)*1000</f>
        <v>-10441.63030754496</v>
      </c>
      <c r="R236" s="57">
        <f>R235/(SUM(T231+U231+V231+W231)/20)*1000</f>
        <v>-1912.4433456942727</v>
      </c>
      <c r="S236" s="57">
        <f>S235/(SUM(S231+V231+W231+X231)/20)*1000</f>
        <v>3759.7130902570234</v>
      </c>
      <c r="T236" s="37"/>
      <c r="U236" s="38"/>
      <c r="V236" s="57">
        <f>V235/(SUM(W231+Y231+AA231+X231)/20)*1000</f>
        <v>-1418.4556592109698</v>
      </c>
      <c r="W236" s="57">
        <f>V235/(SUM(X231+AA231+AB231+Y231)/20)*1000</f>
        <v>-1106.6292528937213</v>
      </c>
      <c r="X236" s="57">
        <f>W235/(SUM(Y231+AA231+AB231+AC231)/20)*1000</f>
        <v>-3306.0579959804763</v>
      </c>
      <c r="Y236" s="57">
        <f>Y235/(SUM(AA231+AB231+AC231+AD231)/20)*1000</f>
        <v>-7594.083504961618</v>
      </c>
      <c r="Z236" s="37"/>
      <c r="AA236" s="57">
        <f>AA235/(SUM(AB231+AD231+AF231+AC231)/20)*1000</f>
        <v>-12783.256188367881</v>
      </c>
      <c r="AB236" s="57">
        <f>AB235/(SUM(AC231+AF231+AG231+AD231)/20)*1000</f>
        <v>-19005.823627287853</v>
      </c>
      <c r="AC236" s="57">
        <f>AC235/(SUM(AD231+AF231+AG231+AH231)/20)*1000</f>
        <v>-25020.259885426854</v>
      </c>
      <c r="AD236" s="57">
        <f>AD235/(SUM(AF231+AG231+AH231+AI231)/20)*1000</f>
        <v>-32150.95986038394</v>
      </c>
      <c r="AE236" s="37"/>
      <c r="AF236" s="57">
        <f>AF235/(SUM(AG231+AI231+AJ231+AH231)/20)*1000</f>
        <v>-29537.624660018133</v>
      </c>
      <c r="AG236" s="57">
        <f>AG235/(SUM(AH231+AJ231+AM231+AI231)/20)*1000</f>
        <v>-43570.045690389532</v>
      </c>
      <c r="AH236" s="57">
        <f>AH235/(SUM(AI231+AJ231+AN231+AM231)/20)*1000</f>
        <v>-128.47147808387268</v>
      </c>
      <c r="AI236" s="57">
        <f>AI235/(SUM(AK231+AL231+AM231+AN231)/20)*1000</f>
        <v>-141.50008079461654</v>
      </c>
      <c r="AJ236" s="57">
        <f>AJ235/(SUM(AJ231+AM231+AN231+AO231)/20)*1000</f>
        <v>-75.120057949758987</v>
      </c>
      <c r="AK236" s="37"/>
      <c r="AL236" s="38"/>
      <c r="AM236" s="93"/>
      <c r="AN236" s="94">
        <f t="shared" si="70"/>
        <v>0</v>
      </c>
      <c r="AO236" s="94">
        <f t="shared" si="71"/>
        <v>0</v>
      </c>
    </row>
    <row r="237" spans="1:41">
      <c r="A237" s="165" t="s">
        <v>114</v>
      </c>
      <c r="B237" s="1" t="s">
        <v>5</v>
      </c>
      <c r="C237" s="9"/>
      <c r="D237" s="9"/>
      <c r="E237" s="10"/>
      <c r="F237" s="10">
        <v>-4081</v>
      </c>
      <c r="G237" s="10">
        <v>2504</v>
      </c>
      <c r="H237" s="10">
        <v>1969</v>
      </c>
      <c r="I237" s="9">
        <f>SUM(E237:H237)</f>
        <v>392</v>
      </c>
      <c r="J237" s="10">
        <v>1206</v>
      </c>
      <c r="K237" s="10">
        <v>2438</v>
      </c>
      <c r="L237" s="10">
        <v>3605</v>
      </c>
      <c r="M237" s="10">
        <v>2208</v>
      </c>
      <c r="N237" s="9">
        <f>SUM(J237:M237)</f>
        <v>9457</v>
      </c>
      <c r="O237" s="10">
        <v>850</v>
      </c>
      <c r="P237" s="10">
        <v>1635</v>
      </c>
      <c r="Q237" s="10">
        <v>2732</v>
      </c>
      <c r="R237" s="10">
        <v>1514</v>
      </c>
      <c r="S237" s="10">
        <v>421</v>
      </c>
      <c r="T237" s="9">
        <f>SUM(O237:S237)</f>
        <v>7152</v>
      </c>
      <c r="U237" s="11">
        <f>T237+N237+I237+D241</f>
        <v>38194</v>
      </c>
      <c r="V237" s="10">
        <v>40</v>
      </c>
      <c r="W237" s="10">
        <v>40</v>
      </c>
      <c r="X237" s="10">
        <v>40</v>
      </c>
      <c r="Y237" s="10">
        <v>40</v>
      </c>
      <c r="Z237" s="9">
        <f>SUM(V237:Y237)</f>
        <v>160</v>
      </c>
      <c r="AA237" s="10">
        <v>1057</v>
      </c>
      <c r="AB237" s="10">
        <v>2013</v>
      </c>
      <c r="AC237" s="10">
        <v>2446</v>
      </c>
      <c r="AD237" s="10">
        <v>1816</v>
      </c>
      <c r="AE237" s="9">
        <f>SUM(AA237:AD237)</f>
        <v>7332</v>
      </c>
      <c r="AF237" s="10">
        <v>760</v>
      </c>
      <c r="AG237" s="10">
        <v>1935</v>
      </c>
      <c r="AH237" s="10">
        <v>2603</v>
      </c>
      <c r="AI237" s="10">
        <v>2315</v>
      </c>
      <c r="AJ237" s="10">
        <v>470</v>
      </c>
      <c r="AK237" s="9">
        <f>SUM(AF237:AJ237)</f>
        <v>8083</v>
      </c>
      <c r="AL237" s="11">
        <f>AK237+AE237+Z237</f>
        <v>15575</v>
      </c>
      <c r="AM237" s="93">
        <v>128</v>
      </c>
      <c r="AN237" s="94">
        <f t="shared" si="70"/>
        <v>4888832</v>
      </c>
      <c r="AO237" s="94">
        <f t="shared" si="71"/>
        <v>1993600</v>
      </c>
    </row>
    <row r="238" spans="1:41">
      <c r="A238" s="166"/>
      <c r="B238" s="3" t="s">
        <v>6</v>
      </c>
      <c r="C238" s="9"/>
      <c r="D238" s="9"/>
      <c r="E238" s="10"/>
      <c r="F238" s="10"/>
      <c r="G238" s="10">
        <v>9757</v>
      </c>
      <c r="H238" s="10"/>
      <c r="I238" s="9">
        <f>SUM(E238:H238)</f>
        <v>9757</v>
      </c>
      <c r="J238" s="10"/>
      <c r="K238" s="10"/>
      <c r="L238" s="10"/>
      <c r="M238" s="10"/>
      <c r="N238" s="9">
        <f>SUM(J238:M238)</f>
        <v>0</v>
      </c>
      <c r="O238" s="10"/>
      <c r="P238" s="10"/>
      <c r="Q238" s="10"/>
      <c r="R238" s="10"/>
      <c r="S238" s="97">
        <v>10000</v>
      </c>
      <c r="T238" s="9">
        <f>SUM(O238:S238)</f>
        <v>10000</v>
      </c>
      <c r="U238" s="11">
        <f>I238+N238+T238</f>
        <v>19757</v>
      </c>
      <c r="V238" s="10"/>
      <c r="W238" s="10"/>
      <c r="X238" s="10"/>
      <c r="Y238" s="10"/>
      <c r="Z238" s="9">
        <f>SUM(V238:Y238)</f>
        <v>0</v>
      </c>
      <c r="AA238" s="10"/>
      <c r="AB238" s="10"/>
      <c r="AC238" s="10"/>
      <c r="AD238" s="10"/>
      <c r="AE238" s="9">
        <f>SUM(AA238:AD238)</f>
        <v>0</v>
      </c>
      <c r="AF238" s="10"/>
      <c r="AG238" s="10"/>
      <c r="AH238" s="10"/>
      <c r="AI238" s="10"/>
      <c r="AJ238" s="97">
        <v>10000</v>
      </c>
      <c r="AK238" s="9">
        <f>SUM(AF238:AJ238)</f>
        <v>10000</v>
      </c>
      <c r="AL238" s="11">
        <f>Z238+AE238+AK238</f>
        <v>10000</v>
      </c>
      <c r="AM238" s="93"/>
      <c r="AN238" s="94">
        <f t="shared" si="70"/>
        <v>0</v>
      </c>
      <c r="AO238" s="94">
        <f t="shared" si="71"/>
        <v>0</v>
      </c>
    </row>
    <row r="239" spans="1:41">
      <c r="A239" s="166"/>
      <c r="B239" s="3" t="s">
        <v>10</v>
      </c>
      <c r="C239" s="9">
        <v>18008</v>
      </c>
      <c r="D239" s="9"/>
      <c r="E239" s="10"/>
      <c r="F239" s="10">
        <v>18008</v>
      </c>
      <c r="G239" s="10"/>
      <c r="H239" s="10"/>
      <c r="I239" s="9"/>
      <c r="J239" s="10"/>
      <c r="K239" s="10"/>
      <c r="L239" s="10"/>
      <c r="M239" s="10"/>
      <c r="N239" s="9"/>
      <c r="O239" s="10"/>
      <c r="P239" s="10"/>
      <c r="Q239" s="10"/>
      <c r="R239" s="10"/>
      <c r="S239" s="10"/>
      <c r="T239" s="9"/>
      <c r="U239" s="11"/>
      <c r="V239" s="10"/>
      <c r="W239" s="10"/>
      <c r="X239" s="10"/>
      <c r="Y239" s="10"/>
      <c r="Z239" s="9"/>
      <c r="AA239" s="10"/>
      <c r="AB239" s="10"/>
      <c r="AC239" s="10"/>
      <c r="AD239" s="10"/>
      <c r="AE239" s="9"/>
      <c r="AF239" s="10"/>
      <c r="AG239" s="10"/>
      <c r="AH239" s="10"/>
      <c r="AI239" s="10"/>
      <c r="AJ239" s="10"/>
      <c r="AK239" s="9"/>
      <c r="AL239" s="11"/>
      <c r="AM239" s="93"/>
      <c r="AN239" s="94">
        <f t="shared" si="70"/>
        <v>0</v>
      </c>
      <c r="AO239" s="94">
        <f t="shared" si="71"/>
        <v>0</v>
      </c>
    </row>
    <row r="240" spans="1:41">
      <c r="A240" s="166"/>
      <c r="B240" s="3" t="s">
        <v>7</v>
      </c>
      <c r="C240" s="9"/>
      <c r="D240" s="9"/>
      <c r="E240" s="10">
        <f>E239+E238</f>
        <v>0</v>
      </c>
      <c r="F240" s="10">
        <f>F239+F238</f>
        <v>18008</v>
      </c>
      <c r="G240" s="10">
        <f>G239+G238</f>
        <v>9757</v>
      </c>
      <c r="H240" s="10">
        <f>H239+H238</f>
        <v>0</v>
      </c>
      <c r="I240" s="9">
        <f>SUM(E240:H240)</f>
        <v>27765</v>
      </c>
      <c r="J240" s="10">
        <f>J239+J238</f>
        <v>0</v>
      </c>
      <c r="K240" s="10">
        <f>K239+K238</f>
        <v>0</v>
      </c>
      <c r="L240" s="10">
        <f>L239+L238</f>
        <v>0</v>
      </c>
      <c r="M240" s="10">
        <f>M239+M238</f>
        <v>0</v>
      </c>
      <c r="N240" s="9">
        <f>SUM(J240:M240)</f>
        <v>0</v>
      </c>
      <c r="O240" s="10">
        <f>O239+O238</f>
        <v>0</v>
      </c>
      <c r="P240" s="10">
        <f>P239+P238</f>
        <v>0</v>
      </c>
      <c r="Q240" s="10">
        <f>Q239+Q238</f>
        <v>0</v>
      </c>
      <c r="R240" s="10">
        <f>R239+R238</f>
        <v>0</v>
      </c>
      <c r="S240" s="10">
        <f>S239+S238</f>
        <v>10000</v>
      </c>
      <c r="T240" s="9">
        <f>SUM(O240:S240)</f>
        <v>10000</v>
      </c>
      <c r="U240" s="11">
        <f>T240+N240+I240+D241</f>
        <v>58958</v>
      </c>
      <c r="V240" s="10">
        <f>V239+V238</f>
        <v>0</v>
      </c>
      <c r="W240" s="10">
        <f>W239+W238</f>
        <v>0</v>
      </c>
      <c r="X240" s="10">
        <f>X239+X238</f>
        <v>0</v>
      </c>
      <c r="Y240" s="10">
        <f>Y239+Y238</f>
        <v>0</v>
      </c>
      <c r="Z240" s="9">
        <f>SUM(V240:Y240)</f>
        <v>0</v>
      </c>
      <c r="AA240" s="10">
        <f>AA239+AA238</f>
        <v>0</v>
      </c>
      <c r="AB240" s="10">
        <f>AB239+AB238</f>
        <v>0</v>
      </c>
      <c r="AC240" s="10">
        <f>AC239+AC238</f>
        <v>0</v>
      </c>
      <c r="AD240" s="10">
        <f>AD239+AD238</f>
        <v>0</v>
      </c>
      <c r="AE240" s="9">
        <f>SUM(AA240:AD240)</f>
        <v>0</v>
      </c>
      <c r="AF240" s="10">
        <f>AF239+AF238</f>
        <v>0</v>
      </c>
      <c r="AG240" s="10">
        <f>AG239+AG238</f>
        <v>0</v>
      </c>
      <c r="AH240" s="10">
        <f>AH239+AH238</f>
        <v>0</v>
      </c>
      <c r="AI240" s="10">
        <f>AI239+AI238</f>
        <v>0</v>
      </c>
      <c r="AJ240" s="10">
        <f>AJ239+AJ238</f>
        <v>10000</v>
      </c>
      <c r="AK240" s="9">
        <f>SUM(AF240:AJ240)</f>
        <v>10000</v>
      </c>
      <c r="AL240" s="11">
        <f>AK240+AE240+Z240</f>
        <v>10000</v>
      </c>
      <c r="AM240" s="93"/>
      <c r="AN240" s="94">
        <f t="shared" si="70"/>
        <v>0</v>
      </c>
      <c r="AO240" s="94">
        <f t="shared" si="71"/>
        <v>0</v>
      </c>
    </row>
    <row r="241" spans="1:43">
      <c r="A241" s="167"/>
      <c r="B241" s="2" t="s">
        <v>8</v>
      </c>
      <c r="C241" s="65">
        <v>31882</v>
      </c>
      <c r="D241" s="95">
        <v>21193</v>
      </c>
      <c r="E241" s="81">
        <f>E240-E237</f>
        <v>0</v>
      </c>
      <c r="F241" s="10">
        <f>E241+F240-F237</f>
        <v>22089</v>
      </c>
      <c r="G241" s="10">
        <f>F241+G240-G237</f>
        <v>29342</v>
      </c>
      <c r="H241" s="10">
        <f>G241+H240-H237</f>
        <v>27373</v>
      </c>
      <c r="I241" s="9">
        <f>I240-I237</f>
        <v>27373</v>
      </c>
      <c r="J241" s="10">
        <f>I241+J240-J237</f>
        <v>26167</v>
      </c>
      <c r="K241" s="10">
        <f>J241+K240-K237</f>
        <v>23729</v>
      </c>
      <c r="L241" s="10">
        <f>K241+L240-L237</f>
        <v>20124</v>
      </c>
      <c r="M241" s="10">
        <f>L241+M240-M237</f>
        <v>17916</v>
      </c>
      <c r="N241" s="9">
        <f>I241+N240-N237</f>
        <v>17916</v>
      </c>
      <c r="O241" s="10">
        <f>N241+O240-O237</f>
        <v>17066</v>
      </c>
      <c r="P241" s="10">
        <f>O241+P240-P237</f>
        <v>15431</v>
      </c>
      <c r="Q241" s="10">
        <f>P241+Q240-Q237</f>
        <v>12699</v>
      </c>
      <c r="R241" s="10">
        <f t="shared" ref="R241" si="85">Q241+R240-R237</f>
        <v>11185</v>
      </c>
      <c r="S241" s="10">
        <f>R241+S240-S237</f>
        <v>20764</v>
      </c>
      <c r="T241" s="9">
        <f>N241+T240-T237</f>
        <v>20764</v>
      </c>
      <c r="U241" s="9">
        <f>U240-U237</f>
        <v>20764</v>
      </c>
      <c r="V241" s="10">
        <f>U241+V240-V237</f>
        <v>20724</v>
      </c>
      <c r="W241" s="10">
        <f>V241+W240-W237</f>
        <v>20684</v>
      </c>
      <c r="X241" s="10">
        <f>W241+X240-X237</f>
        <v>20644</v>
      </c>
      <c r="Y241" s="10">
        <f>X241+Y240-Y237</f>
        <v>20604</v>
      </c>
      <c r="Z241" s="9">
        <f>T241+Z240-Z237</f>
        <v>20604</v>
      </c>
      <c r="AA241" s="10">
        <f>Z241+AA240-AA237</f>
        <v>19547</v>
      </c>
      <c r="AB241" s="10">
        <f>AA241+AB240-AB237</f>
        <v>17534</v>
      </c>
      <c r="AC241" s="10">
        <f>AB241+AC240-AC237</f>
        <v>15088</v>
      </c>
      <c r="AD241" s="10">
        <f>AC241+AD240-AD237</f>
        <v>13272</v>
      </c>
      <c r="AE241" s="9">
        <f>Z241+AE240-AE237</f>
        <v>13272</v>
      </c>
      <c r="AF241" s="10">
        <f>AE241+AF240-AF237</f>
        <v>12512</v>
      </c>
      <c r="AG241" s="10">
        <f>AF241+AG240-AG237</f>
        <v>10577</v>
      </c>
      <c r="AH241" s="10">
        <f>AG241+AH240-AH237</f>
        <v>7974</v>
      </c>
      <c r="AI241" s="10">
        <f t="shared" ref="AI241:AJ241" si="86">AH241+AI240-AI237</f>
        <v>5659</v>
      </c>
      <c r="AJ241" s="10">
        <f t="shared" si="86"/>
        <v>15189</v>
      </c>
      <c r="AK241" s="9">
        <f>AE241+AK240-AK237</f>
        <v>15189</v>
      </c>
      <c r="AL241" s="11">
        <f>T241+AL240-AL237</f>
        <v>15189</v>
      </c>
      <c r="AM241" s="93"/>
      <c r="AN241" s="94">
        <f t="shared" si="70"/>
        <v>0</v>
      </c>
      <c r="AO241" s="94">
        <f t="shared" si="71"/>
        <v>0</v>
      </c>
    </row>
    <row r="242" spans="1:43">
      <c r="A242" s="82"/>
      <c r="B242" s="3" t="s">
        <v>9</v>
      </c>
      <c r="C242" s="84"/>
      <c r="D242" s="84"/>
      <c r="E242" s="57">
        <f>E241/(SUM(F237+H237+J237+G237)/20)*1000</f>
        <v>0</v>
      </c>
      <c r="F242" s="71">
        <f>F241/(SUM(G237+K237+J237+H237)/20)*1000</f>
        <v>54426.512258223476</v>
      </c>
      <c r="G242" s="71">
        <f>G241/(SUM(H237+J237+K237+L237)/20)*1000</f>
        <v>63662.399652853121</v>
      </c>
      <c r="H242" s="71">
        <f>H241/(SUM(M237+J237+K237+L237)/20)*1000</f>
        <v>57889.394099608748</v>
      </c>
      <c r="I242" s="37"/>
      <c r="J242" s="57">
        <f>J241/(SUM(K237+M237+O237+L237)/20)*1000</f>
        <v>57503.571036149871</v>
      </c>
      <c r="K242" s="57">
        <f>K241/(SUM(L237+P237+O237+M237)/20)*1000</f>
        <v>57192.094480597741</v>
      </c>
      <c r="L242" s="57">
        <f>L241/(SUM(M237+O237+P237+Q237)/20)*1000</f>
        <v>54206.060606060601</v>
      </c>
      <c r="M242" s="57">
        <f>M241/(SUM(R237+O237+P237+Q237)/20)*1000</f>
        <v>53234.289110087651</v>
      </c>
      <c r="N242" s="37"/>
      <c r="O242" s="57">
        <f>O241/(SUM(P237+R237+S237+Q237)/20)*1000</f>
        <v>54160.583941605837</v>
      </c>
      <c r="P242" s="57">
        <f>P241/(SUM(Q237+S237+V237+R237)/20)*1000</f>
        <v>65566.178032717231</v>
      </c>
      <c r="Q242" s="57">
        <f>Q241/(SUM(R237+S237+W237+V237)/20)*1000</f>
        <v>126044.66501240696</v>
      </c>
      <c r="R242" s="57">
        <f>R241/(SUM(T237+U237+V237+W237)/20)*1000</f>
        <v>4924.4925813410819</v>
      </c>
      <c r="S242" s="57">
        <f>S241/(SUM(S237+V237+W237+X237)/20)*1000</f>
        <v>767615.52680221817</v>
      </c>
      <c r="T242" s="37"/>
      <c r="U242" s="38"/>
      <c r="V242" s="57">
        <f>V241/(SUM(W237+Y237+AA237+X237)/20)*1000</f>
        <v>352149.53271028039</v>
      </c>
      <c r="W242" s="57">
        <f>V241/(SUM(X237+AA237+AB237+Y237)/20)*1000</f>
        <v>131580.95238095237</v>
      </c>
      <c r="X242" s="57">
        <f>W241/(SUM(Y237+AA237+AB237+AC237)/20)*1000</f>
        <v>74456.443484521224</v>
      </c>
      <c r="Y242" s="57">
        <f>Y241/(SUM(AA237+AB237+AC237+AD237)/20)*1000</f>
        <v>56202.945990180029</v>
      </c>
      <c r="Z242" s="37"/>
      <c r="AA242" s="57">
        <f>AA241/(SUM(AB237+AD237+AF237+AC237)/20)*1000</f>
        <v>55570.717839374556</v>
      </c>
      <c r="AB242" s="57">
        <f>AB241/(SUM(AC237+AF237+AG237+AD237)/20)*1000</f>
        <v>50406.78453356331</v>
      </c>
      <c r="AC242" s="57">
        <f>AC241/(SUM(AD237+AF237+AG237+AH237)/20)*1000</f>
        <v>42417.767781838629</v>
      </c>
      <c r="AD242" s="57">
        <f>AD241/(SUM(AF237+AG237+AH237+AI237)/20)*1000</f>
        <v>34866.675423617504</v>
      </c>
      <c r="AE242" s="37"/>
      <c r="AF242" s="57">
        <f>AF241/(SUM(AG237+AI237+AJ237+AH237)/20)*1000</f>
        <v>34171.787518776458</v>
      </c>
      <c r="AG242" s="57">
        <f>AG241/(SUM(AH237+AJ237+AM237+AI237)/20)*1000</f>
        <v>38350.253807106594</v>
      </c>
      <c r="AH242" s="57">
        <f>AH241/(SUM(AI237+AJ237+AN237+AM237)/20)*1000</f>
        <v>32.601862934392528</v>
      </c>
      <c r="AI242" s="57">
        <f>AI241/(SUM(AK237+AL237+AM237+AN237)/20)*1000</f>
        <v>23.03863235447983</v>
      </c>
      <c r="AJ242" s="57">
        <f>AJ241/(SUM(AJ237+AM237+AN237+AO237)/20)*1000</f>
        <v>44.134632567343161</v>
      </c>
      <c r="AK242" s="37"/>
      <c r="AL242" s="38"/>
      <c r="AM242" s="93"/>
      <c r="AN242" s="94">
        <f>AM242*U242</f>
        <v>0</v>
      </c>
      <c r="AO242" s="94">
        <f t="shared" si="71"/>
        <v>0</v>
      </c>
    </row>
    <row r="243" spans="1:43">
      <c r="A243" s="176" t="s">
        <v>28</v>
      </c>
      <c r="B243" s="1" t="s">
        <v>5</v>
      </c>
      <c r="C243" s="9"/>
      <c r="D243" s="9"/>
      <c r="E243" s="10"/>
      <c r="F243" s="10">
        <v>-1283</v>
      </c>
      <c r="G243" s="10">
        <v>406</v>
      </c>
      <c r="H243" s="10">
        <v>407</v>
      </c>
      <c r="I243" s="9">
        <f>SUM(E243:H243)</f>
        <v>-470</v>
      </c>
      <c r="J243" s="10">
        <v>455</v>
      </c>
      <c r="K243" s="10">
        <v>760</v>
      </c>
      <c r="L243" s="10">
        <v>1138</v>
      </c>
      <c r="M243" s="10">
        <v>732</v>
      </c>
      <c r="N243" s="9">
        <f>SUM(J243:M243)</f>
        <v>3085</v>
      </c>
      <c r="O243" s="10">
        <v>258</v>
      </c>
      <c r="P243" s="10">
        <v>541</v>
      </c>
      <c r="Q243" s="10">
        <v>567</v>
      </c>
      <c r="R243" s="10">
        <v>588</v>
      </c>
      <c r="S243" s="10">
        <v>70</v>
      </c>
      <c r="T243" s="9">
        <f>SUM(O243:S243)</f>
        <v>2024</v>
      </c>
      <c r="U243" s="11">
        <f>T243+N243+I243+D247</f>
        <v>8480</v>
      </c>
      <c r="V243" s="10">
        <v>128</v>
      </c>
      <c r="W243" s="10">
        <v>170</v>
      </c>
      <c r="X243" s="10">
        <v>255</v>
      </c>
      <c r="Y243" s="10">
        <v>85</v>
      </c>
      <c r="Z243" s="9">
        <f>SUM(V243:Y243)</f>
        <v>638</v>
      </c>
      <c r="AA243" s="10">
        <v>422</v>
      </c>
      <c r="AB243" s="10">
        <v>721</v>
      </c>
      <c r="AC243" s="10">
        <v>846</v>
      </c>
      <c r="AD243" s="10">
        <v>720</v>
      </c>
      <c r="AE243" s="9">
        <f>SUM(AA243:AD243)</f>
        <v>2709</v>
      </c>
      <c r="AF243" s="10">
        <v>283</v>
      </c>
      <c r="AG243" s="10">
        <v>553</v>
      </c>
      <c r="AH243" s="10">
        <v>543</v>
      </c>
      <c r="AI243" s="10">
        <v>632</v>
      </c>
      <c r="AJ243" s="10">
        <v>51</v>
      </c>
      <c r="AK243" s="9">
        <f>SUM(AF243:AJ243)</f>
        <v>2062</v>
      </c>
      <c r="AL243" s="11">
        <f>AK243+AE243+Z243</f>
        <v>5409</v>
      </c>
      <c r="AM243" s="93">
        <v>64</v>
      </c>
      <c r="AN243" s="94">
        <f t="shared" si="70"/>
        <v>542720</v>
      </c>
      <c r="AO243" s="94">
        <f t="shared" si="71"/>
        <v>346176</v>
      </c>
    </row>
    <row r="244" spans="1:43">
      <c r="A244" s="177"/>
      <c r="B244" s="3" t="s">
        <v>6</v>
      </c>
      <c r="C244" s="9"/>
      <c r="D244" s="9"/>
      <c r="E244" s="10"/>
      <c r="F244" s="10"/>
      <c r="G244" s="10"/>
      <c r="H244" s="10"/>
      <c r="I244" s="9">
        <f>SUM(E244:H244)</f>
        <v>0</v>
      </c>
      <c r="J244" s="10"/>
      <c r="K244" s="10"/>
      <c r="L244" s="10"/>
      <c r="M244" s="10"/>
      <c r="N244" s="9">
        <f>SUM(J244:M244)</f>
        <v>0</v>
      </c>
      <c r="O244" s="10"/>
      <c r="P244" s="10"/>
      <c r="Q244" s="10"/>
      <c r="R244" s="10"/>
      <c r="S244" s="10"/>
      <c r="T244" s="9">
        <f>SUM(O244:S244)</f>
        <v>0</v>
      </c>
      <c r="U244" s="11">
        <f>I244+N244+T244</f>
        <v>0</v>
      </c>
      <c r="V244" s="10"/>
      <c r="W244" s="10"/>
      <c r="X244" s="10"/>
      <c r="Y244" s="10"/>
      <c r="Z244" s="9">
        <f>SUM(V244:Y244)</f>
        <v>0</v>
      </c>
      <c r="AA244" s="10"/>
      <c r="AB244" s="10"/>
      <c r="AC244" s="10"/>
      <c r="AD244" s="10"/>
      <c r="AE244" s="9">
        <f>SUM(AA244:AD244)</f>
        <v>0</v>
      </c>
      <c r="AF244" s="10"/>
      <c r="AG244" s="10"/>
      <c r="AH244" s="10"/>
      <c r="AI244" s="10"/>
      <c r="AJ244" s="10"/>
      <c r="AK244" s="9">
        <f>SUM(AF244:AJ244)</f>
        <v>0</v>
      </c>
      <c r="AL244" s="11">
        <f>Z244+AE244+AK244</f>
        <v>0</v>
      </c>
      <c r="AM244" s="93"/>
      <c r="AN244" s="94">
        <f t="shared" si="70"/>
        <v>0</v>
      </c>
      <c r="AO244" s="94">
        <f t="shared" si="71"/>
        <v>0</v>
      </c>
    </row>
    <row r="245" spans="1:43">
      <c r="A245" s="177"/>
      <c r="B245" s="3" t="s">
        <v>10</v>
      </c>
      <c r="C245" s="9">
        <v>7531</v>
      </c>
      <c r="D245" s="9"/>
      <c r="E245" s="10"/>
      <c r="F245" s="10">
        <v>7531</v>
      </c>
      <c r="G245" s="10"/>
      <c r="H245" s="10"/>
      <c r="I245" s="9"/>
      <c r="J245" s="10"/>
      <c r="K245" s="10"/>
      <c r="L245" s="10"/>
      <c r="M245" s="10"/>
      <c r="N245" s="9"/>
      <c r="O245" s="10"/>
      <c r="P245" s="10"/>
      <c r="Q245" s="10"/>
      <c r="R245" s="10"/>
      <c r="S245" s="10"/>
      <c r="T245" s="9"/>
      <c r="U245" s="11"/>
      <c r="V245" s="10"/>
      <c r="W245" s="10"/>
      <c r="X245" s="10"/>
      <c r="Y245" s="10"/>
      <c r="Z245" s="9"/>
      <c r="AA245" s="10"/>
      <c r="AB245" s="10"/>
      <c r="AC245" s="10"/>
      <c r="AD245" s="10"/>
      <c r="AE245" s="9"/>
      <c r="AF245" s="10"/>
      <c r="AG245" s="10"/>
      <c r="AH245" s="10"/>
      <c r="AI245" s="10"/>
      <c r="AJ245" s="10"/>
      <c r="AK245" s="9"/>
      <c r="AL245" s="11"/>
      <c r="AM245" s="93"/>
      <c r="AN245" s="94">
        <f t="shared" si="70"/>
        <v>0</v>
      </c>
      <c r="AO245" s="94">
        <f t="shared" si="71"/>
        <v>0</v>
      </c>
    </row>
    <row r="246" spans="1:43">
      <c r="A246" s="177"/>
      <c r="B246" s="3" t="s">
        <v>7</v>
      </c>
      <c r="C246" s="9"/>
      <c r="D246" s="9"/>
      <c r="E246" s="10">
        <f>E245+E244</f>
        <v>0</v>
      </c>
      <c r="F246" s="10">
        <f>F245+F244</f>
        <v>7531</v>
      </c>
      <c r="G246" s="10">
        <f>G245+G244</f>
        <v>0</v>
      </c>
      <c r="H246" s="10">
        <f>H245+H244</f>
        <v>0</v>
      </c>
      <c r="I246" s="9">
        <f>SUM(E246:H246)</f>
        <v>7531</v>
      </c>
      <c r="J246" s="10">
        <f>J245+J244</f>
        <v>0</v>
      </c>
      <c r="K246" s="10">
        <f>K245+K244</f>
        <v>0</v>
      </c>
      <c r="L246" s="10">
        <f>L245+L244</f>
        <v>0</v>
      </c>
      <c r="M246" s="10">
        <f>M245+M244</f>
        <v>0</v>
      </c>
      <c r="N246" s="9">
        <f>SUM(J246:M246)</f>
        <v>0</v>
      </c>
      <c r="O246" s="10">
        <f>O245+O244</f>
        <v>0</v>
      </c>
      <c r="P246" s="10">
        <f>P245+P244</f>
        <v>0</v>
      </c>
      <c r="Q246" s="10">
        <f>Q245+Q244</f>
        <v>0</v>
      </c>
      <c r="R246" s="10">
        <f>R245+R244</f>
        <v>0</v>
      </c>
      <c r="S246" s="10">
        <f>S245+S244</f>
        <v>0</v>
      </c>
      <c r="T246" s="9">
        <f>SUM(O246:S246)</f>
        <v>0</v>
      </c>
      <c r="U246" s="11">
        <f>T246+N246+I246+D247</f>
        <v>11372</v>
      </c>
      <c r="V246" s="10">
        <f>V245+V244</f>
        <v>0</v>
      </c>
      <c r="W246" s="10">
        <f>W245+W244</f>
        <v>0</v>
      </c>
      <c r="X246" s="10">
        <f>X245+X244</f>
        <v>0</v>
      </c>
      <c r="Y246" s="10">
        <f>Y245+Y244</f>
        <v>0</v>
      </c>
      <c r="Z246" s="9">
        <f>SUM(V246:Y246)</f>
        <v>0</v>
      </c>
      <c r="AA246" s="10">
        <f>AA245+AA244</f>
        <v>0</v>
      </c>
      <c r="AB246" s="10">
        <f>AB245+AB244</f>
        <v>0</v>
      </c>
      <c r="AC246" s="10">
        <f>AC245+AC244</f>
        <v>0</v>
      </c>
      <c r="AD246" s="10">
        <f>AD245+AD244</f>
        <v>0</v>
      </c>
      <c r="AE246" s="9">
        <f>SUM(AA246:AD246)</f>
        <v>0</v>
      </c>
      <c r="AF246" s="10">
        <f>AF245+AF244</f>
        <v>0</v>
      </c>
      <c r="AG246" s="10">
        <f>AG245+AG244</f>
        <v>0</v>
      </c>
      <c r="AH246" s="10">
        <f>AH245+AH244</f>
        <v>0</v>
      </c>
      <c r="AI246" s="10">
        <f>AI245+AI244</f>
        <v>0</v>
      </c>
      <c r="AJ246" s="10">
        <f>AJ245+AJ244</f>
        <v>0</v>
      </c>
      <c r="AK246" s="9">
        <f>SUM(AF246:AJ246)</f>
        <v>0</v>
      </c>
      <c r="AL246" s="11">
        <f>AK246+AE246+Z246</f>
        <v>0</v>
      </c>
      <c r="AM246" s="93"/>
      <c r="AN246" s="94">
        <f t="shared" si="70"/>
        <v>0</v>
      </c>
      <c r="AO246" s="94">
        <f t="shared" si="71"/>
        <v>0</v>
      </c>
    </row>
    <row r="247" spans="1:43">
      <c r="A247" s="178"/>
      <c r="B247" s="2" t="s">
        <v>8</v>
      </c>
      <c r="C247" s="65">
        <v>10975</v>
      </c>
      <c r="D247" s="95">
        <v>3841</v>
      </c>
      <c r="E247" s="81">
        <f>E246-E243</f>
        <v>0</v>
      </c>
      <c r="F247" s="10">
        <f>E247+F246-F243</f>
        <v>8814</v>
      </c>
      <c r="G247" s="10">
        <f>F247+G246-G243</f>
        <v>8408</v>
      </c>
      <c r="H247" s="10">
        <f>G247+H246-H243</f>
        <v>8001</v>
      </c>
      <c r="I247" s="9">
        <f>I246-I243</f>
        <v>8001</v>
      </c>
      <c r="J247" s="10">
        <f>I247+J246-J243</f>
        <v>7546</v>
      </c>
      <c r="K247" s="10">
        <f>J247+K246-K243</f>
        <v>6786</v>
      </c>
      <c r="L247" s="10">
        <f>K247+L246-L243</f>
        <v>5648</v>
      </c>
      <c r="M247" s="10">
        <f>L247+M246-M243</f>
        <v>4916</v>
      </c>
      <c r="N247" s="9">
        <f>I247+N246-N243</f>
        <v>4916</v>
      </c>
      <c r="O247" s="10">
        <f>N247+O246-O243</f>
        <v>4658</v>
      </c>
      <c r="P247" s="10">
        <f>O247+P246-P243</f>
        <v>4117</v>
      </c>
      <c r="Q247" s="10">
        <f>P247+Q246-Q243</f>
        <v>3550</v>
      </c>
      <c r="R247" s="10">
        <f t="shared" ref="R247" si="87">Q247+R246-R243</f>
        <v>2962</v>
      </c>
      <c r="S247" s="10">
        <f>R247+S246-S243</f>
        <v>2892</v>
      </c>
      <c r="T247" s="9">
        <f>N247+T246-T243</f>
        <v>2892</v>
      </c>
      <c r="U247" s="9">
        <f>U246-U243</f>
        <v>2892</v>
      </c>
      <c r="V247" s="10">
        <f>U247+V246-V243</f>
        <v>2764</v>
      </c>
      <c r="W247" s="10">
        <f>V247+W246-W243</f>
        <v>2594</v>
      </c>
      <c r="X247" s="10">
        <f>W247+X246-X243</f>
        <v>2339</v>
      </c>
      <c r="Y247" s="10">
        <f>X247+Y246-Y243</f>
        <v>2254</v>
      </c>
      <c r="Z247" s="9">
        <f>T247+Z246-Z243</f>
        <v>2254</v>
      </c>
      <c r="AA247" s="10">
        <f>Z247+AA246-AA243</f>
        <v>1832</v>
      </c>
      <c r="AB247" s="10">
        <f>AA247+AB246-AB243</f>
        <v>1111</v>
      </c>
      <c r="AC247" s="10">
        <f>AB247+AC246-AC243</f>
        <v>265</v>
      </c>
      <c r="AD247" s="10">
        <f>AC247+AD246-AD243</f>
        <v>-455</v>
      </c>
      <c r="AE247" s="9">
        <f>Z247+AE246-AE243</f>
        <v>-455</v>
      </c>
      <c r="AF247" s="10">
        <f>AE247+AF246-AF243</f>
        <v>-738</v>
      </c>
      <c r="AG247" s="10">
        <f>AF247+AG246-AG243</f>
        <v>-1291</v>
      </c>
      <c r="AH247" s="10">
        <f>AG247+AH246-AH243</f>
        <v>-1834</v>
      </c>
      <c r="AI247" s="10">
        <f t="shared" ref="AI247:AJ247" si="88">AH247+AI246-AI243</f>
        <v>-2466</v>
      </c>
      <c r="AJ247" s="10">
        <f t="shared" si="88"/>
        <v>-2517</v>
      </c>
      <c r="AK247" s="9">
        <f>AE247+AK246-AK243</f>
        <v>-2517</v>
      </c>
      <c r="AL247" s="11">
        <f>T247+AL246-AL243</f>
        <v>-2517</v>
      </c>
      <c r="AM247" s="93"/>
      <c r="AN247" s="94">
        <f t="shared" si="70"/>
        <v>0</v>
      </c>
      <c r="AO247" s="94">
        <f t="shared" si="71"/>
        <v>0</v>
      </c>
    </row>
    <row r="248" spans="1:43">
      <c r="A248" s="82"/>
      <c r="B248" s="3" t="s">
        <v>9</v>
      </c>
      <c r="C248" s="84"/>
      <c r="D248" s="84"/>
      <c r="E248" s="57">
        <f>E247/(SUM(F243+H243+J243+G243)/20)*1000</f>
        <v>0</v>
      </c>
      <c r="F248" s="71">
        <f>F247/(SUM(G243+K243+J243+H243)/20)*1000</f>
        <v>86923.076923076922</v>
      </c>
      <c r="G248" s="71">
        <f>G247/(SUM(H243+J243+K243+L243)/20)*1000</f>
        <v>60927.536231884056</v>
      </c>
      <c r="H248" s="71">
        <f>H247/(SUM(M243+J243+K243+L243)/20)*1000</f>
        <v>51870.340356564018</v>
      </c>
      <c r="I248" s="37"/>
      <c r="J248" s="57">
        <f>J247/(SUM(K243+M243+O243+L243)/20)*1000</f>
        <v>52257.617728531855</v>
      </c>
      <c r="K248" s="57">
        <f>K247/(SUM(L243+P243+O243+M243)/20)*1000</f>
        <v>50850.505807418514</v>
      </c>
      <c r="L248" s="57">
        <f>L247/(SUM(M243+O243+P243+Q243)/20)*1000</f>
        <v>53841.75405147759</v>
      </c>
      <c r="M248" s="57">
        <f>M247/(SUM(R243+O243+P243+Q243)/20)*1000</f>
        <v>50317.297850562943</v>
      </c>
      <c r="N248" s="37"/>
      <c r="O248" s="57">
        <f>O247/(SUM(P243+R243+S243+Q243)/20)*1000</f>
        <v>52751.981879954699</v>
      </c>
      <c r="P248" s="57">
        <f>P247/(SUM(Q243+S243+V243+R243)/20)*1000</f>
        <v>60857.354028085727</v>
      </c>
      <c r="Q248" s="57">
        <f>Q247/(SUM(R243+S243+W243+V243)/20)*1000</f>
        <v>74267.782426778256</v>
      </c>
      <c r="R248" s="57">
        <f>R247/(SUM(T243+U243+V243+W243)/20)*1000</f>
        <v>5484.169598222551</v>
      </c>
      <c r="S248" s="57">
        <f>S247/(SUM(S243+V243+W243+X243)/20)*1000</f>
        <v>92841.09149277689</v>
      </c>
      <c r="T248" s="37"/>
      <c r="U248" s="38"/>
      <c r="V248" s="57">
        <f>V247/(SUM(W243+Y243+AA243+X243)/20)*1000</f>
        <v>59313.304721030043</v>
      </c>
      <c r="W248" s="57">
        <f>V247/(SUM(X243+AA243+AB243+Y243)/20)*1000</f>
        <v>37275.792312879297</v>
      </c>
      <c r="X248" s="57">
        <f>W247/(SUM(Y243+AA243+AB243+AC243)/20)*1000</f>
        <v>25014.464802314367</v>
      </c>
      <c r="Y248" s="57">
        <f>Y247/(SUM(AA243+AB243+AC243+AD243)/20)*1000</f>
        <v>16640.826873385013</v>
      </c>
      <c r="Z248" s="37"/>
      <c r="AA248" s="57">
        <f>AA247/(SUM(AB243+AD243+AF243+AC243)/20)*1000</f>
        <v>14256.809338521402</v>
      </c>
      <c r="AB248" s="57">
        <f>AB247/(SUM(AC243+AF243+AG243+AD243)/20)*1000</f>
        <v>9250.6244796003339</v>
      </c>
      <c r="AC248" s="57">
        <f>AC247/(SUM(AD243+AF243+AG243+AH243)/20)*1000</f>
        <v>2525.0119104335399</v>
      </c>
      <c r="AD248" s="57">
        <f>AD247/(SUM(AF243+AG243+AH243+AI243)/20)*1000</f>
        <v>-4525.1118846345107</v>
      </c>
      <c r="AE248" s="37"/>
      <c r="AF248" s="57">
        <f>AF247/(SUM(AG243+AI243+AJ243+AH243)/20)*1000</f>
        <v>-8296.7959527824623</v>
      </c>
      <c r="AG248" s="57">
        <f>AG247/(SUM(AH243+AJ243+AM243+AI243)/20)*1000</f>
        <v>-20015.503875968992</v>
      </c>
      <c r="AH248" s="57">
        <f>AH247/(SUM(AI243+AJ243+AN243+AM243)/20)*1000</f>
        <v>-67.492598446639818</v>
      </c>
      <c r="AI248" s="57">
        <f>AI247/(SUM(AK243+AL243+AM243+AN243)/20)*1000</f>
        <v>-89.631171002535183</v>
      </c>
      <c r="AJ248" s="57">
        <f>AJ247/(SUM(AJ243+AM243+AN243+AO243)/20)*1000</f>
        <v>-56.624721178928041</v>
      </c>
      <c r="AK248" s="37"/>
      <c r="AL248" s="38"/>
      <c r="AM248" s="93"/>
      <c r="AN248" s="94">
        <f t="shared" si="70"/>
        <v>0</v>
      </c>
      <c r="AO248" s="94">
        <f t="shared" si="71"/>
        <v>0</v>
      </c>
    </row>
    <row r="249" spans="1:43">
      <c r="A249" s="176" t="s">
        <v>29</v>
      </c>
      <c r="B249" s="1" t="s">
        <v>5</v>
      </c>
      <c r="C249" s="9"/>
      <c r="D249" s="9"/>
      <c r="E249" s="10">
        <v>819</v>
      </c>
      <c r="F249" s="10">
        <v>-463</v>
      </c>
      <c r="G249" s="10">
        <v>284</v>
      </c>
      <c r="H249" s="10">
        <v>31</v>
      </c>
      <c r="I249" s="9">
        <f>SUM(E249:H249)</f>
        <v>671</v>
      </c>
      <c r="J249" s="10">
        <v>13</v>
      </c>
      <c r="K249" s="10">
        <v>233</v>
      </c>
      <c r="L249" s="10">
        <v>381</v>
      </c>
      <c r="M249" s="10">
        <v>177</v>
      </c>
      <c r="N249" s="9">
        <f>SUM(J249:M249)</f>
        <v>804</v>
      </c>
      <c r="O249" s="10">
        <v>3</v>
      </c>
      <c r="P249" s="10">
        <v>184</v>
      </c>
      <c r="Q249" s="10">
        <v>281</v>
      </c>
      <c r="R249" s="10">
        <v>143</v>
      </c>
      <c r="S249" s="10">
        <v>0</v>
      </c>
      <c r="T249" s="9">
        <f>SUM(O249:S249)</f>
        <v>611</v>
      </c>
      <c r="U249" s="11">
        <f>T249+N249+I249+D253</f>
        <v>2560</v>
      </c>
      <c r="V249" s="10">
        <v>38</v>
      </c>
      <c r="W249" s="10">
        <v>50</v>
      </c>
      <c r="X249" s="10">
        <v>76</v>
      </c>
      <c r="Y249" s="10">
        <v>26</v>
      </c>
      <c r="Z249" s="9">
        <f>SUM(V249:Y249)</f>
        <v>190</v>
      </c>
      <c r="AA249" s="10">
        <v>13</v>
      </c>
      <c r="AB249" s="10">
        <v>113</v>
      </c>
      <c r="AC249" s="10">
        <v>181</v>
      </c>
      <c r="AD249" s="10">
        <v>97</v>
      </c>
      <c r="AE249" s="9">
        <f>SUM(AA249:AD249)</f>
        <v>404</v>
      </c>
      <c r="AF249" s="10">
        <v>3</v>
      </c>
      <c r="AG249" s="10">
        <v>184</v>
      </c>
      <c r="AH249" s="10">
        <v>281</v>
      </c>
      <c r="AI249" s="10">
        <v>143</v>
      </c>
      <c r="AJ249" s="10">
        <v>0</v>
      </c>
      <c r="AK249" s="9">
        <f>SUM(AF249:AJ249)</f>
        <v>611</v>
      </c>
      <c r="AL249" s="11">
        <f>AK249+AE249+Z249</f>
        <v>1205</v>
      </c>
      <c r="AM249" s="93">
        <v>128</v>
      </c>
      <c r="AN249" s="94">
        <f t="shared" si="70"/>
        <v>327680</v>
      </c>
      <c r="AO249" s="94">
        <f t="shared" si="71"/>
        <v>154240</v>
      </c>
    </row>
    <row r="250" spans="1:43">
      <c r="A250" s="177"/>
      <c r="B250" s="3" t="s">
        <v>6</v>
      </c>
      <c r="C250" s="9"/>
      <c r="D250" s="9"/>
      <c r="E250" s="10">
        <v>819</v>
      </c>
      <c r="F250" s="10"/>
      <c r="G250" s="10"/>
      <c r="H250" s="10"/>
      <c r="I250" s="9">
        <f>SUM(E250:H250)</f>
        <v>819</v>
      </c>
      <c r="J250" s="10"/>
      <c r="K250" s="10"/>
      <c r="L250" s="10"/>
      <c r="M250" s="10"/>
      <c r="N250" s="9">
        <f>SUM(J250:M250)</f>
        <v>0</v>
      </c>
      <c r="O250" s="10"/>
      <c r="P250" s="10"/>
      <c r="Q250" s="10"/>
      <c r="R250" s="10"/>
      <c r="S250" s="10"/>
      <c r="T250" s="37">
        <f>SUM(O250:S250)</f>
        <v>0</v>
      </c>
      <c r="U250" s="11">
        <f>I250+N250+T250</f>
        <v>819</v>
      </c>
      <c r="V250" s="10"/>
      <c r="W250" s="10"/>
      <c r="X250" s="10"/>
      <c r="Y250" s="10"/>
      <c r="Z250" s="9">
        <f>SUM(V250:Y250)</f>
        <v>0</v>
      </c>
      <c r="AA250" s="10"/>
      <c r="AB250" s="10"/>
      <c r="AC250" s="10"/>
      <c r="AD250" s="10"/>
      <c r="AE250" s="9">
        <f>SUM(AA250:AD250)</f>
        <v>0</v>
      </c>
      <c r="AF250" s="10"/>
      <c r="AG250" s="10"/>
      <c r="AH250" s="10"/>
      <c r="AI250" s="10"/>
      <c r="AJ250" s="10"/>
      <c r="AK250" s="9">
        <f>SUM(AF250:AJ250)</f>
        <v>0</v>
      </c>
      <c r="AL250" s="11">
        <f>Z250+AE250+AK250</f>
        <v>0</v>
      </c>
      <c r="AM250" s="93"/>
      <c r="AN250" s="94">
        <f t="shared" si="70"/>
        <v>0</v>
      </c>
      <c r="AO250" s="94">
        <f t="shared" si="71"/>
        <v>0</v>
      </c>
    </row>
    <row r="251" spans="1:43">
      <c r="A251" s="177"/>
      <c r="B251" s="3" t="s">
        <v>10</v>
      </c>
      <c r="C251" s="9">
        <v>2931</v>
      </c>
      <c r="D251" s="9"/>
      <c r="E251" s="10"/>
      <c r="F251" s="10">
        <v>2931</v>
      </c>
      <c r="G251" s="10"/>
      <c r="H251" s="10"/>
      <c r="I251" s="9"/>
      <c r="J251" s="10"/>
      <c r="K251" s="10"/>
      <c r="L251" s="10"/>
      <c r="M251" s="10"/>
      <c r="N251" s="9"/>
      <c r="O251" s="10"/>
      <c r="P251" s="10"/>
      <c r="Q251" s="10"/>
      <c r="R251" s="10"/>
      <c r="S251" s="10"/>
      <c r="T251" s="37"/>
      <c r="U251" s="11"/>
      <c r="V251" s="10"/>
      <c r="W251" s="10"/>
      <c r="X251" s="10"/>
      <c r="Y251" s="10"/>
      <c r="Z251" s="9"/>
      <c r="AA251" s="10"/>
      <c r="AB251" s="10"/>
      <c r="AC251" s="10"/>
      <c r="AD251" s="10"/>
      <c r="AE251" s="9"/>
      <c r="AF251" s="10"/>
      <c r="AG251" s="10"/>
      <c r="AH251" s="10"/>
      <c r="AI251" s="10"/>
      <c r="AJ251" s="10"/>
      <c r="AK251" s="9"/>
      <c r="AL251" s="11"/>
      <c r="AM251" s="93"/>
      <c r="AN251" s="94">
        <f t="shared" si="70"/>
        <v>0</v>
      </c>
      <c r="AO251" s="94">
        <f t="shared" si="71"/>
        <v>0</v>
      </c>
    </row>
    <row r="252" spans="1:43">
      <c r="A252" s="177"/>
      <c r="B252" s="3" t="s">
        <v>7</v>
      </c>
      <c r="C252" s="9"/>
      <c r="D252" s="9"/>
      <c r="E252" s="10">
        <f>E251+E250</f>
        <v>819</v>
      </c>
      <c r="F252" s="10">
        <f>F251+F250</f>
        <v>2931</v>
      </c>
      <c r="G252" s="10">
        <f>G251+G250</f>
        <v>0</v>
      </c>
      <c r="H252" s="10">
        <f>H251+H250</f>
        <v>0</v>
      </c>
      <c r="I252" s="9">
        <f>SUM(E252:H252)</f>
        <v>3750</v>
      </c>
      <c r="J252" s="10">
        <f>J251+J250</f>
        <v>0</v>
      </c>
      <c r="K252" s="10">
        <f>K251+K250</f>
        <v>0</v>
      </c>
      <c r="L252" s="10">
        <f>L251+L250</f>
        <v>0</v>
      </c>
      <c r="M252" s="10">
        <f>M251+M250</f>
        <v>0</v>
      </c>
      <c r="N252" s="9">
        <f>SUM(J252:M252)</f>
        <v>0</v>
      </c>
      <c r="O252" s="10">
        <f>O251+O250</f>
        <v>0</v>
      </c>
      <c r="P252" s="10">
        <f>P251+P250</f>
        <v>0</v>
      </c>
      <c r="Q252" s="10">
        <f>Q251+Q250</f>
        <v>0</v>
      </c>
      <c r="R252" s="10">
        <f>R251+R250</f>
        <v>0</v>
      </c>
      <c r="S252" s="10">
        <f>S251+S250</f>
        <v>0</v>
      </c>
      <c r="T252" s="37">
        <f>SUM(O252:S252)</f>
        <v>0</v>
      </c>
      <c r="U252" s="11">
        <f>T252+N252+I252+D253</f>
        <v>4224</v>
      </c>
      <c r="V252" s="10">
        <f>V251+V250</f>
        <v>0</v>
      </c>
      <c r="W252" s="10">
        <f>W251+W250</f>
        <v>0</v>
      </c>
      <c r="X252" s="10">
        <f>X251+X250</f>
        <v>0</v>
      </c>
      <c r="Y252" s="10">
        <f>Y251+Y250</f>
        <v>0</v>
      </c>
      <c r="Z252" s="9">
        <f>SUM(V252:Y252)</f>
        <v>0</v>
      </c>
      <c r="AA252" s="10">
        <f>AA251+AA250</f>
        <v>0</v>
      </c>
      <c r="AB252" s="10">
        <f>AB251+AB250</f>
        <v>0</v>
      </c>
      <c r="AC252" s="10">
        <f>AC251+AC250</f>
        <v>0</v>
      </c>
      <c r="AD252" s="10">
        <f>AD251+AD250</f>
        <v>0</v>
      </c>
      <c r="AE252" s="9">
        <f>SUM(AA252:AD252)</f>
        <v>0</v>
      </c>
      <c r="AF252" s="10">
        <f>AF251+AF250</f>
        <v>0</v>
      </c>
      <c r="AG252" s="10">
        <f>AG251+AG250</f>
        <v>0</v>
      </c>
      <c r="AH252" s="10">
        <f>AH251+AH250</f>
        <v>0</v>
      </c>
      <c r="AI252" s="10">
        <f>AI251+AI250</f>
        <v>0</v>
      </c>
      <c r="AJ252" s="10">
        <f>AJ251+AJ250</f>
        <v>0</v>
      </c>
      <c r="AK252" s="9">
        <f>SUM(AF252:AJ252)</f>
        <v>0</v>
      </c>
      <c r="AL252" s="11">
        <f>AK252+AE252+Z252</f>
        <v>0</v>
      </c>
      <c r="AM252" s="93"/>
      <c r="AN252" s="94">
        <f t="shared" si="70"/>
        <v>0</v>
      </c>
      <c r="AO252" s="94">
        <f t="shared" si="71"/>
        <v>0</v>
      </c>
    </row>
    <row r="253" spans="1:43">
      <c r="A253" s="178"/>
      <c r="B253" s="2" t="s">
        <v>8</v>
      </c>
      <c r="C253" s="65">
        <v>4303</v>
      </c>
      <c r="D253" s="95">
        <v>474</v>
      </c>
      <c r="E253" s="81">
        <f>E252-E249</f>
        <v>0</v>
      </c>
      <c r="F253" s="10">
        <f>E253+F252-F249</f>
        <v>3394</v>
      </c>
      <c r="G253" s="10">
        <f>F253+G252-G249</f>
        <v>3110</v>
      </c>
      <c r="H253" s="10">
        <f>G253+H252-H249</f>
        <v>3079</v>
      </c>
      <c r="I253" s="9">
        <f>I252-I249</f>
        <v>3079</v>
      </c>
      <c r="J253" s="10">
        <f>I253+J252-J249</f>
        <v>3066</v>
      </c>
      <c r="K253" s="10">
        <f>J253+K252-K249</f>
        <v>2833</v>
      </c>
      <c r="L253" s="10">
        <f>K253+L252-L249</f>
        <v>2452</v>
      </c>
      <c r="M253" s="10">
        <f>L253+M252-M249</f>
        <v>2275</v>
      </c>
      <c r="N253" s="9">
        <f>I253+N252-N249</f>
        <v>2275</v>
      </c>
      <c r="O253" s="10">
        <f>N253+O252-O249</f>
        <v>2272</v>
      </c>
      <c r="P253" s="10">
        <f>O253+P252-P249</f>
        <v>2088</v>
      </c>
      <c r="Q253" s="10">
        <f>P253+Q252-Q249</f>
        <v>1807</v>
      </c>
      <c r="R253" s="10">
        <f>Q253+R252-R249</f>
        <v>1664</v>
      </c>
      <c r="S253" s="10">
        <f>R253+S252-S249</f>
        <v>1664</v>
      </c>
      <c r="T253" s="37">
        <f>N253+T252-T249</f>
        <v>1664</v>
      </c>
      <c r="U253" s="9">
        <f>U252-U249</f>
        <v>1664</v>
      </c>
      <c r="V253" s="10">
        <f>U253+V252-V249</f>
        <v>1626</v>
      </c>
      <c r="W253" s="10">
        <f>V253+W252-W249</f>
        <v>1576</v>
      </c>
      <c r="X253" s="10">
        <f>W253+X252-X249</f>
        <v>1500</v>
      </c>
      <c r="Y253" s="10">
        <f>X253+Y252-Y249</f>
        <v>1474</v>
      </c>
      <c r="Z253" s="9">
        <f>T253+Z252-Z249</f>
        <v>1474</v>
      </c>
      <c r="AA253" s="10">
        <f>Z253+AA252-AA249</f>
        <v>1461</v>
      </c>
      <c r="AB253" s="10">
        <f>AA253+AB252-AB249</f>
        <v>1348</v>
      </c>
      <c r="AC253" s="10">
        <f>AB253+AC252-AC249</f>
        <v>1167</v>
      </c>
      <c r="AD253" s="10">
        <f>AC253+AD252-AD249</f>
        <v>1070</v>
      </c>
      <c r="AE253" s="9">
        <f>Z253+AE252-AE249</f>
        <v>1070</v>
      </c>
      <c r="AF253" s="10">
        <f>AE253+AF252-AF249</f>
        <v>1067</v>
      </c>
      <c r="AG253" s="10">
        <f>AF253+AG252-AG249</f>
        <v>883</v>
      </c>
      <c r="AH253" s="10">
        <f>AG253+AH252-AH249</f>
        <v>602</v>
      </c>
      <c r="AI253" s="10">
        <f t="shared" ref="AI253:AJ253" si="89">AH253+AI252-AI249</f>
        <v>459</v>
      </c>
      <c r="AJ253" s="10">
        <f t="shared" si="89"/>
        <v>459</v>
      </c>
      <c r="AK253" s="9">
        <f>AE253+AK252-AK249</f>
        <v>459</v>
      </c>
      <c r="AL253" s="11">
        <f>T253+AL252-AL249</f>
        <v>459</v>
      </c>
      <c r="AM253" s="93"/>
      <c r="AN253" s="94">
        <f t="shared" si="70"/>
        <v>0</v>
      </c>
      <c r="AO253" s="94">
        <f t="shared" si="71"/>
        <v>0</v>
      </c>
    </row>
    <row r="254" spans="1:43">
      <c r="A254" s="82"/>
      <c r="B254" s="3" t="s">
        <v>9</v>
      </c>
      <c r="C254" s="84"/>
      <c r="D254" s="84"/>
      <c r="E254" s="57">
        <f>E253/(SUM(F249+H249+J249+G249)/20)*1000</f>
        <v>0</v>
      </c>
      <c r="F254" s="71">
        <f>F253/(SUM(G249+J249+K249+H249)/20)*1000</f>
        <v>120998.2174688057</v>
      </c>
      <c r="G254" s="71">
        <f>G253/(SUM(H249+J249+K249+L249)/20)*1000</f>
        <v>94528.875379939214</v>
      </c>
      <c r="H254" s="71">
        <f>H253/(SUM(J249+K249+L249+M249)/20)*1000</f>
        <v>76592.03980099503</v>
      </c>
      <c r="I254" s="37"/>
      <c r="J254" s="57">
        <f>J253/(SUM(K249+M249+O249+L249)/20)*1000</f>
        <v>77229.219143576833</v>
      </c>
      <c r="K254" s="57">
        <f>K253/(SUM(L249+P249+O249+M249)/20)*1000</f>
        <v>76053.691275167774</v>
      </c>
      <c r="L254" s="57">
        <f>L253/(SUM(M249+O249+P249+Q249)/20)*1000</f>
        <v>76031.007751937985</v>
      </c>
      <c r="M254" s="57">
        <f>M253/(SUM(R249+O249+P249+Q249)/20)*1000</f>
        <v>74468.085106382976</v>
      </c>
      <c r="N254" s="37"/>
      <c r="O254" s="57">
        <f>O253/(SUM(P249+R249+S249+Q249)/20)*1000</f>
        <v>74736.84210526316</v>
      </c>
      <c r="P254" s="57">
        <f>P253/(SUM(Q249+S249+V249+R249)/20)*1000</f>
        <v>90389.610389610389</v>
      </c>
      <c r="Q254" s="57">
        <f>Q253/(SUM(R249+S249+W249+V249)/20)*1000</f>
        <v>156450.21645021642</v>
      </c>
      <c r="R254" s="57">
        <f>R253/(SUM(T249+U249+V249+W249)/20)*1000</f>
        <v>10211.721386928506</v>
      </c>
      <c r="S254" s="57">
        <f>S253/(SUM(S249+V249+W249+X249)/20)*1000</f>
        <v>202926.8292682927</v>
      </c>
      <c r="T254" s="37"/>
      <c r="U254" s="37"/>
      <c r="V254" s="57">
        <f>V253/(SUM(W249+Y249+AA249+X249)/20)*1000</f>
        <v>197090.90909090909</v>
      </c>
      <c r="W254" s="57">
        <f>V253/(SUM(X249+AA249+AB249+Y249)/20)*1000</f>
        <v>142631.5789473684</v>
      </c>
      <c r="X254" s="57">
        <f>W253/(SUM(Y249+AA249+AB249+AC249)/20)*1000</f>
        <v>94654.65465465466</v>
      </c>
      <c r="Y254" s="57">
        <f>Y253/(SUM(AA249+AB249+AC249+AD249)/20)*1000</f>
        <v>72970.297029702982</v>
      </c>
      <c r="Z254" s="37"/>
      <c r="AA254" s="57">
        <f>AA253/(SUM(AB249+AD249+AF249+AC249)/20)*1000</f>
        <v>74162.436548223355</v>
      </c>
      <c r="AB254" s="57">
        <f>AB253/(SUM(AC249+AF249+AG249+AD249)/20)*1000</f>
        <v>57978.494623655912</v>
      </c>
      <c r="AC254" s="57">
        <f>AC253/(SUM(AD249+AF249+AG249+AH249)/20)*1000</f>
        <v>41309.734513274336</v>
      </c>
      <c r="AD254" s="57">
        <f>AD253/(SUM(AF249+AG249+AH249+AI249)/20)*1000</f>
        <v>35024.549918166944</v>
      </c>
      <c r="AE254" s="37"/>
      <c r="AF254" s="57">
        <f>AF253/(SUM(AG249+AI249+AJ249+AH249)/20)*1000</f>
        <v>35098.684210526313</v>
      </c>
      <c r="AG254" s="57">
        <f>AG253/(SUM(AH249+AJ249+AM249+AI249)/20)*1000</f>
        <v>31992.753623188404</v>
      </c>
      <c r="AH254" s="57">
        <f>AH253/(SUM(AI249+AJ249+AN249+AM249)/20)*1000</f>
        <v>36.712801607557232</v>
      </c>
      <c r="AI254" s="57">
        <f>AI253/(SUM(AK249+AL249+AM249+AN249)/20)*1000</f>
        <v>27.849913841225153</v>
      </c>
      <c r="AJ254" s="57">
        <f>AJ253/(SUM(AJ249+AM249+AN249+AO249)/20)*1000</f>
        <v>19.043746680828463</v>
      </c>
      <c r="AK254" s="37"/>
      <c r="AL254" s="38"/>
      <c r="AM254" s="93"/>
      <c r="AN254" s="94">
        <f t="shared" si="70"/>
        <v>0</v>
      </c>
      <c r="AO254" s="94">
        <f t="shared" si="71"/>
        <v>0</v>
      </c>
    </row>
    <row r="255" spans="1:43">
      <c r="A255" s="176" t="s">
        <v>30</v>
      </c>
      <c r="B255" s="1" t="s">
        <v>5</v>
      </c>
      <c r="C255" s="9"/>
      <c r="D255" s="9"/>
      <c r="E255" s="10"/>
      <c r="F255" s="10">
        <v>0</v>
      </c>
      <c r="G255" s="10">
        <v>0</v>
      </c>
      <c r="H255" s="10">
        <v>0</v>
      </c>
      <c r="I255" s="9">
        <f>SUM(E255:H255)</f>
        <v>0</v>
      </c>
      <c r="J255" s="10">
        <v>207</v>
      </c>
      <c r="K255" s="10">
        <v>356</v>
      </c>
      <c r="L255" s="10">
        <v>356</v>
      </c>
      <c r="M255" s="10">
        <v>201</v>
      </c>
      <c r="N255" s="9">
        <f>SUM(J255:M255)</f>
        <v>1120</v>
      </c>
      <c r="O255" s="10">
        <v>371</v>
      </c>
      <c r="P255" s="10">
        <v>258</v>
      </c>
      <c r="Q255" s="10">
        <v>284</v>
      </c>
      <c r="R255" s="10">
        <v>197</v>
      </c>
      <c r="S255" s="10">
        <v>250</v>
      </c>
      <c r="T255" s="9">
        <f>SUM(O255:S255)</f>
        <v>1360</v>
      </c>
      <c r="U255" s="11">
        <f>T255+N255+I255+D259</f>
        <v>2480</v>
      </c>
      <c r="V255" s="10">
        <v>214</v>
      </c>
      <c r="W255" s="10">
        <v>216</v>
      </c>
      <c r="X255" s="10">
        <v>278</v>
      </c>
      <c r="Y255" s="10">
        <v>0</v>
      </c>
      <c r="Z255" s="9">
        <f>SUM(V255:Y255)</f>
        <v>708</v>
      </c>
      <c r="AA255" s="10">
        <v>181</v>
      </c>
      <c r="AB255" s="10">
        <v>324</v>
      </c>
      <c r="AC255" s="10">
        <v>324</v>
      </c>
      <c r="AD255" s="10">
        <v>184</v>
      </c>
      <c r="AE255" s="9">
        <f>SUM(AA255:AD255)</f>
        <v>1013</v>
      </c>
      <c r="AF255" s="10">
        <v>362</v>
      </c>
      <c r="AG255" s="10">
        <v>249</v>
      </c>
      <c r="AH255" s="10">
        <v>284</v>
      </c>
      <c r="AI255" s="10">
        <v>183</v>
      </c>
      <c r="AJ255" s="10">
        <v>229</v>
      </c>
      <c r="AK255" s="9">
        <f>SUM(AF255:AJ255)</f>
        <v>1307</v>
      </c>
      <c r="AL255" s="11">
        <f>AK255+AE255+Z255</f>
        <v>3028</v>
      </c>
      <c r="AM255" s="93">
        <v>32</v>
      </c>
      <c r="AN255" s="94">
        <f t="shared" si="70"/>
        <v>79360</v>
      </c>
      <c r="AO255" s="94">
        <f t="shared" si="71"/>
        <v>96896</v>
      </c>
      <c r="AP255" s="101"/>
      <c r="AQ255" s="102"/>
    </row>
    <row r="256" spans="1:43">
      <c r="A256" s="177"/>
      <c r="B256" s="3" t="s">
        <v>6</v>
      </c>
      <c r="C256" s="9"/>
      <c r="D256" s="9"/>
      <c r="E256" s="10"/>
      <c r="F256" s="10"/>
      <c r="G256" s="10"/>
      <c r="H256" s="10"/>
      <c r="I256" s="9">
        <f>SUM(E256:H256)</f>
        <v>0</v>
      </c>
      <c r="J256" s="10"/>
      <c r="K256" s="10"/>
      <c r="L256" s="10"/>
      <c r="M256" s="10"/>
      <c r="N256" s="37">
        <f>SUM(J256:M256)</f>
        <v>0</v>
      </c>
      <c r="O256" s="10"/>
      <c r="P256" s="10"/>
      <c r="Q256" s="10"/>
      <c r="R256" s="10"/>
      <c r="S256" s="10"/>
      <c r="T256" s="37">
        <f>SUM(O256:S256)</f>
        <v>0</v>
      </c>
      <c r="U256" s="11">
        <f>I256+N256+T256</f>
        <v>0</v>
      </c>
      <c r="V256" s="10"/>
      <c r="W256" s="10"/>
      <c r="X256" s="10"/>
      <c r="Y256" s="10"/>
      <c r="Z256" s="9">
        <f>SUM(V256:Y256)</f>
        <v>0</v>
      </c>
      <c r="AA256" s="10"/>
      <c r="AB256" s="10"/>
      <c r="AC256" s="10"/>
      <c r="AD256" s="10"/>
      <c r="AE256" s="37">
        <f>SUM(AA256:AD256)</f>
        <v>0</v>
      </c>
      <c r="AF256" s="10"/>
      <c r="AG256" s="10"/>
      <c r="AH256" s="10"/>
      <c r="AI256" s="10"/>
      <c r="AJ256" s="10">
        <v>3000</v>
      </c>
      <c r="AK256" s="9">
        <f>SUM(AF256:AJ256)</f>
        <v>3000</v>
      </c>
      <c r="AL256" s="11">
        <f>Z256+AE256+AK256</f>
        <v>3000</v>
      </c>
      <c r="AM256" s="93"/>
      <c r="AN256" s="94">
        <f t="shared" si="70"/>
        <v>0</v>
      </c>
      <c r="AO256" s="94">
        <f t="shared" si="71"/>
        <v>0</v>
      </c>
    </row>
    <row r="257" spans="1:43">
      <c r="A257" s="177"/>
      <c r="B257" s="3" t="s">
        <v>10</v>
      </c>
      <c r="C257" s="9">
        <v>0</v>
      </c>
      <c r="D257" s="9"/>
      <c r="E257" s="10"/>
      <c r="F257" s="10"/>
      <c r="G257" s="10"/>
      <c r="H257" s="10"/>
      <c r="I257" s="9"/>
      <c r="J257" s="10"/>
      <c r="K257" s="10"/>
      <c r="L257" s="10"/>
      <c r="M257" s="10"/>
      <c r="N257" s="37"/>
      <c r="O257" s="10"/>
      <c r="P257" s="10"/>
      <c r="Q257" s="10"/>
      <c r="R257" s="10"/>
      <c r="S257" s="10"/>
      <c r="T257" s="37"/>
      <c r="U257" s="11"/>
      <c r="V257" s="10"/>
      <c r="W257" s="10"/>
      <c r="X257" s="10"/>
      <c r="Y257" s="10"/>
      <c r="Z257" s="9"/>
      <c r="AA257" s="10"/>
      <c r="AB257" s="10"/>
      <c r="AC257" s="10"/>
      <c r="AD257" s="10"/>
      <c r="AE257" s="37"/>
      <c r="AF257" s="10"/>
      <c r="AG257" s="10"/>
      <c r="AH257" s="10"/>
      <c r="AI257" s="10"/>
      <c r="AJ257" s="10"/>
      <c r="AK257" s="9"/>
      <c r="AL257" s="11"/>
      <c r="AM257" s="93"/>
      <c r="AN257" s="94">
        <f t="shared" si="70"/>
        <v>0</v>
      </c>
      <c r="AO257" s="94">
        <f t="shared" si="71"/>
        <v>0</v>
      </c>
    </row>
    <row r="258" spans="1:43">
      <c r="A258" s="177"/>
      <c r="B258" s="3" t="s">
        <v>7</v>
      </c>
      <c r="C258" s="9"/>
      <c r="D258" s="9"/>
      <c r="E258" s="10">
        <f>E257+E256</f>
        <v>0</v>
      </c>
      <c r="F258" s="10">
        <f>F257+F256</f>
        <v>0</v>
      </c>
      <c r="G258" s="10">
        <f>G257+G256</f>
        <v>0</v>
      </c>
      <c r="H258" s="10">
        <f>H257+H256</f>
        <v>0</v>
      </c>
      <c r="I258" s="9">
        <f>SUM(E258:H258)</f>
        <v>0</v>
      </c>
      <c r="J258" s="10">
        <f>J257+J256</f>
        <v>0</v>
      </c>
      <c r="K258" s="10">
        <f>K257+K256</f>
        <v>0</v>
      </c>
      <c r="L258" s="10">
        <f>L257+L256</f>
        <v>0</v>
      </c>
      <c r="M258" s="10">
        <f>M257+M256</f>
        <v>0</v>
      </c>
      <c r="N258" s="37">
        <f>SUM(J258:M258)</f>
        <v>0</v>
      </c>
      <c r="O258" s="10">
        <f>O257+O256</f>
        <v>0</v>
      </c>
      <c r="P258" s="10">
        <f>P257+P256</f>
        <v>0</v>
      </c>
      <c r="Q258" s="10">
        <f>Q257+Q256</f>
        <v>0</v>
      </c>
      <c r="R258" s="10">
        <f>R257+R256</f>
        <v>0</v>
      </c>
      <c r="S258" s="10">
        <f>S257+S256</f>
        <v>0</v>
      </c>
      <c r="T258" s="37">
        <f>SUM(O258:S258)</f>
        <v>0</v>
      </c>
      <c r="U258" s="11">
        <f>T258+N258+I258+D259</f>
        <v>0</v>
      </c>
      <c r="V258" s="10">
        <f>V257+V256</f>
        <v>0</v>
      </c>
      <c r="W258" s="10">
        <f>W257+W256</f>
        <v>0</v>
      </c>
      <c r="X258" s="10">
        <f>X257+X256</f>
        <v>0</v>
      </c>
      <c r="Y258" s="10">
        <f>Y257+Y256</f>
        <v>0</v>
      </c>
      <c r="Z258" s="9">
        <f>SUM(V258:Y258)</f>
        <v>0</v>
      </c>
      <c r="AA258" s="10">
        <f>AA257+AA256</f>
        <v>0</v>
      </c>
      <c r="AB258" s="10">
        <f>AB257+AB256</f>
        <v>0</v>
      </c>
      <c r="AC258" s="10">
        <f>AC257+AC256</f>
        <v>0</v>
      </c>
      <c r="AD258" s="10">
        <f>AD257+AD256</f>
        <v>0</v>
      </c>
      <c r="AE258" s="37">
        <f>SUM(AA258:AD258)</f>
        <v>0</v>
      </c>
      <c r="AF258" s="10">
        <f>AF257+AF256</f>
        <v>0</v>
      </c>
      <c r="AG258" s="10">
        <f>AG257+AG256</f>
        <v>0</v>
      </c>
      <c r="AH258" s="10">
        <f>AH257+AH256</f>
        <v>0</v>
      </c>
      <c r="AI258" s="10">
        <f>AI257+AI256</f>
        <v>0</v>
      </c>
      <c r="AJ258" s="10">
        <f>AJ257+AJ256</f>
        <v>3000</v>
      </c>
      <c r="AK258" s="9">
        <f>SUM(AF258:AJ258)</f>
        <v>3000</v>
      </c>
      <c r="AL258" s="11">
        <f>AK258+AE258+Z258</f>
        <v>3000</v>
      </c>
      <c r="AM258" s="93"/>
      <c r="AN258" s="94">
        <f t="shared" si="70"/>
        <v>0</v>
      </c>
      <c r="AO258" s="94">
        <f t="shared" si="71"/>
        <v>0</v>
      </c>
    </row>
    <row r="259" spans="1:43">
      <c r="A259" s="178"/>
      <c r="B259" s="2" t="s">
        <v>8</v>
      </c>
      <c r="C259" s="65">
        <v>0</v>
      </c>
      <c r="D259" s="95"/>
      <c r="E259" s="10">
        <f>E258-E255</f>
        <v>0</v>
      </c>
      <c r="F259" s="10">
        <f>E259+F258-F255</f>
        <v>0</v>
      </c>
      <c r="G259" s="10">
        <f>F259+G258-G255</f>
        <v>0</v>
      </c>
      <c r="H259" s="10">
        <f>G259+H258-H255</f>
        <v>0</v>
      </c>
      <c r="I259" s="9">
        <f>I258-I255</f>
        <v>0</v>
      </c>
      <c r="J259" s="10">
        <f>I259+J258-J255</f>
        <v>-207</v>
      </c>
      <c r="K259" s="10">
        <f>J259+K258-K255</f>
        <v>-563</v>
      </c>
      <c r="L259" s="10">
        <f>K259+L258-L255</f>
        <v>-919</v>
      </c>
      <c r="M259" s="10">
        <f>L259+M258-M255</f>
        <v>-1120</v>
      </c>
      <c r="N259" s="37">
        <f>I259+N258-N255</f>
        <v>-1120</v>
      </c>
      <c r="O259" s="10">
        <f>N259+O258-O255</f>
        <v>-1491</v>
      </c>
      <c r="P259" s="10">
        <f>O259+P258-P255</f>
        <v>-1749</v>
      </c>
      <c r="Q259" s="10">
        <f>P259+Q258-Q255</f>
        <v>-2033</v>
      </c>
      <c r="R259" s="10">
        <f t="shared" ref="R259" si="90">Q259+R258-R255</f>
        <v>-2230</v>
      </c>
      <c r="S259" s="10">
        <f>R259+S258-S255</f>
        <v>-2480</v>
      </c>
      <c r="T259" s="37">
        <f>N259+T258-T255</f>
        <v>-2480</v>
      </c>
      <c r="U259" s="9">
        <f>U258-U255</f>
        <v>-2480</v>
      </c>
      <c r="V259" s="10">
        <f>U259+V258-V255</f>
        <v>-2694</v>
      </c>
      <c r="W259" s="10">
        <f>V259+W258-W255</f>
        <v>-2910</v>
      </c>
      <c r="X259" s="10">
        <f>W259+X258-X255</f>
        <v>-3188</v>
      </c>
      <c r="Y259" s="10">
        <f>X259+Y258-Y255</f>
        <v>-3188</v>
      </c>
      <c r="Z259" s="9">
        <f>T259+Z258-Z255</f>
        <v>-3188</v>
      </c>
      <c r="AA259" s="10">
        <f>Z259+AA258-AA255</f>
        <v>-3369</v>
      </c>
      <c r="AB259" s="10">
        <f>AA259+AB258-AB255</f>
        <v>-3693</v>
      </c>
      <c r="AC259" s="10">
        <f>AB259+AC258-AC255</f>
        <v>-4017</v>
      </c>
      <c r="AD259" s="10">
        <f>AC259+AD258-AD255</f>
        <v>-4201</v>
      </c>
      <c r="AE259" s="37">
        <f>Z259+AE258-AE255</f>
        <v>-4201</v>
      </c>
      <c r="AF259" s="10">
        <f>AE259+AF258-AF255</f>
        <v>-4563</v>
      </c>
      <c r="AG259" s="10">
        <f>AF259+AG258-AG255</f>
        <v>-4812</v>
      </c>
      <c r="AH259" s="10">
        <f>AG259+AH258-AH255</f>
        <v>-5096</v>
      </c>
      <c r="AI259" s="10">
        <f>AH259+AI258-AI255</f>
        <v>-5279</v>
      </c>
      <c r="AJ259" s="10">
        <f>AI259+AJ258-AJ255</f>
        <v>-2508</v>
      </c>
      <c r="AK259" s="9">
        <f>AE259+AK258-AK255</f>
        <v>-2508</v>
      </c>
      <c r="AL259" s="11">
        <f>T259+AL258-AL255</f>
        <v>-2508</v>
      </c>
      <c r="AM259" s="93"/>
      <c r="AN259" s="94">
        <f t="shared" si="70"/>
        <v>0</v>
      </c>
      <c r="AO259" s="94">
        <f t="shared" si="71"/>
        <v>0</v>
      </c>
    </row>
    <row r="260" spans="1:43">
      <c r="A260" s="82"/>
      <c r="B260" s="3" t="s">
        <v>9</v>
      </c>
      <c r="C260" s="84"/>
      <c r="D260" s="84"/>
      <c r="E260" s="57">
        <f>E259/(SUM(F255+H255+J255+G255)/20)*1000</f>
        <v>0</v>
      </c>
      <c r="F260" s="71">
        <f>F259/(SUM(G255+J255+K255+H255)/20)*1000</f>
        <v>0</v>
      </c>
      <c r="G260" s="71">
        <f>G259/(SUM(H255+J255+K255+L255)/20)*1000</f>
        <v>0</v>
      </c>
      <c r="H260" s="71">
        <f>H259/(SUM(J255+K255+L255+M255)/20)*1000</f>
        <v>0</v>
      </c>
      <c r="I260" s="37"/>
      <c r="J260" s="57">
        <f>J259/(SUM(K255+M255+O255+L255)/20)*1000</f>
        <v>-3224.299065420561</v>
      </c>
      <c r="K260" s="57">
        <f>K259/(SUM(L255+P255+O255+M255)/20)*1000</f>
        <v>-9494.0978077571672</v>
      </c>
      <c r="L260" s="57">
        <f>L259/(SUM(M255+O255+P255+Q255)/20)*1000</f>
        <v>-16499.102333931776</v>
      </c>
      <c r="M260" s="57">
        <f>M259/(SUM(R255+O255+P255+Q255)/20)*1000</f>
        <v>-20180.180180180181</v>
      </c>
      <c r="N260" s="37"/>
      <c r="O260" s="57">
        <f>O259/(SUM(P255+R255+S255+Q255)/20)*1000</f>
        <v>-30151.668351870576</v>
      </c>
      <c r="P260" s="57">
        <f>P259/(SUM(Q255+S255+V255+R255)/20)*1000</f>
        <v>-37015.873015873018</v>
      </c>
      <c r="Q260" s="57">
        <f>Q259/(SUM(R255+S255+W255+V255)/20)*1000</f>
        <v>-46362.599771949826</v>
      </c>
      <c r="R260" s="57">
        <f>R259/(SUM(T255+U255+V255+W255)/20)*1000</f>
        <v>-10444.964871194379</v>
      </c>
      <c r="S260" s="57">
        <f>S259/(SUM(S255+V255+W255+X255)/20)*1000</f>
        <v>-51774.530271398748</v>
      </c>
      <c r="T260" s="37"/>
      <c r="U260" s="37"/>
      <c r="V260" s="57">
        <f>V259/(SUM(W255+Y255+AA255+X255)/20)*1000</f>
        <v>-79822.222222222219</v>
      </c>
      <c r="W260" s="57">
        <f>V259/(SUM(X255+AA255+AB255+Y255)/20)*1000</f>
        <v>-68812.260536398462</v>
      </c>
      <c r="X260" s="57">
        <f>W259/(SUM(Y255+AA255+AB255+AC255)/20)*1000</f>
        <v>-70205.06634499396</v>
      </c>
      <c r="Y260" s="57">
        <f>Y259/(SUM(AA255+AB255+AC255+AD255)/20)*1000</f>
        <v>-62941.757156959524</v>
      </c>
      <c r="Z260" s="37"/>
      <c r="AA260" s="57">
        <f>AA259/(SUM(AB255+AD255+AF255+AC255)/20)*1000</f>
        <v>-56432.160804020103</v>
      </c>
      <c r="AB260" s="57">
        <f>AB259/(SUM(AC255+AF255+AG255+AD255)/20)*1000</f>
        <v>-66005.361930294894</v>
      </c>
      <c r="AC260" s="57">
        <f>AC259/(SUM(AD255+AF255+AG255+AH255)/20)*1000</f>
        <v>-74457.831325301202</v>
      </c>
      <c r="AD260" s="57">
        <f>AD259/(SUM(AF255+AG255+AH255+AI255)/20)*1000</f>
        <v>-77940.630797773643</v>
      </c>
      <c r="AE260" s="37"/>
      <c r="AF260" s="57">
        <f>AF259/(SUM(AG255+AI255+AJ255+AH255)/20)*1000</f>
        <v>-96571.428571428565</v>
      </c>
      <c r="AG260" s="57">
        <f>AG259/(SUM(AH255+AJ255+AM255+AI255)/20)*1000</f>
        <v>-132197.8021978022</v>
      </c>
      <c r="AH260" s="57">
        <f>AH259/(SUM(AI255+AJ255+AN255+AM255)/20)*1000</f>
        <v>-1277.1289659666184</v>
      </c>
      <c r="AI260" s="57">
        <f>AI259/(SUM(AK255+AL255+AM255+AN255)/20)*1000</f>
        <v>-1261.0030217253691</v>
      </c>
      <c r="AJ260" s="57">
        <f>AJ259/(SUM(AJ255+AM255+AN255+AO255)/20)*1000</f>
        <v>-284.16526453542718</v>
      </c>
      <c r="AK260" s="37"/>
      <c r="AL260" s="38"/>
      <c r="AM260" s="93"/>
      <c r="AN260" s="94">
        <f t="shared" si="70"/>
        <v>0</v>
      </c>
      <c r="AO260" s="94">
        <f t="shared" ref="AO260:AO277" si="91">AM260*AL260</f>
        <v>0</v>
      </c>
    </row>
    <row r="261" spans="1:43">
      <c r="A261" s="176" t="s">
        <v>31</v>
      </c>
      <c r="B261" s="1" t="s">
        <v>5</v>
      </c>
      <c r="C261" s="9"/>
      <c r="D261" s="9"/>
      <c r="E261" s="10"/>
      <c r="F261" s="10">
        <v>-823</v>
      </c>
      <c r="G261" s="10">
        <v>12</v>
      </c>
      <c r="H261" s="10">
        <v>35</v>
      </c>
      <c r="I261" s="9">
        <f>SUM(E261:H261)</f>
        <v>-776</v>
      </c>
      <c r="J261" s="10">
        <v>119</v>
      </c>
      <c r="K261" s="10">
        <v>166</v>
      </c>
      <c r="L261" s="10">
        <v>93</v>
      </c>
      <c r="M261" s="10">
        <v>22</v>
      </c>
      <c r="N261" s="9">
        <f>SUM(J261:M261)</f>
        <v>400</v>
      </c>
      <c r="O261" s="10">
        <v>121</v>
      </c>
      <c r="P261" s="10">
        <v>158</v>
      </c>
      <c r="Q261" s="10">
        <v>107</v>
      </c>
      <c r="R261" s="10">
        <v>0</v>
      </c>
      <c r="S261" s="10">
        <v>0</v>
      </c>
      <c r="T261" s="9">
        <f>SUM(O261:S261)</f>
        <v>386</v>
      </c>
      <c r="U261" s="11">
        <f>T261+N261+I261+D265</f>
        <v>10</v>
      </c>
      <c r="V261" s="10">
        <v>0</v>
      </c>
      <c r="W261" s="10">
        <v>0</v>
      </c>
      <c r="X261" s="10">
        <v>0</v>
      </c>
      <c r="Y261" s="10">
        <v>0</v>
      </c>
      <c r="Z261" s="9">
        <f>SUM(V261:Y261)</f>
        <v>0</v>
      </c>
      <c r="AA261" s="10">
        <v>172</v>
      </c>
      <c r="AB261" s="10">
        <v>252</v>
      </c>
      <c r="AC261" s="10">
        <v>132</v>
      </c>
      <c r="AD261" s="10">
        <v>16</v>
      </c>
      <c r="AE261" s="9">
        <f>SUM(AA261:AD261)</f>
        <v>572</v>
      </c>
      <c r="AF261" s="10">
        <v>64</v>
      </c>
      <c r="AG261" s="10">
        <v>44</v>
      </c>
      <c r="AH261" s="10">
        <v>97</v>
      </c>
      <c r="AI261" s="10">
        <v>0</v>
      </c>
      <c r="AJ261" s="10">
        <v>0</v>
      </c>
      <c r="AK261" s="9">
        <f>SUM(AF261:AJ261)</f>
        <v>205</v>
      </c>
      <c r="AL261" s="11">
        <f>AK261+AE261+Z261</f>
        <v>777</v>
      </c>
      <c r="AM261" s="93">
        <v>64</v>
      </c>
      <c r="AN261" s="94">
        <f t="shared" si="70"/>
        <v>640</v>
      </c>
      <c r="AO261" s="94">
        <f t="shared" si="91"/>
        <v>49728</v>
      </c>
      <c r="AP261" s="101"/>
      <c r="AQ261" s="102"/>
    </row>
    <row r="262" spans="1:43">
      <c r="A262" s="177"/>
      <c r="B262" s="3" t="s">
        <v>6</v>
      </c>
      <c r="C262" s="9"/>
      <c r="D262" s="9"/>
      <c r="E262" s="10"/>
      <c r="F262" s="10"/>
      <c r="G262" s="10"/>
      <c r="H262" s="10"/>
      <c r="I262" s="9">
        <f>SUM(E262:H262)</f>
        <v>0</v>
      </c>
      <c r="J262" s="10"/>
      <c r="K262" s="10"/>
      <c r="L262" s="10"/>
      <c r="M262" s="10"/>
      <c r="N262" s="37">
        <f>SUM(J262:M262)</f>
        <v>0</v>
      </c>
      <c r="O262" s="10"/>
      <c r="P262" s="10"/>
      <c r="Q262" s="10"/>
      <c r="R262" s="10"/>
      <c r="S262" s="10"/>
      <c r="T262" s="37">
        <f>SUM(O262:S262)</f>
        <v>0</v>
      </c>
      <c r="U262" s="11">
        <f>I262+N262+T262</f>
        <v>0</v>
      </c>
      <c r="V262" s="10"/>
      <c r="W262" s="10"/>
      <c r="X262" s="10"/>
      <c r="Y262" s="10"/>
      <c r="Z262" s="9">
        <f>SUM(V262:Y262)</f>
        <v>0</v>
      </c>
      <c r="AA262" s="10"/>
      <c r="AB262" s="10"/>
      <c r="AC262" s="10"/>
      <c r="AD262" s="10"/>
      <c r="AE262" s="37">
        <f>SUM(AA262:AD262)</f>
        <v>0</v>
      </c>
      <c r="AF262" s="10"/>
      <c r="AG262" s="10"/>
      <c r="AH262" s="10"/>
      <c r="AI262" s="10"/>
      <c r="AJ262" s="10"/>
      <c r="AK262" s="9">
        <f>SUM(AF262:AJ262)</f>
        <v>0</v>
      </c>
      <c r="AL262" s="11">
        <f>Z262+AE262+AK262</f>
        <v>0</v>
      </c>
      <c r="AM262" s="93"/>
      <c r="AN262" s="94">
        <f t="shared" si="70"/>
        <v>0</v>
      </c>
      <c r="AO262" s="94">
        <f t="shared" si="91"/>
        <v>0</v>
      </c>
    </row>
    <row r="263" spans="1:43">
      <c r="A263" s="177"/>
      <c r="B263" s="3" t="s">
        <v>10</v>
      </c>
      <c r="C263" s="9">
        <v>1280</v>
      </c>
      <c r="D263" s="9"/>
      <c r="E263" s="10"/>
      <c r="F263" s="10"/>
      <c r="G263" s="10"/>
      <c r="H263" s="10"/>
      <c r="I263" s="9"/>
      <c r="J263" s="10"/>
      <c r="K263" s="10"/>
      <c r="L263" s="10"/>
      <c r="M263" s="10"/>
      <c r="N263" s="37"/>
      <c r="O263" s="10"/>
      <c r="P263" s="10"/>
      <c r="Q263" s="10"/>
      <c r="R263" s="10"/>
      <c r="S263" s="10"/>
      <c r="T263" s="37"/>
      <c r="U263" s="11"/>
      <c r="V263" s="10"/>
      <c r="W263" s="10"/>
      <c r="X263" s="10"/>
      <c r="Y263" s="10"/>
      <c r="Z263" s="9"/>
      <c r="AA263" s="10"/>
      <c r="AB263" s="10"/>
      <c r="AC263" s="10"/>
      <c r="AD263" s="10"/>
      <c r="AE263" s="37"/>
      <c r="AF263" s="10"/>
      <c r="AG263" s="10"/>
      <c r="AH263" s="10"/>
      <c r="AI263" s="10"/>
      <c r="AJ263" s="10"/>
      <c r="AK263" s="9"/>
      <c r="AL263" s="11"/>
      <c r="AM263" s="93"/>
      <c r="AN263" s="94">
        <f t="shared" si="70"/>
        <v>0</v>
      </c>
      <c r="AO263" s="94">
        <f t="shared" si="91"/>
        <v>0</v>
      </c>
    </row>
    <row r="264" spans="1:43">
      <c r="A264" s="177"/>
      <c r="B264" s="3" t="s">
        <v>7</v>
      </c>
      <c r="C264" s="9"/>
      <c r="D264" s="9"/>
      <c r="E264" s="10">
        <f>E263+E262</f>
        <v>0</v>
      </c>
      <c r="F264" s="10">
        <f>F263+F262</f>
        <v>0</v>
      </c>
      <c r="G264" s="10">
        <f>G263+G262</f>
        <v>0</v>
      </c>
      <c r="H264" s="10">
        <f>H263+H262</f>
        <v>0</v>
      </c>
      <c r="I264" s="9">
        <f>SUM(E264:H264)</f>
        <v>0</v>
      </c>
      <c r="J264" s="10">
        <f>J263+J262</f>
        <v>0</v>
      </c>
      <c r="K264" s="10">
        <f>K263+K262</f>
        <v>0</v>
      </c>
      <c r="L264" s="10">
        <f>L263+L262</f>
        <v>0</v>
      </c>
      <c r="M264" s="10">
        <f>M263+M262</f>
        <v>0</v>
      </c>
      <c r="N264" s="37">
        <f>SUM(J264:M264)</f>
        <v>0</v>
      </c>
      <c r="O264" s="10">
        <f>O263+O262</f>
        <v>0</v>
      </c>
      <c r="P264" s="10">
        <f>P263+P262</f>
        <v>0</v>
      </c>
      <c r="Q264" s="10">
        <f>Q263+Q262</f>
        <v>0</v>
      </c>
      <c r="R264" s="10">
        <f>R263+R262</f>
        <v>0</v>
      </c>
      <c r="S264" s="10">
        <f>S263+S262</f>
        <v>0</v>
      </c>
      <c r="T264" s="37">
        <f>SUM(O264:S264)</f>
        <v>0</v>
      </c>
      <c r="U264" s="11">
        <f>T264+N264+I264+D265</f>
        <v>0</v>
      </c>
      <c r="V264" s="10">
        <f>V263+V262</f>
        <v>0</v>
      </c>
      <c r="W264" s="10">
        <f>W263+W262</f>
        <v>0</v>
      </c>
      <c r="X264" s="10">
        <f>X263+X262</f>
        <v>0</v>
      </c>
      <c r="Y264" s="10">
        <f>Y263+Y262</f>
        <v>0</v>
      </c>
      <c r="Z264" s="9">
        <f>SUM(V264:Y264)</f>
        <v>0</v>
      </c>
      <c r="AA264" s="10">
        <f>AA263+AA262</f>
        <v>0</v>
      </c>
      <c r="AB264" s="10">
        <f>AB263+AB262</f>
        <v>0</v>
      </c>
      <c r="AC264" s="10">
        <f>AC263+AC262</f>
        <v>0</v>
      </c>
      <c r="AD264" s="10">
        <f>AD263+AD262</f>
        <v>0</v>
      </c>
      <c r="AE264" s="37">
        <f>SUM(AA264:AD264)</f>
        <v>0</v>
      </c>
      <c r="AF264" s="10">
        <f>AF263+AF262</f>
        <v>0</v>
      </c>
      <c r="AG264" s="10">
        <f>AG263+AG262</f>
        <v>0</v>
      </c>
      <c r="AH264" s="10">
        <f>AH263+AH262</f>
        <v>0</v>
      </c>
      <c r="AI264" s="10">
        <f>AI263+AI262</f>
        <v>0</v>
      </c>
      <c r="AJ264" s="10">
        <f>AJ263+AJ262</f>
        <v>0</v>
      </c>
      <c r="AK264" s="9">
        <f>SUM(AF264:AJ264)</f>
        <v>0</v>
      </c>
      <c r="AL264" s="11">
        <f>AK264+AE264+Z264</f>
        <v>0</v>
      </c>
      <c r="AM264" s="93"/>
      <c r="AN264" s="94">
        <f t="shared" si="70"/>
        <v>0</v>
      </c>
      <c r="AO264" s="94">
        <f t="shared" si="91"/>
        <v>0</v>
      </c>
    </row>
    <row r="265" spans="1:43">
      <c r="A265" s="178"/>
      <c r="B265" s="2" t="s">
        <v>8</v>
      </c>
      <c r="C265" s="65">
        <v>2166</v>
      </c>
      <c r="D265" s="95"/>
      <c r="E265" s="10">
        <f>E264-E261</f>
        <v>0</v>
      </c>
      <c r="F265" s="10">
        <f>E265+F264-F261</f>
        <v>823</v>
      </c>
      <c r="G265" s="10">
        <f>F265+G264-G261</f>
        <v>811</v>
      </c>
      <c r="H265" s="10">
        <f>G265+H264-H261</f>
        <v>776</v>
      </c>
      <c r="I265" s="9">
        <f>I264-I261</f>
        <v>776</v>
      </c>
      <c r="J265" s="10">
        <f>I265+J264-J261</f>
        <v>657</v>
      </c>
      <c r="K265" s="10">
        <f>J265+K264-K261</f>
        <v>491</v>
      </c>
      <c r="L265" s="10">
        <f>K265+L264-L261</f>
        <v>398</v>
      </c>
      <c r="M265" s="10">
        <f>L265+M264-M261</f>
        <v>376</v>
      </c>
      <c r="N265" s="37">
        <f>I265+N264-N261</f>
        <v>376</v>
      </c>
      <c r="O265" s="10">
        <f>N265+O264-O261</f>
        <v>255</v>
      </c>
      <c r="P265" s="10">
        <f>O265+P264-P261</f>
        <v>97</v>
      </c>
      <c r="Q265" s="10">
        <f>P265+Q264-Q261</f>
        <v>-10</v>
      </c>
      <c r="R265" s="10">
        <f t="shared" ref="R265" si="92">Q265+R264-R261</f>
        <v>-10</v>
      </c>
      <c r="S265" s="10">
        <f>R265+S264-S261</f>
        <v>-10</v>
      </c>
      <c r="T265" s="37">
        <f>N265+T264-T261</f>
        <v>-10</v>
      </c>
      <c r="U265" s="9">
        <f>U264-U261</f>
        <v>-10</v>
      </c>
      <c r="V265" s="10">
        <f>U265+V264-V261</f>
        <v>-10</v>
      </c>
      <c r="W265" s="10">
        <f>V265+W264-W261</f>
        <v>-10</v>
      </c>
      <c r="X265" s="10">
        <f>W265+X264-X261</f>
        <v>-10</v>
      </c>
      <c r="Y265" s="10">
        <f>X265+Y264-Y261</f>
        <v>-10</v>
      </c>
      <c r="Z265" s="9">
        <f>T265+Z264-Z261</f>
        <v>-10</v>
      </c>
      <c r="AA265" s="10">
        <f>Z265+AA264-AA261</f>
        <v>-182</v>
      </c>
      <c r="AB265" s="10">
        <f>AA265+AB264-AB261</f>
        <v>-434</v>
      </c>
      <c r="AC265" s="10">
        <f>AB265+AC264-AC261</f>
        <v>-566</v>
      </c>
      <c r="AD265" s="10">
        <f>AC265+AD264-AD261</f>
        <v>-582</v>
      </c>
      <c r="AE265" s="37">
        <f>Z265+AE264-AE261</f>
        <v>-582</v>
      </c>
      <c r="AF265" s="10">
        <f>AE265+AF264-AF261</f>
        <v>-646</v>
      </c>
      <c r="AG265" s="10">
        <f>AF265+AG264-AG261</f>
        <v>-690</v>
      </c>
      <c r="AH265" s="10">
        <f>AG265+AH264-AH261</f>
        <v>-787</v>
      </c>
      <c r="AI265" s="10">
        <f t="shared" ref="AI265:AJ265" si="93">AH265+AI264-AI261</f>
        <v>-787</v>
      </c>
      <c r="AJ265" s="10">
        <f t="shared" si="93"/>
        <v>-787</v>
      </c>
      <c r="AK265" s="9">
        <f>AE265+AK264-AK261</f>
        <v>-787</v>
      </c>
      <c r="AL265" s="11">
        <f>T265+AL264-AL261</f>
        <v>-787</v>
      </c>
      <c r="AM265" s="93"/>
      <c r="AN265" s="94">
        <f t="shared" si="70"/>
        <v>0</v>
      </c>
      <c r="AO265" s="94">
        <f t="shared" si="91"/>
        <v>0</v>
      </c>
    </row>
    <row r="266" spans="1:43" ht="17" thickBot="1">
      <c r="A266" s="82"/>
      <c r="B266" s="3" t="s">
        <v>9</v>
      </c>
      <c r="C266" s="84"/>
      <c r="D266" s="84"/>
      <c r="E266" s="71">
        <f>E265/(SUM(F261+H261+J261+G261)/20)*1000</f>
        <v>0</v>
      </c>
      <c r="F266" s="71">
        <f>F265/(SUM(G261+J261+K261+H261)/20)*1000</f>
        <v>49578.313253012042</v>
      </c>
      <c r="G266" s="71">
        <f>G265/(SUM(H261+J261+K261+L261)/20)*1000</f>
        <v>39273.607748184018</v>
      </c>
      <c r="H266" s="71">
        <f>H265/(SUM(J261+K261+L261+M261)/20)*1000</f>
        <v>38800</v>
      </c>
      <c r="I266" s="37"/>
      <c r="J266" s="71">
        <f>J265/(SUM(L261+M261+N261+K261)/20)*1000</f>
        <v>19295.154185022027</v>
      </c>
      <c r="K266" s="71" t="e">
        <f>K265/(SUM(L261+M261+#REF!+N261)/20)*1000</f>
        <v>#REF!</v>
      </c>
      <c r="L266" s="71" t="e">
        <f>L265/(SUM(N261+#REF!+#REF!+#REF!)/20)*1000</f>
        <v>#REF!</v>
      </c>
      <c r="M266" s="71" t="e">
        <f>M265/(SUM(#REF!+#REF!+#REF!+#REF!)/20)*1000</f>
        <v>#REF!</v>
      </c>
      <c r="N266" s="71" t="e">
        <f>N265/(SUM(#REF!+#REF!+#REF!+#REF!)/20)*1000</f>
        <v>#REF!</v>
      </c>
      <c r="O266" s="37"/>
      <c r="P266" s="38"/>
      <c r="Q266" s="71">
        <f>Q265/(SUM(R261+T261+V261+S261)/20)*1000</f>
        <v>-518.13471502590664</v>
      </c>
      <c r="R266" s="71">
        <f>R265/(SUM(S261+W261+V261+T261)/20)*1000</f>
        <v>-518.13471502590664</v>
      </c>
      <c r="S266" s="71">
        <f>S265/(SUM(T261+V261+W261+X261)/20)*1000</f>
        <v>-518.13471502590664</v>
      </c>
      <c r="T266" s="71" t="e">
        <f>T265/(SUM(Y261+V261+W261+X261)/20)*1000</f>
        <v>#DIV/0!</v>
      </c>
      <c r="U266" s="37"/>
      <c r="V266" s="71">
        <f>V265/(SUM(W261+Y261+AA261+X261)/20)*1000</f>
        <v>-1162.7906976744187</v>
      </c>
      <c r="W266" s="71">
        <f>W265/(SUM(X261+AA261+AB261+Y261)/20)*1000</f>
        <v>-471.69811320754718</v>
      </c>
      <c r="X266" s="71">
        <f>X265/(SUM(Y261+AA261+AB261+AC261)/20)*1000</f>
        <v>-359.71223021582733</v>
      </c>
      <c r="Y266" s="71">
        <f>Y265/(SUM(AA261+AB261+AC261+AD261)/20)*1000</f>
        <v>-349.65034965034965</v>
      </c>
      <c r="Z266" s="37"/>
      <c r="AA266" s="71">
        <f>AA265/(SUM(AC261+AD261+AE261+AB261)/20)*1000</f>
        <v>-3744.8559670781892</v>
      </c>
      <c r="AB266" s="71" t="e">
        <f>AB265/(SUM(AC261+AD261+#REF!+AE261)/20)*1000</f>
        <v>#REF!</v>
      </c>
      <c r="AC266" s="71" t="e">
        <f>AC265/(SUM(AE261+#REF!+#REF!+#REF!)/20)*1000</f>
        <v>#REF!</v>
      </c>
      <c r="AD266" s="71" t="e">
        <f>AD265/(SUM(#REF!+#REF!+#REF!+#REF!)/20)*1000</f>
        <v>#REF!</v>
      </c>
      <c r="AE266" s="71" t="e">
        <f>AE265/(SUM(#REF!+#REF!+#REF!+#REF!)/20)*1000</f>
        <v>#REF!</v>
      </c>
      <c r="AF266" s="71">
        <f>AF265/(SUM(AH261+AI261+AJ261+AG261)/20)*1000</f>
        <v>-91631.205673758872</v>
      </c>
      <c r="AG266" s="71" t="e">
        <f>AG265/(SUM(AH261+AI261+#REF!+AJ261)/20)*1000</f>
        <v>#REF!</v>
      </c>
      <c r="AH266" s="71" t="e">
        <f>AH265/(SUM(AJ261+#REF!+#REF!+#REF!)/20)*1000</f>
        <v>#REF!</v>
      </c>
      <c r="AI266" s="71" t="e">
        <f>AI265/(SUM(#REF!+#REF!+#REF!+#REF!)/20)*1000</f>
        <v>#REF!</v>
      </c>
      <c r="AJ266" s="71" t="e">
        <f>AJ265/(SUM(#REF!+#REF!+#REF!+#REF!)/20)*1000</f>
        <v>#REF!</v>
      </c>
      <c r="AK266" s="37"/>
      <c r="AL266" s="38"/>
      <c r="AM266" s="93"/>
      <c r="AN266" s="94">
        <f t="shared" si="70"/>
        <v>0</v>
      </c>
      <c r="AO266" s="94">
        <f t="shared" si="91"/>
        <v>0</v>
      </c>
    </row>
    <row r="267" spans="1:43" s="33" customFormat="1">
      <c r="A267" s="170" t="s">
        <v>14</v>
      </c>
      <c r="B267" s="85" t="s">
        <v>5</v>
      </c>
      <c r="C267" s="48"/>
      <c r="D267" s="49"/>
      <c r="E267" s="50">
        <f>E3+E9+E15+E21+E27+E45+E57+E63+E75+E81+E87+E93+E99+E105+E117+E123+E129+E177+E69+E33+E147+E141+E135+E189+E195+E183+E165+E159+E153+E111+E171+E51+E39+E201+E207+E213+E219+E225+E231+E237+E243+E249+E255+E261</f>
        <v>32429</v>
      </c>
      <c r="F267" s="50">
        <f t="shared" ref="F267:H267" si="94">F3+F9+F15+F21+F27+F45+F57+F63+F75+F81+F87+F93+F99+F105+F117+F123+F129+F177+F69+F33+F147+F141+F135+F189+F195+F183+F165+F159+F153+F111+F171+F51+F39+F201+F207+F213+F219+F225+F231+F237+F243+F249+F255+F261</f>
        <v>-91454</v>
      </c>
      <c r="G267" s="50">
        <f t="shared" si="94"/>
        <v>107795</v>
      </c>
      <c r="H267" s="50">
        <f t="shared" si="94"/>
        <v>110469</v>
      </c>
      <c r="I267" s="49">
        <f>SUM(E267:H267)</f>
        <v>159239</v>
      </c>
      <c r="J267" s="50">
        <f t="shared" ref="J267:M269" si="95">J3+J9+J15+J21+J27+J45+J57+J63+J75+J81+J87+J93+J99+J105+J117+J123+J129+J177+J69+J33+J147+J141+J135+J189+J195+J183+J165+J159+J153+J111+J171+J51+J39+J201+J207+J213+J219+J225+J231+J237+J243+J249+J255+J261</f>
        <v>120585</v>
      </c>
      <c r="K267" s="50">
        <f t="shared" si="95"/>
        <v>192475</v>
      </c>
      <c r="L267" s="50">
        <f t="shared" si="95"/>
        <v>186657</v>
      </c>
      <c r="M267" s="50">
        <f t="shared" si="95"/>
        <v>153759</v>
      </c>
      <c r="N267" s="103">
        <f>SUM(J267:M267)</f>
        <v>653476</v>
      </c>
      <c r="O267" s="50">
        <f t="shared" ref="O267:S269" si="96">O3+O9+O15+O21+O27+O45+O57+O63+O75+O81+O87+O93+O99+O105+O117+O123+O129+O177+O69+O33+O147+O141+O135+O189+O195+O183+O165+O159+O153+O111+O171+O51+O39+O201+O207+O213+O219+O225+O231+O237+O243+O249+O255+O261</f>
        <v>74121</v>
      </c>
      <c r="P267" s="50">
        <f t="shared" si="96"/>
        <v>236012</v>
      </c>
      <c r="Q267" s="50">
        <f t="shared" si="96"/>
        <v>254059</v>
      </c>
      <c r="R267" s="50">
        <f t="shared" si="96"/>
        <v>203185</v>
      </c>
      <c r="S267" s="50">
        <f t="shared" si="96"/>
        <v>130237</v>
      </c>
      <c r="T267" s="103">
        <f>SUM(O267:S267)</f>
        <v>897614</v>
      </c>
      <c r="U267" s="86">
        <f>T267+N267+I267+D271</f>
        <v>2269312</v>
      </c>
      <c r="V267" s="50">
        <f t="shared" ref="V267:Y269" si="97">V3+V9+V15+V21+V27+V45+V57+V63+V75+V81+V87+V93+V99+V105+V117+V123+V129+V177+V69+V33+V147+V141+V135+V189+V195+V183+V165+V159+V153+V111+V171+V51+V39+V201+V207+V213+V219+V225+V231+V237+V243+V249+V255+V261</f>
        <v>47899</v>
      </c>
      <c r="W267" s="50">
        <f t="shared" si="97"/>
        <v>69990</v>
      </c>
      <c r="X267" s="50">
        <f t="shared" si="97"/>
        <v>70874</v>
      </c>
      <c r="Y267" s="50">
        <f t="shared" si="97"/>
        <v>67459</v>
      </c>
      <c r="Z267" s="49">
        <f>SUM(V267:Y267)</f>
        <v>256222</v>
      </c>
      <c r="AA267" s="50">
        <f t="shared" ref="AA267:AD269" si="98">AA3+AA9+AA15+AA21+AA27+AA45+AA57+AA63+AA75+AA81+AA87+AA93+AA99+AA105+AA117+AA123+AA129+AA177+AA69+AA33+AA147+AA141+AA135+AA189+AA195+AA183+AA165+AA159+AA153+AA111+AA171+AA51+AA39+AA201+AA207+AA213+AA219+AA225+AA231+AA237+AA243+AA249+AA255+AA261</f>
        <v>110942</v>
      </c>
      <c r="AB267" s="50">
        <f t="shared" si="98"/>
        <v>195012</v>
      </c>
      <c r="AC267" s="50">
        <f t="shared" si="98"/>
        <v>171815</v>
      </c>
      <c r="AD267" s="50">
        <f t="shared" si="98"/>
        <v>149665</v>
      </c>
      <c r="AE267" s="103">
        <f>SUM(AA267:AD267)</f>
        <v>627434</v>
      </c>
      <c r="AF267" s="50">
        <f t="shared" ref="AF267:AJ269" si="99">AF3+AF9+AF15+AF21+AF27+AF45+AF57+AF63+AF75+AF81+AF87+AF93+AF99+AF105+AF117+AF123+AF129+AF177+AF69+AF33+AF147+AF141+AF135+AF189+AF195+AF183+AF165+AF159+AF153+AF111+AF171+AF51+AF39+AF201+AF207+AF213+AF219+AF225+AF231+AF237+AF243+AF249+AF255+AF261</f>
        <v>88060</v>
      </c>
      <c r="AG267" s="50">
        <f t="shared" si="99"/>
        <v>232153</v>
      </c>
      <c r="AH267" s="50">
        <f t="shared" si="99"/>
        <v>237930</v>
      </c>
      <c r="AI267" s="50">
        <f t="shared" si="99"/>
        <v>193544</v>
      </c>
      <c r="AJ267" s="50">
        <f t="shared" si="99"/>
        <v>244610</v>
      </c>
      <c r="AK267" s="103">
        <f>SUM(AF267:AJ267)</f>
        <v>996297</v>
      </c>
      <c r="AL267" s="11">
        <f>AK267+AE267+Z267</f>
        <v>1879953</v>
      </c>
      <c r="AM267" s="104"/>
      <c r="AN267" s="94">
        <f t="shared" si="70"/>
        <v>0</v>
      </c>
      <c r="AO267" s="94">
        <f t="shared" si="91"/>
        <v>0</v>
      </c>
    </row>
    <row r="268" spans="1:43" s="33" customFormat="1">
      <c r="A268" s="171"/>
      <c r="B268" s="87" t="s">
        <v>6</v>
      </c>
      <c r="C268" s="50"/>
      <c r="D268" s="51"/>
      <c r="E268" s="50">
        <f t="shared" ref="E268:H269" si="100">E4+E10+E16+E22+E28+E46+E58+E64+E76+E82+E88+E94+E100+E106+E118+E124+E130+E178+E70+E34+E148+E142+E136+E190+E196+E184+E166+E160+E154+E112+E172+E52+E40+E202+E208+E214+E220+E226+E232+E238+E244+E250+E256+E262</f>
        <v>32429</v>
      </c>
      <c r="F268" s="50">
        <f t="shared" si="100"/>
        <v>400</v>
      </c>
      <c r="G268" s="50">
        <f t="shared" si="100"/>
        <v>627279</v>
      </c>
      <c r="H268" s="50">
        <f t="shared" si="100"/>
        <v>18000</v>
      </c>
      <c r="I268" s="51">
        <f>SUM(E268:H268)</f>
        <v>678108</v>
      </c>
      <c r="J268" s="50">
        <f t="shared" si="95"/>
        <v>0</v>
      </c>
      <c r="K268" s="50">
        <f t="shared" si="95"/>
        <v>0</v>
      </c>
      <c r="L268" s="50">
        <f t="shared" si="95"/>
        <v>0</v>
      </c>
      <c r="M268" s="50">
        <f t="shared" si="95"/>
        <v>91000</v>
      </c>
      <c r="N268" s="15">
        <f t="shared" ref="N268:N270" si="101">SUM(J268:M268)</f>
        <v>91000</v>
      </c>
      <c r="O268" s="50">
        <f t="shared" si="96"/>
        <v>15000</v>
      </c>
      <c r="P268" s="50">
        <f t="shared" si="96"/>
        <v>0</v>
      </c>
      <c r="Q268" s="50">
        <f t="shared" si="96"/>
        <v>232000</v>
      </c>
      <c r="R268" s="50">
        <f t="shared" si="96"/>
        <v>165000</v>
      </c>
      <c r="S268" s="50">
        <f t="shared" si="96"/>
        <v>1152300</v>
      </c>
      <c r="T268" s="15">
        <f t="shared" ref="T268:T270" si="102">SUM(O268:S268)</f>
        <v>1564300</v>
      </c>
      <c r="U268" s="11"/>
      <c r="V268" s="50">
        <f t="shared" si="97"/>
        <v>0</v>
      </c>
      <c r="W268" s="50">
        <f t="shared" si="97"/>
        <v>0</v>
      </c>
      <c r="X268" s="50">
        <f t="shared" si="97"/>
        <v>0</v>
      </c>
      <c r="Y268" s="50">
        <f t="shared" si="97"/>
        <v>0</v>
      </c>
      <c r="Z268" s="51">
        <f>SUM(V268:Y268)</f>
        <v>0</v>
      </c>
      <c r="AA268" s="50">
        <f t="shared" si="98"/>
        <v>0</v>
      </c>
      <c r="AB268" s="50">
        <f t="shared" si="98"/>
        <v>0</v>
      </c>
      <c r="AC268" s="50">
        <f t="shared" si="98"/>
        <v>0</v>
      </c>
      <c r="AD268" s="50">
        <f t="shared" si="98"/>
        <v>30500</v>
      </c>
      <c r="AE268" s="15">
        <f t="shared" ref="AE268:AE270" si="103">SUM(AA268:AD268)</f>
        <v>30500</v>
      </c>
      <c r="AF268" s="50">
        <f t="shared" si="99"/>
        <v>0</v>
      </c>
      <c r="AG268" s="50">
        <f t="shared" si="99"/>
        <v>0</v>
      </c>
      <c r="AH268" s="50">
        <f t="shared" si="99"/>
        <v>0</v>
      </c>
      <c r="AI268" s="50">
        <f t="shared" si="99"/>
        <v>650000</v>
      </c>
      <c r="AJ268" s="50">
        <f t="shared" si="99"/>
        <v>1138000</v>
      </c>
      <c r="AK268" s="15">
        <f t="shared" ref="AK268:AK270" si="104">SUM(AF268:AJ268)</f>
        <v>1788000</v>
      </c>
      <c r="AL268" s="11">
        <f>Z268+AE268+AK268</f>
        <v>1818500</v>
      </c>
      <c r="AN268" s="94">
        <f t="shared" si="70"/>
        <v>0</v>
      </c>
      <c r="AO268" s="94">
        <f t="shared" si="91"/>
        <v>0</v>
      </c>
    </row>
    <row r="269" spans="1:43" s="33" customFormat="1">
      <c r="A269" s="171"/>
      <c r="B269" s="87" t="s">
        <v>10</v>
      </c>
      <c r="C269" s="50"/>
      <c r="D269" s="51"/>
      <c r="E269" s="50">
        <f t="shared" si="100"/>
        <v>0</v>
      </c>
      <c r="F269" s="50">
        <f t="shared" si="100"/>
        <v>195016</v>
      </c>
      <c r="G269" s="50">
        <f t="shared" si="100"/>
        <v>28000</v>
      </c>
      <c r="H269" s="50">
        <f t="shared" si="100"/>
        <v>0</v>
      </c>
      <c r="I269" s="51"/>
      <c r="J269" s="50">
        <f t="shared" si="95"/>
        <v>0</v>
      </c>
      <c r="K269" s="50">
        <f t="shared" si="95"/>
        <v>0</v>
      </c>
      <c r="L269" s="50">
        <f t="shared" si="95"/>
        <v>0</v>
      </c>
      <c r="M269" s="50">
        <f t="shared" si="95"/>
        <v>0</v>
      </c>
      <c r="N269" s="15">
        <f t="shared" si="101"/>
        <v>0</v>
      </c>
      <c r="O269" s="50">
        <f t="shared" si="96"/>
        <v>0</v>
      </c>
      <c r="P269" s="50">
        <f t="shared" si="96"/>
        <v>0</v>
      </c>
      <c r="Q269" s="50">
        <f t="shared" si="96"/>
        <v>0</v>
      </c>
      <c r="R269" s="50">
        <f t="shared" si="96"/>
        <v>0</v>
      </c>
      <c r="S269" s="50">
        <f t="shared" si="96"/>
        <v>0</v>
      </c>
      <c r="T269" s="15">
        <f t="shared" si="102"/>
        <v>0</v>
      </c>
      <c r="U269" s="11"/>
      <c r="V269" s="50">
        <f t="shared" si="97"/>
        <v>0</v>
      </c>
      <c r="W269" s="50">
        <f t="shared" si="97"/>
        <v>0</v>
      </c>
      <c r="X269" s="50">
        <f t="shared" si="97"/>
        <v>0</v>
      </c>
      <c r="Y269" s="50">
        <f t="shared" si="97"/>
        <v>0</v>
      </c>
      <c r="Z269" s="51"/>
      <c r="AA269" s="50">
        <f t="shared" si="98"/>
        <v>0</v>
      </c>
      <c r="AB269" s="50">
        <f t="shared" si="98"/>
        <v>0</v>
      </c>
      <c r="AC269" s="50">
        <f t="shared" si="98"/>
        <v>0</v>
      </c>
      <c r="AD269" s="50">
        <f t="shared" si="98"/>
        <v>0</v>
      </c>
      <c r="AE269" s="15">
        <f t="shared" si="103"/>
        <v>0</v>
      </c>
      <c r="AF269" s="50">
        <f t="shared" si="99"/>
        <v>0</v>
      </c>
      <c r="AG269" s="50">
        <f t="shared" si="99"/>
        <v>0</v>
      </c>
      <c r="AH269" s="50">
        <f t="shared" si="99"/>
        <v>0</v>
      </c>
      <c r="AI269" s="50">
        <f t="shared" si="99"/>
        <v>0</v>
      </c>
      <c r="AJ269" s="50">
        <f t="shared" si="99"/>
        <v>0</v>
      </c>
      <c r="AK269" s="15">
        <f t="shared" si="104"/>
        <v>0</v>
      </c>
      <c r="AL269" s="11"/>
      <c r="AN269" s="94">
        <f t="shared" si="70"/>
        <v>0</v>
      </c>
      <c r="AO269" s="94">
        <f t="shared" si="91"/>
        <v>0</v>
      </c>
    </row>
    <row r="270" spans="1:43" s="33" customFormat="1">
      <c r="A270" s="171"/>
      <c r="B270" s="87" t="s">
        <v>44</v>
      </c>
      <c r="C270" s="50"/>
      <c r="D270" s="51"/>
      <c r="E270" s="50">
        <f>E268+E269</f>
        <v>32429</v>
      </c>
      <c r="F270" s="50">
        <f t="shared" ref="F270:H270" si="105">F268+F269</f>
        <v>195416</v>
      </c>
      <c r="G270" s="50">
        <f t="shared" si="105"/>
        <v>655279</v>
      </c>
      <c r="H270" s="50">
        <f t="shared" si="105"/>
        <v>18000</v>
      </c>
      <c r="I270" s="51">
        <f>SUM(E270:H270)</f>
        <v>901124</v>
      </c>
      <c r="J270" s="50">
        <f t="shared" ref="J270:M270" si="106">J268+J269</f>
        <v>0</v>
      </c>
      <c r="K270" s="50">
        <f t="shared" si="106"/>
        <v>0</v>
      </c>
      <c r="L270" s="50">
        <f t="shared" si="106"/>
        <v>0</v>
      </c>
      <c r="M270" s="50">
        <f t="shared" si="106"/>
        <v>91000</v>
      </c>
      <c r="N270" s="15">
        <f t="shared" si="101"/>
        <v>91000</v>
      </c>
      <c r="O270" s="50">
        <f t="shared" ref="O270:S270" si="107">O268+O269</f>
        <v>15000</v>
      </c>
      <c r="P270" s="50">
        <f t="shared" si="107"/>
        <v>0</v>
      </c>
      <c r="Q270" s="50">
        <f t="shared" si="107"/>
        <v>232000</v>
      </c>
      <c r="R270" s="50">
        <f t="shared" si="107"/>
        <v>165000</v>
      </c>
      <c r="S270" s="50">
        <f t="shared" si="107"/>
        <v>1152300</v>
      </c>
      <c r="T270" s="15">
        <f t="shared" si="102"/>
        <v>1564300</v>
      </c>
      <c r="U270" s="11">
        <f>T270+N270+I270+D271</f>
        <v>3115407</v>
      </c>
      <c r="V270" s="50">
        <f>V268+V269</f>
        <v>0</v>
      </c>
      <c r="W270" s="50">
        <f t="shared" ref="W270:Y270" si="108">W268+W269</f>
        <v>0</v>
      </c>
      <c r="X270" s="50">
        <f t="shared" si="108"/>
        <v>0</v>
      </c>
      <c r="Y270" s="50">
        <f t="shared" si="108"/>
        <v>0</v>
      </c>
      <c r="Z270" s="51">
        <f>SUM(V270:Y270)</f>
        <v>0</v>
      </c>
      <c r="AA270" s="50">
        <f t="shared" ref="AA270:AD270" si="109">AA268+AA269</f>
        <v>0</v>
      </c>
      <c r="AB270" s="50">
        <f t="shared" si="109"/>
        <v>0</v>
      </c>
      <c r="AC270" s="50">
        <f t="shared" si="109"/>
        <v>0</v>
      </c>
      <c r="AD270" s="50">
        <f t="shared" si="109"/>
        <v>30500</v>
      </c>
      <c r="AE270" s="15">
        <f t="shared" si="103"/>
        <v>30500</v>
      </c>
      <c r="AF270" s="50">
        <f t="shared" ref="AF270:AJ270" si="110">AF268+AF269</f>
        <v>0</v>
      </c>
      <c r="AG270" s="50">
        <f t="shared" si="110"/>
        <v>0</v>
      </c>
      <c r="AH270" s="50">
        <f t="shared" si="110"/>
        <v>0</v>
      </c>
      <c r="AI270" s="50">
        <f t="shared" si="110"/>
        <v>650000</v>
      </c>
      <c r="AJ270" s="50">
        <f t="shared" si="110"/>
        <v>1138000</v>
      </c>
      <c r="AK270" s="15">
        <f t="shared" si="104"/>
        <v>1788000</v>
      </c>
      <c r="AL270" s="11">
        <f>AK270+AE270+Z270</f>
        <v>1818500</v>
      </c>
      <c r="AN270" s="94">
        <f t="shared" si="70"/>
        <v>0</v>
      </c>
      <c r="AO270" s="94">
        <f t="shared" si="91"/>
        <v>0</v>
      </c>
    </row>
    <row r="271" spans="1:43" s="33" customFormat="1" ht="17" thickBot="1">
      <c r="A271" s="172"/>
      <c r="B271" s="88" t="s">
        <v>8</v>
      </c>
      <c r="C271" s="50"/>
      <c r="D271" s="50">
        <f>D7+D13+D19+D25+D31+D49+D61+D67+D79+D85+D91+D97+D103+D109+D121+D127+D133+D181+D73+D37+D151+D145+D139+D193+D199+D187+D169+D163+D157+D115+D175+D55+D43+D205+D211+D217+D223+D229+D235+D241+D247+D253+D259+D265</f>
        <v>558983</v>
      </c>
      <c r="E271" s="10">
        <f>E270-E267</f>
        <v>0</v>
      </c>
      <c r="F271" s="10">
        <f>E271+F270-F267</f>
        <v>286870</v>
      </c>
      <c r="G271" s="10">
        <f>F271+G270-G267</f>
        <v>834354</v>
      </c>
      <c r="H271" s="10">
        <f>F271+H270-H267</f>
        <v>194401</v>
      </c>
      <c r="I271" s="9">
        <f>I270-I267</f>
        <v>741885</v>
      </c>
      <c r="J271" s="10">
        <f>I271+J270-J267</f>
        <v>621300</v>
      </c>
      <c r="K271" s="10">
        <f>J271+K270-K267</f>
        <v>428825</v>
      </c>
      <c r="L271" s="10">
        <f>K271+L270-L267</f>
        <v>242168</v>
      </c>
      <c r="M271" s="10">
        <f>L271+M270-M267</f>
        <v>179409</v>
      </c>
      <c r="N271" s="9">
        <f>I271+N270-N267</f>
        <v>179409</v>
      </c>
      <c r="O271" s="10">
        <f>N271+O270-O267</f>
        <v>120288</v>
      </c>
      <c r="P271" s="10">
        <f>O271+P270-P267</f>
        <v>-115724</v>
      </c>
      <c r="Q271" s="10">
        <f>P271+Q270-Q267</f>
        <v>-137783</v>
      </c>
      <c r="R271" s="10">
        <f t="shared" ref="R271:S271" si="111">Q271+R270-R267</f>
        <v>-175968</v>
      </c>
      <c r="S271" s="10">
        <f t="shared" si="111"/>
        <v>846095</v>
      </c>
      <c r="T271" s="9">
        <f>N271+T270-T267</f>
        <v>846095</v>
      </c>
      <c r="U271" s="9">
        <f>U270-U267</f>
        <v>846095</v>
      </c>
      <c r="V271" s="10">
        <f>U271+V270-V267</f>
        <v>798196</v>
      </c>
      <c r="W271" s="10">
        <f>V271+W270-W267</f>
        <v>728206</v>
      </c>
      <c r="X271" s="10">
        <f>W271+X270-X267</f>
        <v>657332</v>
      </c>
      <c r="Y271" s="10">
        <f>W271+Y270-Y267</f>
        <v>660747</v>
      </c>
      <c r="Z271" s="9">
        <f>T271+Z270-Z267</f>
        <v>589873</v>
      </c>
      <c r="AA271" s="10">
        <f>Z271+AA270-AA267</f>
        <v>478931</v>
      </c>
      <c r="AB271" s="10">
        <f>AA271+AB270-AB267</f>
        <v>283919</v>
      </c>
      <c r="AC271" s="10">
        <f>AB271+AC270-AC267</f>
        <v>112104</v>
      </c>
      <c r="AD271" s="10">
        <f>AC271+AD270-AD267</f>
        <v>-7061</v>
      </c>
      <c r="AE271" s="9">
        <f>Z271+AE270-AE267</f>
        <v>-7061</v>
      </c>
      <c r="AF271" s="10">
        <f>AE271+AF270-AF267</f>
        <v>-95121</v>
      </c>
      <c r="AG271" s="10">
        <f>AF271+AG270-AG267</f>
        <v>-327274</v>
      </c>
      <c r="AH271" s="10">
        <f>AG271+AH270-AH267</f>
        <v>-565204</v>
      </c>
      <c r="AI271" s="10">
        <f t="shared" ref="AI271:AJ271" si="112">AH271+AI270-AI267</f>
        <v>-108748</v>
      </c>
      <c r="AJ271" s="10">
        <f t="shared" si="112"/>
        <v>784642</v>
      </c>
      <c r="AK271" s="9">
        <f>AE271+AK270-AK267</f>
        <v>784642</v>
      </c>
      <c r="AL271" s="11">
        <f>T271+AL270-AL267</f>
        <v>784642</v>
      </c>
      <c r="AN271" s="94">
        <f t="shared" si="70"/>
        <v>0</v>
      </c>
      <c r="AO271" s="94">
        <f t="shared" si="91"/>
        <v>0</v>
      </c>
    </row>
    <row r="272" spans="1:43" s="34" customFormat="1">
      <c r="A272" s="173" t="s">
        <v>54</v>
      </c>
      <c r="B272" s="89" t="s">
        <v>5</v>
      </c>
      <c r="C272" s="74"/>
      <c r="D272" s="75"/>
      <c r="E272" s="77">
        <f>E3*32+E9*32+E15*64+E21*64+E27*128+E33*128+E45*256+E57*128+E63*128+E69*128+E75*256+E81*256+E87*32+E93*32+E99*64+E105*64+E117*64+E123*128+E129*64+E135*64+E141*64+E147*128+E177*128+E189*16+E195*32+E183*64+E159*64+E165*128+E153*256+E111*64+E171*256+E51*256+E39*128+E201*32+E207*64+E213*64+E219*64+E225*256+E231*64+E237*128+E243*64+E249*128+E255*32+E261*64</f>
        <v>2473472</v>
      </c>
      <c r="F272" s="77">
        <f t="shared" ref="F272:H274" si="113">F3*32+F9*32+F15*64+F21*64+F27*128+F33*128+F45*256+F57*128+F63*128+F69*128+F75*256+F81*256+F87*32+F93*32+F99*64+F105*64+F117*64+F123*128+F129*64+F135*64+F141*64+F147*128+F177*128+F189*16+F195*32+F183*64+F159*64+F165*128+F153*256+F111*64+F171*256+F51*256+F39*128+F201*32+F207*64+F213*64+F219*64+F225*256+F231*64+F237*128+F243*64+F249*128+F255*32+F261*64</f>
        <v>-6068896</v>
      </c>
      <c r="G272" s="77">
        <f t="shared" si="113"/>
        <v>8083584</v>
      </c>
      <c r="H272" s="77">
        <f t="shared" si="113"/>
        <v>8787936</v>
      </c>
      <c r="I272" s="15">
        <f>SUM(E272:H272)</f>
        <v>13276096</v>
      </c>
      <c r="J272" s="77">
        <f>J3*32+J9*32+J15*64+J21*64+J27*128+J33*128+J45*256+J57*128+J63*128+J69*128+J75*256+J81*256+J87*32+J93*32+J99*64+J105*64+J117*64+J123*128+J129*64+J135*64+J141*64+J147*128+J177*128+J189*16+J195*32+J183*64+J159*64+J165*128+J153*256+J111*64+J171*256+J51*256+J39*128+J201*32+J207*64+J213*64+J219*64+J225*256+J231*64+J237*128+J243*64+J249*128+J255*32+J261*64</f>
        <v>8682592</v>
      </c>
      <c r="K272" s="77">
        <f t="shared" ref="K272:M274" si="114">K3*32+K9*32+K15*64+K21*64+K27*128+K33*128+K45*256+K57*128+K63*128+K69*128+K75*256+K81*256+K87*32+K93*32+K99*64+K105*64+K117*64+K123*128+K129*64+K135*64+K141*64+K147*128+K177*128+K189*16+K195*32+K183*64+K159*64+K165*128+K153*256+K111*64+K171*256+K51*256+K39*128+K201*32+K207*64+K213*64+K219*64+K225*256+K231*64+K237*128+K243*64+K249*128+K255*32+K261*64</f>
        <v>14307456</v>
      </c>
      <c r="L272" s="77">
        <f t="shared" si="114"/>
        <v>13771008</v>
      </c>
      <c r="M272" s="77">
        <f t="shared" si="114"/>
        <v>11306848</v>
      </c>
      <c r="N272" s="15">
        <f>SUM(J272:M272)</f>
        <v>48067904</v>
      </c>
      <c r="O272" s="77">
        <f>O3*32+O9*32+O15*64+O21*64+O27*128+O33*128+O45*256+O57*128+O63*128+O69*128+O75*256+O81*256+O87*32+O93*32+O99*64+O105*64+O117*64+O123*128+O129*64+O135*64+O141*64+O147*128+O177*128+O189*16+O195*32+O183*64+O159*64+O165*128+O153*256+O111*64+O171*256+O51*256+O39*128+O201*32+O207*64+O213*64+O219*64+O225*256+O231*64+O237*128+O243*64+O249*128+O255*32+O261*64</f>
        <v>5209536</v>
      </c>
      <c r="P272" s="77">
        <f t="shared" ref="P272:R274" si="115">P3*32+P9*32+P15*64+P21*64+P27*128+P33*128+P45*256+P57*128+P63*128+P69*128+P75*256+P81*256+P87*32+P93*32+P99*64+P105*64+P117*64+P123*128+P129*64+P135*64+P141*64+P147*128+P177*128+P189*16+P195*32+P183*64+P159*64+P165*128+P153*256+P111*64+P171*256+P51*256+P39*128+P201*32+P207*64+P213*64+P219*64+P225*256+P231*64+P237*128+P243*64+P249*128+P255*32+P261*64</f>
        <v>18177024</v>
      </c>
      <c r="Q272" s="77">
        <f t="shared" si="115"/>
        <v>18587040</v>
      </c>
      <c r="R272" s="77">
        <f t="shared" si="115"/>
        <v>14757120</v>
      </c>
      <c r="S272" s="77">
        <f>S3*32+S9*32+S15*64+S21*64+S27*128+S33*128+S45*256+S57*128+S63*128+S69*128+S75*256+S81*256+S87*32+S93*32+S99*64+S105*64+S117*64+S123*128+S129*64+S135*64+S141*64+S147*128+S177*128+S189*16+S195*32+S183*64+S159*64+S165*128+S153*256+S111*64+S171*256+S51*256+S39*128+S201*32+S207*64+S213*64+S219*64+S225*256+S231*64+S237*128+S243*64+S249*128+S255*32+S261*64</f>
        <v>9438240</v>
      </c>
      <c r="T272" s="15">
        <f>SUM(O272:S272)</f>
        <v>66168960</v>
      </c>
      <c r="U272" s="11">
        <f>T272+N272+I272+D276</f>
        <v>169780672</v>
      </c>
      <c r="V272" s="77">
        <f>V3*32+V9*32+V15*64+V21*64+V27*128+V33*128+V45*256+V57*128+V63*128+V69*128+V75*256+V81*256+V87*32+V93*32+V99*64+V105*64+V117*64+V123*128+V129*64+V135*64+V141*64+V147*128+V177*128+V189*16+V195*32+V183*64+V159*64+V165*128+V153*256+V111*64+V171*256+V51*256+V39*128+V201*32+V207*64+V213*64+V219*64+V225*256+V231*64+V237*128+V243*64+V249*128+V255*32+V261*64</f>
        <v>3525152</v>
      </c>
      <c r="W272" s="77">
        <f t="shared" ref="W272:Y274" si="116">W3*32+W9*32+W15*64+W21*64+W27*128+W33*128+W45*256+W57*128+W63*128+W69*128+W75*256+W81*256+W87*32+W93*32+W99*64+W105*64+W117*64+W123*128+W129*64+W135*64+W141*64+W147*128+W177*128+W189*16+W195*32+W183*64+W159*64+W165*128+W153*256+W111*64+W171*256+W51*256+W39*128+W201*32+W207*64+W213*64+W219*64+W225*256+W231*64+W237*128+W243*64+W249*128+W255*32+W261*64</f>
        <v>5802624</v>
      </c>
      <c r="X272" s="77">
        <f t="shared" si="116"/>
        <v>5348288</v>
      </c>
      <c r="Y272" s="77">
        <f t="shared" si="116"/>
        <v>5113920</v>
      </c>
      <c r="Z272" s="15">
        <f>SUM(V272:Y272)</f>
        <v>19789984</v>
      </c>
      <c r="AA272" s="77">
        <f>AA3*32+AA9*32+AA15*64+AA21*64+AA27*128+AA33*128+AA45*256+AA57*128+AA63*128+AA69*128+AA75*256+AA81*256+AA87*32+AA93*32+AA99*64+AA105*64+AA117*64+AA123*128+AA129*64+AA135*64+AA141*64+AA147*128+AA177*128+AA189*16+AA195*32+AA183*64+AA159*64+AA165*128+AA153*256+AA111*64+AA171*256+AA51*256+AA39*128+AA201*32+AA207*64+AA213*64+AA219*64+AA225*256+AA231*64+AA237*128+AA243*64+AA249*128+AA255*32+AA261*64</f>
        <v>8155712</v>
      </c>
      <c r="AB272" s="77">
        <f t="shared" ref="AB272:AD274" si="117">AB3*32+AB9*32+AB15*64+AB21*64+AB27*128+AB33*128+AB45*256+AB57*128+AB63*128+AB69*128+AB75*256+AB81*256+AB87*32+AB93*32+AB99*64+AB105*64+AB117*64+AB123*128+AB129*64+AB135*64+AB141*64+AB147*128+AB177*128+AB189*16+AB195*32+AB183*64+AB159*64+AB165*128+AB153*256+AB111*64+AB171*256+AB51*256+AB39*128+AB201*32+AB207*64+AB213*64+AB219*64+AB225*256+AB231*64+AB237*128+AB243*64+AB249*128+AB255*32+AB261*64</f>
        <v>14275040</v>
      </c>
      <c r="AC272" s="77">
        <f t="shared" si="117"/>
        <v>12710752</v>
      </c>
      <c r="AD272" s="77">
        <f t="shared" si="117"/>
        <v>10873664</v>
      </c>
      <c r="AE272" s="15">
        <f>SUM(AA272:AD272)</f>
        <v>46015168</v>
      </c>
      <c r="AF272" s="77">
        <f>AF3*32+AF9*32+AF15*64+AF21*64+AF27*128+AF33*128+AF45*256+AF57*128+AF63*128+AF69*128+AF75*256+AF81*256+AF87*32+AF93*32+AF99*64+AF105*64+AF117*64+AF123*128+AF129*64+AF135*64+AF141*64+AF147*128+AF177*128+AF189*16+AF195*32+AF183*64+AF159*64+AF165*128+AF153*256+AF111*64+AF171*256+AF51*256+AF39*128+AF201*32+AF207*64+AF213*64+AF219*64+AF225*256+AF231*64+AF237*128+AF243*64+AF249*128+AF255*32+AF261*64</f>
        <v>6395840</v>
      </c>
      <c r="AG272" s="77">
        <f t="shared" ref="AG272:AI274" si="118">AG3*32+AG9*32+AG15*64+AG21*64+AG27*128+AG33*128+AG45*256+AG57*128+AG63*128+AG69*128+AG75*256+AG81*256+AG87*32+AG93*32+AG99*64+AG105*64+AG117*64+AG123*128+AG129*64+AG135*64+AG141*64+AG147*128+AG177*128+AG189*16+AG195*32+AG183*64+AG159*64+AG165*128+AG153*256+AG111*64+AG171*256+AG51*256+AG39*128+AG201*32+AG207*64+AG213*64+AG219*64+AG225*256+AG231*64+AG237*128+AG243*64+AG249*128+AG255*32+AG261*64</f>
        <v>17746496</v>
      </c>
      <c r="AH272" s="77">
        <f t="shared" si="118"/>
        <v>17307072</v>
      </c>
      <c r="AI272" s="77">
        <f t="shared" si="118"/>
        <v>14056608</v>
      </c>
      <c r="AJ272" s="77">
        <f>AJ3*32+AJ9*32+AJ15*64+AJ21*64+AJ27*128+AJ33*128+AJ45*256+AJ57*128+AJ63*128+AJ69*128+AJ75*256+AJ81*256+AJ87*32+AJ93*32+AJ99*64+AJ105*64+AJ117*64+AJ123*128+AJ129*64+AJ135*64+AJ141*64+AJ147*128+AJ177*128+AJ189*16+AJ195*32+AJ183*64+AJ159*64+AJ165*128+AJ153*256+AJ111*64+AJ171*256+AJ51*256+AJ39*128+AJ201*32+AJ207*64+AJ213*64+AJ219*64+AJ225*256+AJ231*64+AJ237*128+AJ243*64+AJ249*128+AJ255*32+AJ261*64</f>
        <v>18179200</v>
      </c>
      <c r="AK272" s="15">
        <f>SUM(AF272:AJ272)</f>
        <v>73685216</v>
      </c>
      <c r="AL272" s="11">
        <f>AK272+AE272+Z272</f>
        <v>139490368</v>
      </c>
      <c r="AM272" s="105"/>
      <c r="AN272" s="94">
        <f t="shared" ref="AN272:AN277" si="119">AM272*U272</f>
        <v>0</v>
      </c>
      <c r="AO272" s="94">
        <f t="shared" si="91"/>
        <v>0</v>
      </c>
    </row>
    <row r="273" spans="1:41" s="34" customFormat="1">
      <c r="A273" s="174"/>
      <c r="B273" s="90" t="s">
        <v>6</v>
      </c>
      <c r="C273" s="77"/>
      <c r="D273" s="78"/>
      <c r="E273" s="77">
        <f>E4*32+E10*32+E16*64+E22*64+E28*128+E34*128+E46*256+E58*128+E64*128+E70*128+E76*256+E82*256+E88*32+E94*32+E100*64+E106*64+E118*64+E124*128+E130*64+E136*64+E142*64+E148*128+E178*128+E190*16+E196*32+E184*64+E160*64+E166*128+E154*256+E112*64+E172*256+E52*256+E40*128+E202*32+E208*64+E214*64+E220*64+E226*256+E232*64+E238*128+E244*64+E250*128+E256*32+E262*64</f>
        <v>2473472</v>
      </c>
      <c r="F273" s="77">
        <f t="shared" si="113"/>
        <v>102400</v>
      </c>
      <c r="G273" s="77">
        <f t="shared" si="113"/>
        <v>46041984</v>
      </c>
      <c r="H273" s="77">
        <f t="shared" si="113"/>
        <v>2304000</v>
      </c>
      <c r="I273" s="15">
        <f>SUM(E273:H273)</f>
        <v>50921856</v>
      </c>
      <c r="J273" s="77">
        <f>J4*32+J10*32+J16*64+J22*64+J28*128+J34*128+J46*256+J58*128+J64*128+J70*128+J76*256+J82*256+J88*32+J94*32+J100*64+J106*64+J118*64+J124*128+J130*64+J136*64+J142*64+J148*128+J178*128+J190*16+J196*32+J184*64+J160*64+J166*128+J154*256+J112*64+J172*256+J52*256+J40*128+J202*32+J208*64+J214*64+J220*64+J226*256+J232*64+J238*128+J244*64+J250*128+J256*32+J262*64</f>
        <v>0</v>
      </c>
      <c r="K273" s="77">
        <f t="shared" si="114"/>
        <v>0</v>
      </c>
      <c r="L273" s="77">
        <f t="shared" si="114"/>
        <v>0</v>
      </c>
      <c r="M273" s="77">
        <f t="shared" si="114"/>
        <v>8256000</v>
      </c>
      <c r="N273" s="15">
        <f t="shared" ref="N273:N275" si="120">SUM(J273:M273)</f>
        <v>8256000</v>
      </c>
      <c r="O273" s="77">
        <f>O4*32+O10*32+O16*64+O22*64+O28*128+O34*128+O46*256+O58*128+O64*128+O70*128+O76*256+O82*256+O88*32+O94*32+O100*64+O106*64+O118*64+O124*128+O130*64+O136*64+O142*64+O148*128+O178*128+O190*16+O196*32+O184*64+O160*64+O166*128+O154*256+O112*64+O172*256+O52*256+O40*128+O202*32+O208*64+O214*64+O220*64+O226*256+O232*64+O238*128+O244*64+O250*128+O256*32+O262*64</f>
        <v>1920000</v>
      </c>
      <c r="P273" s="77">
        <f t="shared" si="115"/>
        <v>0</v>
      </c>
      <c r="Q273" s="77">
        <f t="shared" si="115"/>
        <v>17600000</v>
      </c>
      <c r="R273" s="77">
        <f t="shared" si="115"/>
        <v>21120000</v>
      </c>
      <c r="S273" s="77">
        <f>S4*32+S10*32+S16*64+S22*64+S28*128+S34*128+S46*256+S58*128+S64*128+S70*128+S76*256+S82*256+S88*32+S94*32+S100*64+S106*64+S118*64+S124*128+S130*64+S136*64+S142*64+S148*128+S178*128+S190*16+S196*32+S184*64+S160*64+S166*128+S154*256+S112*64+S172*256+S52*256+S40*128+S202*32+S208*64+S214*64+S220*64+S226*256+S232*64+S238*128+S244*64+S250*128+S256*32+S262*64</f>
        <v>79276800</v>
      </c>
      <c r="T273" s="15">
        <f t="shared" ref="T273:T275" si="121">SUM(O273:S273)</f>
        <v>119916800</v>
      </c>
      <c r="U273" s="11"/>
      <c r="V273" s="77">
        <f>V4*32+V10*32+V16*64+V22*64+V28*128+V34*128+V46*256+V58*128+V64*128+V70*128+V76*256+V82*256+V88*32+V94*32+V100*64+V106*64+V118*64+V124*128+V130*64+V136*64+V142*64+V148*128+V178*128+V190*16+V196*32+V184*64+V160*64+V166*128+V154*256+V112*64+V172*256+V52*256+V40*128+V202*32+V208*64+V214*64+V220*64+V226*256+V232*64+V238*128+V244*64+V250*128+V256*32+V262*64</f>
        <v>0</v>
      </c>
      <c r="W273" s="77">
        <f t="shared" si="116"/>
        <v>0</v>
      </c>
      <c r="X273" s="77">
        <f t="shared" si="116"/>
        <v>0</v>
      </c>
      <c r="Y273" s="77">
        <f t="shared" si="116"/>
        <v>0</v>
      </c>
      <c r="Z273" s="15">
        <f>SUM(V273:Y273)</f>
        <v>0</v>
      </c>
      <c r="AA273" s="77">
        <f>AA4*32+AA10*32+AA16*64+AA22*64+AA28*128+AA34*128+AA46*256+AA58*128+AA64*128+AA70*128+AA76*256+AA82*256+AA88*32+AA94*32+AA100*64+AA106*64+AA118*64+AA124*128+AA130*64+AA136*64+AA142*64+AA148*128+AA178*128+AA190*16+AA196*32+AA184*64+AA160*64+AA166*128+AA154*256+AA112*64+AA172*256+AA52*256+AA40*128+AA202*32+AA208*64+AA214*64+AA220*64+AA226*256+AA232*64+AA238*128+AA244*64+AA250*128+AA256*32+AA262*64</f>
        <v>0</v>
      </c>
      <c r="AB273" s="77">
        <f t="shared" si="117"/>
        <v>0</v>
      </c>
      <c r="AC273" s="77">
        <f t="shared" si="117"/>
        <v>0</v>
      </c>
      <c r="AD273" s="77">
        <f t="shared" si="117"/>
        <v>2048000</v>
      </c>
      <c r="AE273" s="15">
        <f t="shared" ref="AE273:AE275" si="122">SUM(AA273:AD273)</f>
        <v>2048000</v>
      </c>
      <c r="AF273" s="77">
        <f>AF4*32+AF10*32+AF16*64+AF22*64+AF28*128+AF34*128+AF46*256+AF58*128+AF64*128+AF70*128+AF76*256+AF82*256+AF88*32+AF94*32+AF100*64+AF106*64+AF118*64+AF124*128+AF130*64+AF136*64+AF142*64+AF148*128+AF178*128+AF190*16+AF196*32+AF184*64+AF160*64+AF166*128+AF154*256+AF112*64+AF172*256+AF52*256+AF40*128+AF202*32+AF208*64+AF214*64+AF220*64+AF226*256+AF232*64+AF238*128+AF244*64+AF250*128+AF256*32+AF262*64</f>
        <v>0</v>
      </c>
      <c r="AG273" s="77">
        <f t="shared" si="118"/>
        <v>0</v>
      </c>
      <c r="AH273" s="77">
        <f t="shared" si="118"/>
        <v>0</v>
      </c>
      <c r="AI273" s="77">
        <f t="shared" si="118"/>
        <v>41600000</v>
      </c>
      <c r="AJ273" s="77">
        <f>AJ4*32+AJ10*32+AJ16*64+AJ22*64+AJ28*128+AJ34*128+AJ46*256+AJ58*128+AJ64*128+AJ70*128+AJ76*256+AJ82*256+AJ88*32+AJ94*32+AJ100*64+AJ106*64+AJ118*64+AJ124*128+AJ130*64+AJ136*64+AJ142*64+AJ148*128+AJ178*128+AJ190*16+AJ196*32+AJ184*64+AJ160*64+AJ166*128+AJ154*256+AJ112*64+AJ172*256+AJ52*256+AJ40*128+AJ202*32+AJ208*64+AJ214*64+AJ220*64+AJ226*256+AJ232*64+AJ238*128+AJ244*64+AJ250*128+AJ256*32+AJ262*64</f>
        <v>88288000</v>
      </c>
      <c r="AK273" s="15">
        <f t="shared" ref="AK273:AK275" si="123">SUM(AF273:AJ273)</f>
        <v>129888000</v>
      </c>
      <c r="AL273" s="11">
        <f>Z273+AE273+AK273</f>
        <v>131936000</v>
      </c>
      <c r="AN273" s="94">
        <f t="shared" si="119"/>
        <v>0</v>
      </c>
      <c r="AO273" s="94">
        <f t="shared" si="91"/>
        <v>0</v>
      </c>
    </row>
    <row r="274" spans="1:41" s="34" customFormat="1">
      <c r="A274" s="174"/>
      <c r="B274" s="90" t="s">
        <v>10</v>
      </c>
      <c r="C274" s="77">
        <f>C5*32+C11*32+C17*64+C23*64+C29*128+C35*128+C47*256+C59*128+C65*128+C71*128+C77*256+C83*256+C89*32+C95*32+C101*64+C107*64+C119*64+C125*128+C131*64+C137*64+C143*64+C149*128+C179*128+C191*16+C197*32+C185*64+C161*64+C167*128+C155*256+C113*64+C173*256+C53*256+C41*128+C203*32+C209*64+C215*64+C221*64+C227*256+C233*64+C239*128+C245*64+C251*128+C257*32+C263*64</f>
        <v>15828224</v>
      </c>
      <c r="D274" s="78"/>
      <c r="E274" s="77">
        <f>E5*32+E11*32+E17*64+E23*64+E29*128+E35*128+E47*256+E59*128+E65*128+E71*128+E77*256+E83*256+E89*32+E95*32+E101*64+E107*64+E119*64+E125*128+E131*64+E137*64+E143*64+E149*128+E179*128+E191*16+E197*32+E185*64+E161*64+E167*128+E155*256+E113*64+E173*256+E53*256+E41*128+E203*32+E209*64+E215*64+E221*64+E227*256+E233*64+E239*128+E245*64+E251*128+E257*32+E263*64</f>
        <v>0</v>
      </c>
      <c r="F274" s="77">
        <f t="shared" si="113"/>
        <v>15746304</v>
      </c>
      <c r="G274" s="77">
        <f t="shared" si="113"/>
        <v>896000</v>
      </c>
      <c r="H274" s="77">
        <f t="shared" si="113"/>
        <v>0</v>
      </c>
      <c r="I274" s="15">
        <f t="shared" ref="I274:I275" si="124">SUM(E274:H274)</f>
        <v>16642304</v>
      </c>
      <c r="J274" s="77">
        <f>J5*32+J11*32+J17*64+J23*64+J29*128+J35*128+J47*256+J59*128+J65*128+J71*128+J77*256+J83*256+J89*32+J95*32+J101*64+J107*64+J119*64+J125*128+J131*64+J137*64+J143*64+J149*128+J179*128+J191*16+J197*32+J185*64+J161*64+J167*128+J155*256+J113*64+J173*256+J53*256+J41*128+J203*32+J209*64+J215*64+J221*64+J227*256+J233*64+J239*128+J245*64+J251*128+J257*32+J263*64</f>
        <v>0</v>
      </c>
      <c r="K274" s="77">
        <f t="shared" si="114"/>
        <v>0</v>
      </c>
      <c r="L274" s="77">
        <f t="shared" si="114"/>
        <v>0</v>
      </c>
      <c r="M274" s="77">
        <f t="shared" si="114"/>
        <v>0</v>
      </c>
      <c r="N274" s="15">
        <f t="shared" si="120"/>
        <v>0</v>
      </c>
      <c r="O274" s="77">
        <f>O5*32+O11*32+O17*64+O23*64+O29*128+O35*128+O47*256+O59*128+O65*128+O71*128+O77*256+O83*256+O89*32+O95*32+O101*64+O107*64+O119*64+O125*128+O131*64+O137*64+O143*64+O149*128+O179*128+O191*16+O197*32+O185*64+O161*64+O167*128+O155*256+O113*64+O173*256+O53*256+O41*128+O203*32+O209*64+O215*64+O221*64+O227*256+O233*64+O239*128+O245*64+O251*128+O257*32+O263*64</f>
        <v>0</v>
      </c>
      <c r="P274" s="77">
        <f t="shared" si="115"/>
        <v>0</v>
      </c>
      <c r="Q274" s="77">
        <f t="shared" si="115"/>
        <v>0</v>
      </c>
      <c r="R274" s="77">
        <f t="shared" si="115"/>
        <v>0</v>
      </c>
      <c r="S274" s="77">
        <f>S5*32+S11*32+S17*64+S23*64+S29*128+S35*128+S47*256+S59*128+S65*128+S71*128+S77*256+S83*256+S89*32+S95*32+S101*64+S107*64+S119*64+S125*128+S131*64+S137*64+S143*64+S149*128+S179*128+S191*16+S197*32+S185*64+S161*64+S167*128+S155*256+S113*64+S173*256+S53*256+S41*128+S203*32+S209*64+S215*64+S221*64+S227*256+S233*64+S239*128+S245*64+S251*128+S257*32+S263*64</f>
        <v>0</v>
      </c>
      <c r="T274" s="15">
        <f t="shared" si="121"/>
        <v>0</v>
      </c>
      <c r="U274" s="11"/>
      <c r="V274" s="77">
        <f>V5*32+V11*32+V17*64+V23*64+V29*128+V35*128+V47*256+V59*128+V65*128+V71*128+V77*256+V83*256+V89*32+V95*32+V101*64+V107*64+V119*64+V125*128+V131*64+V137*64+V143*64+V149*128+V179*128+V191*16+V197*32+V185*64+V161*64+V167*128+V155*256+V113*64+V173*256+V53*256+V41*128+V203*32+V209*64+V215*64+V221*64+V227*256+V233*64+V239*128+V245*64+V251*128+V257*32+V263*64</f>
        <v>0</v>
      </c>
      <c r="W274" s="77">
        <f t="shared" si="116"/>
        <v>0</v>
      </c>
      <c r="X274" s="77">
        <f t="shared" si="116"/>
        <v>0</v>
      </c>
      <c r="Y274" s="77">
        <f t="shared" si="116"/>
        <v>0</v>
      </c>
      <c r="Z274" s="15">
        <f t="shared" ref="Z274:Z275" si="125">SUM(V274:Y274)</f>
        <v>0</v>
      </c>
      <c r="AA274" s="77">
        <f>AA5*32+AA11*32+AA17*64+AA23*64+AA29*128+AA35*128+AA47*256+AA59*128+AA65*128+AA71*128+AA77*256+AA83*256+AA89*32+AA95*32+AA101*64+AA107*64+AA119*64+AA125*128+AA131*64+AA137*64+AA143*64+AA149*128+AA179*128+AA191*16+AA197*32+AA185*64+AA161*64+AA167*128+AA155*256+AA113*64+AA173*256+AA53*256+AA41*128+AA203*32+AA209*64+AA215*64+AA221*64+AA227*256+AA233*64+AA239*128+AA245*64+AA251*128+AA257*32+AA263*64</f>
        <v>0</v>
      </c>
      <c r="AB274" s="77">
        <f t="shared" si="117"/>
        <v>0</v>
      </c>
      <c r="AC274" s="77">
        <f t="shared" si="117"/>
        <v>0</v>
      </c>
      <c r="AD274" s="77">
        <f t="shared" si="117"/>
        <v>0</v>
      </c>
      <c r="AE274" s="15">
        <f t="shared" si="122"/>
        <v>0</v>
      </c>
      <c r="AF274" s="77">
        <f>AF5*32+AF11*32+AF17*64+AF23*64+AF29*128+AF35*128+AF47*256+AF59*128+AF65*128+AF71*128+AF77*256+AF83*256+AF89*32+AF95*32+AF101*64+AF107*64+AF119*64+AF125*128+AF131*64+AF137*64+AF143*64+AF149*128+AF179*128+AF191*16+AF197*32+AF185*64+AF161*64+AF167*128+AF155*256+AF113*64+AF173*256+AF53*256+AF41*128+AF203*32+AF209*64+AF215*64+AF221*64+AF227*256+AF233*64+AF239*128+AF245*64+AF251*128+AF257*32+AF263*64</f>
        <v>0</v>
      </c>
      <c r="AG274" s="77">
        <f t="shared" si="118"/>
        <v>0</v>
      </c>
      <c r="AH274" s="77">
        <f t="shared" si="118"/>
        <v>0</v>
      </c>
      <c r="AI274" s="77">
        <f t="shared" si="118"/>
        <v>0</v>
      </c>
      <c r="AJ274" s="77">
        <f>AJ5*32+AJ11*32+AJ17*64+AJ23*64+AJ29*128+AJ35*128+AJ47*256+AJ59*128+AJ65*128+AJ71*128+AJ77*256+AJ83*256+AJ89*32+AJ95*32+AJ101*64+AJ107*64+AJ119*64+AJ125*128+AJ131*64+AJ137*64+AJ143*64+AJ149*128+AJ179*128+AJ191*16+AJ197*32+AJ185*64+AJ161*64+AJ167*128+AJ155*256+AJ113*64+AJ173*256+AJ53*256+AJ41*128+AJ203*32+AJ209*64+AJ215*64+AJ221*64+AJ227*256+AJ233*64+AJ239*128+AJ245*64+AJ251*128+AJ257*32+AJ263*64</f>
        <v>0</v>
      </c>
      <c r="AK274" s="15">
        <f t="shared" si="123"/>
        <v>0</v>
      </c>
      <c r="AL274" s="11"/>
      <c r="AN274" s="94">
        <f t="shared" si="119"/>
        <v>0</v>
      </c>
      <c r="AO274" s="94">
        <f t="shared" si="91"/>
        <v>0</v>
      </c>
    </row>
    <row r="275" spans="1:41" s="34" customFormat="1">
      <c r="A275" s="174"/>
      <c r="B275" s="90" t="s">
        <v>44</v>
      </c>
      <c r="C275" s="77">
        <f>C6*32+C12*32+C18*64+C24*64+C30*128+C36*128+C48*256+C60*128+C66*128+C72*128+C78*256+C84*256+C90*32+C96*32+C102*64+C108*64+C120*64+C126*128+C132*64+C138*64+C144*64+C150*128+C180*128+C192*16+C198*32+C186*64+C162*64+C168*128+C156*256+C114*64+C174*256+C54*256+C42*128+C204*32+C210*64+C216*64+C222*64+C228*256+C234*64+C240*128</f>
        <v>0</v>
      </c>
      <c r="D275" s="78"/>
      <c r="E275" s="77">
        <f>E273+E274</f>
        <v>2473472</v>
      </c>
      <c r="F275" s="77">
        <f t="shared" ref="F275:H275" si="126">F273+F274</f>
        <v>15848704</v>
      </c>
      <c r="G275" s="77">
        <f t="shared" si="126"/>
        <v>46937984</v>
      </c>
      <c r="H275" s="77">
        <f t="shared" si="126"/>
        <v>2304000</v>
      </c>
      <c r="I275" s="15">
        <f t="shared" si="124"/>
        <v>67564160</v>
      </c>
      <c r="J275" s="77">
        <f t="shared" ref="J275:M275" si="127">J273+J274</f>
        <v>0</v>
      </c>
      <c r="K275" s="77">
        <f t="shared" si="127"/>
        <v>0</v>
      </c>
      <c r="L275" s="77">
        <f t="shared" si="127"/>
        <v>0</v>
      </c>
      <c r="M275" s="77">
        <f t="shared" si="127"/>
        <v>8256000</v>
      </c>
      <c r="N275" s="15">
        <f t="shared" si="120"/>
        <v>8256000</v>
      </c>
      <c r="O275" s="77">
        <f t="shared" ref="O275:R275" si="128">O273+O274</f>
        <v>1920000</v>
      </c>
      <c r="P275" s="77">
        <f t="shared" si="128"/>
        <v>0</v>
      </c>
      <c r="Q275" s="77">
        <f t="shared" si="128"/>
        <v>17600000</v>
      </c>
      <c r="R275" s="77">
        <f t="shared" si="128"/>
        <v>21120000</v>
      </c>
      <c r="S275" s="77">
        <f>S273+S274</f>
        <v>79276800</v>
      </c>
      <c r="T275" s="15">
        <f t="shared" si="121"/>
        <v>119916800</v>
      </c>
      <c r="U275" s="11">
        <f>T275+N275+I275+D276</f>
        <v>238004672</v>
      </c>
      <c r="V275" s="77">
        <f>V273+V274</f>
        <v>0</v>
      </c>
      <c r="W275" s="77">
        <f t="shared" ref="W275:Y275" si="129">W273+W274</f>
        <v>0</v>
      </c>
      <c r="X275" s="77">
        <f t="shared" si="129"/>
        <v>0</v>
      </c>
      <c r="Y275" s="77">
        <f t="shared" si="129"/>
        <v>0</v>
      </c>
      <c r="Z275" s="15">
        <f t="shared" si="125"/>
        <v>0</v>
      </c>
      <c r="AA275" s="77">
        <f t="shared" ref="AA275:AD275" si="130">AA273+AA274</f>
        <v>0</v>
      </c>
      <c r="AB275" s="77">
        <f t="shared" si="130"/>
        <v>0</v>
      </c>
      <c r="AC275" s="77">
        <f t="shared" si="130"/>
        <v>0</v>
      </c>
      <c r="AD275" s="77">
        <f t="shared" si="130"/>
        <v>2048000</v>
      </c>
      <c r="AE275" s="15">
        <f t="shared" si="122"/>
        <v>2048000</v>
      </c>
      <c r="AF275" s="77">
        <f t="shared" ref="AF275:AI275" si="131">AF273+AF274</f>
        <v>0</v>
      </c>
      <c r="AG275" s="77">
        <f t="shared" si="131"/>
        <v>0</v>
      </c>
      <c r="AH275" s="77">
        <f t="shared" si="131"/>
        <v>0</v>
      </c>
      <c r="AI275" s="77">
        <f t="shared" si="131"/>
        <v>41600000</v>
      </c>
      <c r="AJ275" s="77">
        <f>AJ273+AJ274</f>
        <v>88288000</v>
      </c>
      <c r="AK275" s="15">
        <f t="shared" si="123"/>
        <v>129888000</v>
      </c>
      <c r="AL275" s="11">
        <f>AK275+AE275+Z275</f>
        <v>131936000</v>
      </c>
      <c r="AN275" s="94">
        <f t="shared" si="119"/>
        <v>0</v>
      </c>
      <c r="AO275" s="94">
        <f t="shared" si="91"/>
        <v>0</v>
      </c>
    </row>
    <row r="276" spans="1:41" s="34" customFormat="1" ht="17" thickBot="1">
      <c r="A276" s="175"/>
      <c r="B276" s="91" t="s">
        <v>8</v>
      </c>
      <c r="C276" s="77">
        <f>C7*32+C13*32+C19*64+C25*64+C31*128+C37*128+C49*256+C61*128+C67*128+C73*128+C79*256+C85*256+C91*32+C97*32+C103*64+C109*64+C121*64+C127*128+C133*64+C139*64+C145*64+C151*128+C181*128+C193*16+C199*32+C187*64+C163*64+C169*128+C157*256+C115*64+C175*256+C55*256+C43*128+C205*32+C211*64+C217*64+C223*64+C229*256+C235*64+C241*128+C247*64+C253*128</f>
        <v>48938592</v>
      </c>
      <c r="D276" s="77">
        <f>D7*32+D13*32+D19*64+D25*64+D31*128+D37*128+D49*256+D61*128+D67*128+D73*128+D79*256+D85*256+D91*32+D97*32+D103*64+D109*64+D121*64+D127*128+D133*64+D139*64+D145*64+D151*128+D181*128+D193*16+D199*32+D187*64+D163*64+D169*128+D157*256+D115*64+D175*256+D55*256+D43*128+D205*32+D211*64+D217*64+D223*64+D229*256+D235*64+D241*128+D247*64+D253*128+D259*32+D265*64</f>
        <v>42267712</v>
      </c>
      <c r="E276" s="68">
        <f>E275-E272</f>
        <v>0</v>
      </c>
      <c r="F276" s="68">
        <f>E276+F275-F272</f>
        <v>21917600</v>
      </c>
      <c r="G276" s="68">
        <f>F276+G275-G272</f>
        <v>60772000</v>
      </c>
      <c r="H276" s="68">
        <f>F276+H275-H272</f>
        <v>15433664</v>
      </c>
      <c r="I276" s="92">
        <f>D276+I275-I272</f>
        <v>96555776</v>
      </c>
      <c r="J276" s="68">
        <f>I276+J275-J272</f>
        <v>87873184</v>
      </c>
      <c r="K276" s="68">
        <f>J276+K275-K272</f>
        <v>73565728</v>
      </c>
      <c r="L276" s="68">
        <f>K276+L275-L272</f>
        <v>59794720</v>
      </c>
      <c r="M276" s="68">
        <f>L276+M275-M272</f>
        <v>56743872</v>
      </c>
      <c r="N276" s="92">
        <f>I276+N275-N272</f>
        <v>56743872</v>
      </c>
      <c r="O276" s="68">
        <f>N276+O275-O272</f>
        <v>53454336</v>
      </c>
      <c r="P276" s="68">
        <f>O276+P275-P272</f>
        <v>35277312</v>
      </c>
      <c r="Q276" s="68">
        <f>P276+Q275-Q272</f>
        <v>34290272</v>
      </c>
      <c r="R276" s="68">
        <f t="shared" ref="R276:S276" si="132">Q276+R275-R272</f>
        <v>40653152</v>
      </c>
      <c r="S276" s="68">
        <f t="shared" si="132"/>
        <v>110491712</v>
      </c>
      <c r="T276" s="92">
        <f>N276+T275-T272</f>
        <v>110491712</v>
      </c>
      <c r="U276" s="92">
        <f>U275-U272</f>
        <v>68224000</v>
      </c>
      <c r="V276" s="10">
        <f>U276+V275-V272</f>
        <v>64698848</v>
      </c>
      <c r="W276" s="10">
        <f>V276+W275-W272</f>
        <v>58896224</v>
      </c>
      <c r="X276" s="10">
        <f>W276+X275-X272</f>
        <v>53547936</v>
      </c>
      <c r="Y276" s="10">
        <f>W276+Y275-Y272</f>
        <v>53782304</v>
      </c>
      <c r="Z276" s="9">
        <f>T276+Z275-Z272</f>
        <v>90701728</v>
      </c>
      <c r="AA276" s="10">
        <f>Z276+AA275-AA272</f>
        <v>82546016</v>
      </c>
      <c r="AB276" s="10">
        <f>AA276+AB275-AB272</f>
        <v>68270976</v>
      </c>
      <c r="AC276" s="10">
        <f>AB276+AC275-AC272</f>
        <v>55560224</v>
      </c>
      <c r="AD276" s="10">
        <f>AC276+AD275-AD272</f>
        <v>46734560</v>
      </c>
      <c r="AE276" s="9">
        <f>Z276+AE275-AE272</f>
        <v>46734560</v>
      </c>
      <c r="AF276" s="10">
        <f>AE276+AF275-AF272</f>
        <v>40338720</v>
      </c>
      <c r="AG276" s="10">
        <f>AF276+AG275-AG272</f>
        <v>22592224</v>
      </c>
      <c r="AH276" s="10">
        <f>AG276+AH275-AH272</f>
        <v>5285152</v>
      </c>
      <c r="AI276" s="10">
        <f t="shared" ref="AI276:AJ276" si="133">AH276+AI275-AI272</f>
        <v>32828544</v>
      </c>
      <c r="AJ276" s="10">
        <f t="shared" si="133"/>
        <v>102937344</v>
      </c>
      <c r="AK276" s="9">
        <f>AE276+AK275-AK272</f>
        <v>102937344</v>
      </c>
      <c r="AL276" s="11">
        <f>T276+AL275-AL272</f>
        <v>102937344</v>
      </c>
      <c r="AN276" s="94">
        <f t="shared" si="119"/>
        <v>0</v>
      </c>
      <c r="AO276" s="94">
        <f t="shared" si="91"/>
        <v>0</v>
      </c>
    </row>
    <row r="277" spans="1:41" s="107" customFormat="1">
      <c r="A277" s="106"/>
      <c r="U277" s="108"/>
      <c r="AL277" s="108"/>
      <c r="AN277" s="94">
        <f t="shared" si="119"/>
        <v>0</v>
      </c>
      <c r="AO277" s="94">
        <f t="shared" si="91"/>
        <v>0</v>
      </c>
    </row>
  </sheetData>
  <autoFilter ref="A2:AQ277" xr:uid="{00000000-0001-0000-0200-000000000000}"/>
  <mergeCells count="53">
    <mergeCell ref="A267:A271"/>
    <mergeCell ref="A272:A276"/>
    <mergeCell ref="A237:A241"/>
    <mergeCell ref="A243:A247"/>
    <mergeCell ref="A249:A253"/>
    <mergeCell ref="A255:A259"/>
    <mergeCell ref="A261:A265"/>
    <mergeCell ref="A207:A211"/>
    <mergeCell ref="A213:A217"/>
    <mergeCell ref="A219:A223"/>
    <mergeCell ref="A225:A229"/>
    <mergeCell ref="A231:A235"/>
    <mergeCell ref="A177:A181"/>
    <mergeCell ref="A183:A187"/>
    <mergeCell ref="A189:A193"/>
    <mergeCell ref="A195:A199"/>
    <mergeCell ref="A201:A205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7:A31"/>
    <mergeCell ref="A33:A37"/>
    <mergeCell ref="A117:A121"/>
    <mergeCell ref="A123:A127"/>
    <mergeCell ref="A111:A115"/>
    <mergeCell ref="A87:A91"/>
    <mergeCell ref="A81:A85"/>
    <mergeCell ref="A105:A109"/>
    <mergeCell ref="A69:A73"/>
    <mergeCell ref="A57:A61"/>
    <mergeCell ref="A75:A79"/>
    <mergeCell ref="A99:A103"/>
    <mergeCell ref="A63:A67"/>
    <mergeCell ref="A93:A97"/>
    <mergeCell ref="A129:A133"/>
    <mergeCell ref="A135:A139"/>
    <mergeCell ref="A171:A175"/>
    <mergeCell ref="A165:A169"/>
    <mergeCell ref="A153:A157"/>
    <mergeCell ref="A159:A163"/>
    <mergeCell ref="A147:A151"/>
    <mergeCell ref="A141:A145"/>
  </mergeCells>
  <phoneticPr fontId="3" type="noConversion"/>
  <conditionalFormatting sqref="AF266">
    <cfRule type="cellIs" dxfId="1565" priority="1564" stopIfTrue="1" operator="lessThanOrEqual">
      <formula>3000</formula>
    </cfRule>
    <cfRule type="cellIs" dxfId="1564" priority="1565" stopIfTrue="1" operator="between">
      <formula>3000</formula>
      <formula>9000</formula>
    </cfRule>
    <cfRule type="cellIs" dxfId="1563" priority="1566" stopIfTrue="1" operator="greaterThanOrEqual">
      <formula>9000</formula>
    </cfRule>
  </conditionalFormatting>
  <conditionalFormatting sqref="AG266:AJ266">
    <cfRule type="cellIs" dxfId="1562" priority="1561" stopIfTrue="1" operator="lessThanOrEqual">
      <formula>3000</formula>
    </cfRule>
    <cfRule type="cellIs" dxfId="1561" priority="1562" stopIfTrue="1" operator="between">
      <formula>3000</formula>
      <formula>9000</formula>
    </cfRule>
    <cfRule type="cellIs" dxfId="1560" priority="1563" stopIfTrue="1" operator="greaterThanOrEqual">
      <formula>9000</formula>
    </cfRule>
  </conditionalFormatting>
  <conditionalFormatting sqref="E266:H266">
    <cfRule type="cellIs" dxfId="1559" priority="1558" stopIfTrue="1" operator="lessThanOrEqual">
      <formula>3000</formula>
    </cfRule>
    <cfRule type="cellIs" dxfId="1558" priority="1559" stopIfTrue="1" operator="between">
      <formula>3000</formula>
      <formula>9000</formula>
    </cfRule>
    <cfRule type="cellIs" dxfId="1557" priority="1560" stopIfTrue="1" operator="greaterThanOrEqual">
      <formula>9000</formula>
    </cfRule>
  </conditionalFormatting>
  <conditionalFormatting sqref="J266">
    <cfRule type="cellIs" dxfId="1556" priority="1555" stopIfTrue="1" operator="lessThanOrEqual">
      <formula>3000</formula>
    </cfRule>
    <cfRule type="cellIs" dxfId="1555" priority="1556" stopIfTrue="1" operator="between">
      <formula>3000</formula>
      <formula>9000</formula>
    </cfRule>
    <cfRule type="cellIs" dxfId="1554" priority="1557" stopIfTrue="1" operator="greaterThanOrEqual">
      <formula>9000</formula>
    </cfRule>
  </conditionalFormatting>
  <conditionalFormatting sqref="K266:N266">
    <cfRule type="cellIs" dxfId="1553" priority="1552" stopIfTrue="1" operator="lessThanOrEqual">
      <formula>3000</formula>
    </cfRule>
    <cfRule type="cellIs" dxfId="1552" priority="1553" stopIfTrue="1" operator="between">
      <formula>3000</formula>
      <formula>9000</formula>
    </cfRule>
    <cfRule type="cellIs" dxfId="1551" priority="1554" stopIfTrue="1" operator="greaterThanOrEqual">
      <formula>9000</formula>
    </cfRule>
  </conditionalFormatting>
  <conditionalFormatting sqref="V266:Y266">
    <cfRule type="cellIs" dxfId="1550" priority="1549" stopIfTrue="1" operator="lessThanOrEqual">
      <formula>3000</formula>
    </cfRule>
    <cfRule type="cellIs" dxfId="1549" priority="1550" stopIfTrue="1" operator="between">
      <formula>3000</formula>
      <formula>9000</formula>
    </cfRule>
    <cfRule type="cellIs" dxfId="1548" priority="1551" stopIfTrue="1" operator="greaterThanOrEqual">
      <formula>9000</formula>
    </cfRule>
  </conditionalFormatting>
  <conditionalFormatting sqref="Q266:T266">
    <cfRule type="cellIs" dxfId="1547" priority="1546" stopIfTrue="1" operator="lessThanOrEqual">
      <formula>3000</formula>
    </cfRule>
    <cfRule type="cellIs" dxfId="1546" priority="1547" stopIfTrue="1" operator="between">
      <formula>3000</formula>
      <formula>9000</formula>
    </cfRule>
    <cfRule type="cellIs" dxfId="1545" priority="1548" stopIfTrue="1" operator="greaterThanOrEqual">
      <formula>9000</formula>
    </cfRule>
  </conditionalFormatting>
  <conditionalFormatting sqref="AA266">
    <cfRule type="cellIs" dxfId="1544" priority="1543" stopIfTrue="1" operator="lessThanOrEqual">
      <formula>3000</formula>
    </cfRule>
    <cfRule type="cellIs" dxfId="1543" priority="1544" stopIfTrue="1" operator="between">
      <formula>3000</formula>
      <formula>9000</formula>
    </cfRule>
    <cfRule type="cellIs" dxfId="1542" priority="1545" stopIfTrue="1" operator="greaterThanOrEqual">
      <formula>9000</formula>
    </cfRule>
  </conditionalFormatting>
  <conditionalFormatting sqref="AB266:AE266">
    <cfRule type="cellIs" dxfId="1541" priority="1540" stopIfTrue="1" operator="lessThanOrEqual">
      <formula>3000</formula>
    </cfRule>
    <cfRule type="cellIs" dxfId="1540" priority="1541" stopIfTrue="1" operator="between">
      <formula>3000</formula>
      <formula>9000</formula>
    </cfRule>
    <cfRule type="cellIs" dxfId="1539" priority="1542" stopIfTrue="1" operator="greaterThanOrEqual">
      <formula>9000</formula>
    </cfRule>
  </conditionalFormatting>
  <conditionalFormatting sqref="A231:A235">
    <cfRule type="duplicateValues" dxfId="1538" priority="1537"/>
    <cfRule type="duplicateValues" dxfId="1537" priority="1538"/>
    <cfRule type="duplicateValues" dxfId="1536" priority="1539"/>
  </conditionalFormatting>
  <conditionalFormatting sqref="F254:H254">
    <cfRule type="cellIs" dxfId="1535" priority="1534" stopIfTrue="1" operator="lessThanOrEqual">
      <formula>3000</formula>
    </cfRule>
    <cfRule type="cellIs" dxfId="1534" priority="1535" stopIfTrue="1" operator="between">
      <formula>3000</formula>
      <formula>9000</formula>
    </cfRule>
    <cfRule type="cellIs" dxfId="1533" priority="1536" stopIfTrue="1" operator="greaterThanOrEqual">
      <formula>9000</formula>
    </cfRule>
  </conditionalFormatting>
  <conditionalFormatting sqref="F242:H242">
    <cfRule type="cellIs" dxfId="1532" priority="1531" stopIfTrue="1" operator="lessThanOrEqual">
      <formula>3000</formula>
    </cfRule>
    <cfRule type="cellIs" dxfId="1531" priority="1532" stopIfTrue="1" operator="between">
      <formula>3000</formula>
      <formula>9000</formula>
    </cfRule>
    <cfRule type="cellIs" dxfId="1530" priority="1533" stopIfTrue="1" operator="greaterThanOrEqual">
      <formula>9000</formula>
    </cfRule>
  </conditionalFormatting>
  <conditionalFormatting sqref="F230:H230">
    <cfRule type="cellIs" dxfId="1529" priority="1528" stopIfTrue="1" operator="lessThanOrEqual">
      <formula>3000</formula>
    </cfRule>
    <cfRule type="cellIs" dxfId="1528" priority="1529" stopIfTrue="1" operator="between">
      <formula>3000</formula>
      <formula>9000</formula>
    </cfRule>
    <cfRule type="cellIs" dxfId="1527" priority="1530" stopIfTrue="1" operator="greaterThanOrEqual">
      <formula>9000</formula>
    </cfRule>
  </conditionalFormatting>
  <conditionalFormatting sqref="F212:H212">
    <cfRule type="cellIs" dxfId="1526" priority="1525" stopIfTrue="1" operator="lessThanOrEqual">
      <formula>3000</formula>
    </cfRule>
    <cfRule type="cellIs" dxfId="1525" priority="1526" stopIfTrue="1" operator="between">
      <formula>3000</formula>
      <formula>9000</formula>
    </cfRule>
    <cfRule type="cellIs" dxfId="1524" priority="1527" stopIfTrue="1" operator="greaterThanOrEqual">
      <formula>9000</formula>
    </cfRule>
  </conditionalFormatting>
  <conditionalFormatting sqref="F14:H14">
    <cfRule type="cellIs" dxfId="1523" priority="1519" stopIfTrue="1" operator="lessThanOrEqual">
      <formula>3000</formula>
    </cfRule>
    <cfRule type="cellIs" dxfId="1522" priority="1520" stopIfTrue="1" operator="between">
      <formula>3000</formula>
      <formula>9000</formula>
    </cfRule>
    <cfRule type="cellIs" dxfId="1521" priority="1521" stopIfTrue="1" operator="greaterThanOrEqual">
      <formula>9000</formula>
    </cfRule>
  </conditionalFormatting>
  <conditionalFormatting sqref="F116:H116">
    <cfRule type="cellIs" dxfId="1520" priority="1468" stopIfTrue="1" operator="lessThanOrEqual">
      <formula>3000</formula>
    </cfRule>
    <cfRule type="cellIs" dxfId="1519" priority="1469" stopIfTrue="1" operator="between">
      <formula>3000</formula>
      <formula>9000</formula>
    </cfRule>
    <cfRule type="cellIs" dxfId="1518" priority="1470" stopIfTrue="1" operator="greaterThanOrEqual">
      <formula>9000</formula>
    </cfRule>
  </conditionalFormatting>
  <conditionalFormatting sqref="F110:H110">
    <cfRule type="cellIs" dxfId="1517" priority="1471" stopIfTrue="1" operator="lessThanOrEqual">
      <formula>3000</formula>
    </cfRule>
    <cfRule type="cellIs" dxfId="1516" priority="1472" stopIfTrue="1" operator="between">
      <formula>3000</formula>
      <formula>9000</formula>
    </cfRule>
    <cfRule type="cellIs" dxfId="1515" priority="1473" stopIfTrue="1" operator="greaterThanOrEqual">
      <formula>9000</formula>
    </cfRule>
  </conditionalFormatting>
  <conditionalFormatting sqref="F8:H8">
    <cfRule type="cellIs" dxfId="1514" priority="1522" stopIfTrue="1" operator="lessThanOrEqual">
      <formula>3000</formula>
    </cfRule>
    <cfRule type="cellIs" dxfId="1513" priority="1523" stopIfTrue="1" operator="between">
      <formula>3000</formula>
      <formula>9000</formula>
    </cfRule>
    <cfRule type="cellIs" dxfId="1512" priority="1524" stopIfTrue="1" operator="greaterThanOrEqual">
      <formula>9000</formula>
    </cfRule>
  </conditionalFormatting>
  <conditionalFormatting sqref="F20:H20">
    <cfRule type="cellIs" dxfId="1511" priority="1516" stopIfTrue="1" operator="lessThanOrEqual">
      <formula>3000</formula>
    </cfRule>
    <cfRule type="cellIs" dxfId="1510" priority="1517" stopIfTrue="1" operator="between">
      <formula>3000</formula>
      <formula>9000</formula>
    </cfRule>
    <cfRule type="cellIs" dxfId="1509" priority="1518" stopIfTrue="1" operator="greaterThanOrEqual">
      <formula>9000</formula>
    </cfRule>
  </conditionalFormatting>
  <conditionalFormatting sqref="F26:H26">
    <cfRule type="cellIs" dxfId="1508" priority="1513" stopIfTrue="1" operator="lessThanOrEqual">
      <formula>3000</formula>
    </cfRule>
    <cfRule type="cellIs" dxfId="1507" priority="1514" stopIfTrue="1" operator="between">
      <formula>3000</formula>
      <formula>9000</formula>
    </cfRule>
    <cfRule type="cellIs" dxfId="1506" priority="1515" stopIfTrue="1" operator="greaterThanOrEqual">
      <formula>9000</formula>
    </cfRule>
  </conditionalFormatting>
  <conditionalFormatting sqref="F32:H32">
    <cfRule type="cellIs" dxfId="1505" priority="1510" stopIfTrue="1" operator="lessThanOrEqual">
      <formula>3000</formula>
    </cfRule>
    <cfRule type="cellIs" dxfId="1504" priority="1511" stopIfTrue="1" operator="between">
      <formula>3000</formula>
      <formula>9000</formula>
    </cfRule>
    <cfRule type="cellIs" dxfId="1503" priority="1512" stopIfTrue="1" operator="greaterThanOrEqual">
      <formula>9000</formula>
    </cfRule>
  </conditionalFormatting>
  <conditionalFormatting sqref="F38:H38">
    <cfRule type="cellIs" dxfId="1502" priority="1507" stopIfTrue="1" operator="lessThanOrEqual">
      <formula>3000</formula>
    </cfRule>
    <cfRule type="cellIs" dxfId="1501" priority="1508" stopIfTrue="1" operator="between">
      <formula>3000</formula>
      <formula>9000</formula>
    </cfRule>
    <cfRule type="cellIs" dxfId="1500" priority="1509" stopIfTrue="1" operator="greaterThanOrEqual">
      <formula>9000</formula>
    </cfRule>
  </conditionalFormatting>
  <conditionalFormatting sqref="F44:H44">
    <cfRule type="cellIs" dxfId="1499" priority="1504" stopIfTrue="1" operator="lessThanOrEqual">
      <formula>3000</formula>
    </cfRule>
    <cfRule type="cellIs" dxfId="1498" priority="1505" stopIfTrue="1" operator="between">
      <formula>3000</formula>
      <formula>9000</formula>
    </cfRule>
    <cfRule type="cellIs" dxfId="1497" priority="1506" stopIfTrue="1" operator="greaterThanOrEqual">
      <formula>9000</formula>
    </cfRule>
  </conditionalFormatting>
  <conditionalFormatting sqref="F50:H50">
    <cfRule type="cellIs" dxfId="1496" priority="1501" stopIfTrue="1" operator="lessThanOrEqual">
      <formula>3000</formula>
    </cfRule>
    <cfRule type="cellIs" dxfId="1495" priority="1502" stopIfTrue="1" operator="between">
      <formula>3000</formula>
      <formula>9000</formula>
    </cfRule>
    <cfRule type="cellIs" dxfId="1494" priority="1503" stopIfTrue="1" operator="greaterThanOrEqual">
      <formula>9000</formula>
    </cfRule>
  </conditionalFormatting>
  <conditionalFormatting sqref="F56:H56">
    <cfRule type="cellIs" dxfId="1493" priority="1498" stopIfTrue="1" operator="lessThanOrEqual">
      <formula>3000</formula>
    </cfRule>
    <cfRule type="cellIs" dxfId="1492" priority="1499" stopIfTrue="1" operator="between">
      <formula>3000</formula>
      <formula>9000</formula>
    </cfRule>
    <cfRule type="cellIs" dxfId="1491" priority="1500" stopIfTrue="1" operator="greaterThanOrEqual">
      <formula>9000</formula>
    </cfRule>
  </conditionalFormatting>
  <conditionalFormatting sqref="F62:H62">
    <cfRule type="cellIs" dxfId="1490" priority="1495" stopIfTrue="1" operator="lessThanOrEqual">
      <formula>3000</formula>
    </cfRule>
    <cfRule type="cellIs" dxfId="1489" priority="1496" stopIfTrue="1" operator="between">
      <formula>3000</formula>
      <formula>9000</formula>
    </cfRule>
    <cfRule type="cellIs" dxfId="1488" priority="1497" stopIfTrue="1" operator="greaterThanOrEqual">
      <formula>9000</formula>
    </cfRule>
  </conditionalFormatting>
  <conditionalFormatting sqref="F68:H68">
    <cfRule type="cellIs" dxfId="1487" priority="1492" stopIfTrue="1" operator="lessThanOrEqual">
      <formula>3000</formula>
    </cfRule>
    <cfRule type="cellIs" dxfId="1486" priority="1493" stopIfTrue="1" operator="between">
      <formula>3000</formula>
      <formula>9000</formula>
    </cfRule>
    <cfRule type="cellIs" dxfId="1485" priority="1494" stopIfTrue="1" operator="greaterThanOrEqual">
      <formula>9000</formula>
    </cfRule>
  </conditionalFormatting>
  <conditionalFormatting sqref="F74:H74">
    <cfRule type="cellIs" dxfId="1484" priority="1489" stopIfTrue="1" operator="lessThanOrEqual">
      <formula>3000</formula>
    </cfRule>
    <cfRule type="cellIs" dxfId="1483" priority="1490" stopIfTrue="1" operator="between">
      <formula>3000</formula>
      <formula>9000</formula>
    </cfRule>
    <cfRule type="cellIs" dxfId="1482" priority="1491" stopIfTrue="1" operator="greaterThanOrEqual">
      <formula>9000</formula>
    </cfRule>
  </conditionalFormatting>
  <conditionalFormatting sqref="F80:H80">
    <cfRule type="cellIs" dxfId="1481" priority="1486" stopIfTrue="1" operator="lessThanOrEqual">
      <formula>3000</formula>
    </cfRule>
    <cfRule type="cellIs" dxfId="1480" priority="1487" stopIfTrue="1" operator="between">
      <formula>3000</formula>
      <formula>9000</formula>
    </cfRule>
    <cfRule type="cellIs" dxfId="1479" priority="1488" stopIfTrue="1" operator="greaterThanOrEqual">
      <formula>9000</formula>
    </cfRule>
  </conditionalFormatting>
  <conditionalFormatting sqref="F86:H86">
    <cfRule type="cellIs" dxfId="1478" priority="1483" stopIfTrue="1" operator="lessThanOrEqual">
      <formula>3000</formula>
    </cfRule>
    <cfRule type="cellIs" dxfId="1477" priority="1484" stopIfTrue="1" operator="between">
      <formula>3000</formula>
      <formula>9000</formula>
    </cfRule>
    <cfRule type="cellIs" dxfId="1476" priority="1485" stopIfTrue="1" operator="greaterThanOrEqual">
      <formula>9000</formula>
    </cfRule>
  </conditionalFormatting>
  <conditionalFormatting sqref="F92:H92">
    <cfRule type="cellIs" dxfId="1475" priority="1480" stopIfTrue="1" operator="lessThanOrEqual">
      <formula>3000</formula>
    </cfRule>
    <cfRule type="cellIs" dxfId="1474" priority="1481" stopIfTrue="1" operator="between">
      <formula>3000</formula>
      <formula>9000</formula>
    </cfRule>
    <cfRule type="cellIs" dxfId="1473" priority="1482" stopIfTrue="1" operator="greaterThanOrEqual">
      <formula>9000</formula>
    </cfRule>
  </conditionalFormatting>
  <conditionalFormatting sqref="F98:H98">
    <cfRule type="cellIs" dxfId="1472" priority="1477" stopIfTrue="1" operator="lessThanOrEqual">
      <formula>3000</formula>
    </cfRule>
    <cfRule type="cellIs" dxfId="1471" priority="1478" stopIfTrue="1" operator="between">
      <formula>3000</formula>
      <formula>9000</formula>
    </cfRule>
    <cfRule type="cellIs" dxfId="1470" priority="1479" stopIfTrue="1" operator="greaterThanOrEqual">
      <formula>9000</formula>
    </cfRule>
  </conditionalFormatting>
  <conditionalFormatting sqref="F104:H104">
    <cfRule type="cellIs" dxfId="1469" priority="1474" stopIfTrue="1" operator="lessThanOrEqual">
      <formula>3000</formula>
    </cfRule>
    <cfRule type="cellIs" dxfId="1468" priority="1475" stopIfTrue="1" operator="between">
      <formula>3000</formula>
      <formula>9000</formula>
    </cfRule>
    <cfRule type="cellIs" dxfId="1467" priority="1476" stopIfTrue="1" operator="greaterThanOrEqual">
      <formula>9000</formula>
    </cfRule>
  </conditionalFormatting>
  <conditionalFormatting sqref="F122:H122">
    <cfRule type="cellIs" dxfId="1466" priority="1465" stopIfTrue="1" operator="lessThanOrEqual">
      <formula>3000</formula>
    </cfRule>
    <cfRule type="cellIs" dxfId="1465" priority="1466" stopIfTrue="1" operator="between">
      <formula>3000</formula>
      <formula>9000</formula>
    </cfRule>
    <cfRule type="cellIs" dxfId="1464" priority="1467" stopIfTrue="1" operator="greaterThanOrEqual">
      <formula>9000</formula>
    </cfRule>
  </conditionalFormatting>
  <conditionalFormatting sqref="F128:H128">
    <cfRule type="cellIs" dxfId="1463" priority="1462" stopIfTrue="1" operator="lessThanOrEqual">
      <formula>3000</formula>
    </cfRule>
    <cfRule type="cellIs" dxfId="1462" priority="1463" stopIfTrue="1" operator="between">
      <formula>3000</formula>
      <formula>9000</formula>
    </cfRule>
    <cfRule type="cellIs" dxfId="1461" priority="1464" stopIfTrue="1" operator="greaterThanOrEqual">
      <formula>9000</formula>
    </cfRule>
  </conditionalFormatting>
  <conditionalFormatting sqref="F134:H134">
    <cfRule type="cellIs" dxfId="1460" priority="1459" stopIfTrue="1" operator="lessThanOrEqual">
      <formula>3000</formula>
    </cfRule>
    <cfRule type="cellIs" dxfId="1459" priority="1460" stopIfTrue="1" operator="between">
      <formula>3000</formula>
      <formula>9000</formula>
    </cfRule>
    <cfRule type="cellIs" dxfId="1458" priority="1461" stopIfTrue="1" operator="greaterThanOrEqual">
      <formula>9000</formula>
    </cfRule>
  </conditionalFormatting>
  <conditionalFormatting sqref="F140:H140">
    <cfRule type="cellIs" dxfId="1457" priority="1456" stopIfTrue="1" operator="lessThanOrEqual">
      <formula>3000</formula>
    </cfRule>
    <cfRule type="cellIs" dxfId="1456" priority="1457" stopIfTrue="1" operator="between">
      <formula>3000</formula>
      <formula>9000</formula>
    </cfRule>
    <cfRule type="cellIs" dxfId="1455" priority="1458" stopIfTrue="1" operator="greaterThanOrEqual">
      <formula>9000</formula>
    </cfRule>
  </conditionalFormatting>
  <conditionalFormatting sqref="F146:H146">
    <cfRule type="cellIs" dxfId="1454" priority="1453" stopIfTrue="1" operator="lessThanOrEqual">
      <formula>3000</formula>
    </cfRule>
    <cfRule type="cellIs" dxfId="1453" priority="1454" stopIfTrue="1" operator="between">
      <formula>3000</formula>
      <formula>9000</formula>
    </cfRule>
    <cfRule type="cellIs" dxfId="1452" priority="1455" stopIfTrue="1" operator="greaterThanOrEqual">
      <formula>9000</formula>
    </cfRule>
  </conditionalFormatting>
  <conditionalFormatting sqref="F152:H152">
    <cfRule type="cellIs" dxfId="1451" priority="1450" stopIfTrue="1" operator="lessThanOrEqual">
      <formula>3000</formula>
    </cfRule>
    <cfRule type="cellIs" dxfId="1450" priority="1451" stopIfTrue="1" operator="between">
      <formula>3000</formula>
      <formula>9000</formula>
    </cfRule>
    <cfRule type="cellIs" dxfId="1449" priority="1452" stopIfTrue="1" operator="greaterThanOrEqual">
      <formula>9000</formula>
    </cfRule>
  </conditionalFormatting>
  <conditionalFormatting sqref="F158:H158">
    <cfRule type="cellIs" dxfId="1448" priority="1447" stopIfTrue="1" operator="lessThanOrEqual">
      <formula>3000</formula>
    </cfRule>
    <cfRule type="cellIs" dxfId="1447" priority="1448" stopIfTrue="1" operator="between">
      <formula>3000</formula>
      <formula>9000</formula>
    </cfRule>
    <cfRule type="cellIs" dxfId="1446" priority="1449" stopIfTrue="1" operator="greaterThanOrEqual">
      <formula>9000</formula>
    </cfRule>
  </conditionalFormatting>
  <conditionalFormatting sqref="F164:H164">
    <cfRule type="cellIs" dxfId="1445" priority="1444" stopIfTrue="1" operator="lessThanOrEqual">
      <formula>3000</formula>
    </cfRule>
    <cfRule type="cellIs" dxfId="1444" priority="1445" stopIfTrue="1" operator="between">
      <formula>3000</formula>
      <formula>9000</formula>
    </cfRule>
    <cfRule type="cellIs" dxfId="1443" priority="1446" stopIfTrue="1" operator="greaterThanOrEqual">
      <formula>9000</formula>
    </cfRule>
  </conditionalFormatting>
  <conditionalFormatting sqref="F200:H200 F194:H194 F188:H188 F182:H182 F176:H176 F170:H170">
    <cfRule type="cellIs" dxfId="1442" priority="1441" stopIfTrue="1" operator="lessThanOrEqual">
      <formula>3000</formula>
    </cfRule>
    <cfRule type="cellIs" dxfId="1441" priority="1442" stopIfTrue="1" operator="between">
      <formula>3000</formula>
      <formula>9000</formula>
    </cfRule>
    <cfRule type="cellIs" dxfId="1440" priority="1443" stopIfTrue="1" operator="greaterThanOrEqual">
      <formula>9000</formula>
    </cfRule>
  </conditionalFormatting>
  <conditionalFormatting sqref="F206:H206">
    <cfRule type="cellIs" dxfId="1439" priority="1438" stopIfTrue="1" operator="lessThanOrEqual">
      <formula>3000</formula>
    </cfRule>
    <cfRule type="cellIs" dxfId="1438" priority="1439" stopIfTrue="1" operator="between">
      <formula>3000</formula>
      <formula>9000</formula>
    </cfRule>
    <cfRule type="cellIs" dxfId="1437" priority="1440" stopIfTrue="1" operator="greaterThanOrEqual">
      <formula>9000</formula>
    </cfRule>
  </conditionalFormatting>
  <conditionalFormatting sqref="F218:H218">
    <cfRule type="cellIs" dxfId="1436" priority="1435" stopIfTrue="1" operator="lessThanOrEqual">
      <formula>3000</formula>
    </cfRule>
    <cfRule type="cellIs" dxfId="1435" priority="1436" stopIfTrue="1" operator="between">
      <formula>3000</formula>
      <formula>9000</formula>
    </cfRule>
    <cfRule type="cellIs" dxfId="1434" priority="1437" stopIfTrue="1" operator="greaterThanOrEqual">
      <formula>9000</formula>
    </cfRule>
  </conditionalFormatting>
  <conditionalFormatting sqref="F224:H224">
    <cfRule type="cellIs" dxfId="1433" priority="1432" stopIfTrue="1" operator="lessThanOrEqual">
      <formula>3000</formula>
    </cfRule>
    <cfRule type="cellIs" dxfId="1432" priority="1433" stopIfTrue="1" operator="between">
      <formula>3000</formula>
      <formula>9000</formula>
    </cfRule>
    <cfRule type="cellIs" dxfId="1431" priority="1434" stopIfTrue="1" operator="greaterThanOrEqual">
      <formula>9000</formula>
    </cfRule>
  </conditionalFormatting>
  <conditionalFormatting sqref="F236:H236">
    <cfRule type="cellIs" dxfId="1430" priority="1429" stopIfTrue="1" operator="lessThanOrEqual">
      <formula>3000</formula>
    </cfRule>
    <cfRule type="cellIs" dxfId="1429" priority="1430" stopIfTrue="1" operator="between">
      <formula>3000</formula>
      <formula>9000</formula>
    </cfRule>
    <cfRule type="cellIs" dxfId="1428" priority="1431" stopIfTrue="1" operator="greaterThanOrEqual">
      <formula>9000</formula>
    </cfRule>
  </conditionalFormatting>
  <conditionalFormatting sqref="F248:H248">
    <cfRule type="cellIs" dxfId="1427" priority="1426" stopIfTrue="1" operator="lessThanOrEqual">
      <formula>3000</formula>
    </cfRule>
    <cfRule type="cellIs" dxfId="1426" priority="1427" stopIfTrue="1" operator="between">
      <formula>3000</formula>
      <formula>9000</formula>
    </cfRule>
    <cfRule type="cellIs" dxfId="1425" priority="1428" stopIfTrue="1" operator="greaterThanOrEqual">
      <formula>9000</formula>
    </cfRule>
  </conditionalFormatting>
  <conditionalFormatting sqref="F260:H260">
    <cfRule type="cellIs" dxfId="1424" priority="1423" stopIfTrue="1" operator="lessThanOrEqual">
      <formula>3000</formula>
    </cfRule>
    <cfRule type="cellIs" dxfId="1423" priority="1424" stopIfTrue="1" operator="between">
      <formula>3000</formula>
      <formula>9000</formula>
    </cfRule>
    <cfRule type="cellIs" dxfId="1422" priority="1425" stopIfTrue="1" operator="greaterThanOrEqual">
      <formula>9000</formula>
    </cfRule>
  </conditionalFormatting>
  <conditionalFormatting sqref="E8">
    <cfRule type="cellIs" dxfId="1421" priority="1420" stopIfTrue="1" operator="lessThanOrEqual">
      <formula>3000</formula>
    </cfRule>
    <cfRule type="cellIs" dxfId="1420" priority="1421" stopIfTrue="1" operator="between">
      <formula>3000</formula>
      <formula>9000</formula>
    </cfRule>
    <cfRule type="cellIs" dxfId="1419" priority="1422" stopIfTrue="1" operator="greaterThanOrEqual">
      <formula>9000</formula>
    </cfRule>
  </conditionalFormatting>
  <conditionalFormatting sqref="E14">
    <cfRule type="cellIs" dxfId="1418" priority="1417" stopIfTrue="1" operator="lessThanOrEqual">
      <formula>3000</formula>
    </cfRule>
    <cfRule type="cellIs" dxfId="1417" priority="1418" stopIfTrue="1" operator="between">
      <formula>3000</formula>
      <formula>9000</formula>
    </cfRule>
    <cfRule type="cellIs" dxfId="1416" priority="1419" stopIfTrue="1" operator="greaterThanOrEqual">
      <formula>9000</formula>
    </cfRule>
  </conditionalFormatting>
  <conditionalFormatting sqref="E20">
    <cfRule type="cellIs" dxfId="1415" priority="1414" stopIfTrue="1" operator="lessThanOrEqual">
      <formula>3000</formula>
    </cfRule>
    <cfRule type="cellIs" dxfId="1414" priority="1415" stopIfTrue="1" operator="between">
      <formula>3000</formula>
      <formula>9000</formula>
    </cfRule>
    <cfRule type="cellIs" dxfId="1413" priority="1416" stopIfTrue="1" operator="greaterThanOrEqual">
      <formula>9000</formula>
    </cfRule>
  </conditionalFormatting>
  <conditionalFormatting sqref="E26">
    <cfRule type="cellIs" dxfId="1412" priority="1411" stopIfTrue="1" operator="lessThanOrEqual">
      <formula>3000</formula>
    </cfRule>
    <cfRule type="cellIs" dxfId="1411" priority="1412" stopIfTrue="1" operator="between">
      <formula>3000</formula>
      <formula>9000</formula>
    </cfRule>
    <cfRule type="cellIs" dxfId="1410" priority="1413" stopIfTrue="1" operator="greaterThanOrEqual">
      <formula>9000</formula>
    </cfRule>
  </conditionalFormatting>
  <conditionalFormatting sqref="E32">
    <cfRule type="cellIs" dxfId="1409" priority="1408" stopIfTrue="1" operator="lessThanOrEqual">
      <formula>3000</formula>
    </cfRule>
    <cfRule type="cellIs" dxfId="1408" priority="1409" stopIfTrue="1" operator="between">
      <formula>3000</formula>
      <formula>9000</formula>
    </cfRule>
    <cfRule type="cellIs" dxfId="1407" priority="1410" stopIfTrue="1" operator="greaterThanOrEqual">
      <formula>9000</formula>
    </cfRule>
  </conditionalFormatting>
  <conditionalFormatting sqref="E38">
    <cfRule type="cellIs" dxfId="1406" priority="1405" stopIfTrue="1" operator="lessThanOrEqual">
      <formula>3000</formula>
    </cfRule>
    <cfRule type="cellIs" dxfId="1405" priority="1406" stopIfTrue="1" operator="between">
      <formula>3000</formula>
      <formula>9000</formula>
    </cfRule>
    <cfRule type="cellIs" dxfId="1404" priority="1407" stopIfTrue="1" operator="greaterThanOrEqual">
      <formula>9000</formula>
    </cfRule>
  </conditionalFormatting>
  <conditionalFormatting sqref="E44">
    <cfRule type="cellIs" dxfId="1403" priority="1402" stopIfTrue="1" operator="lessThanOrEqual">
      <formula>3000</formula>
    </cfRule>
    <cfRule type="cellIs" dxfId="1402" priority="1403" stopIfTrue="1" operator="between">
      <formula>3000</formula>
      <formula>9000</formula>
    </cfRule>
    <cfRule type="cellIs" dxfId="1401" priority="1404" stopIfTrue="1" operator="greaterThanOrEqual">
      <formula>9000</formula>
    </cfRule>
  </conditionalFormatting>
  <conditionalFormatting sqref="E50">
    <cfRule type="cellIs" dxfId="1400" priority="1399" stopIfTrue="1" operator="lessThanOrEqual">
      <formula>3000</formula>
    </cfRule>
    <cfRule type="cellIs" dxfId="1399" priority="1400" stopIfTrue="1" operator="between">
      <formula>3000</formula>
      <formula>9000</formula>
    </cfRule>
    <cfRule type="cellIs" dxfId="1398" priority="1401" stopIfTrue="1" operator="greaterThanOrEqual">
      <formula>9000</formula>
    </cfRule>
  </conditionalFormatting>
  <conditionalFormatting sqref="E56">
    <cfRule type="cellIs" dxfId="1397" priority="1396" stopIfTrue="1" operator="lessThanOrEqual">
      <formula>3000</formula>
    </cfRule>
    <cfRule type="cellIs" dxfId="1396" priority="1397" stopIfTrue="1" operator="between">
      <formula>3000</formula>
      <formula>9000</formula>
    </cfRule>
    <cfRule type="cellIs" dxfId="1395" priority="1398" stopIfTrue="1" operator="greaterThanOrEqual">
      <formula>9000</formula>
    </cfRule>
  </conditionalFormatting>
  <conditionalFormatting sqref="E62">
    <cfRule type="cellIs" dxfId="1394" priority="1393" stopIfTrue="1" operator="lessThanOrEqual">
      <formula>3000</formula>
    </cfRule>
    <cfRule type="cellIs" dxfId="1393" priority="1394" stopIfTrue="1" operator="between">
      <formula>3000</formula>
      <formula>9000</formula>
    </cfRule>
    <cfRule type="cellIs" dxfId="1392" priority="1395" stopIfTrue="1" operator="greaterThanOrEqual">
      <formula>9000</formula>
    </cfRule>
  </conditionalFormatting>
  <conditionalFormatting sqref="E68">
    <cfRule type="cellIs" dxfId="1391" priority="1390" stopIfTrue="1" operator="lessThanOrEqual">
      <formula>3000</formula>
    </cfRule>
    <cfRule type="cellIs" dxfId="1390" priority="1391" stopIfTrue="1" operator="between">
      <formula>3000</formula>
      <formula>9000</formula>
    </cfRule>
    <cfRule type="cellIs" dxfId="1389" priority="1392" stopIfTrue="1" operator="greaterThanOrEqual">
      <formula>9000</formula>
    </cfRule>
  </conditionalFormatting>
  <conditionalFormatting sqref="E74">
    <cfRule type="cellIs" dxfId="1388" priority="1387" stopIfTrue="1" operator="lessThanOrEqual">
      <formula>3000</formula>
    </cfRule>
    <cfRule type="cellIs" dxfId="1387" priority="1388" stopIfTrue="1" operator="between">
      <formula>3000</formula>
      <formula>9000</formula>
    </cfRule>
    <cfRule type="cellIs" dxfId="1386" priority="1389" stopIfTrue="1" operator="greaterThanOrEqual">
      <formula>9000</formula>
    </cfRule>
  </conditionalFormatting>
  <conditionalFormatting sqref="E80">
    <cfRule type="cellIs" dxfId="1385" priority="1384" stopIfTrue="1" operator="lessThanOrEqual">
      <formula>3000</formula>
    </cfRule>
    <cfRule type="cellIs" dxfId="1384" priority="1385" stopIfTrue="1" operator="between">
      <formula>3000</formula>
      <formula>9000</formula>
    </cfRule>
    <cfRule type="cellIs" dxfId="1383" priority="1386" stopIfTrue="1" operator="greaterThanOrEqual">
      <formula>9000</formula>
    </cfRule>
  </conditionalFormatting>
  <conditionalFormatting sqref="E86">
    <cfRule type="cellIs" dxfId="1382" priority="1381" stopIfTrue="1" operator="lessThanOrEqual">
      <formula>3000</formula>
    </cfRule>
    <cfRule type="cellIs" dxfId="1381" priority="1382" stopIfTrue="1" operator="between">
      <formula>3000</formula>
      <formula>9000</formula>
    </cfRule>
    <cfRule type="cellIs" dxfId="1380" priority="1383" stopIfTrue="1" operator="greaterThanOrEqual">
      <formula>9000</formula>
    </cfRule>
  </conditionalFormatting>
  <conditionalFormatting sqref="E92">
    <cfRule type="cellIs" dxfId="1379" priority="1378" stopIfTrue="1" operator="lessThanOrEqual">
      <formula>3000</formula>
    </cfRule>
    <cfRule type="cellIs" dxfId="1378" priority="1379" stopIfTrue="1" operator="between">
      <formula>3000</formula>
      <formula>9000</formula>
    </cfRule>
    <cfRule type="cellIs" dxfId="1377" priority="1380" stopIfTrue="1" operator="greaterThanOrEqual">
      <formula>9000</formula>
    </cfRule>
  </conditionalFormatting>
  <conditionalFormatting sqref="E98">
    <cfRule type="cellIs" dxfId="1376" priority="1375" stopIfTrue="1" operator="lessThanOrEqual">
      <formula>3000</formula>
    </cfRule>
    <cfRule type="cellIs" dxfId="1375" priority="1376" stopIfTrue="1" operator="between">
      <formula>3000</formula>
      <formula>9000</formula>
    </cfRule>
    <cfRule type="cellIs" dxfId="1374" priority="1377" stopIfTrue="1" operator="greaterThanOrEqual">
      <formula>9000</formula>
    </cfRule>
  </conditionalFormatting>
  <conditionalFormatting sqref="E104">
    <cfRule type="cellIs" dxfId="1373" priority="1372" stopIfTrue="1" operator="lessThanOrEqual">
      <formula>3000</formula>
    </cfRule>
    <cfRule type="cellIs" dxfId="1372" priority="1373" stopIfTrue="1" operator="between">
      <formula>3000</formula>
      <formula>9000</formula>
    </cfRule>
    <cfRule type="cellIs" dxfId="1371" priority="1374" stopIfTrue="1" operator="greaterThanOrEqual">
      <formula>9000</formula>
    </cfRule>
  </conditionalFormatting>
  <conditionalFormatting sqref="E110">
    <cfRule type="cellIs" dxfId="1370" priority="1369" stopIfTrue="1" operator="lessThanOrEqual">
      <formula>3000</formula>
    </cfRule>
    <cfRule type="cellIs" dxfId="1369" priority="1370" stopIfTrue="1" operator="between">
      <formula>3000</formula>
      <formula>9000</formula>
    </cfRule>
    <cfRule type="cellIs" dxfId="1368" priority="1371" stopIfTrue="1" operator="greaterThanOrEqual">
      <formula>9000</formula>
    </cfRule>
  </conditionalFormatting>
  <conditionalFormatting sqref="E116">
    <cfRule type="cellIs" dxfId="1367" priority="1366" stopIfTrue="1" operator="lessThanOrEqual">
      <formula>3000</formula>
    </cfRule>
    <cfRule type="cellIs" dxfId="1366" priority="1367" stopIfTrue="1" operator="between">
      <formula>3000</formula>
      <formula>9000</formula>
    </cfRule>
    <cfRule type="cellIs" dxfId="1365" priority="1368" stopIfTrue="1" operator="greaterThanOrEqual">
      <formula>9000</formula>
    </cfRule>
  </conditionalFormatting>
  <conditionalFormatting sqref="E122">
    <cfRule type="cellIs" dxfId="1364" priority="1363" stopIfTrue="1" operator="lessThanOrEqual">
      <formula>3000</formula>
    </cfRule>
    <cfRule type="cellIs" dxfId="1363" priority="1364" stopIfTrue="1" operator="between">
      <formula>3000</formula>
      <formula>9000</formula>
    </cfRule>
    <cfRule type="cellIs" dxfId="1362" priority="1365" stopIfTrue="1" operator="greaterThanOrEqual">
      <formula>9000</formula>
    </cfRule>
  </conditionalFormatting>
  <conditionalFormatting sqref="E128">
    <cfRule type="cellIs" dxfId="1361" priority="1360" stopIfTrue="1" operator="lessThanOrEqual">
      <formula>3000</formula>
    </cfRule>
    <cfRule type="cellIs" dxfId="1360" priority="1361" stopIfTrue="1" operator="between">
      <formula>3000</formula>
      <formula>9000</formula>
    </cfRule>
    <cfRule type="cellIs" dxfId="1359" priority="1362" stopIfTrue="1" operator="greaterThanOrEqual">
      <formula>9000</formula>
    </cfRule>
  </conditionalFormatting>
  <conditionalFormatting sqref="E134">
    <cfRule type="cellIs" dxfId="1358" priority="1357" stopIfTrue="1" operator="lessThanOrEqual">
      <formula>3000</formula>
    </cfRule>
    <cfRule type="cellIs" dxfId="1357" priority="1358" stopIfTrue="1" operator="between">
      <formula>3000</formula>
      <formula>9000</formula>
    </cfRule>
    <cfRule type="cellIs" dxfId="1356" priority="1359" stopIfTrue="1" operator="greaterThanOrEqual">
      <formula>9000</formula>
    </cfRule>
  </conditionalFormatting>
  <conditionalFormatting sqref="E140">
    <cfRule type="cellIs" dxfId="1355" priority="1354" stopIfTrue="1" operator="lessThanOrEqual">
      <formula>3000</formula>
    </cfRule>
    <cfRule type="cellIs" dxfId="1354" priority="1355" stopIfTrue="1" operator="between">
      <formula>3000</formula>
      <formula>9000</formula>
    </cfRule>
    <cfRule type="cellIs" dxfId="1353" priority="1356" stopIfTrue="1" operator="greaterThanOrEqual">
      <formula>9000</formula>
    </cfRule>
  </conditionalFormatting>
  <conditionalFormatting sqref="E146">
    <cfRule type="cellIs" dxfId="1352" priority="1351" stopIfTrue="1" operator="lessThanOrEqual">
      <formula>3000</formula>
    </cfRule>
    <cfRule type="cellIs" dxfId="1351" priority="1352" stopIfTrue="1" operator="between">
      <formula>3000</formula>
      <formula>9000</formula>
    </cfRule>
    <cfRule type="cellIs" dxfId="1350" priority="1353" stopIfTrue="1" operator="greaterThanOrEqual">
      <formula>9000</formula>
    </cfRule>
  </conditionalFormatting>
  <conditionalFormatting sqref="E152">
    <cfRule type="cellIs" dxfId="1349" priority="1348" stopIfTrue="1" operator="lessThanOrEqual">
      <formula>3000</formula>
    </cfRule>
    <cfRule type="cellIs" dxfId="1348" priority="1349" stopIfTrue="1" operator="between">
      <formula>3000</formula>
      <formula>9000</formula>
    </cfRule>
    <cfRule type="cellIs" dxfId="1347" priority="1350" stopIfTrue="1" operator="greaterThanOrEqual">
      <formula>9000</formula>
    </cfRule>
  </conditionalFormatting>
  <conditionalFormatting sqref="E158">
    <cfRule type="cellIs" dxfId="1346" priority="1345" stopIfTrue="1" operator="lessThanOrEqual">
      <formula>3000</formula>
    </cfRule>
    <cfRule type="cellIs" dxfId="1345" priority="1346" stopIfTrue="1" operator="between">
      <formula>3000</formula>
      <formula>9000</formula>
    </cfRule>
    <cfRule type="cellIs" dxfId="1344" priority="1347" stopIfTrue="1" operator="greaterThanOrEqual">
      <formula>9000</formula>
    </cfRule>
  </conditionalFormatting>
  <conditionalFormatting sqref="E164">
    <cfRule type="cellIs" dxfId="1343" priority="1342" stopIfTrue="1" operator="lessThanOrEqual">
      <formula>3000</formula>
    </cfRule>
    <cfRule type="cellIs" dxfId="1342" priority="1343" stopIfTrue="1" operator="between">
      <formula>3000</formula>
      <formula>9000</formula>
    </cfRule>
    <cfRule type="cellIs" dxfId="1341" priority="1344" stopIfTrue="1" operator="greaterThanOrEqual">
      <formula>9000</formula>
    </cfRule>
  </conditionalFormatting>
  <conditionalFormatting sqref="E170">
    <cfRule type="cellIs" dxfId="1340" priority="1339" stopIfTrue="1" operator="lessThanOrEqual">
      <formula>3000</formula>
    </cfRule>
    <cfRule type="cellIs" dxfId="1339" priority="1340" stopIfTrue="1" operator="between">
      <formula>3000</formula>
      <formula>9000</formula>
    </cfRule>
    <cfRule type="cellIs" dxfId="1338" priority="1341" stopIfTrue="1" operator="greaterThanOrEqual">
      <formula>9000</formula>
    </cfRule>
  </conditionalFormatting>
  <conditionalFormatting sqref="E176">
    <cfRule type="cellIs" dxfId="1337" priority="1336" stopIfTrue="1" operator="lessThanOrEqual">
      <formula>3000</formula>
    </cfRule>
    <cfRule type="cellIs" dxfId="1336" priority="1337" stopIfTrue="1" operator="between">
      <formula>3000</formula>
      <formula>9000</formula>
    </cfRule>
    <cfRule type="cellIs" dxfId="1335" priority="1338" stopIfTrue="1" operator="greaterThanOrEqual">
      <formula>9000</formula>
    </cfRule>
  </conditionalFormatting>
  <conditionalFormatting sqref="E182">
    <cfRule type="cellIs" dxfId="1334" priority="1333" stopIfTrue="1" operator="lessThanOrEqual">
      <formula>3000</formula>
    </cfRule>
    <cfRule type="cellIs" dxfId="1333" priority="1334" stopIfTrue="1" operator="between">
      <formula>3000</formula>
      <formula>9000</formula>
    </cfRule>
    <cfRule type="cellIs" dxfId="1332" priority="1335" stopIfTrue="1" operator="greaterThanOrEqual">
      <formula>9000</formula>
    </cfRule>
  </conditionalFormatting>
  <conditionalFormatting sqref="E188">
    <cfRule type="cellIs" dxfId="1331" priority="1330" stopIfTrue="1" operator="lessThanOrEqual">
      <formula>3000</formula>
    </cfRule>
    <cfRule type="cellIs" dxfId="1330" priority="1331" stopIfTrue="1" operator="between">
      <formula>3000</formula>
      <formula>9000</formula>
    </cfRule>
    <cfRule type="cellIs" dxfId="1329" priority="1332" stopIfTrue="1" operator="greaterThanOrEqual">
      <formula>9000</formula>
    </cfRule>
  </conditionalFormatting>
  <conditionalFormatting sqref="E194">
    <cfRule type="cellIs" dxfId="1328" priority="1327" stopIfTrue="1" operator="lessThanOrEqual">
      <formula>3000</formula>
    </cfRule>
    <cfRule type="cellIs" dxfId="1327" priority="1328" stopIfTrue="1" operator="between">
      <formula>3000</formula>
      <formula>9000</formula>
    </cfRule>
    <cfRule type="cellIs" dxfId="1326" priority="1329" stopIfTrue="1" operator="greaterThanOrEqual">
      <formula>9000</formula>
    </cfRule>
  </conditionalFormatting>
  <conditionalFormatting sqref="E200">
    <cfRule type="cellIs" dxfId="1325" priority="1324" stopIfTrue="1" operator="lessThanOrEqual">
      <formula>3000</formula>
    </cfRule>
    <cfRule type="cellIs" dxfId="1324" priority="1325" stopIfTrue="1" operator="between">
      <formula>3000</formula>
      <formula>9000</formula>
    </cfRule>
    <cfRule type="cellIs" dxfId="1323" priority="1326" stopIfTrue="1" operator="greaterThanOrEqual">
      <formula>9000</formula>
    </cfRule>
  </conditionalFormatting>
  <conditionalFormatting sqref="E206">
    <cfRule type="cellIs" dxfId="1322" priority="1321" stopIfTrue="1" operator="lessThanOrEqual">
      <formula>3000</formula>
    </cfRule>
    <cfRule type="cellIs" dxfId="1321" priority="1322" stopIfTrue="1" operator="between">
      <formula>3000</formula>
      <formula>9000</formula>
    </cfRule>
    <cfRule type="cellIs" dxfId="1320" priority="1323" stopIfTrue="1" operator="greaterThanOrEqual">
      <formula>9000</formula>
    </cfRule>
  </conditionalFormatting>
  <conditionalFormatting sqref="E212">
    <cfRule type="cellIs" dxfId="1319" priority="1318" stopIfTrue="1" operator="lessThanOrEqual">
      <formula>3000</formula>
    </cfRule>
    <cfRule type="cellIs" dxfId="1318" priority="1319" stopIfTrue="1" operator="between">
      <formula>3000</formula>
      <formula>9000</formula>
    </cfRule>
    <cfRule type="cellIs" dxfId="1317" priority="1320" stopIfTrue="1" operator="greaterThanOrEqual">
      <formula>9000</formula>
    </cfRule>
  </conditionalFormatting>
  <conditionalFormatting sqref="E218">
    <cfRule type="cellIs" dxfId="1316" priority="1315" stopIfTrue="1" operator="lessThanOrEqual">
      <formula>3000</formula>
    </cfRule>
    <cfRule type="cellIs" dxfId="1315" priority="1316" stopIfTrue="1" operator="between">
      <formula>3000</formula>
      <formula>9000</formula>
    </cfRule>
    <cfRule type="cellIs" dxfId="1314" priority="1317" stopIfTrue="1" operator="greaterThanOrEqual">
      <formula>9000</formula>
    </cfRule>
  </conditionalFormatting>
  <conditionalFormatting sqref="E224">
    <cfRule type="cellIs" dxfId="1313" priority="1312" stopIfTrue="1" operator="lessThanOrEqual">
      <formula>3000</formula>
    </cfRule>
    <cfRule type="cellIs" dxfId="1312" priority="1313" stopIfTrue="1" operator="between">
      <formula>3000</formula>
      <formula>9000</formula>
    </cfRule>
    <cfRule type="cellIs" dxfId="1311" priority="1314" stopIfTrue="1" operator="greaterThanOrEqual">
      <formula>9000</formula>
    </cfRule>
  </conditionalFormatting>
  <conditionalFormatting sqref="E230">
    <cfRule type="cellIs" dxfId="1310" priority="1309" stopIfTrue="1" operator="lessThanOrEqual">
      <formula>3000</formula>
    </cfRule>
    <cfRule type="cellIs" dxfId="1309" priority="1310" stopIfTrue="1" operator="between">
      <formula>3000</formula>
      <formula>9000</formula>
    </cfRule>
    <cfRule type="cellIs" dxfId="1308" priority="1311" stopIfTrue="1" operator="greaterThanOrEqual">
      <formula>9000</formula>
    </cfRule>
  </conditionalFormatting>
  <conditionalFormatting sqref="E236">
    <cfRule type="cellIs" dxfId="1307" priority="1306" stopIfTrue="1" operator="lessThanOrEqual">
      <formula>3000</formula>
    </cfRule>
    <cfRule type="cellIs" dxfId="1306" priority="1307" stopIfTrue="1" operator="between">
      <formula>3000</formula>
      <formula>9000</formula>
    </cfRule>
    <cfRule type="cellIs" dxfId="1305" priority="1308" stopIfTrue="1" operator="greaterThanOrEqual">
      <formula>9000</formula>
    </cfRule>
  </conditionalFormatting>
  <conditionalFormatting sqref="E242">
    <cfRule type="cellIs" dxfId="1304" priority="1303" stopIfTrue="1" operator="lessThanOrEqual">
      <formula>3000</formula>
    </cfRule>
    <cfRule type="cellIs" dxfId="1303" priority="1304" stopIfTrue="1" operator="between">
      <formula>3000</formula>
      <formula>9000</formula>
    </cfRule>
    <cfRule type="cellIs" dxfId="1302" priority="1305" stopIfTrue="1" operator="greaterThanOrEqual">
      <formula>9000</formula>
    </cfRule>
  </conditionalFormatting>
  <conditionalFormatting sqref="E248">
    <cfRule type="cellIs" dxfId="1301" priority="1300" stopIfTrue="1" operator="lessThanOrEqual">
      <formula>3000</formula>
    </cfRule>
    <cfRule type="cellIs" dxfId="1300" priority="1301" stopIfTrue="1" operator="between">
      <formula>3000</formula>
      <formula>9000</formula>
    </cfRule>
    <cfRule type="cellIs" dxfId="1299" priority="1302" stopIfTrue="1" operator="greaterThanOrEqual">
      <formula>9000</formula>
    </cfRule>
  </conditionalFormatting>
  <conditionalFormatting sqref="E254">
    <cfRule type="cellIs" dxfId="1298" priority="1297" stopIfTrue="1" operator="lessThanOrEqual">
      <formula>3000</formula>
    </cfRule>
    <cfRule type="cellIs" dxfId="1297" priority="1298" stopIfTrue="1" operator="between">
      <formula>3000</formula>
      <formula>9000</formula>
    </cfRule>
    <cfRule type="cellIs" dxfId="1296" priority="1299" stopIfTrue="1" operator="greaterThanOrEqual">
      <formula>9000</formula>
    </cfRule>
  </conditionalFormatting>
  <conditionalFormatting sqref="E260">
    <cfRule type="cellIs" dxfId="1295" priority="1294" stopIfTrue="1" operator="lessThanOrEqual">
      <formula>3000</formula>
    </cfRule>
    <cfRule type="cellIs" dxfId="1294" priority="1295" stopIfTrue="1" operator="between">
      <formula>3000</formula>
      <formula>9000</formula>
    </cfRule>
    <cfRule type="cellIs" dxfId="1293" priority="1296" stopIfTrue="1" operator="greaterThanOrEqual">
      <formula>9000</formula>
    </cfRule>
  </conditionalFormatting>
  <conditionalFormatting sqref="O152:R152">
    <cfRule type="cellIs" dxfId="1292" priority="1291" stopIfTrue="1" operator="lessThanOrEqual">
      <formula>3000</formula>
    </cfRule>
    <cfRule type="cellIs" dxfId="1291" priority="1292" stopIfTrue="1" operator="between">
      <formula>3000</formula>
      <formula>9000</formula>
    </cfRule>
    <cfRule type="cellIs" dxfId="1290" priority="1293" stopIfTrue="1" operator="greaterThanOrEqual">
      <formula>9000</formula>
    </cfRule>
  </conditionalFormatting>
  <conditionalFormatting sqref="S152">
    <cfRule type="cellIs" dxfId="1289" priority="1288" stopIfTrue="1" operator="lessThanOrEqual">
      <formula>3000</formula>
    </cfRule>
    <cfRule type="cellIs" dxfId="1288" priority="1289" stopIfTrue="1" operator="between">
      <formula>3000</formula>
      <formula>9000</formula>
    </cfRule>
    <cfRule type="cellIs" dxfId="1287" priority="1290" stopIfTrue="1" operator="greaterThanOrEqual">
      <formula>9000</formula>
    </cfRule>
  </conditionalFormatting>
  <conditionalFormatting sqref="O146:R146">
    <cfRule type="cellIs" dxfId="1286" priority="1285" stopIfTrue="1" operator="lessThanOrEqual">
      <formula>3000</formula>
    </cfRule>
    <cfRule type="cellIs" dxfId="1285" priority="1286" stopIfTrue="1" operator="between">
      <formula>3000</formula>
      <formula>9000</formula>
    </cfRule>
    <cfRule type="cellIs" dxfId="1284" priority="1287" stopIfTrue="1" operator="greaterThanOrEqual">
      <formula>9000</formula>
    </cfRule>
  </conditionalFormatting>
  <conditionalFormatting sqref="S146">
    <cfRule type="cellIs" dxfId="1283" priority="1282" stopIfTrue="1" operator="lessThanOrEqual">
      <formula>3000</formula>
    </cfRule>
    <cfRule type="cellIs" dxfId="1282" priority="1283" stopIfTrue="1" operator="between">
      <formula>3000</formula>
      <formula>9000</formula>
    </cfRule>
    <cfRule type="cellIs" dxfId="1281" priority="1284" stopIfTrue="1" operator="greaterThanOrEqual">
      <formula>9000</formula>
    </cfRule>
  </conditionalFormatting>
  <conditionalFormatting sqref="O140:R140">
    <cfRule type="cellIs" dxfId="1280" priority="1279" stopIfTrue="1" operator="lessThanOrEqual">
      <formula>3000</formula>
    </cfRule>
    <cfRule type="cellIs" dxfId="1279" priority="1280" stopIfTrue="1" operator="between">
      <formula>3000</formula>
      <formula>9000</formula>
    </cfRule>
    <cfRule type="cellIs" dxfId="1278" priority="1281" stopIfTrue="1" operator="greaterThanOrEqual">
      <formula>9000</formula>
    </cfRule>
  </conditionalFormatting>
  <conditionalFormatting sqref="S140">
    <cfRule type="cellIs" dxfId="1277" priority="1276" stopIfTrue="1" operator="lessThanOrEqual">
      <formula>3000</formula>
    </cfRule>
    <cfRule type="cellIs" dxfId="1276" priority="1277" stopIfTrue="1" operator="between">
      <formula>3000</formula>
      <formula>9000</formula>
    </cfRule>
    <cfRule type="cellIs" dxfId="1275" priority="1278" stopIfTrue="1" operator="greaterThanOrEqual">
      <formula>9000</formula>
    </cfRule>
  </conditionalFormatting>
  <conditionalFormatting sqref="O134:R134">
    <cfRule type="cellIs" dxfId="1274" priority="1273" stopIfTrue="1" operator="lessThanOrEqual">
      <formula>3000</formula>
    </cfRule>
    <cfRule type="cellIs" dxfId="1273" priority="1274" stopIfTrue="1" operator="between">
      <formula>3000</formula>
      <formula>9000</formula>
    </cfRule>
    <cfRule type="cellIs" dxfId="1272" priority="1275" stopIfTrue="1" operator="greaterThanOrEqual">
      <formula>9000</formula>
    </cfRule>
  </conditionalFormatting>
  <conditionalFormatting sqref="S134">
    <cfRule type="cellIs" dxfId="1271" priority="1270" stopIfTrue="1" operator="lessThanOrEqual">
      <formula>3000</formula>
    </cfRule>
    <cfRule type="cellIs" dxfId="1270" priority="1271" stopIfTrue="1" operator="between">
      <formula>3000</formula>
      <formula>9000</formula>
    </cfRule>
    <cfRule type="cellIs" dxfId="1269" priority="1272" stopIfTrue="1" operator="greaterThanOrEqual">
      <formula>9000</formula>
    </cfRule>
  </conditionalFormatting>
  <conditionalFormatting sqref="O128:R128">
    <cfRule type="cellIs" dxfId="1268" priority="1267" stopIfTrue="1" operator="lessThanOrEqual">
      <formula>3000</formula>
    </cfRule>
    <cfRule type="cellIs" dxfId="1267" priority="1268" stopIfTrue="1" operator="between">
      <formula>3000</formula>
      <formula>9000</formula>
    </cfRule>
    <cfRule type="cellIs" dxfId="1266" priority="1269" stopIfTrue="1" operator="greaterThanOrEqual">
      <formula>9000</formula>
    </cfRule>
  </conditionalFormatting>
  <conditionalFormatting sqref="S128">
    <cfRule type="cellIs" dxfId="1265" priority="1264" stopIfTrue="1" operator="lessThanOrEqual">
      <formula>3000</formula>
    </cfRule>
    <cfRule type="cellIs" dxfId="1264" priority="1265" stopIfTrue="1" operator="between">
      <formula>3000</formula>
      <formula>9000</formula>
    </cfRule>
    <cfRule type="cellIs" dxfId="1263" priority="1266" stopIfTrue="1" operator="greaterThanOrEqual">
      <formula>9000</formula>
    </cfRule>
  </conditionalFormatting>
  <conditionalFormatting sqref="O122:R122">
    <cfRule type="cellIs" dxfId="1262" priority="1261" stopIfTrue="1" operator="lessThanOrEqual">
      <formula>3000</formula>
    </cfRule>
    <cfRule type="cellIs" dxfId="1261" priority="1262" stopIfTrue="1" operator="between">
      <formula>3000</formula>
      <formula>9000</formula>
    </cfRule>
    <cfRule type="cellIs" dxfId="1260" priority="1263" stopIfTrue="1" operator="greaterThanOrEqual">
      <formula>9000</formula>
    </cfRule>
  </conditionalFormatting>
  <conditionalFormatting sqref="S122">
    <cfRule type="cellIs" dxfId="1259" priority="1258" stopIfTrue="1" operator="lessThanOrEqual">
      <formula>3000</formula>
    </cfRule>
    <cfRule type="cellIs" dxfId="1258" priority="1259" stopIfTrue="1" operator="between">
      <formula>3000</formula>
      <formula>9000</formula>
    </cfRule>
    <cfRule type="cellIs" dxfId="1257" priority="1260" stopIfTrue="1" operator="greaterThanOrEqual">
      <formula>9000</formula>
    </cfRule>
  </conditionalFormatting>
  <conditionalFormatting sqref="O116:R116">
    <cfRule type="cellIs" dxfId="1256" priority="1255" stopIfTrue="1" operator="lessThanOrEqual">
      <formula>3000</formula>
    </cfRule>
    <cfRule type="cellIs" dxfId="1255" priority="1256" stopIfTrue="1" operator="between">
      <formula>3000</formula>
      <formula>9000</formula>
    </cfRule>
    <cfRule type="cellIs" dxfId="1254" priority="1257" stopIfTrue="1" operator="greaterThanOrEqual">
      <formula>9000</formula>
    </cfRule>
  </conditionalFormatting>
  <conditionalFormatting sqref="S116">
    <cfRule type="cellIs" dxfId="1253" priority="1252" stopIfTrue="1" operator="lessThanOrEqual">
      <formula>3000</formula>
    </cfRule>
    <cfRule type="cellIs" dxfId="1252" priority="1253" stopIfTrue="1" operator="between">
      <formula>3000</formula>
      <formula>9000</formula>
    </cfRule>
    <cfRule type="cellIs" dxfId="1251" priority="1254" stopIfTrue="1" operator="greaterThanOrEqual">
      <formula>9000</formula>
    </cfRule>
  </conditionalFormatting>
  <conditionalFormatting sqref="O110:R110">
    <cfRule type="cellIs" dxfId="1250" priority="1249" stopIfTrue="1" operator="lessThanOrEqual">
      <formula>3000</formula>
    </cfRule>
    <cfRule type="cellIs" dxfId="1249" priority="1250" stopIfTrue="1" operator="between">
      <formula>3000</formula>
      <formula>9000</formula>
    </cfRule>
    <cfRule type="cellIs" dxfId="1248" priority="1251" stopIfTrue="1" operator="greaterThanOrEqual">
      <formula>9000</formula>
    </cfRule>
  </conditionalFormatting>
  <conditionalFormatting sqref="S110">
    <cfRule type="cellIs" dxfId="1247" priority="1246" stopIfTrue="1" operator="lessThanOrEqual">
      <formula>3000</formula>
    </cfRule>
    <cfRule type="cellIs" dxfId="1246" priority="1247" stopIfTrue="1" operator="between">
      <formula>3000</formula>
      <formula>9000</formula>
    </cfRule>
    <cfRule type="cellIs" dxfId="1245" priority="1248" stopIfTrue="1" operator="greaterThanOrEqual">
      <formula>9000</formula>
    </cfRule>
  </conditionalFormatting>
  <conditionalFormatting sqref="O104:R104">
    <cfRule type="cellIs" dxfId="1244" priority="1243" stopIfTrue="1" operator="lessThanOrEqual">
      <formula>3000</formula>
    </cfRule>
    <cfRule type="cellIs" dxfId="1243" priority="1244" stopIfTrue="1" operator="between">
      <formula>3000</formula>
      <formula>9000</formula>
    </cfRule>
    <cfRule type="cellIs" dxfId="1242" priority="1245" stopIfTrue="1" operator="greaterThanOrEqual">
      <formula>9000</formula>
    </cfRule>
  </conditionalFormatting>
  <conditionalFormatting sqref="S104">
    <cfRule type="cellIs" dxfId="1241" priority="1240" stopIfTrue="1" operator="lessThanOrEqual">
      <formula>3000</formula>
    </cfRule>
    <cfRule type="cellIs" dxfId="1240" priority="1241" stopIfTrue="1" operator="between">
      <formula>3000</formula>
      <formula>9000</formula>
    </cfRule>
    <cfRule type="cellIs" dxfId="1239" priority="1242" stopIfTrue="1" operator="greaterThanOrEqual">
      <formula>9000</formula>
    </cfRule>
  </conditionalFormatting>
  <conditionalFormatting sqref="O98:R98">
    <cfRule type="cellIs" dxfId="1238" priority="1237" stopIfTrue="1" operator="lessThanOrEqual">
      <formula>3000</formula>
    </cfRule>
    <cfRule type="cellIs" dxfId="1237" priority="1238" stopIfTrue="1" operator="between">
      <formula>3000</formula>
      <formula>9000</formula>
    </cfRule>
    <cfRule type="cellIs" dxfId="1236" priority="1239" stopIfTrue="1" operator="greaterThanOrEqual">
      <formula>9000</formula>
    </cfRule>
  </conditionalFormatting>
  <conditionalFormatting sqref="S98">
    <cfRule type="cellIs" dxfId="1235" priority="1234" stopIfTrue="1" operator="lessThanOrEqual">
      <formula>3000</formula>
    </cfRule>
    <cfRule type="cellIs" dxfId="1234" priority="1235" stopIfTrue="1" operator="between">
      <formula>3000</formula>
      <formula>9000</formula>
    </cfRule>
    <cfRule type="cellIs" dxfId="1233" priority="1236" stopIfTrue="1" operator="greaterThanOrEqual">
      <formula>9000</formula>
    </cfRule>
  </conditionalFormatting>
  <conditionalFormatting sqref="O92:R92">
    <cfRule type="cellIs" dxfId="1232" priority="1231" stopIfTrue="1" operator="lessThanOrEqual">
      <formula>3000</formula>
    </cfRule>
    <cfRule type="cellIs" dxfId="1231" priority="1232" stopIfTrue="1" operator="between">
      <formula>3000</formula>
      <formula>9000</formula>
    </cfRule>
    <cfRule type="cellIs" dxfId="1230" priority="1233" stopIfTrue="1" operator="greaterThanOrEqual">
      <formula>9000</formula>
    </cfRule>
  </conditionalFormatting>
  <conditionalFormatting sqref="S92">
    <cfRule type="cellIs" dxfId="1229" priority="1228" stopIfTrue="1" operator="lessThanOrEqual">
      <formula>3000</formula>
    </cfRule>
    <cfRule type="cellIs" dxfId="1228" priority="1229" stopIfTrue="1" operator="between">
      <formula>3000</formula>
      <formula>9000</formula>
    </cfRule>
    <cfRule type="cellIs" dxfId="1227" priority="1230" stopIfTrue="1" operator="greaterThanOrEqual">
      <formula>9000</formula>
    </cfRule>
  </conditionalFormatting>
  <conditionalFormatting sqref="O86:R86">
    <cfRule type="cellIs" dxfId="1226" priority="1225" stopIfTrue="1" operator="lessThanOrEqual">
      <formula>3000</formula>
    </cfRule>
    <cfRule type="cellIs" dxfId="1225" priority="1226" stopIfTrue="1" operator="between">
      <formula>3000</formula>
      <formula>9000</formula>
    </cfRule>
    <cfRule type="cellIs" dxfId="1224" priority="1227" stopIfTrue="1" operator="greaterThanOrEqual">
      <formula>9000</formula>
    </cfRule>
  </conditionalFormatting>
  <conditionalFormatting sqref="S86">
    <cfRule type="cellIs" dxfId="1223" priority="1222" stopIfTrue="1" operator="lessThanOrEqual">
      <formula>3000</formula>
    </cfRule>
    <cfRule type="cellIs" dxfId="1222" priority="1223" stopIfTrue="1" operator="between">
      <formula>3000</formula>
      <formula>9000</formula>
    </cfRule>
    <cfRule type="cellIs" dxfId="1221" priority="1224" stopIfTrue="1" operator="greaterThanOrEqual">
      <formula>9000</formula>
    </cfRule>
  </conditionalFormatting>
  <conditionalFormatting sqref="O80:R80">
    <cfRule type="cellIs" dxfId="1220" priority="1219" stopIfTrue="1" operator="lessThanOrEqual">
      <formula>3000</formula>
    </cfRule>
    <cfRule type="cellIs" dxfId="1219" priority="1220" stopIfTrue="1" operator="between">
      <formula>3000</formula>
      <formula>9000</formula>
    </cfRule>
    <cfRule type="cellIs" dxfId="1218" priority="1221" stopIfTrue="1" operator="greaterThanOrEqual">
      <formula>9000</formula>
    </cfRule>
  </conditionalFormatting>
  <conditionalFormatting sqref="S80">
    <cfRule type="cellIs" dxfId="1217" priority="1216" stopIfTrue="1" operator="lessThanOrEqual">
      <formula>3000</formula>
    </cfRule>
    <cfRule type="cellIs" dxfId="1216" priority="1217" stopIfTrue="1" operator="between">
      <formula>3000</formula>
      <formula>9000</formula>
    </cfRule>
    <cfRule type="cellIs" dxfId="1215" priority="1218" stopIfTrue="1" operator="greaterThanOrEqual">
      <formula>9000</formula>
    </cfRule>
  </conditionalFormatting>
  <conditionalFormatting sqref="O74:R74">
    <cfRule type="cellIs" dxfId="1214" priority="1213" stopIfTrue="1" operator="lessThanOrEqual">
      <formula>3000</formula>
    </cfRule>
    <cfRule type="cellIs" dxfId="1213" priority="1214" stopIfTrue="1" operator="between">
      <formula>3000</formula>
      <formula>9000</formula>
    </cfRule>
    <cfRule type="cellIs" dxfId="1212" priority="1215" stopIfTrue="1" operator="greaterThanOrEqual">
      <formula>9000</formula>
    </cfRule>
  </conditionalFormatting>
  <conditionalFormatting sqref="S74">
    <cfRule type="cellIs" dxfId="1211" priority="1210" stopIfTrue="1" operator="lessThanOrEqual">
      <formula>3000</formula>
    </cfRule>
    <cfRule type="cellIs" dxfId="1210" priority="1211" stopIfTrue="1" operator="between">
      <formula>3000</formula>
      <formula>9000</formula>
    </cfRule>
    <cfRule type="cellIs" dxfId="1209" priority="1212" stopIfTrue="1" operator="greaterThanOrEqual">
      <formula>9000</formula>
    </cfRule>
  </conditionalFormatting>
  <conditionalFormatting sqref="O68:R68">
    <cfRule type="cellIs" dxfId="1208" priority="1207" stopIfTrue="1" operator="lessThanOrEqual">
      <formula>3000</formula>
    </cfRule>
    <cfRule type="cellIs" dxfId="1207" priority="1208" stopIfTrue="1" operator="between">
      <formula>3000</formula>
      <formula>9000</formula>
    </cfRule>
    <cfRule type="cellIs" dxfId="1206" priority="1209" stopIfTrue="1" operator="greaterThanOrEqual">
      <formula>9000</formula>
    </cfRule>
  </conditionalFormatting>
  <conditionalFormatting sqref="S68">
    <cfRule type="cellIs" dxfId="1205" priority="1204" stopIfTrue="1" operator="lessThanOrEqual">
      <formula>3000</formula>
    </cfRule>
    <cfRule type="cellIs" dxfId="1204" priority="1205" stopIfTrue="1" operator="between">
      <formula>3000</formula>
      <formula>9000</formula>
    </cfRule>
    <cfRule type="cellIs" dxfId="1203" priority="1206" stopIfTrue="1" operator="greaterThanOrEqual">
      <formula>9000</formula>
    </cfRule>
  </conditionalFormatting>
  <conditionalFormatting sqref="O62:R62">
    <cfRule type="cellIs" dxfId="1202" priority="1201" stopIfTrue="1" operator="lessThanOrEqual">
      <formula>3000</formula>
    </cfRule>
    <cfRule type="cellIs" dxfId="1201" priority="1202" stopIfTrue="1" operator="between">
      <formula>3000</formula>
      <formula>9000</formula>
    </cfRule>
    <cfRule type="cellIs" dxfId="1200" priority="1203" stopIfTrue="1" operator="greaterThanOrEqual">
      <formula>9000</formula>
    </cfRule>
  </conditionalFormatting>
  <conditionalFormatting sqref="S62">
    <cfRule type="cellIs" dxfId="1199" priority="1198" stopIfTrue="1" operator="lessThanOrEqual">
      <formula>3000</formula>
    </cfRule>
    <cfRule type="cellIs" dxfId="1198" priority="1199" stopIfTrue="1" operator="between">
      <formula>3000</formula>
      <formula>9000</formula>
    </cfRule>
    <cfRule type="cellIs" dxfId="1197" priority="1200" stopIfTrue="1" operator="greaterThanOrEqual">
      <formula>9000</formula>
    </cfRule>
  </conditionalFormatting>
  <conditionalFormatting sqref="O56:R56">
    <cfRule type="cellIs" dxfId="1196" priority="1195" stopIfTrue="1" operator="lessThanOrEqual">
      <formula>3000</formula>
    </cfRule>
    <cfRule type="cellIs" dxfId="1195" priority="1196" stopIfTrue="1" operator="between">
      <formula>3000</formula>
      <formula>9000</formula>
    </cfRule>
    <cfRule type="cellIs" dxfId="1194" priority="1197" stopIfTrue="1" operator="greaterThanOrEqual">
      <formula>9000</formula>
    </cfRule>
  </conditionalFormatting>
  <conditionalFormatting sqref="S56">
    <cfRule type="cellIs" dxfId="1193" priority="1192" stopIfTrue="1" operator="lessThanOrEqual">
      <formula>3000</formula>
    </cfRule>
    <cfRule type="cellIs" dxfId="1192" priority="1193" stopIfTrue="1" operator="between">
      <formula>3000</formula>
      <formula>9000</formula>
    </cfRule>
    <cfRule type="cellIs" dxfId="1191" priority="1194" stopIfTrue="1" operator="greaterThanOrEqual">
      <formula>9000</formula>
    </cfRule>
  </conditionalFormatting>
  <conditionalFormatting sqref="O50:R50">
    <cfRule type="cellIs" dxfId="1190" priority="1189" stopIfTrue="1" operator="lessThanOrEqual">
      <formula>3000</formula>
    </cfRule>
    <cfRule type="cellIs" dxfId="1189" priority="1190" stopIfTrue="1" operator="between">
      <formula>3000</formula>
      <formula>9000</formula>
    </cfRule>
    <cfRule type="cellIs" dxfId="1188" priority="1191" stopIfTrue="1" operator="greaterThanOrEqual">
      <formula>9000</formula>
    </cfRule>
  </conditionalFormatting>
  <conditionalFormatting sqref="S50">
    <cfRule type="cellIs" dxfId="1187" priority="1186" stopIfTrue="1" operator="lessThanOrEqual">
      <formula>3000</formula>
    </cfRule>
    <cfRule type="cellIs" dxfId="1186" priority="1187" stopIfTrue="1" operator="between">
      <formula>3000</formula>
      <formula>9000</formula>
    </cfRule>
    <cfRule type="cellIs" dxfId="1185" priority="1188" stopIfTrue="1" operator="greaterThanOrEqual">
      <formula>9000</formula>
    </cfRule>
  </conditionalFormatting>
  <conditionalFormatting sqref="O44:R44">
    <cfRule type="cellIs" dxfId="1184" priority="1183" stopIfTrue="1" operator="lessThanOrEqual">
      <formula>3000</formula>
    </cfRule>
    <cfRule type="cellIs" dxfId="1183" priority="1184" stopIfTrue="1" operator="between">
      <formula>3000</formula>
      <formula>9000</formula>
    </cfRule>
    <cfRule type="cellIs" dxfId="1182" priority="1185" stopIfTrue="1" operator="greaterThanOrEqual">
      <formula>9000</formula>
    </cfRule>
  </conditionalFormatting>
  <conditionalFormatting sqref="S44">
    <cfRule type="cellIs" dxfId="1181" priority="1180" stopIfTrue="1" operator="lessThanOrEqual">
      <formula>3000</formula>
    </cfRule>
    <cfRule type="cellIs" dxfId="1180" priority="1181" stopIfTrue="1" operator="between">
      <formula>3000</formula>
      <formula>9000</formula>
    </cfRule>
    <cfRule type="cellIs" dxfId="1179" priority="1182" stopIfTrue="1" operator="greaterThanOrEqual">
      <formula>9000</formula>
    </cfRule>
  </conditionalFormatting>
  <conditionalFormatting sqref="O38:R38">
    <cfRule type="cellIs" dxfId="1178" priority="1177" stopIfTrue="1" operator="lessThanOrEqual">
      <formula>3000</formula>
    </cfRule>
    <cfRule type="cellIs" dxfId="1177" priority="1178" stopIfTrue="1" operator="between">
      <formula>3000</formula>
      <formula>9000</formula>
    </cfRule>
    <cfRule type="cellIs" dxfId="1176" priority="1179" stopIfTrue="1" operator="greaterThanOrEqual">
      <formula>9000</formula>
    </cfRule>
  </conditionalFormatting>
  <conditionalFormatting sqref="S38">
    <cfRule type="cellIs" dxfId="1175" priority="1174" stopIfTrue="1" operator="lessThanOrEqual">
      <formula>3000</formula>
    </cfRule>
    <cfRule type="cellIs" dxfId="1174" priority="1175" stopIfTrue="1" operator="between">
      <formula>3000</formula>
      <formula>9000</formula>
    </cfRule>
    <cfRule type="cellIs" dxfId="1173" priority="1176" stopIfTrue="1" operator="greaterThanOrEqual">
      <formula>9000</formula>
    </cfRule>
  </conditionalFormatting>
  <conditionalFormatting sqref="O32:R32">
    <cfRule type="cellIs" dxfId="1172" priority="1171" stopIfTrue="1" operator="lessThanOrEqual">
      <formula>3000</formula>
    </cfRule>
    <cfRule type="cellIs" dxfId="1171" priority="1172" stopIfTrue="1" operator="between">
      <formula>3000</formula>
      <formula>9000</formula>
    </cfRule>
    <cfRule type="cellIs" dxfId="1170" priority="1173" stopIfTrue="1" operator="greaterThanOrEqual">
      <formula>9000</formula>
    </cfRule>
  </conditionalFormatting>
  <conditionalFormatting sqref="S32">
    <cfRule type="cellIs" dxfId="1169" priority="1168" stopIfTrue="1" operator="lessThanOrEqual">
      <formula>3000</formula>
    </cfRule>
    <cfRule type="cellIs" dxfId="1168" priority="1169" stopIfTrue="1" operator="between">
      <formula>3000</formula>
      <formula>9000</formula>
    </cfRule>
    <cfRule type="cellIs" dxfId="1167" priority="1170" stopIfTrue="1" operator="greaterThanOrEqual">
      <formula>9000</formula>
    </cfRule>
  </conditionalFormatting>
  <conditionalFormatting sqref="O26:R26">
    <cfRule type="cellIs" dxfId="1166" priority="1165" stopIfTrue="1" operator="lessThanOrEqual">
      <formula>3000</formula>
    </cfRule>
    <cfRule type="cellIs" dxfId="1165" priority="1166" stopIfTrue="1" operator="between">
      <formula>3000</formula>
      <formula>9000</formula>
    </cfRule>
    <cfRule type="cellIs" dxfId="1164" priority="1167" stopIfTrue="1" operator="greaterThanOrEqual">
      <formula>9000</formula>
    </cfRule>
  </conditionalFormatting>
  <conditionalFormatting sqref="S26">
    <cfRule type="cellIs" dxfId="1163" priority="1162" stopIfTrue="1" operator="lessThanOrEqual">
      <formula>3000</formula>
    </cfRule>
    <cfRule type="cellIs" dxfId="1162" priority="1163" stopIfTrue="1" operator="between">
      <formula>3000</formula>
      <formula>9000</formula>
    </cfRule>
    <cfRule type="cellIs" dxfId="1161" priority="1164" stopIfTrue="1" operator="greaterThanOrEqual">
      <formula>9000</formula>
    </cfRule>
  </conditionalFormatting>
  <conditionalFormatting sqref="O20:R20">
    <cfRule type="cellIs" dxfId="1160" priority="1159" stopIfTrue="1" operator="lessThanOrEqual">
      <formula>3000</formula>
    </cfRule>
    <cfRule type="cellIs" dxfId="1159" priority="1160" stopIfTrue="1" operator="between">
      <formula>3000</formula>
      <formula>9000</formula>
    </cfRule>
    <cfRule type="cellIs" dxfId="1158" priority="1161" stopIfTrue="1" operator="greaterThanOrEqual">
      <formula>9000</formula>
    </cfRule>
  </conditionalFormatting>
  <conditionalFormatting sqref="S20">
    <cfRule type="cellIs" dxfId="1157" priority="1156" stopIfTrue="1" operator="lessThanOrEqual">
      <formula>3000</formula>
    </cfRule>
    <cfRule type="cellIs" dxfId="1156" priority="1157" stopIfTrue="1" operator="between">
      <formula>3000</formula>
      <formula>9000</formula>
    </cfRule>
    <cfRule type="cellIs" dxfId="1155" priority="1158" stopIfTrue="1" operator="greaterThanOrEqual">
      <formula>9000</formula>
    </cfRule>
  </conditionalFormatting>
  <conditionalFormatting sqref="O14:R14">
    <cfRule type="cellIs" dxfId="1154" priority="1153" stopIfTrue="1" operator="lessThanOrEqual">
      <formula>3000</formula>
    </cfRule>
    <cfRule type="cellIs" dxfId="1153" priority="1154" stopIfTrue="1" operator="between">
      <formula>3000</formula>
      <formula>9000</formula>
    </cfRule>
    <cfRule type="cellIs" dxfId="1152" priority="1155" stopIfTrue="1" operator="greaterThanOrEqual">
      <formula>9000</formula>
    </cfRule>
  </conditionalFormatting>
  <conditionalFormatting sqref="S14">
    <cfRule type="cellIs" dxfId="1151" priority="1150" stopIfTrue="1" operator="lessThanOrEqual">
      <formula>3000</formula>
    </cfRule>
    <cfRule type="cellIs" dxfId="1150" priority="1151" stopIfTrue="1" operator="between">
      <formula>3000</formula>
      <formula>9000</formula>
    </cfRule>
    <cfRule type="cellIs" dxfId="1149" priority="1152" stopIfTrue="1" operator="greaterThanOrEqual">
      <formula>9000</formula>
    </cfRule>
  </conditionalFormatting>
  <conditionalFormatting sqref="O8:R8">
    <cfRule type="cellIs" dxfId="1148" priority="1147" stopIfTrue="1" operator="lessThanOrEqual">
      <formula>3000</formula>
    </cfRule>
    <cfRule type="cellIs" dxfId="1147" priority="1148" stopIfTrue="1" operator="between">
      <formula>3000</formula>
      <formula>9000</formula>
    </cfRule>
    <cfRule type="cellIs" dxfId="1146" priority="1149" stopIfTrue="1" operator="greaterThanOrEqual">
      <formula>9000</formula>
    </cfRule>
  </conditionalFormatting>
  <conditionalFormatting sqref="S8">
    <cfRule type="cellIs" dxfId="1145" priority="1144" stopIfTrue="1" operator="lessThanOrEqual">
      <formula>3000</formula>
    </cfRule>
    <cfRule type="cellIs" dxfId="1144" priority="1145" stopIfTrue="1" operator="between">
      <formula>3000</formula>
      <formula>9000</formula>
    </cfRule>
    <cfRule type="cellIs" dxfId="1143" priority="1146" stopIfTrue="1" operator="greaterThanOrEqual">
      <formula>9000</formula>
    </cfRule>
  </conditionalFormatting>
  <conditionalFormatting sqref="O158:R158">
    <cfRule type="cellIs" dxfId="1142" priority="1141" stopIfTrue="1" operator="lessThanOrEqual">
      <formula>3000</formula>
    </cfRule>
    <cfRule type="cellIs" dxfId="1141" priority="1142" stopIfTrue="1" operator="between">
      <formula>3000</formula>
      <formula>9000</formula>
    </cfRule>
    <cfRule type="cellIs" dxfId="1140" priority="1143" stopIfTrue="1" operator="greaterThanOrEqual">
      <formula>9000</formula>
    </cfRule>
  </conditionalFormatting>
  <conditionalFormatting sqref="S158">
    <cfRule type="cellIs" dxfId="1139" priority="1138" stopIfTrue="1" operator="lessThanOrEqual">
      <formula>3000</formula>
    </cfRule>
    <cfRule type="cellIs" dxfId="1138" priority="1139" stopIfTrue="1" operator="between">
      <formula>3000</formula>
      <formula>9000</formula>
    </cfRule>
    <cfRule type="cellIs" dxfId="1137" priority="1140" stopIfTrue="1" operator="greaterThanOrEqual">
      <formula>9000</formula>
    </cfRule>
  </conditionalFormatting>
  <conditionalFormatting sqref="O164:R164">
    <cfRule type="cellIs" dxfId="1136" priority="1135" stopIfTrue="1" operator="lessThanOrEqual">
      <formula>3000</formula>
    </cfRule>
    <cfRule type="cellIs" dxfId="1135" priority="1136" stopIfTrue="1" operator="between">
      <formula>3000</formula>
      <formula>9000</formula>
    </cfRule>
    <cfRule type="cellIs" dxfId="1134" priority="1137" stopIfTrue="1" operator="greaterThanOrEqual">
      <formula>9000</formula>
    </cfRule>
  </conditionalFormatting>
  <conditionalFormatting sqref="S164">
    <cfRule type="cellIs" dxfId="1133" priority="1132" stopIfTrue="1" operator="lessThanOrEqual">
      <formula>3000</formula>
    </cfRule>
    <cfRule type="cellIs" dxfId="1132" priority="1133" stopIfTrue="1" operator="between">
      <formula>3000</formula>
      <formula>9000</formula>
    </cfRule>
    <cfRule type="cellIs" dxfId="1131" priority="1134" stopIfTrue="1" operator="greaterThanOrEqual">
      <formula>9000</formula>
    </cfRule>
  </conditionalFormatting>
  <conditionalFormatting sqref="O170:R170">
    <cfRule type="cellIs" dxfId="1130" priority="1129" stopIfTrue="1" operator="lessThanOrEqual">
      <formula>3000</formula>
    </cfRule>
    <cfRule type="cellIs" dxfId="1129" priority="1130" stopIfTrue="1" operator="between">
      <formula>3000</formula>
      <formula>9000</formula>
    </cfRule>
    <cfRule type="cellIs" dxfId="1128" priority="1131" stopIfTrue="1" operator="greaterThanOrEqual">
      <formula>9000</formula>
    </cfRule>
  </conditionalFormatting>
  <conditionalFormatting sqref="S170">
    <cfRule type="cellIs" dxfId="1127" priority="1126" stopIfTrue="1" operator="lessThanOrEqual">
      <formula>3000</formula>
    </cfRule>
    <cfRule type="cellIs" dxfId="1126" priority="1127" stopIfTrue="1" operator="between">
      <formula>3000</formula>
      <formula>9000</formula>
    </cfRule>
    <cfRule type="cellIs" dxfId="1125" priority="1128" stopIfTrue="1" operator="greaterThanOrEqual">
      <formula>9000</formula>
    </cfRule>
  </conditionalFormatting>
  <conditionalFormatting sqref="O176:R176">
    <cfRule type="cellIs" dxfId="1124" priority="1123" stopIfTrue="1" operator="lessThanOrEqual">
      <formula>3000</formula>
    </cfRule>
    <cfRule type="cellIs" dxfId="1123" priority="1124" stopIfTrue="1" operator="between">
      <formula>3000</formula>
      <formula>9000</formula>
    </cfRule>
    <cfRule type="cellIs" dxfId="1122" priority="1125" stopIfTrue="1" operator="greaterThanOrEqual">
      <formula>9000</formula>
    </cfRule>
  </conditionalFormatting>
  <conditionalFormatting sqref="S176">
    <cfRule type="cellIs" dxfId="1121" priority="1120" stopIfTrue="1" operator="lessThanOrEqual">
      <formula>3000</formula>
    </cfRule>
    <cfRule type="cellIs" dxfId="1120" priority="1121" stopIfTrue="1" operator="between">
      <formula>3000</formula>
      <formula>9000</formula>
    </cfRule>
    <cfRule type="cellIs" dxfId="1119" priority="1122" stopIfTrue="1" operator="greaterThanOrEqual">
      <formula>9000</formula>
    </cfRule>
  </conditionalFormatting>
  <conditionalFormatting sqref="O182:R182">
    <cfRule type="cellIs" dxfId="1118" priority="1117" stopIfTrue="1" operator="lessThanOrEqual">
      <formula>3000</formula>
    </cfRule>
    <cfRule type="cellIs" dxfId="1117" priority="1118" stopIfTrue="1" operator="between">
      <formula>3000</formula>
      <formula>9000</formula>
    </cfRule>
    <cfRule type="cellIs" dxfId="1116" priority="1119" stopIfTrue="1" operator="greaterThanOrEqual">
      <formula>9000</formula>
    </cfRule>
  </conditionalFormatting>
  <conditionalFormatting sqref="S182">
    <cfRule type="cellIs" dxfId="1115" priority="1114" stopIfTrue="1" operator="lessThanOrEqual">
      <formula>3000</formula>
    </cfRule>
    <cfRule type="cellIs" dxfId="1114" priority="1115" stopIfTrue="1" operator="between">
      <formula>3000</formula>
      <formula>9000</formula>
    </cfRule>
    <cfRule type="cellIs" dxfId="1113" priority="1116" stopIfTrue="1" operator="greaterThanOrEqual">
      <formula>9000</formula>
    </cfRule>
  </conditionalFormatting>
  <conditionalFormatting sqref="O188:R188">
    <cfRule type="cellIs" dxfId="1112" priority="1111" stopIfTrue="1" operator="lessThanOrEqual">
      <formula>3000</formula>
    </cfRule>
    <cfRule type="cellIs" dxfId="1111" priority="1112" stopIfTrue="1" operator="between">
      <formula>3000</formula>
      <formula>9000</formula>
    </cfRule>
    <cfRule type="cellIs" dxfId="1110" priority="1113" stopIfTrue="1" operator="greaterThanOrEqual">
      <formula>9000</formula>
    </cfRule>
  </conditionalFormatting>
  <conditionalFormatting sqref="S188">
    <cfRule type="cellIs" dxfId="1109" priority="1108" stopIfTrue="1" operator="lessThanOrEqual">
      <formula>3000</formula>
    </cfRule>
    <cfRule type="cellIs" dxfId="1108" priority="1109" stopIfTrue="1" operator="between">
      <formula>3000</formula>
      <formula>9000</formula>
    </cfRule>
    <cfRule type="cellIs" dxfId="1107" priority="1110" stopIfTrue="1" operator="greaterThanOrEqual">
      <formula>9000</formula>
    </cfRule>
  </conditionalFormatting>
  <conditionalFormatting sqref="O194:R194">
    <cfRule type="cellIs" dxfId="1106" priority="1105" stopIfTrue="1" operator="lessThanOrEqual">
      <formula>3000</formula>
    </cfRule>
    <cfRule type="cellIs" dxfId="1105" priority="1106" stopIfTrue="1" operator="between">
      <formula>3000</formula>
      <formula>9000</formula>
    </cfRule>
    <cfRule type="cellIs" dxfId="1104" priority="1107" stopIfTrue="1" operator="greaterThanOrEqual">
      <formula>9000</formula>
    </cfRule>
  </conditionalFormatting>
  <conditionalFormatting sqref="S194">
    <cfRule type="cellIs" dxfId="1103" priority="1102" stopIfTrue="1" operator="lessThanOrEqual">
      <formula>3000</formula>
    </cfRule>
    <cfRule type="cellIs" dxfId="1102" priority="1103" stopIfTrue="1" operator="between">
      <formula>3000</formula>
      <formula>9000</formula>
    </cfRule>
    <cfRule type="cellIs" dxfId="1101" priority="1104" stopIfTrue="1" operator="greaterThanOrEqual">
      <formula>9000</formula>
    </cfRule>
  </conditionalFormatting>
  <conditionalFormatting sqref="O200:R200">
    <cfRule type="cellIs" dxfId="1100" priority="1099" stopIfTrue="1" operator="lessThanOrEqual">
      <formula>3000</formula>
    </cfRule>
    <cfRule type="cellIs" dxfId="1099" priority="1100" stopIfTrue="1" operator="between">
      <formula>3000</formula>
      <formula>9000</formula>
    </cfRule>
    <cfRule type="cellIs" dxfId="1098" priority="1101" stopIfTrue="1" operator="greaterThanOrEqual">
      <formula>9000</formula>
    </cfRule>
  </conditionalFormatting>
  <conditionalFormatting sqref="S200">
    <cfRule type="cellIs" dxfId="1097" priority="1096" stopIfTrue="1" operator="lessThanOrEqual">
      <formula>3000</formula>
    </cfRule>
    <cfRule type="cellIs" dxfId="1096" priority="1097" stopIfTrue="1" operator="between">
      <formula>3000</formula>
      <formula>9000</formula>
    </cfRule>
    <cfRule type="cellIs" dxfId="1095" priority="1098" stopIfTrue="1" operator="greaterThanOrEqual">
      <formula>9000</formula>
    </cfRule>
  </conditionalFormatting>
  <conditionalFormatting sqref="O206:R206">
    <cfRule type="cellIs" dxfId="1094" priority="1093" stopIfTrue="1" operator="lessThanOrEqual">
      <formula>3000</formula>
    </cfRule>
    <cfRule type="cellIs" dxfId="1093" priority="1094" stopIfTrue="1" operator="between">
      <formula>3000</formula>
      <formula>9000</formula>
    </cfRule>
    <cfRule type="cellIs" dxfId="1092" priority="1095" stopIfTrue="1" operator="greaterThanOrEqual">
      <formula>9000</formula>
    </cfRule>
  </conditionalFormatting>
  <conditionalFormatting sqref="S206">
    <cfRule type="cellIs" dxfId="1091" priority="1090" stopIfTrue="1" operator="lessThanOrEqual">
      <formula>3000</formula>
    </cfRule>
    <cfRule type="cellIs" dxfId="1090" priority="1091" stopIfTrue="1" operator="between">
      <formula>3000</formula>
      <formula>9000</formula>
    </cfRule>
    <cfRule type="cellIs" dxfId="1089" priority="1092" stopIfTrue="1" operator="greaterThanOrEqual">
      <formula>9000</formula>
    </cfRule>
  </conditionalFormatting>
  <conditionalFormatting sqref="O212:R212">
    <cfRule type="cellIs" dxfId="1088" priority="1087" stopIfTrue="1" operator="lessThanOrEqual">
      <formula>3000</formula>
    </cfRule>
    <cfRule type="cellIs" dxfId="1087" priority="1088" stopIfTrue="1" operator="between">
      <formula>3000</formula>
      <formula>9000</formula>
    </cfRule>
    <cfRule type="cellIs" dxfId="1086" priority="1089" stopIfTrue="1" operator="greaterThanOrEqual">
      <formula>9000</formula>
    </cfRule>
  </conditionalFormatting>
  <conditionalFormatting sqref="S212">
    <cfRule type="cellIs" dxfId="1085" priority="1084" stopIfTrue="1" operator="lessThanOrEqual">
      <formula>3000</formula>
    </cfRule>
    <cfRule type="cellIs" dxfId="1084" priority="1085" stopIfTrue="1" operator="between">
      <formula>3000</formula>
      <formula>9000</formula>
    </cfRule>
    <cfRule type="cellIs" dxfId="1083" priority="1086" stopIfTrue="1" operator="greaterThanOrEqual">
      <formula>9000</formula>
    </cfRule>
  </conditionalFormatting>
  <conditionalFormatting sqref="O218:R218">
    <cfRule type="cellIs" dxfId="1082" priority="1081" stopIfTrue="1" operator="lessThanOrEqual">
      <formula>3000</formula>
    </cfRule>
    <cfRule type="cellIs" dxfId="1081" priority="1082" stopIfTrue="1" operator="between">
      <formula>3000</formula>
      <formula>9000</formula>
    </cfRule>
    <cfRule type="cellIs" dxfId="1080" priority="1083" stopIfTrue="1" operator="greaterThanOrEqual">
      <formula>9000</formula>
    </cfRule>
  </conditionalFormatting>
  <conditionalFormatting sqref="S218">
    <cfRule type="cellIs" dxfId="1079" priority="1078" stopIfTrue="1" operator="lessThanOrEqual">
      <formula>3000</formula>
    </cfRule>
    <cfRule type="cellIs" dxfId="1078" priority="1079" stopIfTrue="1" operator="between">
      <formula>3000</formula>
      <formula>9000</formula>
    </cfRule>
    <cfRule type="cellIs" dxfId="1077" priority="1080" stopIfTrue="1" operator="greaterThanOrEqual">
      <formula>9000</formula>
    </cfRule>
  </conditionalFormatting>
  <conditionalFormatting sqref="O224:R224">
    <cfRule type="cellIs" dxfId="1076" priority="1075" stopIfTrue="1" operator="lessThanOrEqual">
      <formula>3000</formula>
    </cfRule>
    <cfRule type="cellIs" dxfId="1075" priority="1076" stopIfTrue="1" operator="between">
      <formula>3000</formula>
      <formula>9000</formula>
    </cfRule>
    <cfRule type="cellIs" dxfId="1074" priority="1077" stopIfTrue="1" operator="greaterThanOrEqual">
      <formula>9000</formula>
    </cfRule>
  </conditionalFormatting>
  <conditionalFormatting sqref="S224">
    <cfRule type="cellIs" dxfId="1073" priority="1072" stopIfTrue="1" operator="lessThanOrEqual">
      <formula>3000</formula>
    </cfRule>
    <cfRule type="cellIs" dxfId="1072" priority="1073" stopIfTrue="1" operator="between">
      <formula>3000</formula>
      <formula>9000</formula>
    </cfRule>
    <cfRule type="cellIs" dxfId="1071" priority="1074" stopIfTrue="1" operator="greaterThanOrEqual">
      <formula>9000</formula>
    </cfRule>
  </conditionalFormatting>
  <conditionalFormatting sqref="O230:R230">
    <cfRule type="cellIs" dxfId="1070" priority="1069" stopIfTrue="1" operator="lessThanOrEqual">
      <formula>3000</formula>
    </cfRule>
    <cfRule type="cellIs" dxfId="1069" priority="1070" stopIfTrue="1" operator="between">
      <formula>3000</formula>
      <formula>9000</formula>
    </cfRule>
    <cfRule type="cellIs" dxfId="1068" priority="1071" stopIfTrue="1" operator="greaterThanOrEqual">
      <formula>9000</formula>
    </cfRule>
  </conditionalFormatting>
  <conditionalFormatting sqref="S230">
    <cfRule type="cellIs" dxfId="1067" priority="1066" stopIfTrue="1" operator="lessThanOrEqual">
      <formula>3000</formula>
    </cfRule>
    <cfRule type="cellIs" dxfId="1066" priority="1067" stopIfTrue="1" operator="between">
      <formula>3000</formula>
      <formula>9000</formula>
    </cfRule>
    <cfRule type="cellIs" dxfId="1065" priority="1068" stopIfTrue="1" operator="greaterThanOrEqual">
      <formula>9000</formula>
    </cfRule>
  </conditionalFormatting>
  <conditionalFormatting sqref="O236:R236">
    <cfRule type="cellIs" dxfId="1064" priority="1063" stopIfTrue="1" operator="lessThanOrEqual">
      <formula>3000</formula>
    </cfRule>
    <cfRule type="cellIs" dxfId="1063" priority="1064" stopIfTrue="1" operator="between">
      <formula>3000</formula>
      <formula>9000</formula>
    </cfRule>
    <cfRule type="cellIs" dxfId="1062" priority="1065" stopIfTrue="1" operator="greaterThanOrEqual">
      <formula>9000</formula>
    </cfRule>
  </conditionalFormatting>
  <conditionalFormatting sqref="S236">
    <cfRule type="cellIs" dxfId="1061" priority="1060" stopIfTrue="1" operator="lessThanOrEqual">
      <formula>3000</formula>
    </cfRule>
    <cfRule type="cellIs" dxfId="1060" priority="1061" stopIfTrue="1" operator="between">
      <formula>3000</formula>
      <formula>9000</formula>
    </cfRule>
    <cfRule type="cellIs" dxfId="1059" priority="1062" stopIfTrue="1" operator="greaterThanOrEqual">
      <formula>9000</formula>
    </cfRule>
  </conditionalFormatting>
  <conditionalFormatting sqref="O242:R242">
    <cfRule type="cellIs" dxfId="1058" priority="1057" stopIfTrue="1" operator="lessThanOrEqual">
      <formula>3000</formula>
    </cfRule>
    <cfRule type="cellIs" dxfId="1057" priority="1058" stopIfTrue="1" operator="between">
      <formula>3000</formula>
      <formula>9000</formula>
    </cfRule>
    <cfRule type="cellIs" dxfId="1056" priority="1059" stopIfTrue="1" operator="greaterThanOrEqual">
      <formula>9000</formula>
    </cfRule>
  </conditionalFormatting>
  <conditionalFormatting sqref="S242">
    <cfRule type="cellIs" dxfId="1055" priority="1054" stopIfTrue="1" operator="lessThanOrEqual">
      <formula>3000</formula>
    </cfRule>
    <cfRule type="cellIs" dxfId="1054" priority="1055" stopIfTrue="1" operator="between">
      <formula>3000</formula>
      <formula>9000</formula>
    </cfRule>
    <cfRule type="cellIs" dxfId="1053" priority="1056" stopIfTrue="1" operator="greaterThanOrEqual">
      <formula>9000</formula>
    </cfRule>
  </conditionalFormatting>
  <conditionalFormatting sqref="O248:R248">
    <cfRule type="cellIs" dxfId="1052" priority="1051" stopIfTrue="1" operator="lessThanOrEqual">
      <formula>3000</formula>
    </cfRule>
    <cfRule type="cellIs" dxfId="1051" priority="1052" stopIfTrue="1" operator="between">
      <formula>3000</formula>
      <formula>9000</formula>
    </cfRule>
    <cfRule type="cellIs" dxfId="1050" priority="1053" stopIfTrue="1" operator="greaterThanOrEqual">
      <formula>9000</formula>
    </cfRule>
  </conditionalFormatting>
  <conditionalFormatting sqref="S248">
    <cfRule type="cellIs" dxfId="1049" priority="1048" stopIfTrue="1" operator="lessThanOrEqual">
      <formula>3000</formula>
    </cfRule>
    <cfRule type="cellIs" dxfId="1048" priority="1049" stopIfTrue="1" operator="between">
      <formula>3000</formula>
      <formula>9000</formula>
    </cfRule>
    <cfRule type="cellIs" dxfId="1047" priority="1050" stopIfTrue="1" operator="greaterThanOrEqual">
      <formula>9000</formula>
    </cfRule>
  </conditionalFormatting>
  <conditionalFormatting sqref="O254:R254">
    <cfRule type="cellIs" dxfId="1046" priority="1045" stopIfTrue="1" operator="lessThanOrEqual">
      <formula>3000</formula>
    </cfRule>
    <cfRule type="cellIs" dxfId="1045" priority="1046" stopIfTrue="1" operator="between">
      <formula>3000</formula>
      <formula>9000</formula>
    </cfRule>
    <cfRule type="cellIs" dxfId="1044" priority="1047" stopIfTrue="1" operator="greaterThanOrEqual">
      <formula>9000</formula>
    </cfRule>
  </conditionalFormatting>
  <conditionalFormatting sqref="S254">
    <cfRule type="cellIs" dxfId="1043" priority="1042" stopIfTrue="1" operator="lessThanOrEqual">
      <formula>3000</formula>
    </cfRule>
    <cfRule type="cellIs" dxfId="1042" priority="1043" stopIfTrue="1" operator="between">
      <formula>3000</formula>
      <formula>9000</formula>
    </cfRule>
    <cfRule type="cellIs" dxfId="1041" priority="1044" stopIfTrue="1" operator="greaterThanOrEqual">
      <formula>9000</formula>
    </cfRule>
  </conditionalFormatting>
  <conditionalFormatting sqref="O260:R260">
    <cfRule type="cellIs" dxfId="1040" priority="1039" stopIfTrue="1" operator="lessThanOrEqual">
      <formula>3000</formula>
    </cfRule>
    <cfRule type="cellIs" dxfId="1039" priority="1040" stopIfTrue="1" operator="between">
      <formula>3000</formula>
      <formula>9000</formula>
    </cfRule>
    <cfRule type="cellIs" dxfId="1038" priority="1041" stopIfTrue="1" operator="greaterThanOrEqual">
      <formula>9000</formula>
    </cfRule>
  </conditionalFormatting>
  <conditionalFormatting sqref="S260">
    <cfRule type="cellIs" dxfId="1037" priority="1036" stopIfTrue="1" operator="lessThanOrEqual">
      <formula>3000</formula>
    </cfRule>
    <cfRule type="cellIs" dxfId="1036" priority="1037" stopIfTrue="1" operator="between">
      <formula>3000</formula>
      <formula>9000</formula>
    </cfRule>
    <cfRule type="cellIs" dxfId="1035" priority="1038" stopIfTrue="1" operator="greaterThanOrEqual">
      <formula>9000</formula>
    </cfRule>
  </conditionalFormatting>
  <conditionalFormatting sqref="V8 X8:Y8">
    <cfRule type="cellIs" dxfId="1034" priority="1033" stopIfTrue="1" operator="lessThanOrEqual">
      <formula>3000</formula>
    </cfRule>
    <cfRule type="cellIs" dxfId="1033" priority="1034" stopIfTrue="1" operator="between">
      <formula>3000</formula>
      <formula>9000</formula>
    </cfRule>
    <cfRule type="cellIs" dxfId="1032" priority="1035" stopIfTrue="1" operator="greaterThanOrEqual">
      <formula>9000</formula>
    </cfRule>
  </conditionalFormatting>
  <conditionalFormatting sqref="V14 X14:Y14">
    <cfRule type="cellIs" dxfId="1031" priority="1030" stopIfTrue="1" operator="lessThanOrEqual">
      <formula>3000</formula>
    </cfRule>
    <cfRule type="cellIs" dxfId="1030" priority="1031" stopIfTrue="1" operator="between">
      <formula>3000</formula>
      <formula>9000</formula>
    </cfRule>
    <cfRule type="cellIs" dxfId="1029" priority="1032" stopIfTrue="1" operator="greaterThanOrEqual">
      <formula>9000</formula>
    </cfRule>
  </conditionalFormatting>
  <conditionalFormatting sqref="V20 Y20">
    <cfRule type="cellIs" dxfId="1028" priority="1027" stopIfTrue="1" operator="lessThanOrEqual">
      <formula>3000</formula>
    </cfRule>
    <cfRule type="cellIs" dxfId="1027" priority="1028" stopIfTrue="1" operator="between">
      <formula>3000</formula>
      <formula>9000</formula>
    </cfRule>
    <cfRule type="cellIs" dxfId="1026" priority="1029" stopIfTrue="1" operator="greaterThanOrEqual">
      <formula>9000</formula>
    </cfRule>
  </conditionalFormatting>
  <conditionalFormatting sqref="V26 X26:Y26">
    <cfRule type="cellIs" dxfId="1025" priority="1024" stopIfTrue="1" operator="lessThanOrEqual">
      <formula>3000</formula>
    </cfRule>
    <cfRule type="cellIs" dxfId="1024" priority="1025" stopIfTrue="1" operator="between">
      <formula>3000</formula>
      <formula>9000</formula>
    </cfRule>
    <cfRule type="cellIs" dxfId="1023" priority="1026" stopIfTrue="1" operator="greaterThanOrEqual">
      <formula>9000</formula>
    </cfRule>
  </conditionalFormatting>
  <conditionalFormatting sqref="V32 X32:Y32">
    <cfRule type="cellIs" dxfId="1022" priority="1021" stopIfTrue="1" operator="lessThanOrEqual">
      <formula>3000</formula>
    </cfRule>
    <cfRule type="cellIs" dxfId="1021" priority="1022" stopIfTrue="1" operator="between">
      <formula>3000</formula>
      <formula>9000</formula>
    </cfRule>
    <cfRule type="cellIs" dxfId="1020" priority="1023" stopIfTrue="1" operator="greaterThanOrEqual">
      <formula>9000</formula>
    </cfRule>
  </conditionalFormatting>
  <conditionalFormatting sqref="V38 X38:Y38">
    <cfRule type="cellIs" dxfId="1019" priority="1018" stopIfTrue="1" operator="lessThanOrEqual">
      <formula>3000</formula>
    </cfRule>
    <cfRule type="cellIs" dxfId="1018" priority="1019" stopIfTrue="1" operator="between">
      <formula>3000</formula>
      <formula>9000</formula>
    </cfRule>
    <cfRule type="cellIs" dxfId="1017" priority="1020" stopIfTrue="1" operator="greaterThanOrEqual">
      <formula>9000</formula>
    </cfRule>
  </conditionalFormatting>
  <conditionalFormatting sqref="V44 X44:Y44">
    <cfRule type="cellIs" dxfId="1016" priority="1015" stopIfTrue="1" operator="lessThanOrEqual">
      <formula>3000</formula>
    </cfRule>
    <cfRule type="cellIs" dxfId="1015" priority="1016" stopIfTrue="1" operator="between">
      <formula>3000</formula>
      <formula>9000</formula>
    </cfRule>
    <cfRule type="cellIs" dxfId="1014" priority="1017" stopIfTrue="1" operator="greaterThanOrEqual">
      <formula>9000</formula>
    </cfRule>
  </conditionalFormatting>
  <conditionalFormatting sqref="V50 X50:Y50">
    <cfRule type="cellIs" dxfId="1013" priority="1012" stopIfTrue="1" operator="lessThanOrEqual">
      <formula>3000</formula>
    </cfRule>
    <cfRule type="cellIs" dxfId="1012" priority="1013" stopIfTrue="1" operator="between">
      <formula>3000</formula>
      <formula>9000</formula>
    </cfRule>
    <cfRule type="cellIs" dxfId="1011" priority="1014" stopIfTrue="1" operator="greaterThanOrEqual">
      <formula>9000</formula>
    </cfRule>
  </conditionalFormatting>
  <conditionalFormatting sqref="V56 X56:Y56">
    <cfRule type="cellIs" dxfId="1010" priority="1009" stopIfTrue="1" operator="lessThanOrEqual">
      <formula>3000</formula>
    </cfRule>
    <cfRule type="cellIs" dxfId="1009" priority="1010" stopIfTrue="1" operator="between">
      <formula>3000</formula>
      <formula>9000</formula>
    </cfRule>
    <cfRule type="cellIs" dxfId="1008" priority="1011" stopIfTrue="1" operator="greaterThanOrEqual">
      <formula>9000</formula>
    </cfRule>
  </conditionalFormatting>
  <conditionalFormatting sqref="V62 X62:Y62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V74 X74:Y7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AA110 AC110:AD110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AF8:AI8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AJ8">
    <cfRule type="cellIs" dxfId="995" priority="994" stopIfTrue="1" operator="lessThanOrEqual">
      <formula>3000</formula>
    </cfRule>
    <cfRule type="cellIs" dxfId="994" priority="995" stopIfTrue="1" operator="between">
      <formula>3000</formula>
      <formula>9000</formula>
    </cfRule>
    <cfRule type="cellIs" dxfId="993" priority="996" stopIfTrue="1" operator="greaterThanOrEqual">
      <formula>9000</formula>
    </cfRule>
  </conditionalFormatting>
  <conditionalFormatting sqref="AF14:AI14">
    <cfRule type="cellIs" dxfId="992" priority="991" stopIfTrue="1" operator="lessThanOrEqual">
      <formula>3000</formula>
    </cfRule>
    <cfRule type="cellIs" dxfId="991" priority="992" stopIfTrue="1" operator="between">
      <formula>3000</formula>
      <formula>9000</formula>
    </cfRule>
    <cfRule type="cellIs" dxfId="990" priority="993" stopIfTrue="1" operator="greaterThanOrEqual">
      <formula>9000</formula>
    </cfRule>
  </conditionalFormatting>
  <conditionalFormatting sqref="AJ14">
    <cfRule type="cellIs" dxfId="989" priority="988" stopIfTrue="1" operator="lessThanOrEqual">
      <formula>3000</formula>
    </cfRule>
    <cfRule type="cellIs" dxfId="988" priority="989" stopIfTrue="1" operator="between">
      <formula>3000</formula>
      <formula>9000</formula>
    </cfRule>
    <cfRule type="cellIs" dxfId="987" priority="990" stopIfTrue="1" operator="greaterThanOrEqual">
      <formula>9000</formula>
    </cfRule>
  </conditionalFormatting>
  <conditionalFormatting sqref="AF20:AI20">
    <cfRule type="cellIs" dxfId="986" priority="985" stopIfTrue="1" operator="lessThanOrEqual">
      <formula>3000</formula>
    </cfRule>
    <cfRule type="cellIs" dxfId="985" priority="986" stopIfTrue="1" operator="between">
      <formula>3000</formula>
      <formula>9000</formula>
    </cfRule>
    <cfRule type="cellIs" dxfId="984" priority="987" stopIfTrue="1" operator="greaterThanOrEqual">
      <formula>9000</formula>
    </cfRule>
  </conditionalFormatting>
  <conditionalFormatting sqref="AJ20">
    <cfRule type="cellIs" dxfId="983" priority="982" stopIfTrue="1" operator="lessThanOrEqual">
      <formula>3000</formula>
    </cfRule>
    <cfRule type="cellIs" dxfId="982" priority="983" stopIfTrue="1" operator="between">
      <formula>3000</formula>
      <formula>9000</formula>
    </cfRule>
    <cfRule type="cellIs" dxfId="981" priority="984" stopIfTrue="1" operator="greaterThanOrEqual">
      <formula>9000</formula>
    </cfRule>
  </conditionalFormatting>
  <conditionalFormatting sqref="AF26:AI26">
    <cfRule type="cellIs" dxfId="980" priority="979" stopIfTrue="1" operator="lessThanOrEqual">
      <formula>3000</formula>
    </cfRule>
    <cfRule type="cellIs" dxfId="979" priority="980" stopIfTrue="1" operator="between">
      <formula>3000</formula>
      <formula>9000</formula>
    </cfRule>
    <cfRule type="cellIs" dxfId="978" priority="981" stopIfTrue="1" operator="greaterThanOrEqual">
      <formula>9000</formula>
    </cfRule>
  </conditionalFormatting>
  <conditionalFormatting sqref="AJ26">
    <cfRule type="cellIs" dxfId="977" priority="976" stopIfTrue="1" operator="lessThanOrEqual">
      <formula>3000</formula>
    </cfRule>
    <cfRule type="cellIs" dxfId="976" priority="977" stopIfTrue="1" operator="between">
      <formula>3000</formula>
      <formula>9000</formula>
    </cfRule>
    <cfRule type="cellIs" dxfId="975" priority="978" stopIfTrue="1" operator="greaterThanOrEqual">
      <formula>9000</formula>
    </cfRule>
  </conditionalFormatting>
  <conditionalFormatting sqref="AF32:AI32">
    <cfRule type="cellIs" dxfId="974" priority="973" stopIfTrue="1" operator="lessThanOrEqual">
      <formula>3000</formula>
    </cfRule>
    <cfRule type="cellIs" dxfId="973" priority="974" stopIfTrue="1" operator="between">
      <formula>3000</formula>
      <formula>9000</formula>
    </cfRule>
    <cfRule type="cellIs" dxfId="972" priority="975" stopIfTrue="1" operator="greaterThanOrEqual">
      <formula>9000</formula>
    </cfRule>
  </conditionalFormatting>
  <conditionalFormatting sqref="AJ32">
    <cfRule type="cellIs" dxfId="971" priority="970" stopIfTrue="1" operator="lessThanOrEqual">
      <formula>3000</formula>
    </cfRule>
    <cfRule type="cellIs" dxfId="970" priority="971" stopIfTrue="1" operator="between">
      <formula>3000</formula>
      <formula>9000</formula>
    </cfRule>
    <cfRule type="cellIs" dxfId="969" priority="972" stopIfTrue="1" operator="greaterThanOrEqual">
      <formula>9000</formula>
    </cfRule>
  </conditionalFormatting>
  <conditionalFormatting sqref="AF38:AI38">
    <cfRule type="cellIs" dxfId="968" priority="967" stopIfTrue="1" operator="lessThanOrEqual">
      <formula>3000</formula>
    </cfRule>
    <cfRule type="cellIs" dxfId="967" priority="968" stopIfTrue="1" operator="between">
      <formula>3000</formula>
      <formula>9000</formula>
    </cfRule>
    <cfRule type="cellIs" dxfId="966" priority="969" stopIfTrue="1" operator="greaterThanOrEqual">
      <formula>9000</formula>
    </cfRule>
  </conditionalFormatting>
  <conditionalFormatting sqref="AJ38">
    <cfRule type="cellIs" dxfId="965" priority="964" stopIfTrue="1" operator="lessThanOrEqual">
      <formula>3000</formula>
    </cfRule>
    <cfRule type="cellIs" dxfId="964" priority="965" stopIfTrue="1" operator="between">
      <formula>3000</formula>
      <formula>9000</formula>
    </cfRule>
    <cfRule type="cellIs" dxfId="963" priority="966" stopIfTrue="1" operator="greaterThanOrEqual">
      <formula>9000</formula>
    </cfRule>
  </conditionalFormatting>
  <conditionalFormatting sqref="AF44:AI44">
    <cfRule type="cellIs" dxfId="962" priority="961" stopIfTrue="1" operator="lessThanOrEqual">
      <formula>3000</formula>
    </cfRule>
    <cfRule type="cellIs" dxfId="961" priority="962" stopIfTrue="1" operator="between">
      <formula>3000</formula>
      <formula>9000</formula>
    </cfRule>
    <cfRule type="cellIs" dxfId="960" priority="963" stopIfTrue="1" operator="greaterThanOrEqual">
      <formula>9000</formula>
    </cfRule>
  </conditionalFormatting>
  <conditionalFormatting sqref="AJ44">
    <cfRule type="cellIs" dxfId="959" priority="958" stopIfTrue="1" operator="lessThanOrEqual">
      <formula>3000</formula>
    </cfRule>
    <cfRule type="cellIs" dxfId="958" priority="959" stopIfTrue="1" operator="between">
      <formula>3000</formula>
      <formula>9000</formula>
    </cfRule>
    <cfRule type="cellIs" dxfId="957" priority="960" stopIfTrue="1" operator="greaterThanOrEqual">
      <formula>9000</formula>
    </cfRule>
  </conditionalFormatting>
  <conditionalFormatting sqref="AF50:AI50">
    <cfRule type="cellIs" dxfId="956" priority="955" stopIfTrue="1" operator="lessThanOrEqual">
      <formula>3000</formula>
    </cfRule>
    <cfRule type="cellIs" dxfId="955" priority="956" stopIfTrue="1" operator="between">
      <formula>3000</formula>
      <formula>9000</formula>
    </cfRule>
    <cfRule type="cellIs" dxfId="954" priority="957" stopIfTrue="1" operator="greaterThanOrEqual">
      <formula>9000</formula>
    </cfRule>
  </conditionalFormatting>
  <conditionalFormatting sqref="AJ50">
    <cfRule type="cellIs" dxfId="953" priority="952" stopIfTrue="1" operator="lessThanOrEqual">
      <formula>3000</formula>
    </cfRule>
    <cfRule type="cellIs" dxfId="952" priority="953" stopIfTrue="1" operator="between">
      <formula>3000</formula>
      <formula>9000</formula>
    </cfRule>
    <cfRule type="cellIs" dxfId="951" priority="954" stopIfTrue="1" operator="greaterThanOrEqual">
      <formula>9000</formula>
    </cfRule>
  </conditionalFormatting>
  <conditionalFormatting sqref="AF56:AI56">
    <cfRule type="cellIs" dxfId="950" priority="949" stopIfTrue="1" operator="lessThanOrEqual">
      <formula>3000</formula>
    </cfRule>
    <cfRule type="cellIs" dxfId="949" priority="950" stopIfTrue="1" operator="between">
      <formula>3000</formula>
      <formula>9000</formula>
    </cfRule>
    <cfRule type="cellIs" dxfId="948" priority="951" stopIfTrue="1" operator="greaterThanOrEqual">
      <formula>9000</formula>
    </cfRule>
  </conditionalFormatting>
  <conditionalFormatting sqref="AJ56">
    <cfRule type="cellIs" dxfId="947" priority="946" stopIfTrue="1" operator="lessThanOrEqual">
      <formula>3000</formula>
    </cfRule>
    <cfRule type="cellIs" dxfId="946" priority="947" stopIfTrue="1" operator="between">
      <formula>3000</formula>
      <formula>9000</formula>
    </cfRule>
    <cfRule type="cellIs" dxfId="945" priority="948" stopIfTrue="1" operator="greaterThanOrEqual">
      <formula>9000</formula>
    </cfRule>
  </conditionalFormatting>
  <conditionalFormatting sqref="AF62:AI62">
    <cfRule type="cellIs" dxfId="944" priority="943" stopIfTrue="1" operator="lessThanOrEqual">
      <formula>3000</formula>
    </cfRule>
    <cfRule type="cellIs" dxfId="943" priority="944" stopIfTrue="1" operator="between">
      <formula>3000</formula>
      <formula>9000</formula>
    </cfRule>
    <cfRule type="cellIs" dxfId="942" priority="945" stopIfTrue="1" operator="greaterThanOrEqual">
      <formula>9000</formula>
    </cfRule>
  </conditionalFormatting>
  <conditionalFormatting sqref="AJ62">
    <cfRule type="cellIs" dxfId="941" priority="940" stopIfTrue="1" operator="lessThanOrEqual">
      <formula>3000</formula>
    </cfRule>
    <cfRule type="cellIs" dxfId="940" priority="941" stopIfTrue="1" operator="between">
      <formula>3000</formula>
      <formula>9000</formula>
    </cfRule>
    <cfRule type="cellIs" dxfId="939" priority="942" stopIfTrue="1" operator="greaterThanOrEqual">
      <formula>9000</formula>
    </cfRule>
  </conditionalFormatting>
  <conditionalFormatting sqref="AF68:AI68">
    <cfRule type="cellIs" dxfId="938" priority="937" stopIfTrue="1" operator="lessThanOrEqual">
      <formula>3000</formula>
    </cfRule>
    <cfRule type="cellIs" dxfId="937" priority="938" stopIfTrue="1" operator="between">
      <formula>3000</formula>
      <formula>9000</formula>
    </cfRule>
    <cfRule type="cellIs" dxfId="936" priority="939" stopIfTrue="1" operator="greaterThanOrEqual">
      <formula>9000</formula>
    </cfRule>
  </conditionalFormatting>
  <conditionalFormatting sqref="AJ68">
    <cfRule type="cellIs" dxfId="935" priority="934" stopIfTrue="1" operator="lessThanOrEqual">
      <formula>3000</formula>
    </cfRule>
    <cfRule type="cellIs" dxfId="934" priority="935" stopIfTrue="1" operator="between">
      <formula>3000</formula>
      <formula>9000</formula>
    </cfRule>
    <cfRule type="cellIs" dxfId="933" priority="936" stopIfTrue="1" operator="greaterThanOrEqual">
      <formula>9000</formula>
    </cfRule>
  </conditionalFormatting>
  <conditionalFormatting sqref="AF74:AI74">
    <cfRule type="cellIs" dxfId="932" priority="931" stopIfTrue="1" operator="lessThanOrEqual">
      <formula>3000</formula>
    </cfRule>
    <cfRule type="cellIs" dxfId="931" priority="932" stopIfTrue="1" operator="between">
      <formula>3000</formula>
      <formula>9000</formula>
    </cfRule>
    <cfRule type="cellIs" dxfId="930" priority="933" stopIfTrue="1" operator="greaterThanOrEqual">
      <formula>9000</formula>
    </cfRule>
  </conditionalFormatting>
  <conditionalFormatting sqref="AJ74">
    <cfRule type="cellIs" dxfId="929" priority="928" stopIfTrue="1" operator="lessThanOrEqual">
      <formula>3000</formula>
    </cfRule>
    <cfRule type="cellIs" dxfId="928" priority="929" stopIfTrue="1" operator="between">
      <formula>3000</formula>
      <formula>9000</formula>
    </cfRule>
    <cfRule type="cellIs" dxfId="927" priority="930" stopIfTrue="1" operator="greaterThanOrEqual">
      <formula>9000</formula>
    </cfRule>
  </conditionalFormatting>
  <conditionalFormatting sqref="AF80:AI80">
    <cfRule type="cellIs" dxfId="926" priority="925" stopIfTrue="1" operator="lessThanOrEqual">
      <formula>3000</formula>
    </cfRule>
    <cfRule type="cellIs" dxfId="925" priority="926" stopIfTrue="1" operator="between">
      <formula>3000</formula>
      <formula>9000</formula>
    </cfRule>
    <cfRule type="cellIs" dxfId="924" priority="927" stopIfTrue="1" operator="greaterThanOrEqual">
      <formula>9000</formula>
    </cfRule>
  </conditionalFormatting>
  <conditionalFormatting sqref="AJ80">
    <cfRule type="cellIs" dxfId="923" priority="922" stopIfTrue="1" operator="lessThanOrEqual">
      <formula>3000</formula>
    </cfRule>
    <cfRule type="cellIs" dxfId="922" priority="923" stopIfTrue="1" operator="between">
      <formula>3000</formula>
      <formula>9000</formula>
    </cfRule>
    <cfRule type="cellIs" dxfId="921" priority="924" stopIfTrue="1" operator="greaterThanOrEqual">
      <formula>9000</formula>
    </cfRule>
  </conditionalFormatting>
  <conditionalFormatting sqref="AF86:AI86">
    <cfRule type="cellIs" dxfId="920" priority="919" stopIfTrue="1" operator="lessThanOrEqual">
      <formula>3000</formula>
    </cfRule>
    <cfRule type="cellIs" dxfId="919" priority="920" stopIfTrue="1" operator="between">
      <formula>3000</formula>
      <formula>9000</formula>
    </cfRule>
    <cfRule type="cellIs" dxfId="918" priority="921" stopIfTrue="1" operator="greaterThanOrEqual">
      <formula>9000</formula>
    </cfRule>
  </conditionalFormatting>
  <conditionalFormatting sqref="AJ86">
    <cfRule type="cellIs" dxfId="917" priority="916" stopIfTrue="1" operator="lessThanOrEqual">
      <formula>3000</formula>
    </cfRule>
    <cfRule type="cellIs" dxfId="916" priority="917" stopIfTrue="1" operator="between">
      <formula>3000</formula>
      <formula>9000</formula>
    </cfRule>
    <cfRule type="cellIs" dxfId="915" priority="918" stopIfTrue="1" operator="greaterThanOrEqual">
      <formula>9000</formula>
    </cfRule>
  </conditionalFormatting>
  <conditionalFormatting sqref="AF92:AI92">
    <cfRule type="cellIs" dxfId="914" priority="913" stopIfTrue="1" operator="lessThanOrEqual">
      <formula>3000</formula>
    </cfRule>
    <cfRule type="cellIs" dxfId="913" priority="914" stopIfTrue="1" operator="between">
      <formula>3000</formula>
      <formula>9000</formula>
    </cfRule>
    <cfRule type="cellIs" dxfId="912" priority="915" stopIfTrue="1" operator="greaterThanOrEqual">
      <formula>9000</formula>
    </cfRule>
  </conditionalFormatting>
  <conditionalFormatting sqref="AJ92">
    <cfRule type="cellIs" dxfId="911" priority="910" stopIfTrue="1" operator="lessThanOrEqual">
      <formula>3000</formula>
    </cfRule>
    <cfRule type="cellIs" dxfId="910" priority="911" stopIfTrue="1" operator="between">
      <formula>3000</formula>
      <formula>9000</formula>
    </cfRule>
    <cfRule type="cellIs" dxfId="909" priority="912" stopIfTrue="1" operator="greaterThanOrEqual">
      <formula>9000</formula>
    </cfRule>
  </conditionalFormatting>
  <conditionalFormatting sqref="AF98:AI98">
    <cfRule type="cellIs" dxfId="908" priority="907" stopIfTrue="1" operator="lessThanOrEqual">
      <formula>3000</formula>
    </cfRule>
    <cfRule type="cellIs" dxfId="907" priority="908" stopIfTrue="1" operator="between">
      <formula>3000</formula>
      <formula>9000</formula>
    </cfRule>
    <cfRule type="cellIs" dxfId="906" priority="909" stopIfTrue="1" operator="greaterThanOrEqual">
      <formula>9000</formula>
    </cfRule>
  </conditionalFormatting>
  <conditionalFormatting sqref="AJ98">
    <cfRule type="cellIs" dxfId="905" priority="904" stopIfTrue="1" operator="lessThanOrEqual">
      <formula>3000</formula>
    </cfRule>
    <cfRule type="cellIs" dxfId="904" priority="905" stopIfTrue="1" operator="between">
      <formula>3000</formula>
      <formula>9000</formula>
    </cfRule>
    <cfRule type="cellIs" dxfId="903" priority="906" stopIfTrue="1" operator="greaterThanOrEqual">
      <formula>9000</formula>
    </cfRule>
  </conditionalFormatting>
  <conditionalFormatting sqref="AF104:AI104">
    <cfRule type="cellIs" dxfId="902" priority="901" stopIfTrue="1" operator="lessThanOrEqual">
      <formula>3000</formula>
    </cfRule>
    <cfRule type="cellIs" dxfId="901" priority="902" stopIfTrue="1" operator="between">
      <formula>3000</formula>
      <formula>9000</formula>
    </cfRule>
    <cfRule type="cellIs" dxfId="900" priority="903" stopIfTrue="1" operator="greaterThanOrEqual">
      <formula>9000</formula>
    </cfRule>
  </conditionalFormatting>
  <conditionalFormatting sqref="AJ104">
    <cfRule type="cellIs" dxfId="899" priority="898" stopIfTrue="1" operator="lessThanOrEqual">
      <formula>3000</formula>
    </cfRule>
    <cfRule type="cellIs" dxfId="898" priority="899" stopIfTrue="1" operator="between">
      <formula>3000</formula>
      <formula>9000</formula>
    </cfRule>
    <cfRule type="cellIs" dxfId="897" priority="900" stopIfTrue="1" operator="greaterThanOrEqual">
      <formula>9000</formula>
    </cfRule>
  </conditionalFormatting>
  <conditionalFormatting sqref="AF110:AI110">
    <cfRule type="cellIs" dxfId="896" priority="895" stopIfTrue="1" operator="lessThanOrEqual">
      <formula>3000</formula>
    </cfRule>
    <cfRule type="cellIs" dxfId="895" priority="896" stopIfTrue="1" operator="between">
      <formula>3000</formula>
      <formula>9000</formula>
    </cfRule>
    <cfRule type="cellIs" dxfId="894" priority="897" stopIfTrue="1" operator="greaterThanOrEqual">
      <formula>9000</formula>
    </cfRule>
  </conditionalFormatting>
  <conditionalFormatting sqref="AJ110">
    <cfRule type="cellIs" dxfId="893" priority="892" stopIfTrue="1" operator="lessThanOrEqual">
      <formula>3000</formula>
    </cfRule>
    <cfRule type="cellIs" dxfId="892" priority="893" stopIfTrue="1" operator="between">
      <formula>3000</formula>
      <formula>9000</formula>
    </cfRule>
    <cfRule type="cellIs" dxfId="891" priority="894" stopIfTrue="1" operator="greaterThanOrEqual">
      <formula>9000</formula>
    </cfRule>
  </conditionalFormatting>
  <conditionalFormatting sqref="AF116:AI116">
    <cfRule type="cellIs" dxfId="890" priority="889" stopIfTrue="1" operator="lessThanOrEqual">
      <formula>3000</formula>
    </cfRule>
    <cfRule type="cellIs" dxfId="889" priority="890" stopIfTrue="1" operator="between">
      <formula>3000</formula>
      <formula>9000</formula>
    </cfRule>
    <cfRule type="cellIs" dxfId="888" priority="891" stopIfTrue="1" operator="greaterThanOrEqual">
      <formula>9000</formula>
    </cfRule>
  </conditionalFormatting>
  <conditionalFormatting sqref="AJ116">
    <cfRule type="cellIs" dxfId="887" priority="886" stopIfTrue="1" operator="lessThanOrEqual">
      <formula>3000</formula>
    </cfRule>
    <cfRule type="cellIs" dxfId="886" priority="887" stopIfTrue="1" operator="between">
      <formula>3000</formula>
      <formula>9000</formula>
    </cfRule>
    <cfRule type="cellIs" dxfId="885" priority="888" stopIfTrue="1" operator="greaterThanOrEqual">
      <formula>9000</formula>
    </cfRule>
  </conditionalFormatting>
  <conditionalFormatting sqref="AF122:AI122">
    <cfRule type="cellIs" dxfId="884" priority="883" stopIfTrue="1" operator="lessThanOrEqual">
      <formula>3000</formula>
    </cfRule>
    <cfRule type="cellIs" dxfId="883" priority="884" stopIfTrue="1" operator="between">
      <formula>3000</formula>
      <formula>9000</formula>
    </cfRule>
    <cfRule type="cellIs" dxfId="882" priority="885" stopIfTrue="1" operator="greaterThanOrEqual">
      <formula>9000</formula>
    </cfRule>
  </conditionalFormatting>
  <conditionalFormatting sqref="AJ122">
    <cfRule type="cellIs" dxfId="881" priority="880" stopIfTrue="1" operator="lessThanOrEqual">
      <formula>3000</formula>
    </cfRule>
    <cfRule type="cellIs" dxfId="880" priority="881" stopIfTrue="1" operator="between">
      <formula>3000</formula>
      <formula>9000</formula>
    </cfRule>
    <cfRule type="cellIs" dxfId="879" priority="882" stopIfTrue="1" operator="greaterThanOrEqual">
      <formula>9000</formula>
    </cfRule>
  </conditionalFormatting>
  <conditionalFormatting sqref="AF128:AI128">
    <cfRule type="cellIs" dxfId="878" priority="877" stopIfTrue="1" operator="lessThanOrEqual">
      <formula>3000</formula>
    </cfRule>
    <cfRule type="cellIs" dxfId="877" priority="878" stopIfTrue="1" operator="between">
      <formula>3000</formula>
      <formula>9000</formula>
    </cfRule>
    <cfRule type="cellIs" dxfId="876" priority="879" stopIfTrue="1" operator="greaterThanOrEqual">
      <formula>9000</formula>
    </cfRule>
  </conditionalFormatting>
  <conditionalFormatting sqref="AJ128">
    <cfRule type="cellIs" dxfId="875" priority="874" stopIfTrue="1" operator="lessThanOrEqual">
      <formula>3000</formula>
    </cfRule>
    <cfRule type="cellIs" dxfId="874" priority="875" stopIfTrue="1" operator="between">
      <formula>3000</formula>
      <formula>9000</formula>
    </cfRule>
    <cfRule type="cellIs" dxfId="873" priority="876" stopIfTrue="1" operator="greaterThanOrEqual">
      <formula>9000</formula>
    </cfRule>
  </conditionalFormatting>
  <conditionalFormatting sqref="AF134:AI134">
    <cfRule type="cellIs" dxfId="872" priority="871" stopIfTrue="1" operator="lessThanOrEqual">
      <formula>3000</formula>
    </cfRule>
    <cfRule type="cellIs" dxfId="871" priority="872" stopIfTrue="1" operator="between">
      <formula>3000</formula>
      <formula>9000</formula>
    </cfRule>
    <cfRule type="cellIs" dxfId="870" priority="873" stopIfTrue="1" operator="greaterThanOrEqual">
      <formula>9000</formula>
    </cfRule>
  </conditionalFormatting>
  <conditionalFormatting sqref="AJ134">
    <cfRule type="cellIs" dxfId="869" priority="868" stopIfTrue="1" operator="lessThanOrEqual">
      <formula>3000</formula>
    </cfRule>
    <cfRule type="cellIs" dxfId="868" priority="869" stopIfTrue="1" operator="between">
      <formula>3000</formula>
      <formula>9000</formula>
    </cfRule>
    <cfRule type="cellIs" dxfId="867" priority="870" stopIfTrue="1" operator="greaterThanOrEqual">
      <formula>9000</formula>
    </cfRule>
  </conditionalFormatting>
  <conditionalFormatting sqref="AF140:AI140">
    <cfRule type="cellIs" dxfId="866" priority="865" stopIfTrue="1" operator="lessThanOrEqual">
      <formula>3000</formula>
    </cfRule>
    <cfRule type="cellIs" dxfId="865" priority="866" stopIfTrue="1" operator="between">
      <formula>3000</formula>
      <formula>9000</formula>
    </cfRule>
    <cfRule type="cellIs" dxfId="864" priority="867" stopIfTrue="1" operator="greaterThanOrEqual">
      <formula>9000</formula>
    </cfRule>
  </conditionalFormatting>
  <conditionalFormatting sqref="AJ140">
    <cfRule type="cellIs" dxfId="863" priority="862" stopIfTrue="1" operator="lessThanOrEqual">
      <formula>3000</formula>
    </cfRule>
    <cfRule type="cellIs" dxfId="862" priority="863" stopIfTrue="1" operator="between">
      <formula>3000</formula>
      <formula>9000</formula>
    </cfRule>
    <cfRule type="cellIs" dxfId="861" priority="864" stopIfTrue="1" operator="greaterThanOrEqual">
      <formula>9000</formula>
    </cfRule>
  </conditionalFormatting>
  <conditionalFormatting sqref="AF146:AI146">
    <cfRule type="cellIs" dxfId="860" priority="859" stopIfTrue="1" operator="lessThanOrEqual">
      <formula>3000</formula>
    </cfRule>
    <cfRule type="cellIs" dxfId="859" priority="860" stopIfTrue="1" operator="between">
      <formula>3000</formula>
      <formula>9000</formula>
    </cfRule>
    <cfRule type="cellIs" dxfId="858" priority="861" stopIfTrue="1" operator="greaterThanOrEqual">
      <formula>9000</formula>
    </cfRule>
  </conditionalFormatting>
  <conditionalFormatting sqref="AJ146">
    <cfRule type="cellIs" dxfId="857" priority="856" stopIfTrue="1" operator="lessThanOrEqual">
      <formula>3000</formula>
    </cfRule>
    <cfRule type="cellIs" dxfId="856" priority="857" stopIfTrue="1" operator="between">
      <formula>3000</formula>
      <formula>9000</formula>
    </cfRule>
    <cfRule type="cellIs" dxfId="855" priority="858" stopIfTrue="1" operator="greaterThanOrEqual">
      <formula>9000</formula>
    </cfRule>
  </conditionalFormatting>
  <conditionalFormatting sqref="AF152:AI152">
    <cfRule type="cellIs" dxfId="854" priority="853" stopIfTrue="1" operator="lessThanOrEqual">
      <formula>3000</formula>
    </cfRule>
    <cfRule type="cellIs" dxfId="853" priority="854" stopIfTrue="1" operator="between">
      <formula>3000</formula>
      <formula>9000</formula>
    </cfRule>
    <cfRule type="cellIs" dxfId="852" priority="855" stopIfTrue="1" operator="greaterThanOrEqual">
      <formula>9000</formula>
    </cfRule>
  </conditionalFormatting>
  <conditionalFormatting sqref="AJ152">
    <cfRule type="cellIs" dxfId="851" priority="850" stopIfTrue="1" operator="lessThanOrEqual">
      <formula>3000</formula>
    </cfRule>
    <cfRule type="cellIs" dxfId="850" priority="851" stopIfTrue="1" operator="between">
      <formula>3000</formula>
      <formula>9000</formula>
    </cfRule>
    <cfRule type="cellIs" dxfId="849" priority="852" stopIfTrue="1" operator="greaterThanOrEqual">
      <formula>9000</formula>
    </cfRule>
  </conditionalFormatting>
  <conditionalFormatting sqref="AF158:AI158">
    <cfRule type="cellIs" dxfId="848" priority="847" stopIfTrue="1" operator="lessThanOrEqual">
      <formula>3000</formula>
    </cfRule>
    <cfRule type="cellIs" dxfId="847" priority="848" stopIfTrue="1" operator="between">
      <formula>3000</formula>
      <formula>9000</formula>
    </cfRule>
    <cfRule type="cellIs" dxfId="846" priority="849" stopIfTrue="1" operator="greaterThanOrEqual">
      <formula>9000</formula>
    </cfRule>
  </conditionalFormatting>
  <conditionalFormatting sqref="AJ158">
    <cfRule type="cellIs" dxfId="845" priority="844" stopIfTrue="1" operator="lessThanOrEqual">
      <formula>3000</formula>
    </cfRule>
    <cfRule type="cellIs" dxfId="844" priority="845" stopIfTrue="1" operator="between">
      <formula>3000</formula>
      <formula>9000</formula>
    </cfRule>
    <cfRule type="cellIs" dxfId="843" priority="846" stopIfTrue="1" operator="greaterThanOrEqual">
      <formula>9000</formula>
    </cfRule>
  </conditionalFormatting>
  <conditionalFormatting sqref="AF164:AI164">
    <cfRule type="cellIs" dxfId="842" priority="841" stopIfTrue="1" operator="lessThanOrEqual">
      <formula>3000</formula>
    </cfRule>
    <cfRule type="cellIs" dxfId="841" priority="842" stopIfTrue="1" operator="between">
      <formula>3000</formula>
      <formula>9000</formula>
    </cfRule>
    <cfRule type="cellIs" dxfId="840" priority="843" stopIfTrue="1" operator="greaterThanOrEqual">
      <formula>9000</formula>
    </cfRule>
  </conditionalFormatting>
  <conditionalFormatting sqref="AJ164">
    <cfRule type="cellIs" dxfId="839" priority="838" stopIfTrue="1" operator="lessThanOrEqual">
      <formula>3000</formula>
    </cfRule>
    <cfRule type="cellIs" dxfId="838" priority="839" stopIfTrue="1" operator="between">
      <formula>3000</formula>
      <formula>9000</formula>
    </cfRule>
    <cfRule type="cellIs" dxfId="837" priority="840" stopIfTrue="1" operator="greaterThanOrEqual">
      <formula>9000</formula>
    </cfRule>
  </conditionalFormatting>
  <conditionalFormatting sqref="AF170:AI170">
    <cfRule type="cellIs" dxfId="836" priority="835" stopIfTrue="1" operator="lessThanOrEqual">
      <formula>3000</formula>
    </cfRule>
    <cfRule type="cellIs" dxfId="835" priority="836" stopIfTrue="1" operator="between">
      <formula>3000</formula>
      <formula>9000</formula>
    </cfRule>
    <cfRule type="cellIs" dxfId="834" priority="837" stopIfTrue="1" operator="greaterThanOrEqual">
      <formula>9000</formula>
    </cfRule>
  </conditionalFormatting>
  <conditionalFormatting sqref="AJ170">
    <cfRule type="cellIs" dxfId="833" priority="832" stopIfTrue="1" operator="lessThanOrEqual">
      <formula>3000</formula>
    </cfRule>
    <cfRule type="cellIs" dxfId="832" priority="833" stopIfTrue="1" operator="between">
      <formula>3000</formula>
      <formula>9000</formula>
    </cfRule>
    <cfRule type="cellIs" dxfId="831" priority="834" stopIfTrue="1" operator="greaterThanOrEqual">
      <formula>9000</formula>
    </cfRule>
  </conditionalFormatting>
  <conditionalFormatting sqref="AF176:AI176">
    <cfRule type="cellIs" dxfId="830" priority="829" stopIfTrue="1" operator="lessThanOrEqual">
      <formula>3000</formula>
    </cfRule>
    <cfRule type="cellIs" dxfId="829" priority="830" stopIfTrue="1" operator="between">
      <formula>3000</formula>
      <formula>9000</formula>
    </cfRule>
    <cfRule type="cellIs" dxfId="828" priority="831" stopIfTrue="1" operator="greaterThanOrEqual">
      <formula>9000</formula>
    </cfRule>
  </conditionalFormatting>
  <conditionalFormatting sqref="AJ176">
    <cfRule type="cellIs" dxfId="827" priority="826" stopIfTrue="1" operator="lessThanOrEqual">
      <formula>3000</formula>
    </cfRule>
    <cfRule type="cellIs" dxfId="826" priority="827" stopIfTrue="1" operator="between">
      <formula>3000</formula>
      <formula>9000</formula>
    </cfRule>
    <cfRule type="cellIs" dxfId="825" priority="828" stopIfTrue="1" operator="greaterThanOrEqual">
      <formula>9000</formula>
    </cfRule>
  </conditionalFormatting>
  <conditionalFormatting sqref="AF182:AI182">
    <cfRule type="cellIs" dxfId="824" priority="823" stopIfTrue="1" operator="lessThanOrEqual">
      <formula>3000</formula>
    </cfRule>
    <cfRule type="cellIs" dxfId="823" priority="824" stopIfTrue="1" operator="between">
      <formula>3000</formula>
      <formula>9000</formula>
    </cfRule>
    <cfRule type="cellIs" dxfId="822" priority="825" stopIfTrue="1" operator="greaterThanOrEqual">
      <formula>9000</formula>
    </cfRule>
  </conditionalFormatting>
  <conditionalFormatting sqref="AJ182">
    <cfRule type="cellIs" dxfId="821" priority="820" stopIfTrue="1" operator="lessThanOrEqual">
      <formula>3000</formula>
    </cfRule>
    <cfRule type="cellIs" dxfId="820" priority="821" stopIfTrue="1" operator="between">
      <formula>3000</formula>
      <formula>9000</formula>
    </cfRule>
    <cfRule type="cellIs" dxfId="819" priority="822" stopIfTrue="1" operator="greaterThanOrEqual">
      <formula>9000</formula>
    </cfRule>
  </conditionalFormatting>
  <conditionalFormatting sqref="AF188:AI188">
    <cfRule type="cellIs" dxfId="818" priority="817" stopIfTrue="1" operator="lessThanOrEqual">
      <formula>3000</formula>
    </cfRule>
    <cfRule type="cellIs" dxfId="817" priority="818" stopIfTrue="1" operator="between">
      <formula>3000</formula>
      <formula>9000</formula>
    </cfRule>
    <cfRule type="cellIs" dxfId="816" priority="819" stopIfTrue="1" operator="greaterThanOrEqual">
      <formula>9000</formula>
    </cfRule>
  </conditionalFormatting>
  <conditionalFormatting sqref="AJ188">
    <cfRule type="cellIs" dxfId="815" priority="814" stopIfTrue="1" operator="lessThanOrEqual">
      <formula>3000</formula>
    </cfRule>
    <cfRule type="cellIs" dxfId="814" priority="815" stopIfTrue="1" operator="between">
      <formula>3000</formula>
      <formula>9000</formula>
    </cfRule>
    <cfRule type="cellIs" dxfId="813" priority="816" stopIfTrue="1" operator="greaterThanOrEqual">
      <formula>9000</formula>
    </cfRule>
  </conditionalFormatting>
  <conditionalFormatting sqref="AF194:AI194">
    <cfRule type="cellIs" dxfId="812" priority="811" stopIfTrue="1" operator="lessThanOrEqual">
      <formula>3000</formula>
    </cfRule>
    <cfRule type="cellIs" dxfId="811" priority="812" stopIfTrue="1" operator="between">
      <formula>3000</formula>
      <formula>9000</formula>
    </cfRule>
    <cfRule type="cellIs" dxfId="810" priority="813" stopIfTrue="1" operator="greaterThanOrEqual">
      <formula>9000</formula>
    </cfRule>
  </conditionalFormatting>
  <conditionalFormatting sqref="AJ194">
    <cfRule type="cellIs" dxfId="809" priority="808" stopIfTrue="1" operator="lessThanOrEqual">
      <formula>3000</formula>
    </cfRule>
    <cfRule type="cellIs" dxfId="808" priority="809" stopIfTrue="1" operator="between">
      <formula>3000</formula>
      <formula>9000</formula>
    </cfRule>
    <cfRule type="cellIs" dxfId="807" priority="810" stopIfTrue="1" operator="greaterThanOrEqual">
      <formula>9000</formula>
    </cfRule>
  </conditionalFormatting>
  <conditionalFormatting sqref="AF200:AI200">
    <cfRule type="cellIs" dxfId="806" priority="805" stopIfTrue="1" operator="lessThanOrEqual">
      <formula>3000</formula>
    </cfRule>
    <cfRule type="cellIs" dxfId="805" priority="806" stopIfTrue="1" operator="between">
      <formula>3000</formula>
      <formula>9000</formula>
    </cfRule>
    <cfRule type="cellIs" dxfId="804" priority="807" stopIfTrue="1" operator="greaterThanOrEqual">
      <formula>9000</formula>
    </cfRule>
  </conditionalFormatting>
  <conditionalFormatting sqref="AJ200">
    <cfRule type="cellIs" dxfId="803" priority="802" stopIfTrue="1" operator="lessThanOrEqual">
      <formula>3000</formula>
    </cfRule>
    <cfRule type="cellIs" dxfId="802" priority="803" stopIfTrue="1" operator="between">
      <formula>3000</formula>
      <formula>9000</formula>
    </cfRule>
    <cfRule type="cellIs" dxfId="801" priority="804" stopIfTrue="1" operator="greaterThanOrEqual">
      <formula>9000</formula>
    </cfRule>
  </conditionalFormatting>
  <conditionalFormatting sqref="AF206:AI206">
    <cfRule type="cellIs" dxfId="800" priority="799" stopIfTrue="1" operator="lessThanOrEqual">
      <formula>3000</formula>
    </cfRule>
    <cfRule type="cellIs" dxfId="799" priority="800" stopIfTrue="1" operator="between">
      <formula>3000</formula>
      <formula>9000</formula>
    </cfRule>
    <cfRule type="cellIs" dxfId="798" priority="801" stopIfTrue="1" operator="greaterThanOrEqual">
      <formula>9000</formula>
    </cfRule>
  </conditionalFormatting>
  <conditionalFormatting sqref="AJ206">
    <cfRule type="cellIs" dxfId="797" priority="796" stopIfTrue="1" operator="lessThanOrEqual">
      <formula>3000</formula>
    </cfRule>
    <cfRule type="cellIs" dxfId="796" priority="797" stopIfTrue="1" operator="between">
      <formula>3000</formula>
      <formula>9000</formula>
    </cfRule>
    <cfRule type="cellIs" dxfId="795" priority="798" stopIfTrue="1" operator="greaterThanOrEqual">
      <formula>9000</formula>
    </cfRule>
  </conditionalFormatting>
  <conditionalFormatting sqref="AF212:AI212">
    <cfRule type="cellIs" dxfId="794" priority="793" stopIfTrue="1" operator="lessThanOrEqual">
      <formula>3000</formula>
    </cfRule>
    <cfRule type="cellIs" dxfId="793" priority="794" stopIfTrue="1" operator="between">
      <formula>3000</formula>
      <formula>9000</formula>
    </cfRule>
    <cfRule type="cellIs" dxfId="792" priority="795" stopIfTrue="1" operator="greaterThanOrEqual">
      <formula>9000</formula>
    </cfRule>
  </conditionalFormatting>
  <conditionalFormatting sqref="AJ212">
    <cfRule type="cellIs" dxfId="791" priority="790" stopIfTrue="1" operator="lessThanOrEqual">
      <formula>3000</formula>
    </cfRule>
    <cfRule type="cellIs" dxfId="790" priority="791" stopIfTrue="1" operator="between">
      <formula>3000</formula>
      <formula>9000</formula>
    </cfRule>
    <cfRule type="cellIs" dxfId="789" priority="792" stopIfTrue="1" operator="greaterThanOrEqual">
      <formula>9000</formula>
    </cfRule>
  </conditionalFormatting>
  <conditionalFormatting sqref="AF218:AI218">
    <cfRule type="cellIs" dxfId="788" priority="787" stopIfTrue="1" operator="lessThanOrEqual">
      <formula>3000</formula>
    </cfRule>
    <cfRule type="cellIs" dxfId="787" priority="788" stopIfTrue="1" operator="between">
      <formula>3000</formula>
      <formula>9000</formula>
    </cfRule>
    <cfRule type="cellIs" dxfId="786" priority="789" stopIfTrue="1" operator="greaterThanOrEqual">
      <formula>9000</formula>
    </cfRule>
  </conditionalFormatting>
  <conditionalFormatting sqref="AJ218">
    <cfRule type="cellIs" dxfId="785" priority="784" stopIfTrue="1" operator="lessThanOrEqual">
      <formula>3000</formula>
    </cfRule>
    <cfRule type="cellIs" dxfId="784" priority="785" stopIfTrue="1" operator="between">
      <formula>3000</formula>
      <formula>9000</formula>
    </cfRule>
    <cfRule type="cellIs" dxfId="783" priority="786" stopIfTrue="1" operator="greaterThanOrEqual">
      <formula>9000</formula>
    </cfRule>
  </conditionalFormatting>
  <conditionalFormatting sqref="AF224:AI224">
    <cfRule type="cellIs" dxfId="782" priority="781" stopIfTrue="1" operator="lessThanOrEqual">
      <formula>3000</formula>
    </cfRule>
    <cfRule type="cellIs" dxfId="781" priority="782" stopIfTrue="1" operator="between">
      <formula>3000</formula>
      <formula>9000</formula>
    </cfRule>
    <cfRule type="cellIs" dxfId="780" priority="783" stopIfTrue="1" operator="greaterThanOrEqual">
      <formula>9000</formula>
    </cfRule>
  </conditionalFormatting>
  <conditionalFormatting sqref="AJ224">
    <cfRule type="cellIs" dxfId="779" priority="778" stopIfTrue="1" operator="lessThanOrEqual">
      <formula>3000</formula>
    </cfRule>
    <cfRule type="cellIs" dxfId="778" priority="779" stopIfTrue="1" operator="between">
      <formula>3000</formula>
      <formula>9000</formula>
    </cfRule>
    <cfRule type="cellIs" dxfId="777" priority="780" stopIfTrue="1" operator="greaterThanOrEqual">
      <formula>9000</formula>
    </cfRule>
  </conditionalFormatting>
  <conditionalFormatting sqref="AF230:AI230">
    <cfRule type="cellIs" dxfId="776" priority="775" stopIfTrue="1" operator="lessThanOrEqual">
      <formula>3000</formula>
    </cfRule>
    <cfRule type="cellIs" dxfId="775" priority="776" stopIfTrue="1" operator="between">
      <formula>3000</formula>
      <formula>9000</formula>
    </cfRule>
    <cfRule type="cellIs" dxfId="774" priority="777" stopIfTrue="1" operator="greaterThanOrEqual">
      <formula>9000</formula>
    </cfRule>
  </conditionalFormatting>
  <conditionalFormatting sqref="AJ230">
    <cfRule type="cellIs" dxfId="773" priority="772" stopIfTrue="1" operator="lessThanOrEqual">
      <formula>3000</formula>
    </cfRule>
    <cfRule type="cellIs" dxfId="772" priority="773" stopIfTrue="1" operator="between">
      <formula>3000</formula>
      <formula>9000</formula>
    </cfRule>
    <cfRule type="cellIs" dxfId="771" priority="774" stopIfTrue="1" operator="greaterThanOrEqual">
      <formula>9000</formula>
    </cfRule>
  </conditionalFormatting>
  <conditionalFormatting sqref="AF236:AI236">
    <cfRule type="cellIs" dxfId="770" priority="769" stopIfTrue="1" operator="lessThanOrEqual">
      <formula>3000</formula>
    </cfRule>
    <cfRule type="cellIs" dxfId="769" priority="770" stopIfTrue="1" operator="between">
      <formula>3000</formula>
      <formula>9000</formula>
    </cfRule>
    <cfRule type="cellIs" dxfId="768" priority="771" stopIfTrue="1" operator="greaterThanOrEqual">
      <formula>9000</formula>
    </cfRule>
  </conditionalFormatting>
  <conditionalFormatting sqref="AJ236">
    <cfRule type="cellIs" dxfId="767" priority="766" stopIfTrue="1" operator="lessThanOrEqual">
      <formula>3000</formula>
    </cfRule>
    <cfRule type="cellIs" dxfId="766" priority="767" stopIfTrue="1" operator="between">
      <formula>3000</formula>
      <formula>9000</formula>
    </cfRule>
    <cfRule type="cellIs" dxfId="765" priority="768" stopIfTrue="1" operator="greaterThanOrEqual">
      <formula>9000</formula>
    </cfRule>
  </conditionalFormatting>
  <conditionalFormatting sqref="AF242:AI242">
    <cfRule type="cellIs" dxfId="764" priority="763" stopIfTrue="1" operator="lessThanOrEqual">
      <formula>3000</formula>
    </cfRule>
    <cfRule type="cellIs" dxfId="763" priority="764" stopIfTrue="1" operator="between">
      <formula>3000</formula>
      <formula>9000</formula>
    </cfRule>
    <cfRule type="cellIs" dxfId="762" priority="765" stopIfTrue="1" operator="greaterThanOrEqual">
      <formula>9000</formula>
    </cfRule>
  </conditionalFormatting>
  <conditionalFormatting sqref="AJ242">
    <cfRule type="cellIs" dxfId="761" priority="760" stopIfTrue="1" operator="lessThanOrEqual">
      <formula>3000</formula>
    </cfRule>
    <cfRule type="cellIs" dxfId="760" priority="761" stopIfTrue="1" operator="between">
      <formula>3000</formula>
      <formula>9000</formula>
    </cfRule>
    <cfRule type="cellIs" dxfId="759" priority="762" stopIfTrue="1" operator="greaterThanOrEqual">
      <formula>9000</formula>
    </cfRule>
  </conditionalFormatting>
  <conditionalFormatting sqref="AF248:AI248">
    <cfRule type="cellIs" dxfId="758" priority="757" stopIfTrue="1" operator="lessThanOrEqual">
      <formula>3000</formula>
    </cfRule>
    <cfRule type="cellIs" dxfId="757" priority="758" stopIfTrue="1" operator="between">
      <formula>3000</formula>
      <formula>9000</formula>
    </cfRule>
    <cfRule type="cellIs" dxfId="756" priority="759" stopIfTrue="1" operator="greaterThanOrEqual">
      <formula>9000</formula>
    </cfRule>
  </conditionalFormatting>
  <conditionalFormatting sqref="AJ248">
    <cfRule type="cellIs" dxfId="755" priority="754" stopIfTrue="1" operator="lessThanOrEqual">
      <formula>3000</formula>
    </cfRule>
    <cfRule type="cellIs" dxfId="754" priority="755" stopIfTrue="1" operator="between">
      <formula>3000</formula>
      <formula>9000</formula>
    </cfRule>
    <cfRule type="cellIs" dxfId="753" priority="756" stopIfTrue="1" operator="greaterThanOrEqual">
      <formula>9000</formula>
    </cfRule>
  </conditionalFormatting>
  <conditionalFormatting sqref="AF254:AI254">
    <cfRule type="cellIs" dxfId="752" priority="751" stopIfTrue="1" operator="lessThanOrEqual">
      <formula>3000</formula>
    </cfRule>
    <cfRule type="cellIs" dxfId="751" priority="752" stopIfTrue="1" operator="between">
      <formula>3000</formula>
      <formula>9000</formula>
    </cfRule>
    <cfRule type="cellIs" dxfId="750" priority="753" stopIfTrue="1" operator="greaterThanOrEqual">
      <formula>9000</formula>
    </cfRule>
  </conditionalFormatting>
  <conditionalFormatting sqref="AJ254">
    <cfRule type="cellIs" dxfId="749" priority="748" stopIfTrue="1" operator="lessThanOrEqual">
      <formula>3000</formula>
    </cfRule>
    <cfRule type="cellIs" dxfId="748" priority="749" stopIfTrue="1" operator="between">
      <formula>3000</formula>
      <formula>9000</formula>
    </cfRule>
    <cfRule type="cellIs" dxfId="747" priority="750" stopIfTrue="1" operator="greaterThanOrEqual">
      <formula>9000</formula>
    </cfRule>
  </conditionalFormatting>
  <conditionalFormatting sqref="AF260:AI260">
    <cfRule type="cellIs" dxfId="746" priority="745" stopIfTrue="1" operator="lessThanOrEqual">
      <formula>3000</formula>
    </cfRule>
    <cfRule type="cellIs" dxfId="745" priority="746" stopIfTrue="1" operator="between">
      <formula>3000</formula>
      <formula>9000</formula>
    </cfRule>
    <cfRule type="cellIs" dxfId="744" priority="747" stopIfTrue="1" operator="greaterThanOrEqual">
      <formula>9000</formula>
    </cfRule>
  </conditionalFormatting>
  <conditionalFormatting sqref="AJ260">
    <cfRule type="cellIs" dxfId="743" priority="742" stopIfTrue="1" operator="lessThanOrEqual">
      <formula>3000</formula>
    </cfRule>
    <cfRule type="cellIs" dxfId="742" priority="743" stopIfTrue="1" operator="between">
      <formula>3000</formula>
      <formula>9000</formula>
    </cfRule>
    <cfRule type="cellIs" dxfId="741" priority="744" stopIfTrue="1" operator="greaterThanOrEqual">
      <formula>9000</formula>
    </cfRule>
  </conditionalFormatting>
  <conditionalFormatting sqref="X20">
    <cfRule type="cellIs" dxfId="740" priority="739" stopIfTrue="1" operator="lessThanOrEqual">
      <formula>3000</formula>
    </cfRule>
    <cfRule type="cellIs" dxfId="739" priority="740" stopIfTrue="1" operator="between">
      <formula>3000</formula>
      <formula>9000</formula>
    </cfRule>
    <cfRule type="cellIs" dxfId="738" priority="741" stopIfTrue="1" operator="greaterThanOrEqual">
      <formula>9000</formula>
    </cfRule>
  </conditionalFormatting>
  <conditionalFormatting sqref="W8">
    <cfRule type="cellIs" dxfId="737" priority="736" stopIfTrue="1" operator="lessThanOrEqual">
      <formula>3000</formula>
    </cfRule>
    <cfRule type="cellIs" dxfId="736" priority="737" stopIfTrue="1" operator="between">
      <formula>3000</formula>
      <formula>9000</formula>
    </cfRule>
    <cfRule type="cellIs" dxfId="735" priority="738" stopIfTrue="1" operator="greaterThanOrEqual">
      <formula>9000</formula>
    </cfRule>
  </conditionalFormatting>
  <conditionalFormatting sqref="W14">
    <cfRule type="cellIs" dxfId="734" priority="733" stopIfTrue="1" operator="lessThanOrEqual">
      <formula>3000</formula>
    </cfRule>
    <cfRule type="cellIs" dxfId="733" priority="734" stopIfTrue="1" operator="between">
      <formula>3000</formula>
      <formula>9000</formula>
    </cfRule>
    <cfRule type="cellIs" dxfId="732" priority="735" stopIfTrue="1" operator="greaterThanOrEqual">
      <formula>9000</formula>
    </cfRule>
  </conditionalFormatting>
  <conditionalFormatting sqref="W20">
    <cfRule type="cellIs" dxfId="731" priority="730" stopIfTrue="1" operator="lessThanOrEqual">
      <formula>3000</formula>
    </cfRule>
    <cfRule type="cellIs" dxfId="730" priority="731" stopIfTrue="1" operator="between">
      <formula>3000</formula>
      <formula>9000</formula>
    </cfRule>
    <cfRule type="cellIs" dxfId="729" priority="732" stopIfTrue="1" operator="greaterThanOrEqual">
      <formula>9000</formula>
    </cfRule>
  </conditionalFormatting>
  <conditionalFormatting sqref="W26">
    <cfRule type="cellIs" dxfId="728" priority="727" stopIfTrue="1" operator="lessThanOrEqual">
      <formula>3000</formula>
    </cfRule>
    <cfRule type="cellIs" dxfId="727" priority="728" stopIfTrue="1" operator="between">
      <formula>3000</formula>
      <formula>9000</formula>
    </cfRule>
    <cfRule type="cellIs" dxfId="726" priority="729" stopIfTrue="1" operator="greaterThanOrEqual">
      <formula>9000</formula>
    </cfRule>
  </conditionalFormatting>
  <conditionalFormatting sqref="W32">
    <cfRule type="cellIs" dxfId="725" priority="724" stopIfTrue="1" operator="lessThanOrEqual">
      <formula>3000</formula>
    </cfRule>
    <cfRule type="cellIs" dxfId="724" priority="725" stopIfTrue="1" operator="between">
      <formula>3000</formula>
      <formula>9000</formula>
    </cfRule>
    <cfRule type="cellIs" dxfId="723" priority="726" stopIfTrue="1" operator="greaterThanOrEqual">
      <formula>9000</formula>
    </cfRule>
  </conditionalFormatting>
  <conditionalFormatting sqref="W38">
    <cfRule type="cellIs" dxfId="722" priority="721" stopIfTrue="1" operator="lessThanOrEqual">
      <formula>3000</formula>
    </cfRule>
    <cfRule type="cellIs" dxfId="721" priority="722" stopIfTrue="1" operator="between">
      <formula>3000</formula>
      <formula>9000</formula>
    </cfRule>
    <cfRule type="cellIs" dxfId="720" priority="723" stopIfTrue="1" operator="greaterThanOrEqual">
      <formula>9000</formula>
    </cfRule>
  </conditionalFormatting>
  <conditionalFormatting sqref="W44">
    <cfRule type="cellIs" dxfId="719" priority="718" stopIfTrue="1" operator="lessThanOrEqual">
      <formula>3000</formula>
    </cfRule>
    <cfRule type="cellIs" dxfId="718" priority="719" stopIfTrue="1" operator="between">
      <formula>3000</formula>
      <formula>9000</formula>
    </cfRule>
    <cfRule type="cellIs" dxfId="717" priority="720" stopIfTrue="1" operator="greaterThanOrEqual">
      <formula>9000</formula>
    </cfRule>
  </conditionalFormatting>
  <conditionalFormatting sqref="W50">
    <cfRule type="cellIs" dxfId="716" priority="715" stopIfTrue="1" operator="lessThanOrEqual">
      <formula>3000</formula>
    </cfRule>
    <cfRule type="cellIs" dxfId="715" priority="716" stopIfTrue="1" operator="between">
      <formula>3000</formula>
      <formula>9000</formula>
    </cfRule>
    <cfRule type="cellIs" dxfId="714" priority="717" stopIfTrue="1" operator="greaterThanOrEqual">
      <formula>9000</formula>
    </cfRule>
  </conditionalFormatting>
  <conditionalFormatting sqref="W56">
    <cfRule type="cellIs" dxfId="713" priority="712" stopIfTrue="1" operator="lessThanOrEqual">
      <formula>3000</formula>
    </cfRule>
    <cfRule type="cellIs" dxfId="712" priority="713" stopIfTrue="1" operator="between">
      <formula>3000</formula>
      <formula>9000</formula>
    </cfRule>
    <cfRule type="cellIs" dxfId="711" priority="714" stopIfTrue="1" operator="greaterThanOrEqual">
      <formula>9000</formula>
    </cfRule>
  </conditionalFormatting>
  <conditionalFormatting sqref="W62">
    <cfRule type="cellIs" dxfId="710" priority="709" stopIfTrue="1" operator="lessThanOrEqual">
      <formula>3000</formula>
    </cfRule>
    <cfRule type="cellIs" dxfId="709" priority="710" stopIfTrue="1" operator="between">
      <formula>3000</formula>
      <formula>9000</formula>
    </cfRule>
    <cfRule type="cellIs" dxfId="708" priority="711" stopIfTrue="1" operator="greaterThanOrEqual">
      <formula>9000</formula>
    </cfRule>
  </conditionalFormatting>
  <conditionalFormatting sqref="W74">
    <cfRule type="cellIs" dxfId="707" priority="706" stopIfTrue="1" operator="lessThanOrEqual">
      <formula>3000</formula>
    </cfRule>
    <cfRule type="cellIs" dxfId="706" priority="707" stopIfTrue="1" operator="between">
      <formula>3000</formula>
      <formula>9000</formula>
    </cfRule>
    <cfRule type="cellIs" dxfId="705" priority="708" stopIfTrue="1" operator="greaterThanOrEqual">
      <formula>9000</formula>
    </cfRule>
  </conditionalFormatting>
  <conditionalFormatting sqref="AB110">
    <cfRule type="cellIs" dxfId="704" priority="703" stopIfTrue="1" operator="lessThanOrEqual">
      <formula>3000</formula>
    </cfRule>
    <cfRule type="cellIs" dxfId="703" priority="704" stopIfTrue="1" operator="between">
      <formula>3000</formula>
      <formula>9000</formula>
    </cfRule>
    <cfRule type="cellIs" dxfId="702" priority="705" stopIfTrue="1" operator="greaterThanOrEqual">
      <formula>9000</formula>
    </cfRule>
  </conditionalFormatting>
  <conditionalFormatting sqref="K26:M26">
    <cfRule type="cellIs" dxfId="701" priority="700" stopIfTrue="1" operator="lessThanOrEqual">
      <formula>3000</formula>
    </cfRule>
    <cfRule type="cellIs" dxfId="700" priority="701" stopIfTrue="1" operator="between">
      <formula>3000</formula>
      <formula>9000</formula>
    </cfRule>
    <cfRule type="cellIs" dxfId="699" priority="702" stopIfTrue="1" operator="greaterThanOrEqual">
      <formula>9000</formula>
    </cfRule>
  </conditionalFormatting>
  <conditionalFormatting sqref="J26">
    <cfRule type="cellIs" dxfId="698" priority="697" stopIfTrue="1" operator="lessThanOrEqual">
      <formula>3000</formula>
    </cfRule>
    <cfRule type="cellIs" dxfId="697" priority="698" stopIfTrue="1" operator="between">
      <formula>3000</formula>
      <formula>9000</formula>
    </cfRule>
    <cfRule type="cellIs" dxfId="696" priority="699" stopIfTrue="1" operator="greaterThanOrEqual">
      <formula>9000</formula>
    </cfRule>
  </conditionalFormatting>
  <conditionalFormatting sqref="K20:M20">
    <cfRule type="cellIs" dxfId="695" priority="694" stopIfTrue="1" operator="lessThanOrEqual">
      <formula>3000</formula>
    </cfRule>
    <cfRule type="cellIs" dxfId="694" priority="695" stopIfTrue="1" operator="between">
      <formula>3000</formula>
      <formula>9000</formula>
    </cfRule>
    <cfRule type="cellIs" dxfId="693" priority="696" stopIfTrue="1" operator="greaterThanOrEqual">
      <formula>9000</formula>
    </cfRule>
  </conditionalFormatting>
  <conditionalFormatting sqref="J20">
    <cfRule type="cellIs" dxfId="692" priority="691" stopIfTrue="1" operator="lessThanOrEqual">
      <formula>3000</formula>
    </cfRule>
    <cfRule type="cellIs" dxfId="691" priority="692" stopIfTrue="1" operator="between">
      <formula>3000</formula>
      <formula>9000</formula>
    </cfRule>
    <cfRule type="cellIs" dxfId="690" priority="693" stopIfTrue="1" operator="greaterThanOrEqual">
      <formula>9000</formula>
    </cfRule>
  </conditionalFormatting>
  <conditionalFormatting sqref="K14:M14">
    <cfRule type="cellIs" dxfId="689" priority="688" stopIfTrue="1" operator="lessThanOrEqual">
      <formula>3000</formula>
    </cfRule>
    <cfRule type="cellIs" dxfId="688" priority="689" stopIfTrue="1" operator="between">
      <formula>3000</formula>
      <formula>9000</formula>
    </cfRule>
    <cfRule type="cellIs" dxfId="687" priority="690" stopIfTrue="1" operator="greaterThanOrEqual">
      <formula>9000</formula>
    </cfRule>
  </conditionalFormatting>
  <conditionalFormatting sqref="J14">
    <cfRule type="cellIs" dxfId="686" priority="685" stopIfTrue="1" operator="lessThanOrEqual">
      <formula>3000</formula>
    </cfRule>
    <cfRule type="cellIs" dxfId="685" priority="686" stopIfTrue="1" operator="between">
      <formula>3000</formula>
      <formula>9000</formula>
    </cfRule>
    <cfRule type="cellIs" dxfId="684" priority="687" stopIfTrue="1" operator="greaterThanOrEqual">
      <formula>9000</formula>
    </cfRule>
  </conditionalFormatting>
  <conditionalFormatting sqref="K8:M8">
    <cfRule type="cellIs" dxfId="683" priority="682" stopIfTrue="1" operator="lessThanOrEqual">
      <formula>3000</formula>
    </cfRule>
    <cfRule type="cellIs" dxfId="682" priority="683" stopIfTrue="1" operator="between">
      <formula>3000</formula>
      <formula>9000</formula>
    </cfRule>
    <cfRule type="cellIs" dxfId="681" priority="684" stopIfTrue="1" operator="greaterThanOrEqual">
      <formula>9000</formula>
    </cfRule>
  </conditionalFormatting>
  <conditionalFormatting sqref="J8">
    <cfRule type="cellIs" dxfId="680" priority="679" stopIfTrue="1" operator="lessThanOrEqual">
      <formula>3000</formula>
    </cfRule>
    <cfRule type="cellIs" dxfId="679" priority="680" stopIfTrue="1" operator="between">
      <formula>3000</formula>
      <formula>9000</formula>
    </cfRule>
    <cfRule type="cellIs" dxfId="678" priority="681" stopIfTrue="1" operator="greaterThanOrEqual">
      <formula>9000</formula>
    </cfRule>
  </conditionalFormatting>
  <conditionalFormatting sqref="K32:M32">
    <cfRule type="cellIs" dxfId="677" priority="676" stopIfTrue="1" operator="lessThanOrEqual">
      <formula>3000</formula>
    </cfRule>
    <cfRule type="cellIs" dxfId="676" priority="677" stopIfTrue="1" operator="between">
      <formula>3000</formula>
      <formula>9000</formula>
    </cfRule>
    <cfRule type="cellIs" dxfId="675" priority="678" stopIfTrue="1" operator="greaterThanOrEqual">
      <formula>9000</formula>
    </cfRule>
  </conditionalFormatting>
  <conditionalFormatting sqref="J32">
    <cfRule type="cellIs" dxfId="674" priority="673" stopIfTrue="1" operator="lessThanOrEqual">
      <formula>3000</formula>
    </cfRule>
    <cfRule type="cellIs" dxfId="673" priority="674" stopIfTrue="1" operator="between">
      <formula>3000</formula>
      <formula>9000</formula>
    </cfRule>
    <cfRule type="cellIs" dxfId="672" priority="675" stopIfTrue="1" operator="greaterThanOrEqual">
      <formula>9000</formula>
    </cfRule>
  </conditionalFormatting>
  <conditionalFormatting sqref="K38:M38">
    <cfRule type="cellIs" dxfId="671" priority="670" stopIfTrue="1" operator="lessThanOrEqual">
      <formula>3000</formula>
    </cfRule>
    <cfRule type="cellIs" dxfId="670" priority="671" stopIfTrue="1" operator="between">
      <formula>3000</formula>
      <formula>9000</formula>
    </cfRule>
    <cfRule type="cellIs" dxfId="669" priority="672" stopIfTrue="1" operator="greaterThanOrEqual">
      <formula>9000</formula>
    </cfRule>
  </conditionalFormatting>
  <conditionalFormatting sqref="J38">
    <cfRule type="cellIs" dxfId="668" priority="667" stopIfTrue="1" operator="lessThanOrEqual">
      <formula>3000</formula>
    </cfRule>
    <cfRule type="cellIs" dxfId="667" priority="668" stopIfTrue="1" operator="between">
      <formula>3000</formula>
      <formula>9000</formula>
    </cfRule>
    <cfRule type="cellIs" dxfId="666" priority="669" stopIfTrue="1" operator="greaterThanOrEqual">
      <formula>9000</formula>
    </cfRule>
  </conditionalFormatting>
  <conditionalFormatting sqref="K44:M44">
    <cfRule type="cellIs" dxfId="665" priority="664" stopIfTrue="1" operator="lessThanOrEqual">
      <formula>3000</formula>
    </cfRule>
    <cfRule type="cellIs" dxfId="664" priority="665" stopIfTrue="1" operator="between">
      <formula>3000</formula>
      <formula>9000</formula>
    </cfRule>
    <cfRule type="cellIs" dxfId="663" priority="666" stopIfTrue="1" operator="greaterThanOrEqual">
      <formula>9000</formula>
    </cfRule>
  </conditionalFormatting>
  <conditionalFormatting sqref="J44">
    <cfRule type="cellIs" dxfId="662" priority="661" stopIfTrue="1" operator="lessThanOrEqual">
      <formula>3000</formula>
    </cfRule>
    <cfRule type="cellIs" dxfId="661" priority="662" stopIfTrue="1" operator="between">
      <formula>3000</formula>
      <formula>9000</formula>
    </cfRule>
    <cfRule type="cellIs" dxfId="660" priority="663" stopIfTrue="1" operator="greaterThanOrEqual">
      <formula>9000</formula>
    </cfRule>
  </conditionalFormatting>
  <conditionalFormatting sqref="K50:M50">
    <cfRule type="cellIs" dxfId="659" priority="658" stopIfTrue="1" operator="lessThanOrEqual">
      <formula>3000</formula>
    </cfRule>
    <cfRule type="cellIs" dxfId="658" priority="659" stopIfTrue="1" operator="between">
      <formula>3000</formula>
      <formula>9000</formula>
    </cfRule>
    <cfRule type="cellIs" dxfId="657" priority="660" stopIfTrue="1" operator="greaterThanOrEqual">
      <formula>9000</formula>
    </cfRule>
  </conditionalFormatting>
  <conditionalFormatting sqref="J50">
    <cfRule type="cellIs" dxfId="656" priority="655" stopIfTrue="1" operator="lessThanOrEqual">
      <formula>3000</formula>
    </cfRule>
    <cfRule type="cellIs" dxfId="655" priority="656" stopIfTrue="1" operator="between">
      <formula>3000</formula>
      <formula>9000</formula>
    </cfRule>
    <cfRule type="cellIs" dxfId="654" priority="657" stopIfTrue="1" operator="greaterThanOrEqual">
      <formula>9000</formula>
    </cfRule>
  </conditionalFormatting>
  <conditionalFormatting sqref="K56:M56">
    <cfRule type="cellIs" dxfId="653" priority="652" stopIfTrue="1" operator="lessThanOrEqual">
      <formula>3000</formula>
    </cfRule>
    <cfRule type="cellIs" dxfId="652" priority="653" stopIfTrue="1" operator="between">
      <formula>3000</formula>
      <formula>9000</formula>
    </cfRule>
    <cfRule type="cellIs" dxfId="651" priority="654" stopIfTrue="1" operator="greaterThanOrEqual">
      <formula>9000</formula>
    </cfRule>
  </conditionalFormatting>
  <conditionalFormatting sqref="J56">
    <cfRule type="cellIs" dxfId="650" priority="649" stopIfTrue="1" operator="lessThanOrEqual">
      <formula>3000</formula>
    </cfRule>
    <cfRule type="cellIs" dxfId="649" priority="650" stopIfTrue="1" operator="between">
      <formula>3000</formula>
      <formula>9000</formula>
    </cfRule>
    <cfRule type="cellIs" dxfId="648" priority="651" stopIfTrue="1" operator="greaterThanOrEqual">
      <formula>9000</formula>
    </cfRule>
  </conditionalFormatting>
  <conditionalFormatting sqref="K62:M62">
    <cfRule type="cellIs" dxfId="647" priority="646" stopIfTrue="1" operator="lessThanOrEqual">
      <formula>3000</formula>
    </cfRule>
    <cfRule type="cellIs" dxfId="646" priority="647" stopIfTrue="1" operator="between">
      <formula>3000</formula>
      <formula>9000</formula>
    </cfRule>
    <cfRule type="cellIs" dxfId="645" priority="648" stopIfTrue="1" operator="greaterThanOrEqual">
      <formula>9000</formula>
    </cfRule>
  </conditionalFormatting>
  <conditionalFormatting sqref="J62">
    <cfRule type="cellIs" dxfId="644" priority="643" stopIfTrue="1" operator="lessThanOrEqual">
      <formula>3000</formula>
    </cfRule>
    <cfRule type="cellIs" dxfId="643" priority="644" stopIfTrue="1" operator="between">
      <formula>3000</formula>
      <formula>9000</formula>
    </cfRule>
    <cfRule type="cellIs" dxfId="642" priority="645" stopIfTrue="1" operator="greaterThanOrEqual">
      <formula>9000</formula>
    </cfRule>
  </conditionalFormatting>
  <conditionalFormatting sqref="K68:M68">
    <cfRule type="cellIs" dxfId="641" priority="640" stopIfTrue="1" operator="lessThanOrEqual">
      <formula>3000</formula>
    </cfRule>
    <cfRule type="cellIs" dxfId="640" priority="641" stopIfTrue="1" operator="between">
      <formula>3000</formula>
      <formula>9000</formula>
    </cfRule>
    <cfRule type="cellIs" dxfId="639" priority="642" stopIfTrue="1" operator="greaterThanOrEqual">
      <formula>9000</formula>
    </cfRule>
  </conditionalFormatting>
  <conditionalFormatting sqref="J68">
    <cfRule type="cellIs" dxfId="638" priority="637" stopIfTrue="1" operator="lessThanOrEqual">
      <formula>3000</formula>
    </cfRule>
    <cfRule type="cellIs" dxfId="637" priority="638" stopIfTrue="1" operator="between">
      <formula>3000</formula>
      <formula>9000</formula>
    </cfRule>
    <cfRule type="cellIs" dxfId="636" priority="639" stopIfTrue="1" operator="greaterThanOrEqual">
      <formula>9000</formula>
    </cfRule>
  </conditionalFormatting>
  <conditionalFormatting sqref="K74:M74">
    <cfRule type="cellIs" dxfId="635" priority="634" stopIfTrue="1" operator="lessThanOrEqual">
      <formula>3000</formula>
    </cfRule>
    <cfRule type="cellIs" dxfId="634" priority="635" stopIfTrue="1" operator="between">
      <formula>3000</formula>
      <formula>9000</formula>
    </cfRule>
    <cfRule type="cellIs" dxfId="633" priority="636" stopIfTrue="1" operator="greaterThanOrEqual">
      <formula>9000</formula>
    </cfRule>
  </conditionalFormatting>
  <conditionalFormatting sqref="J74">
    <cfRule type="cellIs" dxfId="632" priority="631" stopIfTrue="1" operator="lessThanOrEqual">
      <formula>3000</formula>
    </cfRule>
    <cfRule type="cellIs" dxfId="631" priority="632" stopIfTrue="1" operator="between">
      <formula>3000</formula>
      <formula>9000</formula>
    </cfRule>
    <cfRule type="cellIs" dxfId="630" priority="633" stopIfTrue="1" operator="greaterThanOrEqual">
      <formula>9000</formula>
    </cfRule>
  </conditionalFormatting>
  <conditionalFormatting sqref="K80:M80">
    <cfRule type="cellIs" dxfId="629" priority="628" stopIfTrue="1" operator="lessThanOrEqual">
      <formula>3000</formula>
    </cfRule>
    <cfRule type="cellIs" dxfId="628" priority="629" stopIfTrue="1" operator="between">
      <formula>3000</formula>
      <formula>9000</formula>
    </cfRule>
    <cfRule type="cellIs" dxfId="627" priority="630" stopIfTrue="1" operator="greaterThanOrEqual">
      <formula>9000</formula>
    </cfRule>
  </conditionalFormatting>
  <conditionalFormatting sqref="J80">
    <cfRule type="cellIs" dxfId="626" priority="625" stopIfTrue="1" operator="lessThanOrEqual">
      <formula>3000</formula>
    </cfRule>
    <cfRule type="cellIs" dxfId="625" priority="626" stopIfTrue="1" operator="between">
      <formula>3000</formula>
      <formula>9000</formula>
    </cfRule>
    <cfRule type="cellIs" dxfId="624" priority="627" stopIfTrue="1" operator="greaterThanOrEqual">
      <formula>9000</formula>
    </cfRule>
  </conditionalFormatting>
  <conditionalFormatting sqref="K86:M86">
    <cfRule type="cellIs" dxfId="623" priority="622" stopIfTrue="1" operator="lessThanOrEqual">
      <formula>3000</formula>
    </cfRule>
    <cfRule type="cellIs" dxfId="622" priority="623" stopIfTrue="1" operator="between">
      <formula>3000</formula>
      <formula>9000</formula>
    </cfRule>
    <cfRule type="cellIs" dxfId="621" priority="624" stopIfTrue="1" operator="greaterThanOrEqual">
      <formula>9000</formula>
    </cfRule>
  </conditionalFormatting>
  <conditionalFormatting sqref="J86">
    <cfRule type="cellIs" dxfId="620" priority="619" stopIfTrue="1" operator="lessThanOrEqual">
      <formula>3000</formula>
    </cfRule>
    <cfRule type="cellIs" dxfId="619" priority="620" stopIfTrue="1" operator="between">
      <formula>3000</formula>
      <formula>9000</formula>
    </cfRule>
    <cfRule type="cellIs" dxfId="618" priority="621" stopIfTrue="1" operator="greaterThanOrEqual">
      <formula>9000</formula>
    </cfRule>
  </conditionalFormatting>
  <conditionalFormatting sqref="K92:M92">
    <cfRule type="cellIs" dxfId="617" priority="616" stopIfTrue="1" operator="lessThanOrEqual">
      <formula>3000</formula>
    </cfRule>
    <cfRule type="cellIs" dxfId="616" priority="617" stopIfTrue="1" operator="between">
      <formula>3000</formula>
      <formula>9000</formula>
    </cfRule>
    <cfRule type="cellIs" dxfId="615" priority="618" stopIfTrue="1" operator="greaterThanOrEqual">
      <formula>9000</formula>
    </cfRule>
  </conditionalFormatting>
  <conditionalFormatting sqref="J92">
    <cfRule type="cellIs" dxfId="614" priority="613" stopIfTrue="1" operator="lessThanOrEqual">
      <formula>3000</formula>
    </cfRule>
    <cfRule type="cellIs" dxfId="613" priority="614" stopIfTrue="1" operator="between">
      <formula>3000</formula>
      <formula>9000</formula>
    </cfRule>
    <cfRule type="cellIs" dxfId="612" priority="615" stopIfTrue="1" operator="greaterThanOrEqual">
      <formula>9000</formula>
    </cfRule>
  </conditionalFormatting>
  <conditionalFormatting sqref="K98:M98">
    <cfRule type="cellIs" dxfId="611" priority="610" stopIfTrue="1" operator="lessThanOrEqual">
      <formula>3000</formula>
    </cfRule>
    <cfRule type="cellIs" dxfId="610" priority="611" stopIfTrue="1" operator="between">
      <formula>3000</formula>
      <formula>9000</formula>
    </cfRule>
    <cfRule type="cellIs" dxfId="609" priority="612" stopIfTrue="1" operator="greaterThanOrEqual">
      <formula>9000</formula>
    </cfRule>
  </conditionalFormatting>
  <conditionalFormatting sqref="J98">
    <cfRule type="cellIs" dxfId="608" priority="607" stopIfTrue="1" operator="lessThanOrEqual">
      <formula>3000</formula>
    </cfRule>
    <cfRule type="cellIs" dxfId="607" priority="608" stopIfTrue="1" operator="between">
      <formula>3000</formula>
      <formula>9000</formula>
    </cfRule>
    <cfRule type="cellIs" dxfId="606" priority="609" stopIfTrue="1" operator="greaterThanOrEqual">
      <formula>9000</formula>
    </cfRule>
  </conditionalFormatting>
  <conditionalFormatting sqref="K104:M104">
    <cfRule type="cellIs" dxfId="605" priority="604" stopIfTrue="1" operator="lessThanOrEqual">
      <formula>3000</formula>
    </cfRule>
    <cfRule type="cellIs" dxfId="604" priority="605" stopIfTrue="1" operator="between">
      <formula>3000</formula>
      <formula>9000</formula>
    </cfRule>
    <cfRule type="cellIs" dxfId="603" priority="606" stopIfTrue="1" operator="greaterThanOrEqual">
      <formula>9000</formula>
    </cfRule>
  </conditionalFormatting>
  <conditionalFormatting sqref="J104">
    <cfRule type="cellIs" dxfId="602" priority="601" stopIfTrue="1" operator="lessThanOrEqual">
      <formula>3000</formula>
    </cfRule>
    <cfRule type="cellIs" dxfId="601" priority="602" stopIfTrue="1" operator="between">
      <formula>3000</formula>
      <formula>9000</formula>
    </cfRule>
    <cfRule type="cellIs" dxfId="600" priority="603" stopIfTrue="1" operator="greaterThanOrEqual">
      <formula>9000</formula>
    </cfRule>
  </conditionalFormatting>
  <conditionalFormatting sqref="K110:M110">
    <cfRule type="cellIs" dxfId="599" priority="598" stopIfTrue="1" operator="lessThanOrEqual">
      <formula>3000</formula>
    </cfRule>
    <cfRule type="cellIs" dxfId="598" priority="599" stopIfTrue="1" operator="between">
      <formula>3000</formula>
      <formula>9000</formula>
    </cfRule>
    <cfRule type="cellIs" dxfId="597" priority="600" stopIfTrue="1" operator="greaterThanOrEqual">
      <formula>9000</formula>
    </cfRule>
  </conditionalFormatting>
  <conditionalFormatting sqref="J110">
    <cfRule type="cellIs" dxfId="596" priority="595" stopIfTrue="1" operator="lessThanOrEqual">
      <formula>3000</formula>
    </cfRule>
    <cfRule type="cellIs" dxfId="595" priority="596" stopIfTrue="1" operator="between">
      <formula>3000</formula>
      <formula>9000</formula>
    </cfRule>
    <cfRule type="cellIs" dxfId="594" priority="597" stopIfTrue="1" operator="greaterThanOrEqual">
      <formula>9000</formula>
    </cfRule>
  </conditionalFormatting>
  <conditionalFormatting sqref="K116:M116">
    <cfRule type="cellIs" dxfId="593" priority="592" stopIfTrue="1" operator="lessThanOrEqual">
      <formula>3000</formula>
    </cfRule>
    <cfRule type="cellIs" dxfId="592" priority="593" stopIfTrue="1" operator="between">
      <formula>3000</formula>
      <formula>9000</formula>
    </cfRule>
    <cfRule type="cellIs" dxfId="591" priority="594" stopIfTrue="1" operator="greaterThanOrEqual">
      <formula>9000</formula>
    </cfRule>
  </conditionalFormatting>
  <conditionalFormatting sqref="J116">
    <cfRule type="cellIs" dxfId="590" priority="589" stopIfTrue="1" operator="lessThanOrEqual">
      <formula>3000</formula>
    </cfRule>
    <cfRule type="cellIs" dxfId="589" priority="590" stopIfTrue="1" operator="between">
      <formula>3000</formula>
      <formula>9000</formula>
    </cfRule>
    <cfRule type="cellIs" dxfId="588" priority="591" stopIfTrue="1" operator="greaterThanOrEqual">
      <formula>9000</formula>
    </cfRule>
  </conditionalFormatting>
  <conditionalFormatting sqref="K122:M122">
    <cfRule type="cellIs" dxfId="587" priority="586" stopIfTrue="1" operator="lessThanOrEqual">
      <formula>3000</formula>
    </cfRule>
    <cfRule type="cellIs" dxfId="586" priority="587" stopIfTrue="1" operator="between">
      <formula>3000</formula>
      <formula>9000</formula>
    </cfRule>
    <cfRule type="cellIs" dxfId="585" priority="588" stopIfTrue="1" operator="greaterThanOrEqual">
      <formula>9000</formula>
    </cfRule>
  </conditionalFormatting>
  <conditionalFormatting sqref="J122">
    <cfRule type="cellIs" dxfId="584" priority="583" stopIfTrue="1" operator="lessThanOrEqual">
      <formula>3000</formula>
    </cfRule>
    <cfRule type="cellIs" dxfId="583" priority="584" stopIfTrue="1" operator="between">
      <formula>3000</formula>
      <formula>9000</formula>
    </cfRule>
    <cfRule type="cellIs" dxfId="582" priority="585" stopIfTrue="1" operator="greaterThanOrEqual">
      <formula>9000</formula>
    </cfRule>
  </conditionalFormatting>
  <conditionalFormatting sqref="K128:M128">
    <cfRule type="cellIs" dxfId="581" priority="580" stopIfTrue="1" operator="lessThanOrEqual">
      <formula>3000</formula>
    </cfRule>
    <cfRule type="cellIs" dxfId="580" priority="581" stopIfTrue="1" operator="between">
      <formula>3000</formula>
      <formula>9000</formula>
    </cfRule>
    <cfRule type="cellIs" dxfId="579" priority="582" stopIfTrue="1" operator="greaterThanOrEqual">
      <formula>9000</formula>
    </cfRule>
  </conditionalFormatting>
  <conditionalFormatting sqref="J128">
    <cfRule type="cellIs" dxfId="578" priority="577" stopIfTrue="1" operator="lessThanOrEqual">
      <formula>3000</formula>
    </cfRule>
    <cfRule type="cellIs" dxfId="577" priority="578" stopIfTrue="1" operator="between">
      <formula>3000</formula>
      <formula>9000</formula>
    </cfRule>
    <cfRule type="cellIs" dxfId="576" priority="579" stopIfTrue="1" operator="greaterThanOrEqual">
      <formula>9000</formula>
    </cfRule>
  </conditionalFormatting>
  <conditionalFormatting sqref="K134:M134">
    <cfRule type="cellIs" dxfId="575" priority="574" stopIfTrue="1" operator="lessThanOrEqual">
      <formula>3000</formula>
    </cfRule>
    <cfRule type="cellIs" dxfId="574" priority="575" stopIfTrue="1" operator="between">
      <formula>3000</formula>
      <formula>9000</formula>
    </cfRule>
    <cfRule type="cellIs" dxfId="573" priority="576" stopIfTrue="1" operator="greaterThanOrEqual">
      <formula>9000</formula>
    </cfRule>
  </conditionalFormatting>
  <conditionalFormatting sqref="J134">
    <cfRule type="cellIs" dxfId="572" priority="571" stopIfTrue="1" operator="lessThanOrEqual">
      <formula>3000</formula>
    </cfRule>
    <cfRule type="cellIs" dxfId="571" priority="572" stopIfTrue="1" operator="between">
      <formula>3000</formula>
      <formula>9000</formula>
    </cfRule>
    <cfRule type="cellIs" dxfId="570" priority="573" stopIfTrue="1" operator="greaterThanOrEqual">
      <formula>9000</formula>
    </cfRule>
  </conditionalFormatting>
  <conditionalFormatting sqref="K140:M140">
    <cfRule type="cellIs" dxfId="569" priority="568" stopIfTrue="1" operator="lessThanOrEqual">
      <formula>3000</formula>
    </cfRule>
    <cfRule type="cellIs" dxfId="568" priority="569" stopIfTrue="1" operator="between">
      <formula>3000</formula>
      <formula>9000</formula>
    </cfRule>
    <cfRule type="cellIs" dxfId="567" priority="570" stopIfTrue="1" operator="greaterThanOrEqual">
      <formula>9000</formula>
    </cfRule>
  </conditionalFormatting>
  <conditionalFormatting sqref="J140">
    <cfRule type="cellIs" dxfId="566" priority="565" stopIfTrue="1" operator="lessThanOrEqual">
      <formula>3000</formula>
    </cfRule>
    <cfRule type="cellIs" dxfId="565" priority="566" stopIfTrue="1" operator="between">
      <formula>3000</formula>
      <formula>9000</formula>
    </cfRule>
    <cfRule type="cellIs" dxfId="564" priority="567" stopIfTrue="1" operator="greaterThanOrEqual">
      <formula>9000</formula>
    </cfRule>
  </conditionalFormatting>
  <conditionalFormatting sqref="K146:M146">
    <cfRule type="cellIs" dxfId="563" priority="562" stopIfTrue="1" operator="lessThanOrEqual">
      <formula>3000</formula>
    </cfRule>
    <cfRule type="cellIs" dxfId="562" priority="563" stopIfTrue="1" operator="between">
      <formula>3000</formula>
      <formula>9000</formula>
    </cfRule>
    <cfRule type="cellIs" dxfId="561" priority="564" stopIfTrue="1" operator="greaterThanOrEqual">
      <formula>9000</formula>
    </cfRule>
  </conditionalFormatting>
  <conditionalFormatting sqref="J146">
    <cfRule type="cellIs" dxfId="560" priority="559" stopIfTrue="1" operator="lessThanOrEqual">
      <formula>3000</formula>
    </cfRule>
    <cfRule type="cellIs" dxfId="559" priority="560" stopIfTrue="1" operator="between">
      <formula>3000</formula>
      <formula>9000</formula>
    </cfRule>
    <cfRule type="cellIs" dxfId="558" priority="561" stopIfTrue="1" operator="greaterThanOrEqual">
      <formula>9000</formula>
    </cfRule>
  </conditionalFormatting>
  <conditionalFormatting sqref="K152:M152">
    <cfRule type="cellIs" dxfId="557" priority="556" stopIfTrue="1" operator="lessThanOrEqual">
      <formula>3000</formula>
    </cfRule>
    <cfRule type="cellIs" dxfId="556" priority="557" stopIfTrue="1" operator="between">
      <formula>3000</formula>
      <formula>9000</formula>
    </cfRule>
    <cfRule type="cellIs" dxfId="555" priority="558" stopIfTrue="1" operator="greaterThanOrEqual">
      <formula>9000</formula>
    </cfRule>
  </conditionalFormatting>
  <conditionalFormatting sqref="J152">
    <cfRule type="cellIs" dxfId="554" priority="553" stopIfTrue="1" operator="lessThanOrEqual">
      <formula>3000</formula>
    </cfRule>
    <cfRule type="cellIs" dxfId="553" priority="554" stopIfTrue="1" operator="between">
      <formula>3000</formula>
      <formula>9000</formula>
    </cfRule>
    <cfRule type="cellIs" dxfId="552" priority="555" stopIfTrue="1" operator="greaterThanOrEqual">
      <formula>9000</formula>
    </cfRule>
  </conditionalFormatting>
  <conditionalFormatting sqref="K158:M158">
    <cfRule type="cellIs" dxfId="551" priority="550" stopIfTrue="1" operator="lessThanOrEqual">
      <formula>3000</formula>
    </cfRule>
    <cfRule type="cellIs" dxfId="550" priority="551" stopIfTrue="1" operator="between">
      <formula>3000</formula>
      <formula>9000</formula>
    </cfRule>
    <cfRule type="cellIs" dxfId="549" priority="552" stopIfTrue="1" operator="greaterThanOrEqual">
      <formula>9000</formula>
    </cfRule>
  </conditionalFormatting>
  <conditionalFormatting sqref="J158">
    <cfRule type="cellIs" dxfId="548" priority="547" stopIfTrue="1" operator="lessThanOrEqual">
      <formula>3000</formula>
    </cfRule>
    <cfRule type="cellIs" dxfId="547" priority="548" stopIfTrue="1" operator="between">
      <formula>3000</formula>
      <formula>9000</formula>
    </cfRule>
    <cfRule type="cellIs" dxfId="546" priority="549" stopIfTrue="1" operator="greaterThanOrEqual">
      <formula>9000</formula>
    </cfRule>
  </conditionalFormatting>
  <conditionalFormatting sqref="K164:M164">
    <cfRule type="cellIs" dxfId="545" priority="544" stopIfTrue="1" operator="lessThanOrEqual">
      <formula>3000</formula>
    </cfRule>
    <cfRule type="cellIs" dxfId="544" priority="545" stopIfTrue="1" operator="between">
      <formula>3000</formula>
      <formula>9000</formula>
    </cfRule>
    <cfRule type="cellIs" dxfId="543" priority="546" stopIfTrue="1" operator="greaterThanOrEqual">
      <formula>9000</formula>
    </cfRule>
  </conditionalFormatting>
  <conditionalFormatting sqref="J164">
    <cfRule type="cellIs" dxfId="542" priority="541" stopIfTrue="1" operator="lessThanOrEqual">
      <formula>3000</formula>
    </cfRule>
    <cfRule type="cellIs" dxfId="541" priority="542" stopIfTrue="1" operator="between">
      <formula>3000</formula>
      <formula>9000</formula>
    </cfRule>
    <cfRule type="cellIs" dxfId="540" priority="543" stopIfTrue="1" operator="greaterThanOrEqual">
      <formula>9000</formula>
    </cfRule>
  </conditionalFormatting>
  <conditionalFormatting sqref="K170:M170">
    <cfRule type="cellIs" dxfId="539" priority="538" stopIfTrue="1" operator="lessThanOrEqual">
      <formula>3000</formula>
    </cfRule>
    <cfRule type="cellIs" dxfId="538" priority="539" stopIfTrue="1" operator="between">
      <formula>3000</formula>
      <formula>9000</formula>
    </cfRule>
    <cfRule type="cellIs" dxfId="537" priority="540" stopIfTrue="1" operator="greaterThanOrEqual">
      <formula>9000</formula>
    </cfRule>
  </conditionalFormatting>
  <conditionalFormatting sqref="J170">
    <cfRule type="cellIs" dxfId="536" priority="535" stopIfTrue="1" operator="lessThanOrEqual">
      <formula>3000</formula>
    </cfRule>
    <cfRule type="cellIs" dxfId="535" priority="536" stopIfTrue="1" operator="between">
      <formula>3000</formula>
      <formula>9000</formula>
    </cfRule>
    <cfRule type="cellIs" dxfId="534" priority="537" stopIfTrue="1" operator="greaterThanOrEqual">
      <formula>9000</formula>
    </cfRule>
  </conditionalFormatting>
  <conditionalFormatting sqref="K176:M176">
    <cfRule type="cellIs" dxfId="533" priority="532" stopIfTrue="1" operator="lessThanOrEqual">
      <formula>3000</formula>
    </cfRule>
    <cfRule type="cellIs" dxfId="532" priority="533" stopIfTrue="1" operator="between">
      <formula>3000</formula>
      <formula>9000</formula>
    </cfRule>
    <cfRule type="cellIs" dxfId="531" priority="534" stopIfTrue="1" operator="greaterThanOrEqual">
      <formula>9000</formula>
    </cfRule>
  </conditionalFormatting>
  <conditionalFormatting sqref="J176">
    <cfRule type="cellIs" dxfId="530" priority="529" stopIfTrue="1" operator="lessThanOrEqual">
      <formula>3000</formula>
    </cfRule>
    <cfRule type="cellIs" dxfId="529" priority="530" stopIfTrue="1" operator="between">
      <formula>3000</formula>
      <formula>9000</formula>
    </cfRule>
    <cfRule type="cellIs" dxfId="528" priority="531" stopIfTrue="1" operator="greaterThanOrEqual">
      <formula>9000</formula>
    </cfRule>
  </conditionalFormatting>
  <conditionalFormatting sqref="K182:M182">
    <cfRule type="cellIs" dxfId="527" priority="526" stopIfTrue="1" operator="lessThanOrEqual">
      <formula>3000</formula>
    </cfRule>
    <cfRule type="cellIs" dxfId="526" priority="527" stopIfTrue="1" operator="between">
      <formula>3000</formula>
      <formula>9000</formula>
    </cfRule>
    <cfRule type="cellIs" dxfId="525" priority="528" stopIfTrue="1" operator="greaterThanOrEqual">
      <formula>9000</formula>
    </cfRule>
  </conditionalFormatting>
  <conditionalFormatting sqref="J182">
    <cfRule type="cellIs" dxfId="524" priority="523" stopIfTrue="1" operator="lessThanOrEqual">
      <formula>3000</formula>
    </cfRule>
    <cfRule type="cellIs" dxfId="523" priority="524" stopIfTrue="1" operator="between">
      <formula>3000</formula>
      <formula>9000</formula>
    </cfRule>
    <cfRule type="cellIs" dxfId="522" priority="525" stopIfTrue="1" operator="greaterThanOrEqual">
      <formula>9000</formula>
    </cfRule>
  </conditionalFormatting>
  <conditionalFormatting sqref="K188:M188">
    <cfRule type="cellIs" dxfId="521" priority="520" stopIfTrue="1" operator="lessThanOrEqual">
      <formula>3000</formula>
    </cfRule>
    <cfRule type="cellIs" dxfId="520" priority="521" stopIfTrue="1" operator="between">
      <formula>3000</formula>
      <formula>9000</formula>
    </cfRule>
    <cfRule type="cellIs" dxfId="519" priority="522" stopIfTrue="1" operator="greaterThanOrEqual">
      <formula>9000</formula>
    </cfRule>
  </conditionalFormatting>
  <conditionalFormatting sqref="J188">
    <cfRule type="cellIs" dxfId="518" priority="517" stopIfTrue="1" operator="lessThanOrEqual">
      <formula>3000</formula>
    </cfRule>
    <cfRule type="cellIs" dxfId="517" priority="518" stopIfTrue="1" operator="between">
      <formula>3000</formula>
      <formula>9000</formula>
    </cfRule>
    <cfRule type="cellIs" dxfId="516" priority="519" stopIfTrue="1" operator="greaterThanOrEqual">
      <formula>9000</formula>
    </cfRule>
  </conditionalFormatting>
  <conditionalFormatting sqref="K194:M194">
    <cfRule type="cellIs" dxfId="515" priority="514" stopIfTrue="1" operator="lessThanOrEqual">
      <formula>3000</formula>
    </cfRule>
    <cfRule type="cellIs" dxfId="514" priority="515" stopIfTrue="1" operator="between">
      <formula>3000</formula>
      <formula>9000</formula>
    </cfRule>
    <cfRule type="cellIs" dxfId="513" priority="516" stopIfTrue="1" operator="greaterThanOrEqual">
      <formula>9000</formula>
    </cfRule>
  </conditionalFormatting>
  <conditionalFormatting sqref="J194">
    <cfRule type="cellIs" dxfId="512" priority="511" stopIfTrue="1" operator="lessThanOrEqual">
      <formula>3000</formula>
    </cfRule>
    <cfRule type="cellIs" dxfId="511" priority="512" stopIfTrue="1" operator="between">
      <formula>3000</formula>
      <formula>9000</formula>
    </cfRule>
    <cfRule type="cellIs" dxfId="510" priority="513" stopIfTrue="1" operator="greaterThanOrEqual">
      <formula>9000</formula>
    </cfRule>
  </conditionalFormatting>
  <conditionalFormatting sqref="K200:M200">
    <cfRule type="cellIs" dxfId="509" priority="508" stopIfTrue="1" operator="lessThanOrEqual">
      <formula>3000</formula>
    </cfRule>
    <cfRule type="cellIs" dxfId="508" priority="509" stopIfTrue="1" operator="between">
      <formula>3000</formula>
      <formula>9000</formula>
    </cfRule>
    <cfRule type="cellIs" dxfId="507" priority="510" stopIfTrue="1" operator="greaterThanOrEqual">
      <formula>9000</formula>
    </cfRule>
  </conditionalFormatting>
  <conditionalFormatting sqref="J200">
    <cfRule type="cellIs" dxfId="506" priority="505" stopIfTrue="1" operator="lessThanOrEqual">
      <formula>3000</formula>
    </cfRule>
    <cfRule type="cellIs" dxfId="505" priority="506" stopIfTrue="1" operator="between">
      <formula>3000</formula>
      <formula>9000</formula>
    </cfRule>
    <cfRule type="cellIs" dxfId="504" priority="507" stopIfTrue="1" operator="greaterThanOrEqual">
      <formula>9000</formula>
    </cfRule>
  </conditionalFormatting>
  <conditionalFormatting sqref="K206:M206">
    <cfRule type="cellIs" dxfId="503" priority="502" stopIfTrue="1" operator="lessThanOrEqual">
      <formula>3000</formula>
    </cfRule>
    <cfRule type="cellIs" dxfId="502" priority="503" stopIfTrue="1" operator="between">
      <formula>3000</formula>
      <formula>9000</formula>
    </cfRule>
    <cfRule type="cellIs" dxfId="501" priority="504" stopIfTrue="1" operator="greaterThanOrEqual">
      <formula>9000</formula>
    </cfRule>
  </conditionalFormatting>
  <conditionalFormatting sqref="J206">
    <cfRule type="cellIs" dxfId="500" priority="499" stopIfTrue="1" operator="lessThanOrEqual">
      <formula>3000</formula>
    </cfRule>
    <cfRule type="cellIs" dxfId="499" priority="500" stopIfTrue="1" operator="between">
      <formula>3000</formula>
      <formula>9000</formula>
    </cfRule>
    <cfRule type="cellIs" dxfId="498" priority="501" stopIfTrue="1" operator="greaterThanOrEqual">
      <formula>9000</formula>
    </cfRule>
  </conditionalFormatting>
  <conditionalFormatting sqref="K212:M212">
    <cfRule type="cellIs" dxfId="497" priority="496" stopIfTrue="1" operator="lessThanOrEqual">
      <formula>3000</formula>
    </cfRule>
    <cfRule type="cellIs" dxfId="496" priority="497" stopIfTrue="1" operator="between">
      <formula>3000</formula>
      <formula>9000</formula>
    </cfRule>
    <cfRule type="cellIs" dxfId="495" priority="498" stopIfTrue="1" operator="greaterThanOrEqual">
      <formula>9000</formula>
    </cfRule>
  </conditionalFormatting>
  <conditionalFormatting sqref="J212">
    <cfRule type="cellIs" dxfId="494" priority="493" stopIfTrue="1" operator="lessThanOrEqual">
      <formula>3000</formula>
    </cfRule>
    <cfRule type="cellIs" dxfId="493" priority="494" stopIfTrue="1" operator="between">
      <formula>3000</formula>
      <formula>9000</formula>
    </cfRule>
    <cfRule type="cellIs" dxfId="492" priority="495" stopIfTrue="1" operator="greaterThanOrEqual">
      <formula>9000</formula>
    </cfRule>
  </conditionalFormatting>
  <conditionalFormatting sqref="K218:M218">
    <cfRule type="cellIs" dxfId="491" priority="490" stopIfTrue="1" operator="lessThanOrEqual">
      <formula>3000</formula>
    </cfRule>
    <cfRule type="cellIs" dxfId="490" priority="491" stopIfTrue="1" operator="between">
      <formula>3000</formula>
      <formula>9000</formula>
    </cfRule>
    <cfRule type="cellIs" dxfId="489" priority="492" stopIfTrue="1" operator="greaterThanOrEqual">
      <formula>9000</formula>
    </cfRule>
  </conditionalFormatting>
  <conditionalFormatting sqref="J218">
    <cfRule type="cellIs" dxfId="488" priority="487" stopIfTrue="1" operator="lessThanOrEqual">
      <formula>3000</formula>
    </cfRule>
    <cfRule type="cellIs" dxfId="487" priority="488" stopIfTrue="1" operator="between">
      <formula>3000</formula>
      <formula>9000</formula>
    </cfRule>
    <cfRule type="cellIs" dxfId="486" priority="489" stopIfTrue="1" operator="greaterThanOrEqual">
      <formula>9000</formula>
    </cfRule>
  </conditionalFormatting>
  <conditionalFormatting sqref="K224:M224">
    <cfRule type="cellIs" dxfId="485" priority="484" stopIfTrue="1" operator="lessThanOrEqual">
      <formula>3000</formula>
    </cfRule>
    <cfRule type="cellIs" dxfId="484" priority="485" stopIfTrue="1" operator="between">
      <formula>3000</formula>
      <formula>9000</formula>
    </cfRule>
    <cfRule type="cellIs" dxfId="483" priority="486" stopIfTrue="1" operator="greaterThanOrEqual">
      <formula>9000</formula>
    </cfRule>
  </conditionalFormatting>
  <conditionalFormatting sqref="J224">
    <cfRule type="cellIs" dxfId="482" priority="481" stopIfTrue="1" operator="lessThanOrEqual">
      <formula>3000</formula>
    </cfRule>
    <cfRule type="cellIs" dxfId="481" priority="482" stopIfTrue="1" operator="between">
      <formula>3000</formula>
      <formula>9000</formula>
    </cfRule>
    <cfRule type="cellIs" dxfId="480" priority="483" stopIfTrue="1" operator="greaterThanOrEqual">
      <formula>9000</formula>
    </cfRule>
  </conditionalFormatting>
  <conditionalFormatting sqref="K230:M230">
    <cfRule type="cellIs" dxfId="479" priority="478" stopIfTrue="1" operator="lessThanOrEqual">
      <formula>3000</formula>
    </cfRule>
    <cfRule type="cellIs" dxfId="478" priority="479" stopIfTrue="1" operator="between">
      <formula>3000</formula>
      <formula>9000</formula>
    </cfRule>
    <cfRule type="cellIs" dxfId="477" priority="480" stopIfTrue="1" operator="greaterThanOrEqual">
      <formula>9000</formula>
    </cfRule>
  </conditionalFormatting>
  <conditionalFormatting sqref="J230">
    <cfRule type="cellIs" dxfId="476" priority="475" stopIfTrue="1" operator="lessThanOrEqual">
      <formula>3000</formula>
    </cfRule>
    <cfRule type="cellIs" dxfId="475" priority="476" stopIfTrue="1" operator="between">
      <formula>3000</formula>
      <formula>9000</formula>
    </cfRule>
    <cfRule type="cellIs" dxfId="474" priority="477" stopIfTrue="1" operator="greaterThanOrEqual">
      <formula>9000</formula>
    </cfRule>
  </conditionalFormatting>
  <conditionalFormatting sqref="K236:M236">
    <cfRule type="cellIs" dxfId="473" priority="472" stopIfTrue="1" operator="lessThanOrEqual">
      <formula>3000</formula>
    </cfRule>
    <cfRule type="cellIs" dxfId="472" priority="473" stopIfTrue="1" operator="between">
      <formula>3000</formula>
      <formula>9000</formula>
    </cfRule>
    <cfRule type="cellIs" dxfId="471" priority="474" stopIfTrue="1" operator="greaterThanOrEqual">
      <formula>9000</formula>
    </cfRule>
  </conditionalFormatting>
  <conditionalFormatting sqref="J236">
    <cfRule type="cellIs" dxfId="470" priority="469" stopIfTrue="1" operator="lessThanOrEqual">
      <formula>3000</formula>
    </cfRule>
    <cfRule type="cellIs" dxfId="469" priority="470" stopIfTrue="1" operator="between">
      <formula>3000</formula>
      <formula>9000</formula>
    </cfRule>
    <cfRule type="cellIs" dxfId="468" priority="471" stopIfTrue="1" operator="greaterThanOrEqual">
      <formula>9000</formula>
    </cfRule>
  </conditionalFormatting>
  <conditionalFormatting sqref="K242:M242">
    <cfRule type="cellIs" dxfId="467" priority="466" stopIfTrue="1" operator="lessThanOrEqual">
      <formula>3000</formula>
    </cfRule>
    <cfRule type="cellIs" dxfId="466" priority="467" stopIfTrue="1" operator="between">
      <formula>3000</formula>
      <formula>9000</formula>
    </cfRule>
    <cfRule type="cellIs" dxfId="465" priority="468" stopIfTrue="1" operator="greaterThanOrEqual">
      <formula>9000</formula>
    </cfRule>
  </conditionalFormatting>
  <conditionalFormatting sqref="J242">
    <cfRule type="cellIs" dxfId="464" priority="463" stopIfTrue="1" operator="lessThanOrEqual">
      <formula>3000</formula>
    </cfRule>
    <cfRule type="cellIs" dxfId="463" priority="464" stopIfTrue="1" operator="between">
      <formula>3000</formula>
      <formula>9000</formula>
    </cfRule>
    <cfRule type="cellIs" dxfId="462" priority="465" stopIfTrue="1" operator="greaterThanOrEqual">
      <formula>9000</formula>
    </cfRule>
  </conditionalFormatting>
  <conditionalFormatting sqref="K248:M248">
    <cfRule type="cellIs" dxfId="461" priority="460" stopIfTrue="1" operator="lessThanOrEqual">
      <formula>3000</formula>
    </cfRule>
    <cfRule type="cellIs" dxfId="460" priority="461" stopIfTrue="1" operator="between">
      <formula>3000</formula>
      <formula>9000</formula>
    </cfRule>
    <cfRule type="cellIs" dxfId="459" priority="462" stopIfTrue="1" operator="greaterThanOrEqual">
      <formula>9000</formula>
    </cfRule>
  </conditionalFormatting>
  <conditionalFormatting sqref="J248">
    <cfRule type="cellIs" dxfId="458" priority="457" stopIfTrue="1" operator="lessThanOrEqual">
      <formula>3000</formula>
    </cfRule>
    <cfRule type="cellIs" dxfId="457" priority="458" stopIfTrue="1" operator="between">
      <formula>3000</formula>
      <formula>9000</formula>
    </cfRule>
    <cfRule type="cellIs" dxfId="456" priority="459" stopIfTrue="1" operator="greaterThanOrEqual">
      <formula>9000</formula>
    </cfRule>
  </conditionalFormatting>
  <conditionalFormatting sqref="K254:M254">
    <cfRule type="cellIs" dxfId="455" priority="454" stopIfTrue="1" operator="lessThanOrEqual">
      <formula>3000</formula>
    </cfRule>
    <cfRule type="cellIs" dxfId="454" priority="455" stopIfTrue="1" operator="between">
      <formula>3000</formula>
      <formula>9000</formula>
    </cfRule>
    <cfRule type="cellIs" dxfId="453" priority="456" stopIfTrue="1" operator="greaterThanOrEqual">
      <formula>9000</formula>
    </cfRule>
  </conditionalFormatting>
  <conditionalFormatting sqref="J254">
    <cfRule type="cellIs" dxfId="452" priority="451" stopIfTrue="1" operator="lessThanOrEqual">
      <formula>3000</formula>
    </cfRule>
    <cfRule type="cellIs" dxfId="451" priority="452" stopIfTrue="1" operator="between">
      <formula>3000</formula>
      <formula>9000</formula>
    </cfRule>
    <cfRule type="cellIs" dxfId="450" priority="453" stopIfTrue="1" operator="greaterThanOrEqual">
      <formula>9000</formula>
    </cfRule>
  </conditionalFormatting>
  <conditionalFormatting sqref="K260:M260">
    <cfRule type="cellIs" dxfId="449" priority="448" stopIfTrue="1" operator="lessThanOrEqual">
      <formula>3000</formula>
    </cfRule>
    <cfRule type="cellIs" dxfId="448" priority="449" stopIfTrue="1" operator="between">
      <formula>3000</formula>
      <formula>9000</formula>
    </cfRule>
    <cfRule type="cellIs" dxfId="447" priority="450" stopIfTrue="1" operator="greaterThanOrEqual">
      <formula>9000</formula>
    </cfRule>
  </conditionalFormatting>
  <conditionalFormatting sqref="J260">
    <cfRule type="cellIs" dxfId="446" priority="445" stopIfTrue="1" operator="lessThanOrEqual">
      <formula>3000</formula>
    </cfRule>
    <cfRule type="cellIs" dxfId="445" priority="446" stopIfTrue="1" operator="between">
      <formula>3000</formula>
      <formula>9000</formula>
    </cfRule>
    <cfRule type="cellIs" dxfId="444" priority="447" stopIfTrue="1" operator="greaterThanOrEqual">
      <formula>9000</formula>
    </cfRule>
  </conditionalFormatting>
  <conditionalFormatting sqref="AA104 AC104:AD104">
    <cfRule type="cellIs" dxfId="443" priority="442" stopIfTrue="1" operator="lessThanOrEqual">
      <formula>3000</formula>
    </cfRule>
    <cfRule type="cellIs" dxfId="442" priority="443" stopIfTrue="1" operator="between">
      <formula>3000</formula>
      <formula>9000</formula>
    </cfRule>
    <cfRule type="cellIs" dxfId="441" priority="444" stopIfTrue="1" operator="greaterThanOrEqual">
      <formula>9000</formula>
    </cfRule>
  </conditionalFormatting>
  <conditionalFormatting sqref="AB104">
    <cfRule type="cellIs" dxfId="440" priority="439" stopIfTrue="1" operator="lessThanOrEqual">
      <formula>3000</formula>
    </cfRule>
    <cfRule type="cellIs" dxfId="439" priority="440" stopIfTrue="1" operator="between">
      <formula>3000</formula>
      <formula>9000</formula>
    </cfRule>
    <cfRule type="cellIs" dxfId="438" priority="441" stopIfTrue="1" operator="greaterThanOrEqual">
      <formula>9000</formula>
    </cfRule>
  </conditionalFormatting>
  <conditionalFormatting sqref="AA98 AC98:AD98">
    <cfRule type="cellIs" dxfId="437" priority="436" stopIfTrue="1" operator="lessThanOrEqual">
      <formula>3000</formula>
    </cfRule>
    <cfRule type="cellIs" dxfId="436" priority="437" stopIfTrue="1" operator="between">
      <formula>3000</formula>
      <formula>9000</formula>
    </cfRule>
    <cfRule type="cellIs" dxfId="435" priority="438" stopIfTrue="1" operator="greaterThanOrEqual">
      <formula>9000</formula>
    </cfRule>
  </conditionalFormatting>
  <conditionalFormatting sqref="AB98">
    <cfRule type="cellIs" dxfId="434" priority="433" stopIfTrue="1" operator="lessThanOrEqual">
      <formula>3000</formula>
    </cfRule>
    <cfRule type="cellIs" dxfId="433" priority="434" stopIfTrue="1" operator="between">
      <formula>3000</formula>
      <formula>9000</formula>
    </cfRule>
    <cfRule type="cellIs" dxfId="432" priority="435" stopIfTrue="1" operator="greaterThanOrEqual">
      <formula>9000</formula>
    </cfRule>
  </conditionalFormatting>
  <conditionalFormatting sqref="AA92 AC92:AD92">
    <cfRule type="cellIs" dxfId="431" priority="430" stopIfTrue="1" operator="lessThanOrEqual">
      <formula>3000</formula>
    </cfRule>
    <cfRule type="cellIs" dxfId="430" priority="431" stopIfTrue="1" operator="between">
      <formula>3000</formula>
      <formula>9000</formula>
    </cfRule>
    <cfRule type="cellIs" dxfId="429" priority="432" stopIfTrue="1" operator="greaterThanOrEqual">
      <formula>9000</formula>
    </cfRule>
  </conditionalFormatting>
  <conditionalFormatting sqref="AB92">
    <cfRule type="cellIs" dxfId="428" priority="427" stopIfTrue="1" operator="lessThanOrEqual">
      <formula>3000</formula>
    </cfRule>
    <cfRule type="cellIs" dxfId="427" priority="428" stopIfTrue="1" operator="between">
      <formula>3000</formula>
      <formula>9000</formula>
    </cfRule>
    <cfRule type="cellIs" dxfId="426" priority="429" stopIfTrue="1" operator="greaterThanOrEqual">
      <formula>9000</formula>
    </cfRule>
  </conditionalFormatting>
  <conditionalFormatting sqref="AA86 AC86:AD86">
    <cfRule type="cellIs" dxfId="425" priority="424" stopIfTrue="1" operator="lessThanOrEqual">
      <formula>3000</formula>
    </cfRule>
    <cfRule type="cellIs" dxfId="424" priority="425" stopIfTrue="1" operator="between">
      <formula>3000</formula>
      <formula>9000</formula>
    </cfRule>
    <cfRule type="cellIs" dxfId="423" priority="426" stopIfTrue="1" operator="greaterThanOrEqual">
      <formula>9000</formula>
    </cfRule>
  </conditionalFormatting>
  <conditionalFormatting sqref="AB86">
    <cfRule type="cellIs" dxfId="422" priority="421" stopIfTrue="1" operator="lessThanOrEqual">
      <formula>3000</formula>
    </cfRule>
    <cfRule type="cellIs" dxfId="421" priority="422" stopIfTrue="1" operator="between">
      <formula>3000</formula>
      <formula>9000</formula>
    </cfRule>
    <cfRule type="cellIs" dxfId="420" priority="423" stopIfTrue="1" operator="greaterThanOrEqual">
      <formula>9000</formula>
    </cfRule>
  </conditionalFormatting>
  <conditionalFormatting sqref="AA80 AC80:AD80">
    <cfRule type="cellIs" dxfId="419" priority="418" stopIfTrue="1" operator="lessThanOrEqual">
      <formula>3000</formula>
    </cfRule>
    <cfRule type="cellIs" dxfId="418" priority="419" stopIfTrue="1" operator="between">
      <formula>3000</formula>
      <formula>9000</formula>
    </cfRule>
    <cfRule type="cellIs" dxfId="417" priority="420" stopIfTrue="1" operator="greaterThanOrEqual">
      <formula>9000</formula>
    </cfRule>
  </conditionalFormatting>
  <conditionalFormatting sqref="AB80">
    <cfRule type="cellIs" dxfId="416" priority="415" stopIfTrue="1" operator="lessThanOrEqual">
      <formula>3000</formula>
    </cfRule>
    <cfRule type="cellIs" dxfId="415" priority="416" stopIfTrue="1" operator="between">
      <formula>3000</formula>
      <formula>9000</formula>
    </cfRule>
    <cfRule type="cellIs" dxfId="414" priority="417" stopIfTrue="1" operator="greaterThanOrEqual">
      <formula>9000</formula>
    </cfRule>
  </conditionalFormatting>
  <conditionalFormatting sqref="AA74 AC74:AD74">
    <cfRule type="cellIs" dxfId="413" priority="412" stopIfTrue="1" operator="lessThanOrEqual">
      <formula>3000</formula>
    </cfRule>
    <cfRule type="cellIs" dxfId="412" priority="413" stopIfTrue="1" operator="between">
      <formula>3000</formula>
      <formula>9000</formula>
    </cfRule>
    <cfRule type="cellIs" dxfId="411" priority="414" stopIfTrue="1" operator="greaterThanOrEqual">
      <formula>9000</formula>
    </cfRule>
  </conditionalFormatting>
  <conditionalFormatting sqref="AB74">
    <cfRule type="cellIs" dxfId="410" priority="409" stopIfTrue="1" operator="lessThanOrEqual">
      <formula>3000</formula>
    </cfRule>
    <cfRule type="cellIs" dxfId="409" priority="410" stopIfTrue="1" operator="between">
      <formula>3000</formula>
      <formula>9000</formula>
    </cfRule>
    <cfRule type="cellIs" dxfId="408" priority="411" stopIfTrue="1" operator="greaterThanOrEqual">
      <formula>9000</formula>
    </cfRule>
  </conditionalFormatting>
  <conditionalFormatting sqref="AA68 AC68:AD68">
    <cfRule type="cellIs" dxfId="407" priority="406" stopIfTrue="1" operator="lessThanOrEqual">
      <formula>3000</formula>
    </cfRule>
    <cfRule type="cellIs" dxfId="406" priority="407" stopIfTrue="1" operator="between">
      <formula>3000</formula>
      <formula>9000</formula>
    </cfRule>
    <cfRule type="cellIs" dxfId="405" priority="408" stopIfTrue="1" operator="greaterThanOrEqual">
      <formula>9000</formula>
    </cfRule>
  </conditionalFormatting>
  <conditionalFormatting sqref="AB68">
    <cfRule type="cellIs" dxfId="404" priority="403" stopIfTrue="1" operator="lessThanOrEqual">
      <formula>3000</formula>
    </cfRule>
    <cfRule type="cellIs" dxfId="403" priority="404" stopIfTrue="1" operator="between">
      <formula>3000</formula>
      <formula>9000</formula>
    </cfRule>
    <cfRule type="cellIs" dxfId="402" priority="405" stopIfTrue="1" operator="greaterThanOrEqual">
      <formula>9000</formula>
    </cfRule>
  </conditionalFormatting>
  <conditionalFormatting sqref="AA62 AC62:AD62">
    <cfRule type="cellIs" dxfId="401" priority="400" stopIfTrue="1" operator="lessThanOrEqual">
      <formula>3000</formula>
    </cfRule>
    <cfRule type="cellIs" dxfId="400" priority="401" stopIfTrue="1" operator="between">
      <formula>3000</formula>
      <formula>9000</formula>
    </cfRule>
    <cfRule type="cellIs" dxfId="399" priority="402" stopIfTrue="1" operator="greaterThanOrEqual">
      <formula>9000</formula>
    </cfRule>
  </conditionalFormatting>
  <conditionalFormatting sqref="AB62">
    <cfRule type="cellIs" dxfId="398" priority="397" stopIfTrue="1" operator="lessThanOrEqual">
      <formula>3000</formula>
    </cfRule>
    <cfRule type="cellIs" dxfId="397" priority="398" stopIfTrue="1" operator="between">
      <formula>3000</formula>
      <formula>9000</formula>
    </cfRule>
    <cfRule type="cellIs" dxfId="396" priority="399" stopIfTrue="1" operator="greaterThanOrEqual">
      <formula>9000</formula>
    </cfRule>
  </conditionalFormatting>
  <conditionalFormatting sqref="AA56 AC56:AD56">
    <cfRule type="cellIs" dxfId="395" priority="394" stopIfTrue="1" operator="lessThanOrEqual">
      <formula>3000</formula>
    </cfRule>
    <cfRule type="cellIs" dxfId="394" priority="395" stopIfTrue="1" operator="between">
      <formula>3000</formula>
      <formula>9000</formula>
    </cfRule>
    <cfRule type="cellIs" dxfId="393" priority="396" stopIfTrue="1" operator="greaterThanOrEqual">
      <formula>9000</formula>
    </cfRule>
  </conditionalFormatting>
  <conditionalFormatting sqref="AB56">
    <cfRule type="cellIs" dxfId="392" priority="391" stopIfTrue="1" operator="lessThanOrEqual">
      <formula>3000</formula>
    </cfRule>
    <cfRule type="cellIs" dxfId="391" priority="392" stopIfTrue="1" operator="between">
      <formula>3000</formula>
      <formula>9000</formula>
    </cfRule>
    <cfRule type="cellIs" dxfId="390" priority="393" stopIfTrue="1" operator="greaterThanOrEqual">
      <formula>9000</formula>
    </cfRule>
  </conditionalFormatting>
  <conditionalFormatting sqref="AA50 AC50:AD50">
    <cfRule type="cellIs" dxfId="389" priority="388" stopIfTrue="1" operator="lessThanOrEqual">
      <formula>3000</formula>
    </cfRule>
    <cfRule type="cellIs" dxfId="388" priority="389" stopIfTrue="1" operator="between">
      <formula>3000</formula>
      <formula>9000</formula>
    </cfRule>
    <cfRule type="cellIs" dxfId="387" priority="390" stopIfTrue="1" operator="greaterThanOrEqual">
      <formula>9000</formula>
    </cfRule>
  </conditionalFormatting>
  <conditionalFormatting sqref="AB50">
    <cfRule type="cellIs" dxfId="386" priority="385" stopIfTrue="1" operator="lessThanOrEqual">
      <formula>3000</formula>
    </cfRule>
    <cfRule type="cellIs" dxfId="385" priority="386" stopIfTrue="1" operator="between">
      <formula>3000</formula>
      <formula>9000</formula>
    </cfRule>
    <cfRule type="cellIs" dxfId="384" priority="387" stopIfTrue="1" operator="greaterThanOrEqual">
      <formula>9000</formula>
    </cfRule>
  </conditionalFormatting>
  <conditionalFormatting sqref="AA44 AC44:AD44">
    <cfRule type="cellIs" dxfId="383" priority="382" stopIfTrue="1" operator="lessThanOrEqual">
      <formula>3000</formula>
    </cfRule>
    <cfRule type="cellIs" dxfId="382" priority="383" stopIfTrue="1" operator="between">
      <formula>3000</formula>
      <formula>9000</formula>
    </cfRule>
    <cfRule type="cellIs" dxfId="381" priority="384" stopIfTrue="1" operator="greaterThanOrEqual">
      <formula>9000</formula>
    </cfRule>
  </conditionalFormatting>
  <conditionalFormatting sqref="AB44">
    <cfRule type="cellIs" dxfId="380" priority="379" stopIfTrue="1" operator="lessThanOrEqual">
      <formula>3000</formula>
    </cfRule>
    <cfRule type="cellIs" dxfId="379" priority="380" stopIfTrue="1" operator="between">
      <formula>3000</formula>
      <formula>9000</formula>
    </cfRule>
    <cfRule type="cellIs" dxfId="378" priority="381" stopIfTrue="1" operator="greaterThanOrEqual">
      <formula>9000</formula>
    </cfRule>
  </conditionalFormatting>
  <conditionalFormatting sqref="AA38 AC38:AD38">
    <cfRule type="cellIs" dxfId="377" priority="376" stopIfTrue="1" operator="lessThanOrEqual">
      <formula>3000</formula>
    </cfRule>
    <cfRule type="cellIs" dxfId="376" priority="377" stopIfTrue="1" operator="between">
      <formula>3000</formula>
      <formula>9000</formula>
    </cfRule>
    <cfRule type="cellIs" dxfId="375" priority="378" stopIfTrue="1" operator="greaterThanOrEqual">
      <formula>9000</formula>
    </cfRule>
  </conditionalFormatting>
  <conditionalFormatting sqref="AB38">
    <cfRule type="cellIs" dxfId="374" priority="373" stopIfTrue="1" operator="lessThanOrEqual">
      <formula>3000</formula>
    </cfRule>
    <cfRule type="cellIs" dxfId="373" priority="374" stopIfTrue="1" operator="between">
      <formula>3000</formula>
      <formula>9000</formula>
    </cfRule>
    <cfRule type="cellIs" dxfId="372" priority="375" stopIfTrue="1" operator="greaterThanOrEqual">
      <formula>9000</formula>
    </cfRule>
  </conditionalFormatting>
  <conditionalFormatting sqref="AA32 AC32:AD32">
    <cfRule type="cellIs" dxfId="371" priority="370" stopIfTrue="1" operator="lessThanOrEqual">
      <formula>3000</formula>
    </cfRule>
    <cfRule type="cellIs" dxfId="370" priority="371" stopIfTrue="1" operator="between">
      <formula>3000</formula>
      <formula>9000</formula>
    </cfRule>
    <cfRule type="cellIs" dxfId="369" priority="372" stopIfTrue="1" operator="greaterThanOrEqual">
      <formula>9000</formula>
    </cfRule>
  </conditionalFormatting>
  <conditionalFormatting sqref="AB32">
    <cfRule type="cellIs" dxfId="368" priority="367" stopIfTrue="1" operator="lessThanOrEqual">
      <formula>3000</formula>
    </cfRule>
    <cfRule type="cellIs" dxfId="367" priority="368" stopIfTrue="1" operator="between">
      <formula>3000</formula>
      <formula>9000</formula>
    </cfRule>
    <cfRule type="cellIs" dxfId="366" priority="369" stopIfTrue="1" operator="greaterThanOrEqual">
      <formula>9000</formula>
    </cfRule>
  </conditionalFormatting>
  <conditionalFormatting sqref="AA26 AC26:AD26">
    <cfRule type="cellIs" dxfId="365" priority="364" stopIfTrue="1" operator="lessThanOrEqual">
      <formula>3000</formula>
    </cfRule>
    <cfRule type="cellIs" dxfId="364" priority="365" stopIfTrue="1" operator="between">
      <formula>3000</formula>
      <formula>9000</formula>
    </cfRule>
    <cfRule type="cellIs" dxfId="363" priority="366" stopIfTrue="1" operator="greaterThanOrEqual">
      <formula>9000</formula>
    </cfRule>
  </conditionalFormatting>
  <conditionalFormatting sqref="AB26">
    <cfRule type="cellIs" dxfId="362" priority="361" stopIfTrue="1" operator="lessThanOrEqual">
      <formula>3000</formula>
    </cfRule>
    <cfRule type="cellIs" dxfId="361" priority="362" stopIfTrue="1" operator="between">
      <formula>3000</formula>
      <formula>9000</formula>
    </cfRule>
    <cfRule type="cellIs" dxfId="360" priority="363" stopIfTrue="1" operator="greaterThanOrEqual">
      <formula>9000</formula>
    </cfRule>
  </conditionalFormatting>
  <conditionalFormatting sqref="AA20 AC20:AD20">
    <cfRule type="cellIs" dxfId="359" priority="358" stopIfTrue="1" operator="lessThanOrEqual">
      <formula>3000</formula>
    </cfRule>
    <cfRule type="cellIs" dxfId="358" priority="359" stopIfTrue="1" operator="between">
      <formula>3000</formula>
      <formula>9000</formula>
    </cfRule>
    <cfRule type="cellIs" dxfId="357" priority="360" stopIfTrue="1" operator="greaterThanOrEqual">
      <formula>9000</formula>
    </cfRule>
  </conditionalFormatting>
  <conditionalFormatting sqref="AB20">
    <cfRule type="cellIs" dxfId="356" priority="355" stopIfTrue="1" operator="lessThanOrEqual">
      <formula>3000</formula>
    </cfRule>
    <cfRule type="cellIs" dxfId="355" priority="356" stopIfTrue="1" operator="between">
      <formula>3000</formula>
      <formula>9000</formula>
    </cfRule>
    <cfRule type="cellIs" dxfId="354" priority="357" stopIfTrue="1" operator="greaterThanOrEqual">
      <formula>9000</formula>
    </cfRule>
  </conditionalFormatting>
  <conditionalFormatting sqref="AA14 AC14:AD14">
    <cfRule type="cellIs" dxfId="353" priority="352" stopIfTrue="1" operator="lessThanOrEqual">
      <formula>3000</formula>
    </cfRule>
    <cfRule type="cellIs" dxfId="352" priority="353" stopIfTrue="1" operator="between">
      <formula>3000</formula>
      <formula>9000</formula>
    </cfRule>
    <cfRule type="cellIs" dxfId="351" priority="354" stopIfTrue="1" operator="greaterThanOrEqual">
      <formula>9000</formula>
    </cfRule>
  </conditionalFormatting>
  <conditionalFormatting sqref="AB14">
    <cfRule type="cellIs" dxfId="350" priority="349" stopIfTrue="1" operator="lessThanOrEqual">
      <formula>3000</formula>
    </cfRule>
    <cfRule type="cellIs" dxfId="349" priority="350" stopIfTrue="1" operator="between">
      <formula>3000</formula>
      <formula>9000</formula>
    </cfRule>
    <cfRule type="cellIs" dxfId="348" priority="351" stopIfTrue="1" operator="greaterThanOrEqual">
      <formula>9000</formula>
    </cfRule>
  </conditionalFormatting>
  <conditionalFormatting sqref="AA8 AC8:AD8">
    <cfRule type="cellIs" dxfId="347" priority="346" stopIfTrue="1" operator="lessThanOrEqual">
      <formula>3000</formula>
    </cfRule>
    <cfRule type="cellIs" dxfId="346" priority="347" stopIfTrue="1" operator="between">
      <formula>3000</formula>
      <formula>9000</formula>
    </cfRule>
    <cfRule type="cellIs" dxfId="345" priority="348" stopIfTrue="1" operator="greaterThanOrEqual">
      <formula>9000</formula>
    </cfRule>
  </conditionalFormatting>
  <conditionalFormatting sqref="AB8">
    <cfRule type="cellIs" dxfId="344" priority="343" stopIfTrue="1" operator="lessThanOrEqual">
      <formula>3000</formula>
    </cfRule>
    <cfRule type="cellIs" dxfId="343" priority="344" stopIfTrue="1" operator="between">
      <formula>3000</formula>
      <formula>9000</formula>
    </cfRule>
    <cfRule type="cellIs" dxfId="342" priority="345" stopIfTrue="1" operator="greaterThanOrEqual">
      <formula>9000</formula>
    </cfRule>
  </conditionalFormatting>
  <conditionalFormatting sqref="AA116 AC116:AD116">
    <cfRule type="cellIs" dxfId="341" priority="340" stopIfTrue="1" operator="lessThanOrEqual">
      <formula>3000</formula>
    </cfRule>
    <cfRule type="cellIs" dxfId="340" priority="341" stopIfTrue="1" operator="between">
      <formula>3000</formula>
      <formula>9000</formula>
    </cfRule>
    <cfRule type="cellIs" dxfId="339" priority="342" stopIfTrue="1" operator="greaterThanOrEqual">
      <formula>9000</formula>
    </cfRule>
  </conditionalFormatting>
  <conditionalFormatting sqref="AB116">
    <cfRule type="cellIs" dxfId="338" priority="337" stopIfTrue="1" operator="lessThanOrEqual">
      <formula>3000</formula>
    </cfRule>
    <cfRule type="cellIs" dxfId="337" priority="338" stopIfTrue="1" operator="between">
      <formula>3000</formula>
      <formula>9000</formula>
    </cfRule>
    <cfRule type="cellIs" dxfId="336" priority="339" stopIfTrue="1" operator="greaterThanOrEqual">
      <formula>9000</formula>
    </cfRule>
  </conditionalFormatting>
  <conditionalFormatting sqref="AA122 AC122:AD122">
    <cfRule type="cellIs" dxfId="335" priority="334" stopIfTrue="1" operator="lessThanOrEqual">
      <formula>3000</formula>
    </cfRule>
    <cfRule type="cellIs" dxfId="334" priority="335" stopIfTrue="1" operator="between">
      <formula>3000</formula>
      <formula>9000</formula>
    </cfRule>
    <cfRule type="cellIs" dxfId="333" priority="336" stopIfTrue="1" operator="greaterThanOrEqual">
      <formula>9000</formula>
    </cfRule>
  </conditionalFormatting>
  <conditionalFormatting sqref="AB122">
    <cfRule type="cellIs" dxfId="332" priority="331" stopIfTrue="1" operator="lessThanOrEqual">
      <formula>3000</formula>
    </cfRule>
    <cfRule type="cellIs" dxfId="331" priority="332" stopIfTrue="1" operator="between">
      <formula>3000</formula>
      <formula>9000</formula>
    </cfRule>
    <cfRule type="cellIs" dxfId="330" priority="333" stopIfTrue="1" operator="greaterThanOrEqual">
      <formula>9000</formula>
    </cfRule>
  </conditionalFormatting>
  <conditionalFormatting sqref="AA128 AC128:AD128">
    <cfRule type="cellIs" dxfId="329" priority="328" stopIfTrue="1" operator="lessThanOrEqual">
      <formula>3000</formula>
    </cfRule>
    <cfRule type="cellIs" dxfId="328" priority="329" stopIfTrue="1" operator="between">
      <formula>3000</formula>
      <formula>9000</formula>
    </cfRule>
    <cfRule type="cellIs" dxfId="327" priority="330" stopIfTrue="1" operator="greaterThanOrEqual">
      <formula>9000</formula>
    </cfRule>
  </conditionalFormatting>
  <conditionalFormatting sqref="AB128">
    <cfRule type="cellIs" dxfId="326" priority="325" stopIfTrue="1" operator="lessThanOrEqual">
      <formula>3000</formula>
    </cfRule>
    <cfRule type="cellIs" dxfId="325" priority="326" stopIfTrue="1" operator="between">
      <formula>3000</formula>
      <formula>9000</formula>
    </cfRule>
    <cfRule type="cellIs" dxfId="324" priority="327" stopIfTrue="1" operator="greaterThanOrEqual">
      <formula>9000</formula>
    </cfRule>
  </conditionalFormatting>
  <conditionalFormatting sqref="AA134 AC134:AD134">
    <cfRule type="cellIs" dxfId="323" priority="322" stopIfTrue="1" operator="lessThanOrEqual">
      <formula>3000</formula>
    </cfRule>
    <cfRule type="cellIs" dxfId="322" priority="323" stopIfTrue="1" operator="between">
      <formula>3000</formula>
      <formula>9000</formula>
    </cfRule>
    <cfRule type="cellIs" dxfId="321" priority="324" stopIfTrue="1" operator="greaterThanOrEqual">
      <formula>9000</formula>
    </cfRule>
  </conditionalFormatting>
  <conditionalFormatting sqref="AB134">
    <cfRule type="cellIs" dxfId="320" priority="319" stopIfTrue="1" operator="lessThanOrEqual">
      <formula>3000</formula>
    </cfRule>
    <cfRule type="cellIs" dxfId="319" priority="320" stopIfTrue="1" operator="between">
      <formula>3000</formula>
      <formula>9000</formula>
    </cfRule>
    <cfRule type="cellIs" dxfId="318" priority="321" stopIfTrue="1" operator="greaterThanOrEqual">
      <formula>9000</formula>
    </cfRule>
  </conditionalFormatting>
  <conditionalFormatting sqref="AA140 AC140:AD140">
    <cfRule type="cellIs" dxfId="317" priority="316" stopIfTrue="1" operator="lessThanOrEqual">
      <formula>3000</formula>
    </cfRule>
    <cfRule type="cellIs" dxfId="316" priority="317" stopIfTrue="1" operator="between">
      <formula>3000</formula>
      <formula>9000</formula>
    </cfRule>
    <cfRule type="cellIs" dxfId="315" priority="318" stopIfTrue="1" operator="greaterThanOrEqual">
      <formula>9000</formula>
    </cfRule>
  </conditionalFormatting>
  <conditionalFormatting sqref="AB140">
    <cfRule type="cellIs" dxfId="314" priority="313" stopIfTrue="1" operator="lessThanOrEqual">
      <formula>3000</formula>
    </cfRule>
    <cfRule type="cellIs" dxfId="313" priority="314" stopIfTrue="1" operator="between">
      <formula>3000</formula>
      <formula>9000</formula>
    </cfRule>
    <cfRule type="cellIs" dxfId="312" priority="315" stopIfTrue="1" operator="greaterThanOrEqual">
      <formula>9000</formula>
    </cfRule>
  </conditionalFormatting>
  <conditionalFormatting sqref="AA146 AC146:AD146">
    <cfRule type="cellIs" dxfId="311" priority="310" stopIfTrue="1" operator="lessThanOrEqual">
      <formula>3000</formula>
    </cfRule>
    <cfRule type="cellIs" dxfId="310" priority="311" stopIfTrue="1" operator="between">
      <formula>3000</formula>
      <formula>9000</formula>
    </cfRule>
    <cfRule type="cellIs" dxfId="309" priority="312" stopIfTrue="1" operator="greaterThanOrEqual">
      <formula>9000</formula>
    </cfRule>
  </conditionalFormatting>
  <conditionalFormatting sqref="AB146">
    <cfRule type="cellIs" dxfId="308" priority="307" stopIfTrue="1" operator="lessThanOrEqual">
      <formula>3000</formula>
    </cfRule>
    <cfRule type="cellIs" dxfId="307" priority="308" stopIfTrue="1" operator="between">
      <formula>3000</formula>
      <formula>9000</formula>
    </cfRule>
    <cfRule type="cellIs" dxfId="306" priority="309" stopIfTrue="1" operator="greaterThanOrEqual">
      <formula>9000</formula>
    </cfRule>
  </conditionalFormatting>
  <conditionalFormatting sqref="AA152 AC152:AD152">
    <cfRule type="cellIs" dxfId="305" priority="304" stopIfTrue="1" operator="lessThanOrEqual">
      <formula>3000</formula>
    </cfRule>
    <cfRule type="cellIs" dxfId="304" priority="305" stopIfTrue="1" operator="between">
      <formula>3000</formula>
      <formula>9000</formula>
    </cfRule>
    <cfRule type="cellIs" dxfId="303" priority="306" stopIfTrue="1" operator="greaterThanOrEqual">
      <formula>9000</formula>
    </cfRule>
  </conditionalFormatting>
  <conditionalFormatting sqref="AB152">
    <cfRule type="cellIs" dxfId="302" priority="301" stopIfTrue="1" operator="lessThanOrEqual">
      <formula>3000</formula>
    </cfRule>
    <cfRule type="cellIs" dxfId="301" priority="302" stopIfTrue="1" operator="between">
      <formula>3000</formula>
      <formula>9000</formula>
    </cfRule>
    <cfRule type="cellIs" dxfId="300" priority="303" stopIfTrue="1" operator="greaterThanOrEqual">
      <formula>9000</formula>
    </cfRule>
  </conditionalFormatting>
  <conditionalFormatting sqref="AA158 AC158:AD158">
    <cfRule type="cellIs" dxfId="299" priority="298" stopIfTrue="1" operator="lessThanOrEqual">
      <formula>3000</formula>
    </cfRule>
    <cfRule type="cellIs" dxfId="298" priority="299" stopIfTrue="1" operator="between">
      <formula>3000</formula>
      <formula>9000</formula>
    </cfRule>
    <cfRule type="cellIs" dxfId="297" priority="300" stopIfTrue="1" operator="greaterThanOrEqual">
      <formula>9000</formula>
    </cfRule>
  </conditionalFormatting>
  <conditionalFormatting sqref="AB158">
    <cfRule type="cellIs" dxfId="296" priority="295" stopIfTrue="1" operator="lessThanOrEqual">
      <formula>3000</formula>
    </cfRule>
    <cfRule type="cellIs" dxfId="295" priority="296" stopIfTrue="1" operator="between">
      <formula>3000</formula>
      <formula>9000</formula>
    </cfRule>
    <cfRule type="cellIs" dxfId="294" priority="297" stopIfTrue="1" operator="greaterThanOrEqual">
      <formula>9000</formula>
    </cfRule>
  </conditionalFormatting>
  <conditionalFormatting sqref="AA164 AC164:AD164">
    <cfRule type="cellIs" dxfId="293" priority="292" stopIfTrue="1" operator="lessThanOrEqual">
      <formula>3000</formula>
    </cfRule>
    <cfRule type="cellIs" dxfId="292" priority="293" stopIfTrue="1" operator="between">
      <formula>3000</formula>
      <formula>9000</formula>
    </cfRule>
    <cfRule type="cellIs" dxfId="291" priority="294" stopIfTrue="1" operator="greaterThanOrEqual">
      <formula>9000</formula>
    </cfRule>
  </conditionalFormatting>
  <conditionalFormatting sqref="AB164">
    <cfRule type="cellIs" dxfId="290" priority="289" stopIfTrue="1" operator="lessThanOrEqual">
      <formula>3000</formula>
    </cfRule>
    <cfRule type="cellIs" dxfId="289" priority="290" stopIfTrue="1" operator="between">
      <formula>3000</formula>
      <formula>9000</formula>
    </cfRule>
    <cfRule type="cellIs" dxfId="288" priority="291" stopIfTrue="1" operator="greaterThanOrEqual">
      <formula>9000</formula>
    </cfRule>
  </conditionalFormatting>
  <conditionalFormatting sqref="AA170 AC170:AD170">
    <cfRule type="cellIs" dxfId="287" priority="286" stopIfTrue="1" operator="lessThanOrEqual">
      <formula>3000</formula>
    </cfRule>
    <cfRule type="cellIs" dxfId="286" priority="287" stopIfTrue="1" operator="between">
      <formula>3000</formula>
      <formula>9000</formula>
    </cfRule>
    <cfRule type="cellIs" dxfId="285" priority="288" stopIfTrue="1" operator="greaterThanOrEqual">
      <formula>9000</formula>
    </cfRule>
  </conditionalFormatting>
  <conditionalFormatting sqref="AB170">
    <cfRule type="cellIs" dxfId="284" priority="283" stopIfTrue="1" operator="lessThanOrEqual">
      <formula>3000</formula>
    </cfRule>
    <cfRule type="cellIs" dxfId="283" priority="284" stopIfTrue="1" operator="between">
      <formula>3000</formula>
      <formula>9000</formula>
    </cfRule>
    <cfRule type="cellIs" dxfId="282" priority="285" stopIfTrue="1" operator="greaterThanOrEqual">
      <formula>9000</formula>
    </cfRule>
  </conditionalFormatting>
  <conditionalFormatting sqref="AA176 AC176:AD176">
    <cfRule type="cellIs" dxfId="281" priority="280" stopIfTrue="1" operator="lessThanOrEqual">
      <formula>3000</formula>
    </cfRule>
    <cfRule type="cellIs" dxfId="280" priority="281" stopIfTrue="1" operator="between">
      <formula>3000</formula>
      <formula>9000</formula>
    </cfRule>
    <cfRule type="cellIs" dxfId="279" priority="282" stopIfTrue="1" operator="greaterThanOrEqual">
      <formula>9000</formula>
    </cfRule>
  </conditionalFormatting>
  <conditionalFormatting sqref="AB176">
    <cfRule type="cellIs" dxfId="278" priority="277" stopIfTrue="1" operator="lessThanOrEqual">
      <formula>3000</formula>
    </cfRule>
    <cfRule type="cellIs" dxfId="277" priority="278" stopIfTrue="1" operator="between">
      <formula>3000</formula>
      <formula>9000</formula>
    </cfRule>
    <cfRule type="cellIs" dxfId="276" priority="279" stopIfTrue="1" operator="greaterThanOrEqual">
      <formula>9000</formula>
    </cfRule>
  </conditionalFormatting>
  <conditionalFormatting sqref="AA182 AC182:AD182">
    <cfRule type="cellIs" dxfId="275" priority="274" stopIfTrue="1" operator="lessThanOrEqual">
      <formula>3000</formula>
    </cfRule>
    <cfRule type="cellIs" dxfId="274" priority="275" stopIfTrue="1" operator="between">
      <formula>3000</formula>
      <formula>9000</formula>
    </cfRule>
    <cfRule type="cellIs" dxfId="273" priority="276" stopIfTrue="1" operator="greaterThanOrEqual">
      <formula>9000</formula>
    </cfRule>
  </conditionalFormatting>
  <conditionalFormatting sqref="AB182">
    <cfRule type="cellIs" dxfId="272" priority="271" stopIfTrue="1" operator="lessThanOrEqual">
      <formula>3000</formula>
    </cfRule>
    <cfRule type="cellIs" dxfId="271" priority="272" stopIfTrue="1" operator="between">
      <formula>3000</formula>
      <formula>9000</formula>
    </cfRule>
    <cfRule type="cellIs" dxfId="270" priority="273" stopIfTrue="1" operator="greaterThanOrEqual">
      <formula>9000</formula>
    </cfRule>
  </conditionalFormatting>
  <conditionalFormatting sqref="AA188 AC188:AD188">
    <cfRule type="cellIs" dxfId="269" priority="268" stopIfTrue="1" operator="lessThanOrEqual">
      <formula>3000</formula>
    </cfRule>
    <cfRule type="cellIs" dxfId="268" priority="269" stopIfTrue="1" operator="between">
      <formula>3000</formula>
      <formula>9000</formula>
    </cfRule>
    <cfRule type="cellIs" dxfId="267" priority="270" stopIfTrue="1" operator="greaterThanOrEqual">
      <formula>9000</formula>
    </cfRule>
  </conditionalFormatting>
  <conditionalFormatting sqref="AB188">
    <cfRule type="cellIs" dxfId="266" priority="265" stopIfTrue="1" operator="lessThanOrEqual">
      <formula>3000</formula>
    </cfRule>
    <cfRule type="cellIs" dxfId="265" priority="266" stopIfTrue="1" operator="between">
      <formula>3000</formula>
      <formula>9000</formula>
    </cfRule>
    <cfRule type="cellIs" dxfId="264" priority="267" stopIfTrue="1" operator="greaterThanOrEqual">
      <formula>9000</formula>
    </cfRule>
  </conditionalFormatting>
  <conditionalFormatting sqref="AA194 AC194:AD194">
    <cfRule type="cellIs" dxfId="263" priority="262" stopIfTrue="1" operator="lessThanOrEqual">
      <formula>3000</formula>
    </cfRule>
    <cfRule type="cellIs" dxfId="262" priority="263" stopIfTrue="1" operator="between">
      <formula>3000</formula>
      <formula>9000</formula>
    </cfRule>
    <cfRule type="cellIs" dxfId="261" priority="264" stopIfTrue="1" operator="greaterThanOrEqual">
      <formula>9000</formula>
    </cfRule>
  </conditionalFormatting>
  <conditionalFormatting sqref="AB194">
    <cfRule type="cellIs" dxfId="260" priority="259" stopIfTrue="1" operator="lessThanOrEqual">
      <formula>3000</formula>
    </cfRule>
    <cfRule type="cellIs" dxfId="259" priority="260" stopIfTrue="1" operator="between">
      <formula>3000</formula>
      <formula>9000</formula>
    </cfRule>
    <cfRule type="cellIs" dxfId="258" priority="261" stopIfTrue="1" operator="greaterThanOrEqual">
      <formula>9000</formula>
    </cfRule>
  </conditionalFormatting>
  <conditionalFormatting sqref="AA200 AC200:AD200">
    <cfRule type="cellIs" dxfId="257" priority="256" stopIfTrue="1" operator="lessThanOrEqual">
      <formula>3000</formula>
    </cfRule>
    <cfRule type="cellIs" dxfId="256" priority="257" stopIfTrue="1" operator="between">
      <formula>3000</formula>
      <formula>9000</formula>
    </cfRule>
    <cfRule type="cellIs" dxfId="255" priority="258" stopIfTrue="1" operator="greaterThanOrEqual">
      <formula>9000</formula>
    </cfRule>
  </conditionalFormatting>
  <conditionalFormatting sqref="AB200">
    <cfRule type="cellIs" dxfId="254" priority="253" stopIfTrue="1" operator="lessThanOrEqual">
      <formula>3000</formula>
    </cfRule>
    <cfRule type="cellIs" dxfId="253" priority="254" stopIfTrue="1" operator="between">
      <formula>3000</formula>
      <formula>9000</formula>
    </cfRule>
    <cfRule type="cellIs" dxfId="252" priority="255" stopIfTrue="1" operator="greaterThanOrEqual">
      <formula>9000</formula>
    </cfRule>
  </conditionalFormatting>
  <conditionalFormatting sqref="AA206 AC206:AD206">
    <cfRule type="cellIs" dxfId="251" priority="250" stopIfTrue="1" operator="lessThanOrEqual">
      <formula>3000</formula>
    </cfRule>
    <cfRule type="cellIs" dxfId="250" priority="251" stopIfTrue="1" operator="between">
      <formula>3000</formula>
      <formula>9000</formula>
    </cfRule>
    <cfRule type="cellIs" dxfId="249" priority="252" stopIfTrue="1" operator="greaterThanOrEqual">
      <formula>9000</formula>
    </cfRule>
  </conditionalFormatting>
  <conditionalFormatting sqref="AB206">
    <cfRule type="cellIs" dxfId="248" priority="247" stopIfTrue="1" operator="lessThanOrEqual">
      <formula>3000</formula>
    </cfRule>
    <cfRule type="cellIs" dxfId="247" priority="248" stopIfTrue="1" operator="between">
      <formula>3000</formula>
      <formula>9000</formula>
    </cfRule>
    <cfRule type="cellIs" dxfId="246" priority="249" stopIfTrue="1" operator="greaterThanOrEqual">
      <formula>9000</formula>
    </cfRule>
  </conditionalFormatting>
  <conditionalFormatting sqref="AA212 AC212:AD212">
    <cfRule type="cellIs" dxfId="245" priority="244" stopIfTrue="1" operator="lessThanOrEqual">
      <formula>3000</formula>
    </cfRule>
    <cfRule type="cellIs" dxfId="244" priority="245" stopIfTrue="1" operator="between">
      <formula>3000</formula>
      <formula>9000</formula>
    </cfRule>
    <cfRule type="cellIs" dxfId="243" priority="246" stopIfTrue="1" operator="greaterThanOrEqual">
      <formula>9000</formula>
    </cfRule>
  </conditionalFormatting>
  <conditionalFormatting sqref="AB212">
    <cfRule type="cellIs" dxfId="242" priority="241" stopIfTrue="1" operator="lessThanOrEqual">
      <formula>3000</formula>
    </cfRule>
    <cfRule type="cellIs" dxfId="241" priority="242" stopIfTrue="1" operator="between">
      <formula>3000</formula>
      <formula>9000</formula>
    </cfRule>
    <cfRule type="cellIs" dxfId="240" priority="243" stopIfTrue="1" operator="greaterThanOrEqual">
      <formula>9000</formula>
    </cfRule>
  </conditionalFormatting>
  <conditionalFormatting sqref="AA218 AC218:AD218">
    <cfRule type="cellIs" dxfId="239" priority="238" stopIfTrue="1" operator="lessThanOrEqual">
      <formula>3000</formula>
    </cfRule>
    <cfRule type="cellIs" dxfId="238" priority="239" stopIfTrue="1" operator="between">
      <formula>3000</formula>
      <formula>9000</formula>
    </cfRule>
    <cfRule type="cellIs" dxfId="237" priority="240" stopIfTrue="1" operator="greaterThanOrEqual">
      <formula>9000</formula>
    </cfRule>
  </conditionalFormatting>
  <conditionalFormatting sqref="AB218">
    <cfRule type="cellIs" dxfId="236" priority="235" stopIfTrue="1" operator="lessThanOrEqual">
      <formula>3000</formula>
    </cfRule>
    <cfRule type="cellIs" dxfId="235" priority="236" stopIfTrue="1" operator="between">
      <formula>3000</formula>
      <formula>9000</formula>
    </cfRule>
    <cfRule type="cellIs" dxfId="234" priority="237" stopIfTrue="1" operator="greaterThanOrEqual">
      <formula>9000</formula>
    </cfRule>
  </conditionalFormatting>
  <conditionalFormatting sqref="AA224 AC224:AD224">
    <cfRule type="cellIs" dxfId="233" priority="232" stopIfTrue="1" operator="lessThanOrEqual">
      <formula>3000</formula>
    </cfRule>
    <cfRule type="cellIs" dxfId="232" priority="233" stopIfTrue="1" operator="between">
      <formula>3000</formula>
      <formula>9000</formula>
    </cfRule>
    <cfRule type="cellIs" dxfId="231" priority="234" stopIfTrue="1" operator="greaterThanOrEqual">
      <formula>9000</formula>
    </cfRule>
  </conditionalFormatting>
  <conditionalFormatting sqref="AB224">
    <cfRule type="cellIs" dxfId="230" priority="229" stopIfTrue="1" operator="lessThanOrEqual">
      <formula>3000</formula>
    </cfRule>
    <cfRule type="cellIs" dxfId="229" priority="230" stopIfTrue="1" operator="between">
      <formula>3000</formula>
      <formula>9000</formula>
    </cfRule>
    <cfRule type="cellIs" dxfId="228" priority="231" stopIfTrue="1" operator="greaterThanOrEqual">
      <formula>9000</formula>
    </cfRule>
  </conditionalFormatting>
  <conditionalFormatting sqref="AA230 AC230:AD230">
    <cfRule type="cellIs" dxfId="227" priority="226" stopIfTrue="1" operator="lessThanOrEqual">
      <formula>3000</formula>
    </cfRule>
    <cfRule type="cellIs" dxfId="226" priority="227" stopIfTrue="1" operator="between">
      <formula>3000</formula>
      <formula>9000</formula>
    </cfRule>
    <cfRule type="cellIs" dxfId="225" priority="228" stopIfTrue="1" operator="greaterThanOrEqual">
      <formula>9000</formula>
    </cfRule>
  </conditionalFormatting>
  <conditionalFormatting sqref="AB230">
    <cfRule type="cellIs" dxfId="224" priority="223" stopIfTrue="1" operator="lessThanOrEqual">
      <formula>3000</formula>
    </cfRule>
    <cfRule type="cellIs" dxfId="223" priority="224" stopIfTrue="1" operator="between">
      <formula>3000</formula>
      <formula>9000</formula>
    </cfRule>
    <cfRule type="cellIs" dxfId="222" priority="225" stopIfTrue="1" operator="greaterThanOrEqual">
      <formula>9000</formula>
    </cfRule>
  </conditionalFormatting>
  <conditionalFormatting sqref="AA236 AC236:AD236">
    <cfRule type="cellIs" dxfId="221" priority="220" stopIfTrue="1" operator="lessThanOrEqual">
      <formula>3000</formula>
    </cfRule>
    <cfRule type="cellIs" dxfId="220" priority="221" stopIfTrue="1" operator="between">
      <formula>3000</formula>
      <formula>9000</formula>
    </cfRule>
    <cfRule type="cellIs" dxfId="219" priority="222" stopIfTrue="1" operator="greaterThanOrEqual">
      <formula>9000</formula>
    </cfRule>
  </conditionalFormatting>
  <conditionalFormatting sqref="AB236">
    <cfRule type="cellIs" dxfId="218" priority="217" stopIfTrue="1" operator="lessThanOrEqual">
      <formula>3000</formula>
    </cfRule>
    <cfRule type="cellIs" dxfId="217" priority="218" stopIfTrue="1" operator="between">
      <formula>3000</formula>
      <formula>9000</formula>
    </cfRule>
    <cfRule type="cellIs" dxfId="216" priority="219" stopIfTrue="1" operator="greaterThanOrEqual">
      <formula>9000</formula>
    </cfRule>
  </conditionalFormatting>
  <conditionalFormatting sqref="AA242 AC242:AD242">
    <cfRule type="cellIs" dxfId="215" priority="214" stopIfTrue="1" operator="lessThanOrEqual">
      <formula>3000</formula>
    </cfRule>
    <cfRule type="cellIs" dxfId="214" priority="215" stopIfTrue="1" operator="between">
      <formula>3000</formula>
      <formula>9000</formula>
    </cfRule>
    <cfRule type="cellIs" dxfId="213" priority="216" stopIfTrue="1" operator="greaterThanOrEqual">
      <formula>9000</formula>
    </cfRule>
  </conditionalFormatting>
  <conditionalFormatting sqref="AB242">
    <cfRule type="cellIs" dxfId="212" priority="211" stopIfTrue="1" operator="lessThanOrEqual">
      <formula>3000</formula>
    </cfRule>
    <cfRule type="cellIs" dxfId="211" priority="212" stopIfTrue="1" operator="between">
      <formula>3000</formula>
      <formula>9000</formula>
    </cfRule>
    <cfRule type="cellIs" dxfId="210" priority="213" stopIfTrue="1" operator="greaterThanOrEqual">
      <formula>9000</formula>
    </cfRule>
  </conditionalFormatting>
  <conditionalFormatting sqref="AA248 AC248:AD248">
    <cfRule type="cellIs" dxfId="209" priority="208" stopIfTrue="1" operator="lessThanOrEqual">
      <formula>3000</formula>
    </cfRule>
    <cfRule type="cellIs" dxfId="208" priority="209" stopIfTrue="1" operator="between">
      <formula>3000</formula>
      <formula>9000</formula>
    </cfRule>
    <cfRule type="cellIs" dxfId="207" priority="210" stopIfTrue="1" operator="greaterThanOrEqual">
      <formula>9000</formula>
    </cfRule>
  </conditionalFormatting>
  <conditionalFormatting sqref="AB248">
    <cfRule type="cellIs" dxfId="206" priority="205" stopIfTrue="1" operator="lessThanOrEqual">
      <formula>3000</formula>
    </cfRule>
    <cfRule type="cellIs" dxfId="205" priority="206" stopIfTrue="1" operator="between">
      <formula>3000</formula>
      <formula>9000</formula>
    </cfRule>
    <cfRule type="cellIs" dxfId="204" priority="207" stopIfTrue="1" operator="greaterThanOrEqual">
      <formula>9000</formula>
    </cfRule>
  </conditionalFormatting>
  <conditionalFormatting sqref="AA254 AC254:AD254">
    <cfRule type="cellIs" dxfId="203" priority="202" stopIfTrue="1" operator="lessThanOrEqual">
      <formula>3000</formula>
    </cfRule>
    <cfRule type="cellIs" dxfId="202" priority="203" stopIfTrue="1" operator="between">
      <formula>3000</formula>
      <formula>9000</formula>
    </cfRule>
    <cfRule type="cellIs" dxfId="201" priority="204" stopIfTrue="1" operator="greaterThanOrEqual">
      <formula>9000</formula>
    </cfRule>
  </conditionalFormatting>
  <conditionalFormatting sqref="AB254">
    <cfRule type="cellIs" dxfId="200" priority="199" stopIfTrue="1" operator="lessThanOrEqual">
      <formula>3000</formula>
    </cfRule>
    <cfRule type="cellIs" dxfId="199" priority="200" stopIfTrue="1" operator="between">
      <formula>3000</formula>
      <formula>9000</formula>
    </cfRule>
    <cfRule type="cellIs" dxfId="198" priority="201" stopIfTrue="1" operator="greaterThanOrEqual">
      <formula>9000</formula>
    </cfRule>
  </conditionalFormatting>
  <conditionalFormatting sqref="AA260 AC260:AD260">
    <cfRule type="cellIs" dxfId="197" priority="196" stopIfTrue="1" operator="lessThanOrEqual">
      <formula>3000</formula>
    </cfRule>
    <cfRule type="cellIs" dxfId="196" priority="197" stopIfTrue="1" operator="between">
      <formula>3000</formula>
      <formula>9000</formula>
    </cfRule>
    <cfRule type="cellIs" dxfId="195" priority="198" stopIfTrue="1" operator="greaterThanOrEqual">
      <formula>9000</formula>
    </cfRule>
  </conditionalFormatting>
  <conditionalFormatting sqref="AB260">
    <cfRule type="cellIs" dxfId="194" priority="193" stopIfTrue="1" operator="lessThanOrEqual">
      <formula>3000</formula>
    </cfRule>
    <cfRule type="cellIs" dxfId="193" priority="194" stopIfTrue="1" operator="between">
      <formula>3000</formula>
      <formula>9000</formula>
    </cfRule>
    <cfRule type="cellIs" dxfId="192" priority="195" stopIfTrue="1" operator="greaterThanOrEqual">
      <formula>9000</formula>
    </cfRule>
  </conditionalFormatting>
  <conditionalFormatting sqref="V80 X80:Y80">
    <cfRule type="cellIs" dxfId="191" priority="190" stopIfTrue="1" operator="lessThanOrEqual">
      <formula>3000</formula>
    </cfRule>
    <cfRule type="cellIs" dxfId="190" priority="191" stopIfTrue="1" operator="between">
      <formula>3000</formula>
      <formula>9000</formula>
    </cfRule>
    <cfRule type="cellIs" dxfId="189" priority="192" stopIfTrue="1" operator="greaterThanOrEqual">
      <formula>9000</formula>
    </cfRule>
  </conditionalFormatting>
  <conditionalFormatting sqref="W80">
    <cfRule type="cellIs" dxfId="188" priority="187" stopIfTrue="1" operator="lessThanOrEqual">
      <formula>3000</formula>
    </cfRule>
    <cfRule type="cellIs" dxfId="187" priority="188" stopIfTrue="1" operator="between">
      <formula>3000</formula>
      <formula>9000</formula>
    </cfRule>
    <cfRule type="cellIs" dxfId="186" priority="189" stopIfTrue="1" operator="greaterThanOrEqual">
      <formula>9000</formula>
    </cfRule>
  </conditionalFormatting>
  <conditionalFormatting sqref="V68 X68:Y68">
    <cfRule type="cellIs" dxfId="185" priority="184" stopIfTrue="1" operator="lessThanOrEqual">
      <formula>3000</formula>
    </cfRule>
    <cfRule type="cellIs" dxfId="184" priority="185" stopIfTrue="1" operator="between">
      <formula>3000</formula>
      <formula>9000</formula>
    </cfRule>
    <cfRule type="cellIs" dxfId="183" priority="186" stopIfTrue="1" operator="greaterThanOrEqual">
      <formula>9000</formula>
    </cfRule>
  </conditionalFormatting>
  <conditionalFormatting sqref="W68">
    <cfRule type="cellIs" dxfId="182" priority="181" stopIfTrue="1" operator="lessThanOrEqual">
      <formula>3000</formula>
    </cfRule>
    <cfRule type="cellIs" dxfId="181" priority="182" stopIfTrue="1" operator="between">
      <formula>3000</formula>
      <formula>9000</formula>
    </cfRule>
    <cfRule type="cellIs" dxfId="180" priority="183" stopIfTrue="1" operator="greaterThanOrEqual">
      <formula>9000</formula>
    </cfRule>
  </conditionalFormatting>
  <conditionalFormatting sqref="V86 X86:Y86">
    <cfRule type="cellIs" dxfId="179" priority="178" stopIfTrue="1" operator="lessThanOrEqual">
      <formula>3000</formula>
    </cfRule>
    <cfRule type="cellIs" dxfId="178" priority="179" stopIfTrue="1" operator="between">
      <formula>3000</formula>
      <formula>9000</formula>
    </cfRule>
    <cfRule type="cellIs" dxfId="177" priority="180" stopIfTrue="1" operator="greaterThanOrEqual">
      <formula>9000</formula>
    </cfRule>
  </conditionalFormatting>
  <conditionalFormatting sqref="W86">
    <cfRule type="cellIs" dxfId="176" priority="175" stopIfTrue="1" operator="lessThanOrEqual">
      <formula>3000</formula>
    </cfRule>
    <cfRule type="cellIs" dxfId="175" priority="176" stopIfTrue="1" operator="between">
      <formula>3000</formula>
      <formula>9000</formula>
    </cfRule>
    <cfRule type="cellIs" dxfId="174" priority="177" stopIfTrue="1" operator="greaterThanOrEqual">
      <formula>9000</formula>
    </cfRule>
  </conditionalFormatting>
  <conditionalFormatting sqref="V92 X92:Y92">
    <cfRule type="cellIs" dxfId="173" priority="172" stopIfTrue="1" operator="lessThanOrEqual">
      <formula>3000</formula>
    </cfRule>
    <cfRule type="cellIs" dxfId="172" priority="173" stopIfTrue="1" operator="between">
      <formula>3000</formula>
      <formula>9000</formula>
    </cfRule>
    <cfRule type="cellIs" dxfId="171" priority="174" stopIfTrue="1" operator="greaterThanOrEqual">
      <formula>9000</formula>
    </cfRule>
  </conditionalFormatting>
  <conditionalFormatting sqref="W92">
    <cfRule type="cellIs" dxfId="170" priority="169" stopIfTrue="1" operator="lessThanOrEqual">
      <formula>3000</formula>
    </cfRule>
    <cfRule type="cellIs" dxfId="169" priority="170" stopIfTrue="1" operator="between">
      <formula>3000</formula>
      <formula>9000</formula>
    </cfRule>
    <cfRule type="cellIs" dxfId="168" priority="171" stopIfTrue="1" operator="greaterThanOrEqual">
      <formula>9000</formula>
    </cfRule>
  </conditionalFormatting>
  <conditionalFormatting sqref="V98 X98:Y98">
    <cfRule type="cellIs" dxfId="167" priority="166" stopIfTrue="1" operator="lessThanOrEqual">
      <formula>3000</formula>
    </cfRule>
    <cfRule type="cellIs" dxfId="166" priority="167" stopIfTrue="1" operator="between">
      <formula>3000</formula>
      <formula>9000</formula>
    </cfRule>
    <cfRule type="cellIs" dxfId="165" priority="168" stopIfTrue="1" operator="greaterThanOrEqual">
      <formula>9000</formula>
    </cfRule>
  </conditionalFormatting>
  <conditionalFormatting sqref="W98">
    <cfRule type="cellIs" dxfId="164" priority="163" stopIfTrue="1" operator="lessThanOrEqual">
      <formula>3000</formula>
    </cfRule>
    <cfRule type="cellIs" dxfId="163" priority="164" stopIfTrue="1" operator="between">
      <formula>3000</formula>
      <formula>9000</formula>
    </cfRule>
    <cfRule type="cellIs" dxfId="162" priority="165" stopIfTrue="1" operator="greaterThanOrEqual">
      <formula>9000</formula>
    </cfRule>
  </conditionalFormatting>
  <conditionalFormatting sqref="V104 X104:Y104">
    <cfRule type="cellIs" dxfId="161" priority="160" stopIfTrue="1" operator="lessThanOrEqual">
      <formula>3000</formula>
    </cfRule>
    <cfRule type="cellIs" dxfId="160" priority="161" stopIfTrue="1" operator="between">
      <formula>3000</formula>
      <formula>9000</formula>
    </cfRule>
    <cfRule type="cellIs" dxfId="159" priority="162" stopIfTrue="1" operator="greaterThanOrEqual">
      <formula>9000</formula>
    </cfRule>
  </conditionalFormatting>
  <conditionalFormatting sqref="W104">
    <cfRule type="cellIs" dxfId="158" priority="157" stopIfTrue="1" operator="lessThanOrEqual">
      <formula>3000</formula>
    </cfRule>
    <cfRule type="cellIs" dxfId="157" priority="158" stopIfTrue="1" operator="between">
      <formula>3000</formula>
      <formula>9000</formula>
    </cfRule>
    <cfRule type="cellIs" dxfId="156" priority="159" stopIfTrue="1" operator="greaterThanOrEqual">
      <formula>9000</formula>
    </cfRule>
  </conditionalFormatting>
  <conditionalFormatting sqref="V110 X110:Y110">
    <cfRule type="cellIs" dxfId="155" priority="154" stopIfTrue="1" operator="lessThanOrEqual">
      <formula>3000</formula>
    </cfRule>
    <cfRule type="cellIs" dxfId="154" priority="155" stopIfTrue="1" operator="between">
      <formula>3000</formula>
      <formula>9000</formula>
    </cfRule>
    <cfRule type="cellIs" dxfId="153" priority="156" stopIfTrue="1" operator="greaterThanOrEqual">
      <formula>9000</formula>
    </cfRule>
  </conditionalFormatting>
  <conditionalFormatting sqref="W110">
    <cfRule type="cellIs" dxfId="152" priority="151" stopIfTrue="1" operator="lessThanOrEqual">
      <formula>3000</formula>
    </cfRule>
    <cfRule type="cellIs" dxfId="151" priority="152" stopIfTrue="1" operator="between">
      <formula>3000</formula>
      <formula>9000</formula>
    </cfRule>
    <cfRule type="cellIs" dxfId="150" priority="153" stopIfTrue="1" operator="greaterThanOrEqual">
      <formula>9000</formula>
    </cfRule>
  </conditionalFormatting>
  <conditionalFormatting sqref="V116 X116:Y116">
    <cfRule type="cellIs" dxfId="149" priority="148" stopIfTrue="1" operator="lessThanOrEqual">
      <formula>3000</formula>
    </cfRule>
    <cfRule type="cellIs" dxfId="148" priority="149" stopIfTrue="1" operator="between">
      <formula>3000</formula>
      <formula>9000</formula>
    </cfRule>
    <cfRule type="cellIs" dxfId="147" priority="150" stopIfTrue="1" operator="greaterThanOrEqual">
      <formula>9000</formula>
    </cfRule>
  </conditionalFormatting>
  <conditionalFormatting sqref="W116">
    <cfRule type="cellIs" dxfId="146" priority="145" stopIfTrue="1" operator="lessThanOrEqual">
      <formula>3000</formula>
    </cfRule>
    <cfRule type="cellIs" dxfId="145" priority="146" stopIfTrue="1" operator="between">
      <formula>3000</formula>
      <formula>9000</formula>
    </cfRule>
    <cfRule type="cellIs" dxfId="144" priority="147" stopIfTrue="1" operator="greaterThanOrEqual">
      <formula>9000</formula>
    </cfRule>
  </conditionalFormatting>
  <conditionalFormatting sqref="V122 X122:Y122">
    <cfRule type="cellIs" dxfId="143" priority="142" stopIfTrue="1" operator="lessThanOrEqual">
      <formula>3000</formula>
    </cfRule>
    <cfRule type="cellIs" dxfId="142" priority="143" stopIfTrue="1" operator="between">
      <formula>3000</formula>
      <formula>9000</formula>
    </cfRule>
    <cfRule type="cellIs" dxfId="141" priority="144" stopIfTrue="1" operator="greaterThanOrEqual">
      <formula>9000</formula>
    </cfRule>
  </conditionalFormatting>
  <conditionalFormatting sqref="W122">
    <cfRule type="cellIs" dxfId="140" priority="139" stopIfTrue="1" operator="lessThanOrEqual">
      <formula>3000</formula>
    </cfRule>
    <cfRule type="cellIs" dxfId="139" priority="140" stopIfTrue="1" operator="between">
      <formula>3000</formula>
      <formula>9000</formula>
    </cfRule>
    <cfRule type="cellIs" dxfId="138" priority="141" stopIfTrue="1" operator="greaterThanOrEqual">
      <formula>9000</formula>
    </cfRule>
  </conditionalFormatting>
  <conditionalFormatting sqref="V128 X128:Y128">
    <cfRule type="cellIs" dxfId="137" priority="136" stopIfTrue="1" operator="lessThanOrEqual">
      <formula>3000</formula>
    </cfRule>
    <cfRule type="cellIs" dxfId="136" priority="137" stopIfTrue="1" operator="between">
      <formula>3000</formula>
      <formula>9000</formula>
    </cfRule>
    <cfRule type="cellIs" dxfId="135" priority="138" stopIfTrue="1" operator="greaterThanOrEqual">
      <formula>9000</formula>
    </cfRule>
  </conditionalFormatting>
  <conditionalFormatting sqref="W128">
    <cfRule type="cellIs" dxfId="134" priority="133" stopIfTrue="1" operator="lessThanOrEqual">
      <formula>3000</formula>
    </cfRule>
    <cfRule type="cellIs" dxfId="133" priority="134" stopIfTrue="1" operator="between">
      <formula>3000</formula>
      <formula>9000</formula>
    </cfRule>
    <cfRule type="cellIs" dxfId="132" priority="135" stopIfTrue="1" operator="greaterThanOrEqual">
      <formula>9000</formula>
    </cfRule>
  </conditionalFormatting>
  <conditionalFormatting sqref="V134 X134:Y134">
    <cfRule type="cellIs" dxfId="131" priority="130" stopIfTrue="1" operator="lessThanOrEqual">
      <formula>3000</formula>
    </cfRule>
    <cfRule type="cellIs" dxfId="130" priority="131" stopIfTrue="1" operator="between">
      <formula>3000</formula>
      <formula>9000</formula>
    </cfRule>
    <cfRule type="cellIs" dxfId="129" priority="132" stopIfTrue="1" operator="greaterThanOrEqual">
      <formula>9000</formula>
    </cfRule>
  </conditionalFormatting>
  <conditionalFormatting sqref="W134">
    <cfRule type="cellIs" dxfId="128" priority="127" stopIfTrue="1" operator="lessThanOrEqual">
      <formula>3000</formula>
    </cfRule>
    <cfRule type="cellIs" dxfId="127" priority="128" stopIfTrue="1" operator="between">
      <formula>3000</formula>
      <formula>9000</formula>
    </cfRule>
    <cfRule type="cellIs" dxfId="126" priority="129" stopIfTrue="1" operator="greaterThanOrEqual">
      <formula>9000</formula>
    </cfRule>
  </conditionalFormatting>
  <conditionalFormatting sqref="V140 X140:Y140">
    <cfRule type="cellIs" dxfId="125" priority="124" stopIfTrue="1" operator="lessThanOrEqual">
      <formula>3000</formula>
    </cfRule>
    <cfRule type="cellIs" dxfId="124" priority="125" stopIfTrue="1" operator="between">
      <formula>3000</formula>
      <formula>9000</formula>
    </cfRule>
    <cfRule type="cellIs" dxfId="123" priority="126" stopIfTrue="1" operator="greaterThanOrEqual">
      <formula>9000</formula>
    </cfRule>
  </conditionalFormatting>
  <conditionalFormatting sqref="W140">
    <cfRule type="cellIs" dxfId="122" priority="121" stopIfTrue="1" operator="lessThanOrEqual">
      <formula>3000</formula>
    </cfRule>
    <cfRule type="cellIs" dxfId="121" priority="122" stopIfTrue="1" operator="between">
      <formula>3000</formula>
      <formula>9000</formula>
    </cfRule>
    <cfRule type="cellIs" dxfId="120" priority="123" stopIfTrue="1" operator="greaterThanOrEqual">
      <formula>9000</formula>
    </cfRule>
  </conditionalFormatting>
  <conditionalFormatting sqref="V146 X146:Y146">
    <cfRule type="cellIs" dxfId="119" priority="118" stopIfTrue="1" operator="lessThanOrEqual">
      <formula>3000</formula>
    </cfRule>
    <cfRule type="cellIs" dxfId="118" priority="119" stopIfTrue="1" operator="between">
      <formula>3000</formula>
      <formula>9000</formula>
    </cfRule>
    <cfRule type="cellIs" dxfId="117" priority="120" stopIfTrue="1" operator="greaterThanOrEqual">
      <formula>9000</formula>
    </cfRule>
  </conditionalFormatting>
  <conditionalFormatting sqref="W146">
    <cfRule type="cellIs" dxfId="116" priority="115" stopIfTrue="1" operator="lessThanOrEqual">
      <formula>3000</formula>
    </cfRule>
    <cfRule type="cellIs" dxfId="115" priority="116" stopIfTrue="1" operator="between">
      <formula>3000</formula>
      <formula>9000</formula>
    </cfRule>
    <cfRule type="cellIs" dxfId="114" priority="117" stopIfTrue="1" operator="greaterThanOrEqual">
      <formula>9000</formula>
    </cfRule>
  </conditionalFormatting>
  <conditionalFormatting sqref="V152 X152:Y152">
    <cfRule type="cellIs" dxfId="113" priority="112" stopIfTrue="1" operator="lessThanOrEqual">
      <formula>3000</formula>
    </cfRule>
    <cfRule type="cellIs" dxfId="112" priority="113" stopIfTrue="1" operator="between">
      <formula>3000</formula>
      <formula>9000</formula>
    </cfRule>
    <cfRule type="cellIs" dxfId="111" priority="114" stopIfTrue="1" operator="greaterThanOrEqual">
      <formula>9000</formula>
    </cfRule>
  </conditionalFormatting>
  <conditionalFormatting sqref="W152">
    <cfRule type="cellIs" dxfId="110" priority="109" stopIfTrue="1" operator="lessThanOrEqual">
      <formula>3000</formula>
    </cfRule>
    <cfRule type="cellIs" dxfId="109" priority="110" stopIfTrue="1" operator="between">
      <formula>3000</formula>
      <formula>9000</formula>
    </cfRule>
    <cfRule type="cellIs" dxfId="108" priority="111" stopIfTrue="1" operator="greaterThanOrEqual">
      <formula>9000</formula>
    </cfRule>
  </conditionalFormatting>
  <conditionalFormatting sqref="V158 X158:Y158">
    <cfRule type="cellIs" dxfId="107" priority="106" stopIfTrue="1" operator="lessThanOrEqual">
      <formula>3000</formula>
    </cfRule>
    <cfRule type="cellIs" dxfId="106" priority="107" stopIfTrue="1" operator="between">
      <formula>3000</formula>
      <formula>9000</formula>
    </cfRule>
    <cfRule type="cellIs" dxfId="105" priority="108" stopIfTrue="1" operator="greaterThanOrEqual">
      <formula>9000</formula>
    </cfRule>
  </conditionalFormatting>
  <conditionalFormatting sqref="W158">
    <cfRule type="cellIs" dxfId="104" priority="103" stopIfTrue="1" operator="lessThanOrEqual">
      <formula>3000</formula>
    </cfRule>
    <cfRule type="cellIs" dxfId="103" priority="104" stopIfTrue="1" operator="between">
      <formula>3000</formula>
      <formula>9000</formula>
    </cfRule>
    <cfRule type="cellIs" dxfId="102" priority="105" stopIfTrue="1" operator="greaterThanOrEqual">
      <formula>9000</formula>
    </cfRule>
  </conditionalFormatting>
  <conditionalFormatting sqref="V164 X164:Y164">
    <cfRule type="cellIs" dxfId="101" priority="100" stopIfTrue="1" operator="lessThanOrEqual">
      <formula>3000</formula>
    </cfRule>
    <cfRule type="cellIs" dxfId="100" priority="101" stopIfTrue="1" operator="between">
      <formula>3000</formula>
      <formula>9000</formula>
    </cfRule>
    <cfRule type="cellIs" dxfId="99" priority="102" stopIfTrue="1" operator="greaterThanOrEqual">
      <formula>9000</formula>
    </cfRule>
  </conditionalFormatting>
  <conditionalFormatting sqref="W164">
    <cfRule type="cellIs" dxfId="98" priority="97" stopIfTrue="1" operator="lessThanOrEqual">
      <formula>3000</formula>
    </cfRule>
    <cfRule type="cellIs" dxfId="97" priority="98" stopIfTrue="1" operator="between">
      <formula>3000</formula>
      <formula>9000</formula>
    </cfRule>
    <cfRule type="cellIs" dxfId="96" priority="99" stopIfTrue="1" operator="greaterThanOrEqual">
      <formula>9000</formula>
    </cfRule>
  </conditionalFormatting>
  <conditionalFormatting sqref="V170 X170:Y170">
    <cfRule type="cellIs" dxfId="95" priority="94" stopIfTrue="1" operator="lessThanOrEqual">
      <formula>3000</formula>
    </cfRule>
    <cfRule type="cellIs" dxfId="94" priority="95" stopIfTrue="1" operator="between">
      <formula>3000</formula>
      <formula>9000</formula>
    </cfRule>
    <cfRule type="cellIs" dxfId="93" priority="96" stopIfTrue="1" operator="greaterThanOrEqual">
      <formula>9000</formula>
    </cfRule>
  </conditionalFormatting>
  <conditionalFormatting sqref="W170">
    <cfRule type="cellIs" dxfId="92" priority="91" stopIfTrue="1" operator="lessThanOrEqual">
      <formula>3000</formula>
    </cfRule>
    <cfRule type="cellIs" dxfId="91" priority="92" stopIfTrue="1" operator="between">
      <formula>3000</formula>
      <formula>9000</formula>
    </cfRule>
    <cfRule type="cellIs" dxfId="90" priority="93" stopIfTrue="1" operator="greaterThanOrEqual">
      <formula>9000</formula>
    </cfRule>
  </conditionalFormatting>
  <conditionalFormatting sqref="V176 X176:Y176">
    <cfRule type="cellIs" dxfId="89" priority="88" stopIfTrue="1" operator="lessThanOrEqual">
      <formula>3000</formula>
    </cfRule>
    <cfRule type="cellIs" dxfId="88" priority="89" stopIfTrue="1" operator="between">
      <formula>3000</formula>
      <formula>9000</formula>
    </cfRule>
    <cfRule type="cellIs" dxfId="87" priority="90" stopIfTrue="1" operator="greaterThanOrEqual">
      <formula>9000</formula>
    </cfRule>
  </conditionalFormatting>
  <conditionalFormatting sqref="W176">
    <cfRule type="cellIs" dxfId="86" priority="85" stopIfTrue="1" operator="lessThanOrEqual">
      <formula>3000</formula>
    </cfRule>
    <cfRule type="cellIs" dxfId="85" priority="86" stopIfTrue="1" operator="between">
      <formula>3000</formula>
      <formula>9000</formula>
    </cfRule>
    <cfRule type="cellIs" dxfId="84" priority="87" stopIfTrue="1" operator="greaterThanOrEqual">
      <formula>9000</formula>
    </cfRule>
  </conditionalFormatting>
  <conditionalFormatting sqref="V182 X182:Y182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W182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V188 X188:Y188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W188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V194 X194:Y194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W194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V200 X200:Y200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W200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V206 X206:Y206">
    <cfRule type="cellIs" dxfId="59" priority="58" stopIfTrue="1" operator="lessThanOrEqual">
      <formula>3000</formula>
    </cfRule>
    <cfRule type="cellIs" dxfId="58" priority="59" stopIfTrue="1" operator="between">
      <formula>3000</formula>
      <formula>9000</formula>
    </cfRule>
    <cfRule type="cellIs" dxfId="57" priority="60" stopIfTrue="1" operator="greaterThanOrEqual">
      <formula>9000</formula>
    </cfRule>
  </conditionalFormatting>
  <conditionalFormatting sqref="W206">
    <cfRule type="cellIs" dxfId="56" priority="55" stopIfTrue="1" operator="lessThanOrEqual">
      <formula>3000</formula>
    </cfRule>
    <cfRule type="cellIs" dxfId="55" priority="56" stopIfTrue="1" operator="between">
      <formula>3000</formula>
      <formula>9000</formula>
    </cfRule>
    <cfRule type="cellIs" dxfId="54" priority="57" stopIfTrue="1" operator="greaterThanOrEqual">
      <formula>9000</formula>
    </cfRule>
  </conditionalFormatting>
  <conditionalFormatting sqref="V212 X212:Y212">
    <cfRule type="cellIs" dxfId="53" priority="52" stopIfTrue="1" operator="lessThanOrEqual">
      <formula>3000</formula>
    </cfRule>
    <cfRule type="cellIs" dxfId="52" priority="53" stopIfTrue="1" operator="between">
      <formula>3000</formula>
      <formula>9000</formula>
    </cfRule>
    <cfRule type="cellIs" dxfId="51" priority="54" stopIfTrue="1" operator="greaterThanOrEqual">
      <formula>9000</formula>
    </cfRule>
  </conditionalFormatting>
  <conditionalFormatting sqref="W212">
    <cfRule type="cellIs" dxfId="50" priority="49" stopIfTrue="1" operator="lessThanOrEqual">
      <formula>3000</formula>
    </cfRule>
    <cfRule type="cellIs" dxfId="49" priority="50" stopIfTrue="1" operator="between">
      <formula>3000</formula>
      <formula>9000</formula>
    </cfRule>
    <cfRule type="cellIs" dxfId="48" priority="51" stopIfTrue="1" operator="greaterThanOrEqual">
      <formula>9000</formula>
    </cfRule>
  </conditionalFormatting>
  <conditionalFormatting sqref="V218 X218:Y218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W218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V224 X224:Y224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W224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V230 X230:Y230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W230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V236 X236:Y23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W23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242 X242:Y24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W24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V248 X248:Y248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W248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254 X254:Y254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W254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V260 X260:Y260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W260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DT summary</vt:lpstr>
      <vt:lpstr>LDT</vt:lpstr>
      <vt:lpstr>TDT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2023-07-21T09:33:49Z</dcterms:modified>
</cp:coreProperties>
</file>